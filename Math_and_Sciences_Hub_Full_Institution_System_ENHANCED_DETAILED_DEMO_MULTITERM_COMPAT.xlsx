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603DE33-6D3C-48F6-BD95-2D85D4C81F6F}" xr6:coauthVersionLast="47" xr6:coauthVersionMax="47" xr10:uidLastSave="{00000000-0000-0000-0000-000000000000}"/>
  <bookViews>
    <workbookView xWindow="-108" yWindow="-108" windowWidth="23256" windowHeight="13176" firstSheet="3" activeTab="4" xr2:uid="{00000000-000D-0000-FFFF-FFFF00000000}"/>
  </bookViews>
  <sheets>
    <sheet name="DEMO_GUIDE" sheetId="1" r:id="rId1"/>
    <sheet name="ADMIN_DASHBOARD" sheetId="2" r:id="rId2"/>
    <sheet name="EXPORTS" sheetId="3" r:id="rId3"/>
    <sheet name="MASTER_REGISTER" sheetId="4" r:id="rId4"/>
    <sheet name="AUTO_IMPORT" sheetId="5" r:id="rId5"/>
    <sheet name="ATTENDANCE_DAILY" sheetId="6" r:id="rId6"/>
    <sheet name="ATTENDANCE_SUMMARY" sheetId="7" r:id="rId7"/>
    <sheet name="PAYMENTS" sheetId="8" r:id="rId8"/>
    <sheet name="ASSESSMENTS" sheetId="9" r:id="rId9"/>
    <sheet name="PROGRESS_SUMMARY" sheetId="10" r:id="rId10"/>
    <sheet name="REPORT_TEMPLATE" sheetId="11" r:id="rId11"/>
    <sheet name="TERM_REPORT_TEMPLATE" sheetId="12" r:id="rId12"/>
    <sheet name="TUTOR_REGISTER" sheetId="13" r:id="rId13"/>
    <sheet name="LESSON_PLANS" sheetId="14" r:id="rId14"/>
    <sheet name="TIMETABLE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00" i="13" l="1"/>
  <c r="I500" i="13"/>
  <c r="J499" i="13"/>
  <c r="I499" i="13"/>
  <c r="J498" i="13"/>
  <c r="I498" i="13"/>
  <c r="J497" i="13"/>
  <c r="I497" i="13"/>
  <c r="J496" i="13"/>
  <c r="I496" i="13"/>
  <c r="J495" i="13"/>
  <c r="I495" i="13"/>
  <c r="J494" i="13"/>
  <c r="I494" i="13"/>
  <c r="J493" i="13"/>
  <c r="I493" i="13"/>
  <c r="J492" i="13"/>
  <c r="I492" i="13"/>
  <c r="J491" i="13"/>
  <c r="I491" i="13"/>
  <c r="J490" i="13"/>
  <c r="I490" i="13"/>
  <c r="J489" i="13"/>
  <c r="I489" i="13"/>
  <c r="J488" i="13"/>
  <c r="I488" i="13"/>
  <c r="J487" i="13"/>
  <c r="I487" i="13"/>
  <c r="J486" i="13"/>
  <c r="I486" i="13"/>
  <c r="J485" i="13"/>
  <c r="I485" i="13"/>
  <c r="J484" i="13"/>
  <c r="I484" i="13"/>
  <c r="J483" i="13"/>
  <c r="I483" i="13"/>
  <c r="J482" i="13"/>
  <c r="I482" i="13"/>
  <c r="J481" i="13"/>
  <c r="I481" i="13"/>
  <c r="J480" i="13"/>
  <c r="I480" i="13"/>
  <c r="J479" i="13"/>
  <c r="I479" i="13"/>
  <c r="J478" i="13"/>
  <c r="I478" i="13"/>
  <c r="J477" i="13"/>
  <c r="I477" i="13"/>
  <c r="J476" i="13"/>
  <c r="I476" i="13"/>
  <c r="J475" i="13"/>
  <c r="I475" i="13"/>
  <c r="J474" i="13"/>
  <c r="I474" i="13"/>
  <c r="J473" i="13"/>
  <c r="I473" i="13"/>
  <c r="J472" i="13"/>
  <c r="I472" i="13"/>
  <c r="J471" i="13"/>
  <c r="I471" i="13"/>
  <c r="J470" i="13"/>
  <c r="I470" i="13"/>
  <c r="J469" i="13"/>
  <c r="I469" i="13"/>
  <c r="J468" i="13"/>
  <c r="I468" i="13"/>
  <c r="J467" i="13"/>
  <c r="I467" i="13"/>
  <c r="J466" i="13"/>
  <c r="I466" i="13"/>
  <c r="J465" i="13"/>
  <c r="I465" i="13"/>
  <c r="J464" i="13"/>
  <c r="I464" i="13"/>
  <c r="J463" i="13"/>
  <c r="I463" i="13"/>
  <c r="J462" i="13"/>
  <c r="I462" i="13"/>
  <c r="J461" i="13"/>
  <c r="I461" i="13"/>
  <c r="J460" i="13"/>
  <c r="I460" i="13"/>
  <c r="J459" i="13"/>
  <c r="I459" i="13"/>
  <c r="J458" i="13"/>
  <c r="I458" i="13"/>
  <c r="J457" i="13"/>
  <c r="I457" i="13"/>
  <c r="J456" i="13"/>
  <c r="I456" i="13"/>
  <c r="J455" i="13"/>
  <c r="I455" i="13"/>
  <c r="J454" i="13"/>
  <c r="I454" i="13"/>
  <c r="J453" i="13"/>
  <c r="I453" i="13"/>
  <c r="J452" i="13"/>
  <c r="I452" i="13"/>
  <c r="J451" i="13"/>
  <c r="I451" i="13"/>
  <c r="J450" i="13"/>
  <c r="I450" i="13"/>
  <c r="J449" i="13"/>
  <c r="I449" i="13"/>
  <c r="J448" i="13"/>
  <c r="I448" i="13"/>
  <c r="J447" i="13"/>
  <c r="I447" i="13"/>
  <c r="J446" i="13"/>
  <c r="I446" i="13"/>
  <c r="J445" i="13"/>
  <c r="I445" i="13"/>
  <c r="J444" i="13"/>
  <c r="I444" i="13"/>
  <c r="J443" i="13"/>
  <c r="I443" i="13"/>
  <c r="J442" i="13"/>
  <c r="I442" i="13"/>
  <c r="J441" i="13"/>
  <c r="I441" i="13"/>
  <c r="J440" i="13"/>
  <c r="I440" i="13"/>
  <c r="J439" i="13"/>
  <c r="I439" i="13"/>
  <c r="J438" i="13"/>
  <c r="I438" i="13"/>
  <c r="J437" i="13"/>
  <c r="I437" i="13"/>
  <c r="J436" i="13"/>
  <c r="I436" i="13"/>
  <c r="J435" i="13"/>
  <c r="I435" i="13"/>
  <c r="J434" i="13"/>
  <c r="I434" i="13"/>
  <c r="J433" i="13"/>
  <c r="I433" i="13"/>
  <c r="J432" i="13"/>
  <c r="I432" i="13"/>
  <c r="J431" i="13"/>
  <c r="I431" i="13"/>
  <c r="J430" i="13"/>
  <c r="I430" i="13"/>
  <c r="J429" i="13"/>
  <c r="I429" i="13"/>
  <c r="J428" i="13"/>
  <c r="I428" i="13"/>
  <c r="J427" i="13"/>
  <c r="I427" i="13"/>
  <c r="J426" i="13"/>
  <c r="I426" i="13"/>
  <c r="J425" i="13"/>
  <c r="I425" i="13"/>
  <c r="J424" i="13"/>
  <c r="I424" i="13"/>
  <c r="J423" i="13"/>
  <c r="I423" i="13"/>
  <c r="J422" i="13"/>
  <c r="I422" i="13"/>
  <c r="J421" i="13"/>
  <c r="I421" i="13"/>
  <c r="J420" i="13"/>
  <c r="I420" i="13"/>
  <c r="J419" i="13"/>
  <c r="I419" i="13"/>
  <c r="J418" i="13"/>
  <c r="I418" i="13"/>
  <c r="J417" i="13"/>
  <c r="I417" i="13"/>
  <c r="J416" i="13"/>
  <c r="I416" i="13"/>
  <c r="J415" i="13"/>
  <c r="I415" i="13"/>
  <c r="J414" i="13"/>
  <c r="I414" i="13"/>
  <c r="J413" i="13"/>
  <c r="I413" i="13"/>
  <c r="J412" i="13"/>
  <c r="I412" i="13"/>
  <c r="J411" i="13"/>
  <c r="I411" i="13"/>
  <c r="J410" i="13"/>
  <c r="I410" i="13"/>
  <c r="J409" i="13"/>
  <c r="I409" i="13"/>
  <c r="J408" i="13"/>
  <c r="I408" i="13"/>
  <c r="J407" i="13"/>
  <c r="I407" i="13"/>
  <c r="J406" i="13"/>
  <c r="I406" i="13"/>
  <c r="J405" i="13"/>
  <c r="I405" i="13"/>
  <c r="J404" i="13"/>
  <c r="I404" i="13"/>
  <c r="J403" i="13"/>
  <c r="I403" i="13"/>
  <c r="J402" i="13"/>
  <c r="I402" i="13"/>
  <c r="J401" i="13"/>
  <c r="I401" i="13"/>
  <c r="J400" i="13"/>
  <c r="I400" i="13"/>
  <c r="J399" i="13"/>
  <c r="I399" i="13"/>
  <c r="J398" i="13"/>
  <c r="I398" i="13"/>
  <c r="J397" i="13"/>
  <c r="I397" i="13"/>
  <c r="J396" i="13"/>
  <c r="I396" i="13"/>
  <c r="J395" i="13"/>
  <c r="I395" i="13"/>
  <c r="J394" i="13"/>
  <c r="I394" i="13"/>
  <c r="J393" i="13"/>
  <c r="I393" i="13"/>
  <c r="J392" i="13"/>
  <c r="I392" i="13"/>
  <c r="J391" i="13"/>
  <c r="I391" i="13"/>
  <c r="J390" i="13"/>
  <c r="I390" i="13"/>
  <c r="J389" i="13"/>
  <c r="I389" i="13"/>
  <c r="J388" i="13"/>
  <c r="I388" i="13"/>
  <c r="J387" i="13"/>
  <c r="I387" i="13"/>
  <c r="J386" i="13"/>
  <c r="I386" i="13"/>
  <c r="J385" i="13"/>
  <c r="I385" i="13"/>
  <c r="J384" i="13"/>
  <c r="I384" i="13"/>
  <c r="J383" i="13"/>
  <c r="I383" i="13"/>
  <c r="J382" i="13"/>
  <c r="I382" i="13"/>
  <c r="J381" i="13"/>
  <c r="I381" i="13"/>
  <c r="J380" i="13"/>
  <c r="I380" i="13"/>
  <c r="J379" i="13"/>
  <c r="I379" i="13"/>
  <c r="J378" i="13"/>
  <c r="I378" i="13"/>
  <c r="J377" i="13"/>
  <c r="I377" i="13"/>
  <c r="J376" i="13"/>
  <c r="I376" i="13"/>
  <c r="J375" i="13"/>
  <c r="I375" i="13"/>
  <c r="J374" i="13"/>
  <c r="I374" i="13"/>
  <c r="J373" i="13"/>
  <c r="I373" i="13"/>
  <c r="J372" i="13"/>
  <c r="I372" i="13"/>
  <c r="J371" i="13"/>
  <c r="I371" i="13"/>
  <c r="J370" i="13"/>
  <c r="I370" i="13"/>
  <c r="J369" i="13"/>
  <c r="I369" i="13"/>
  <c r="J368" i="13"/>
  <c r="I368" i="13"/>
  <c r="J367" i="13"/>
  <c r="I367" i="13"/>
  <c r="J366" i="13"/>
  <c r="I366" i="13"/>
  <c r="J365" i="13"/>
  <c r="I365" i="13"/>
  <c r="J364" i="13"/>
  <c r="I364" i="13"/>
  <c r="J363" i="13"/>
  <c r="I363" i="13"/>
  <c r="J362" i="13"/>
  <c r="I362" i="13"/>
  <c r="J361" i="13"/>
  <c r="I361" i="13"/>
  <c r="J360" i="13"/>
  <c r="I360" i="13"/>
  <c r="J359" i="13"/>
  <c r="I359" i="13"/>
  <c r="J358" i="13"/>
  <c r="I358" i="13"/>
  <c r="J357" i="13"/>
  <c r="I357" i="13"/>
  <c r="J356" i="13"/>
  <c r="I356" i="13"/>
  <c r="J355" i="13"/>
  <c r="I355" i="13"/>
  <c r="J354" i="13"/>
  <c r="I354" i="13"/>
  <c r="J353" i="13"/>
  <c r="I353" i="13"/>
  <c r="J352" i="13"/>
  <c r="I352" i="13"/>
  <c r="J351" i="13"/>
  <c r="I351" i="13"/>
  <c r="J350" i="13"/>
  <c r="I350" i="13"/>
  <c r="J349" i="13"/>
  <c r="I349" i="13"/>
  <c r="J348" i="13"/>
  <c r="I348" i="13"/>
  <c r="J347" i="13"/>
  <c r="I347" i="13"/>
  <c r="J346" i="13"/>
  <c r="I346" i="13"/>
  <c r="J345" i="13"/>
  <c r="I345" i="13"/>
  <c r="J344" i="13"/>
  <c r="I344" i="13"/>
  <c r="J343" i="13"/>
  <c r="I343" i="13"/>
  <c r="J342" i="13"/>
  <c r="I342" i="13"/>
  <c r="J341" i="13"/>
  <c r="I341" i="13"/>
  <c r="J340" i="13"/>
  <c r="I340" i="13"/>
  <c r="J339" i="13"/>
  <c r="I339" i="13"/>
  <c r="J338" i="13"/>
  <c r="I338" i="13"/>
  <c r="J337" i="13"/>
  <c r="I337" i="13"/>
  <c r="J336" i="13"/>
  <c r="I336" i="13"/>
  <c r="J335" i="13"/>
  <c r="I335" i="13"/>
  <c r="J334" i="13"/>
  <c r="I334" i="13"/>
  <c r="J333" i="13"/>
  <c r="I333" i="13"/>
  <c r="J332" i="13"/>
  <c r="I332" i="13"/>
  <c r="J331" i="13"/>
  <c r="I331" i="13"/>
  <c r="J330" i="13"/>
  <c r="I330" i="13"/>
  <c r="J329" i="13"/>
  <c r="I329" i="13"/>
  <c r="J328" i="13"/>
  <c r="I328" i="13"/>
  <c r="J327" i="13"/>
  <c r="I327" i="13"/>
  <c r="J326" i="13"/>
  <c r="I326" i="13"/>
  <c r="J325" i="13"/>
  <c r="I325" i="13"/>
  <c r="J324" i="13"/>
  <c r="I324" i="13"/>
  <c r="J323" i="13"/>
  <c r="I323" i="13"/>
  <c r="J322" i="13"/>
  <c r="I322" i="13"/>
  <c r="J321" i="13"/>
  <c r="I321" i="13"/>
  <c r="J320" i="13"/>
  <c r="I320" i="13"/>
  <c r="J319" i="13"/>
  <c r="I319" i="13"/>
  <c r="J318" i="13"/>
  <c r="I318" i="13"/>
  <c r="J317" i="13"/>
  <c r="I317" i="13"/>
  <c r="J316" i="13"/>
  <c r="I316" i="13"/>
  <c r="J315" i="13"/>
  <c r="I315" i="13"/>
  <c r="J314" i="13"/>
  <c r="I314" i="13"/>
  <c r="J313" i="13"/>
  <c r="I313" i="13"/>
  <c r="J312" i="13"/>
  <c r="I312" i="13"/>
  <c r="J311" i="13"/>
  <c r="I311" i="13"/>
  <c r="J310" i="13"/>
  <c r="I310" i="13"/>
  <c r="J309" i="13"/>
  <c r="I309" i="13"/>
  <c r="J308" i="13"/>
  <c r="I308" i="13"/>
  <c r="J307" i="13"/>
  <c r="I307" i="13"/>
  <c r="J306" i="13"/>
  <c r="I306" i="13"/>
  <c r="J305" i="13"/>
  <c r="I305" i="13"/>
  <c r="J304" i="13"/>
  <c r="I304" i="13"/>
  <c r="J303" i="13"/>
  <c r="I303" i="13"/>
  <c r="J302" i="13"/>
  <c r="I302" i="13"/>
  <c r="J301" i="13"/>
  <c r="I301" i="13"/>
  <c r="J300" i="13"/>
  <c r="I300" i="13"/>
  <c r="J299" i="13"/>
  <c r="I299" i="13"/>
  <c r="J298" i="13"/>
  <c r="I298" i="13"/>
  <c r="J297" i="13"/>
  <c r="I297" i="13"/>
  <c r="J296" i="13"/>
  <c r="I296" i="13"/>
  <c r="J295" i="13"/>
  <c r="I295" i="13"/>
  <c r="J294" i="13"/>
  <c r="I294" i="13"/>
  <c r="J293" i="13"/>
  <c r="I293" i="13"/>
  <c r="J292" i="13"/>
  <c r="I292" i="13"/>
  <c r="J291" i="13"/>
  <c r="I291" i="13"/>
  <c r="J290" i="13"/>
  <c r="I290" i="13"/>
  <c r="J289" i="13"/>
  <c r="I289" i="13"/>
  <c r="J288" i="13"/>
  <c r="I288" i="13"/>
  <c r="J287" i="13"/>
  <c r="I287" i="13"/>
  <c r="J286" i="13"/>
  <c r="I286" i="13"/>
  <c r="J285" i="13"/>
  <c r="I285" i="13"/>
  <c r="J284" i="13"/>
  <c r="I284" i="13"/>
  <c r="J283" i="13"/>
  <c r="I283" i="13"/>
  <c r="J282" i="13"/>
  <c r="I282" i="13"/>
  <c r="J281" i="13"/>
  <c r="I281" i="13"/>
  <c r="J280" i="13"/>
  <c r="I280" i="13"/>
  <c r="J279" i="13"/>
  <c r="I279" i="13"/>
  <c r="J278" i="13"/>
  <c r="I278" i="13"/>
  <c r="J277" i="13"/>
  <c r="I277" i="13"/>
  <c r="J276" i="13"/>
  <c r="I276" i="13"/>
  <c r="J275" i="13"/>
  <c r="I275" i="13"/>
  <c r="J274" i="13"/>
  <c r="I274" i="13"/>
  <c r="J273" i="13"/>
  <c r="I273" i="13"/>
  <c r="J272" i="13"/>
  <c r="I272" i="13"/>
  <c r="J271" i="13"/>
  <c r="I271" i="13"/>
  <c r="J270" i="13"/>
  <c r="I270" i="13"/>
  <c r="J269" i="13"/>
  <c r="I269" i="13"/>
  <c r="J268" i="13"/>
  <c r="I268" i="13"/>
  <c r="J267" i="13"/>
  <c r="I267" i="13"/>
  <c r="J266" i="13"/>
  <c r="I266" i="13"/>
  <c r="J265" i="13"/>
  <c r="I265" i="13"/>
  <c r="J264" i="13"/>
  <c r="I264" i="13"/>
  <c r="J263" i="13"/>
  <c r="I263" i="13"/>
  <c r="J262" i="13"/>
  <c r="I262" i="13"/>
  <c r="J261" i="13"/>
  <c r="I261" i="13"/>
  <c r="J260" i="13"/>
  <c r="I260" i="13"/>
  <c r="J259" i="13"/>
  <c r="I259" i="13"/>
  <c r="J258" i="13"/>
  <c r="I258" i="13"/>
  <c r="J257" i="13"/>
  <c r="I257" i="13"/>
  <c r="J256" i="13"/>
  <c r="I256" i="13"/>
  <c r="J255" i="13"/>
  <c r="I255" i="13"/>
  <c r="J254" i="13"/>
  <c r="I254" i="13"/>
  <c r="J253" i="13"/>
  <c r="I253" i="13"/>
  <c r="J252" i="13"/>
  <c r="I252" i="13"/>
  <c r="J251" i="13"/>
  <c r="I251" i="13"/>
  <c r="J250" i="13"/>
  <c r="I250" i="13"/>
  <c r="J249" i="13"/>
  <c r="I249" i="13"/>
  <c r="J248" i="13"/>
  <c r="I248" i="13"/>
  <c r="J247" i="13"/>
  <c r="I247" i="13"/>
  <c r="J246" i="13"/>
  <c r="I246" i="13"/>
  <c r="J245" i="13"/>
  <c r="I245" i="13"/>
  <c r="J244" i="13"/>
  <c r="I244" i="13"/>
  <c r="J243" i="13"/>
  <c r="I243" i="13"/>
  <c r="J242" i="13"/>
  <c r="I242" i="13"/>
  <c r="J241" i="13"/>
  <c r="I241" i="13"/>
  <c r="J240" i="13"/>
  <c r="I240" i="13"/>
  <c r="J239" i="13"/>
  <c r="I239" i="13"/>
  <c r="J238" i="13"/>
  <c r="I238" i="13"/>
  <c r="J237" i="13"/>
  <c r="I237" i="13"/>
  <c r="J236" i="13"/>
  <c r="I236" i="13"/>
  <c r="J235" i="13"/>
  <c r="I235" i="13"/>
  <c r="J234" i="13"/>
  <c r="I234" i="13"/>
  <c r="J233" i="13"/>
  <c r="I233" i="13"/>
  <c r="J232" i="13"/>
  <c r="I232" i="13"/>
  <c r="J231" i="13"/>
  <c r="I231" i="13"/>
  <c r="J230" i="13"/>
  <c r="I230" i="13"/>
  <c r="J229" i="13"/>
  <c r="I229" i="13"/>
  <c r="J228" i="13"/>
  <c r="I228" i="13"/>
  <c r="J227" i="13"/>
  <c r="I227" i="13"/>
  <c r="J226" i="13"/>
  <c r="I226" i="13"/>
  <c r="J225" i="13"/>
  <c r="I225" i="13"/>
  <c r="J224" i="13"/>
  <c r="I224" i="13"/>
  <c r="J223" i="13"/>
  <c r="I223" i="13"/>
  <c r="J222" i="13"/>
  <c r="I222" i="13"/>
  <c r="J221" i="13"/>
  <c r="I221" i="13"/>
  <c r="J220" i="13"/>
  <c r="I220" i="13"/>
  <c r="J219" i="13"/>
  <c r="I219" i="13"/>
  <c r="J218" i="13"/>
  <c r="I218" i="13"/>
  <c r="J217" i="13"/>
  <c r="I217" i="13"/>
  <c r="J216" i="13"/>
  <c r="I216" i="13"/>
  <c r="J215" i="13"/>
  <c r="I215" i="13"/>
  <c r="J214" i="13"/>
  <c r="I214" i="13"/>
  <c r="J213" i="13"/>
  <c r="I213" i="13"/>
  <c r="J212" i="13"/>
  <c r="I212" i="13"/>
  <c r="J211" i="13"/>
  <c r="I211" i="13"/>
  <c r="J210" i="13"/>
  <c r="I210" i="13"/>
  <c r="J209" i="13"/>
  <c r="I209" i="13"/>
  <c r="J208" i="13"/>
  <c r="I208" i="13"/>
  <c r="J207" i="13"/>
  <c r="I207" i="13"/>
  <c r="J206" i="13"/>
  <c r="I206" i="13"/>
  <c r="J205" i="13"/>
  <c r="I205" i="13"/>
  <c r="J204" i="13"/>
  <c r="I204" i="13"/>
  <c r="J203" i="13"/>
  <c r="I203" i="13"/>
  <c r="J202" i="13"/>
  <c r="I202" i="13"/>
  <c r="J201" i="13"/>
  <c r="I201" i="13"/>
  <c r="J200" i="13"/>
  <c r="I200" i="13"/>
  <c r="J199" i="13"/>
  <c r="I199" i="13"/>
  <c r="J198" i="13"/>
  <c r="I198" i="13"/>
  <c r="J197" i="13"/>
  <c r="I197" i="13"/>
  <c r="J196" i="13"/>
  <c r="I196" i="13"/>
  <c r="J195" i="13"/>
  <c r="I195" i="13"/>
  <c r="J194" i="13"/>
  <c r="I194" i="13"/>
  <c r="J193" i="13"/>
  <c r="I193" i="13"/>
  <c r="J192" i="13"/>
  <c r="I192" i="13"/>
  <c r="J191" i="13"/>
  <c r="I191" i="13"/>
  <c r="J190" i="13"/>
  <c r="I190" i="13"/>
  <c r="J189" i="13"/>
  <c r="I189" i="13"/>
  <c r="J188" i="13"/>
  <c r="I188" i="13"/>
  <c r="J187" i="13"/>
  <c r="I187" i="13"/>
  <c r="J186" i="13"/>
  <c r="I186" i="13"/>
  <c r="J185" i="13"/>
  <c r="I185" i="13"/>
  <c r="J184" i="13"/>
  <c r="I184" i="13"/>
  <c r="J183" i="13"/>
  <c r="I183" i="13"/>
  <c r="J182" i="13"/>
  <c r="I182" i="13"/>
  <c r="J181" i="13"/>
  <c r="I181" i="13"/>
  <c r="J180" i="13"/>
  <c r="I180" i="13"/>
  <c r="J179" i="13"/>
  <c r="I179" i="13"/>
  <c r="J178" i="13"/>
  <c r="I178" i="13"/>
  <c r="J177" i="13"/>
  <c r="I177" i="13"/>
  <c r="J176" i="13"/>
  <c r="I176" i="13"/>
  <c r="J175" i="13"/>
  <c r="I175" i="13"/>
  <c r="J174" i="13"/>
  <c r="I174" i="13"/>
  <c r="J173" i="13"/>
  <c r="I173" i="13"/>
  <c r="J172" i="13"/>
  <c r="I172" i="13"/>
  <c r="J171" i="13"/>
  <c r="I171" i="13"/>
  <c r="J170" i="13"/>
  <c r="I170" i="13"/>
  <c r="J169" i="13"/>
  <c r="I169" i="13"/>
  <c r="J168" i="13"/>
  <c r="I168" i="13"/>
  <c r="J167" i="13"/>
  <c r="I167" i="13"/>
  <c r="J166" i="13"/>
  <c r="I166" i="13"/>
  <c r="J165" i="13"/>
  <c r="I165" i="13"/>
  <c r="J164" i="13"/>
  <c r="I164" i="13"/>
  <c r="J163" i="13"/>
  <c r="I163" i="13"/>
  <c r="J162" i="13"/>
  <c r="I162" i="13"/>
  <c r="J161" i="13"/>
  <c r="I161" i="13"/>
  <c r="J160" i="13"/>
  <c r="I160" i="13"/>
  <c r="J159" i="13"/>
  <c r="I159" i="13"/>
  <c r="J158" i="13"/>
  <c r="I158" i="13"/>
  <c r="J157" i="13"/>
  <c r="I157" i="13"/>
  <c r="J156" i="13"/>
  <c r="I156" i="13"/>
  <c r="J155" i="13"/>
  <c r="I155" i="13"/>
  <c r="J154" i="13"/>
  <c r="I154" i="13"/>
  <c r="J153" i="13"/>
  <c r="I153" i="13"/>
  <c r="J152" i="13"/>
  <c r="I152" i="13"/>
  <c r="J151" i="13"/>
  <c r="I151" i="13"/>
  <c r="J150" i="13"/>
  <c r="I150" i="13"/>
  <c r="J149" i="13"/>
  <c r="I149" i="13"/>
  <c r="J148" i="13"/>
  <c r="I148" i="13"/>
  <c r="J147" i="13"/>
  <c r="I147" i="13"/>
  <c r="J146" i="13"/>
  <c r="I146" i="13"/>
  <c r="J145" i="13"/>
  <c r="I145" i="13"/>
  <c r="J144" i="13"/>
  <c r="I144" i="13"/>
  <c r="J143" i="13"/>
  <c r="I143" i="13"/>
  <c r="J142" i="13"/>
  <c r="I142" i="13"/>
  <c r="J141" i="13"/>
  <c r="I141" i="13"/>
  <c r="J140" i="13"/>
  <c r="I140" i="13"/>
  <c r="J139" i="13"/>
  <c r="I139" i="13"/>
  <c r="J138" i="13"/>
  <c r="I138" i="13"/>
  <c r="J137" i="13"/>
  <c r="I137" i="13"/>
  <c r="J136" i="13"/>
  <c r="I136" i="13"/>
  <c r="J135" i="13"/>
  <c r="I135" i="13"/>
  <c r="J134" i="13"/>
  <c r="I134" i="13"/>
  <c r="J133" i="13"/>
  <c r="I133" i="13"/>
  <c r="J132" i="13"/>
  <c r="I132" i="13"/>
  <c r="J131" i="13"/>
  <c r="I131" i="13"/>
  <c r="J130" i="13"/>
  <c r="I130" i="13"/>
  <c r="J129" i="13"/>
  <c r="I129" i="13"/>
  <c r="J128" i="13"/>
  <c r="I128" i="13"/>
  <c r="J127" i="13"/>
  <c r="I127" i="13"/>
  <c r="J126" i="13"/>
  <c r="I126" i="13"/>
  <c r="J125" i="13"/>
  <c r="I125" i="13"/>
  <c r="J124" i="13"/>
  <c r="I124" i="13"/>
  <c r="J123" i="13"/>
  <c r="I123" i="13"/>
  <c r="J122" i="13"/>
  <c r="I122" i="13"/>
  <c r="J121" i="13"/>
  <c r="I121" i="13"/>
  <c r="J120" i="13"/>
  <c r="I120" i="13"/>
  <c r="J119" i="13"/>
  <c r="I119" i="13"/>
  <c r="J118" i="13"/>
  <c r="I118" i="13"/>
  <c r="J117" i="13"/>
  <c r="I117" i="13"/>
  <c r="J116" i="13"/>
  <c r="I116" i="13"/>
  <c r="J115" i="13"/>
  <c r="I115" i="13"/>
  <c r="J114" i="13"/>
  <c r="I114" i="13"/>
  <c r="J113" i="13"/>
  <c r="I113" i="13"/>
  <c r="J112" i="13"/>
  <c r="I112" i="13"/>
  <c r="J111" i="13"/>
  <c r="I111" i="13"/>
  <c r="J110" i="13"/>
  <c r="I110" i="13"/>
  <c r="J109" i="13"/>
  <c r="I109" i="13"/>
  <c r="J108" i="13"/>
  <c r="I108" i="13"/>
  <c r="J107" i="13"/>
  <c r="I107" i="13"/>
  <c r="J106" i="13"/>
  <c r="I106" i="13"/>
  <c r="J105" i="13"/>
  <c r="I105" i="13"/>
  <c r="J104" i="13"/>
  <c r="I104" i="13"/>
  <c r="J103" i="13"/>
  <c r="I103" i="13"/>
  <c r="J102" i="13"/>
  <c r="I102" i="13"/>
  <c r="J101" i="13"/>
  <c r="I101" i="13"/>
  <c r="B18" i="12"/>
  <c r="B17" i="12"/>
  <c r="B16" i="12"/>
  <c r="B15" i="12"/>
  <c r="B14" i="12"/>
  <c r="B13" i="12"/>
  <c r="B10" i="12"/>
  <c r="B9" i="12"/>
  <c r="B5" i="12"/>
  <c r="B4" i="12"/>
  <c r="B22" i="11"/>
  <c r="L501" i="10"/>
  <c r="H501" i="10"/>
  <c r="D501" i="10"/>
  <c r="E501" i="10" s="1"/>
  <c r="A501" i="10"/>
  <c r="K501" i="10" s="1"/>
  <c r="A500" i="10"/>
  <c r="L500" i="10" s="1"/>
  <c r="J499" i="10"/>
  <c r="F499" i="10"/>
  <c r="B499" i="10"/>
  <c r="A499" i="10"/>
  <c r="M499" i="10" s="1"/>
  <c r="L498" i="10"/>
  <c r="K498" i="10"/>
  <c r="J498" i="10"/>
  <c r="H498" i="10"/>
  <c r="G498" i="10"/>
  <c r="F498" i="10"/>
  <c r="D498" i="10"/>
  <c r="E498" i="10" s="1"/>
  <c r="C498" i="10"/>
  <c r="B498" i="10"/>
  <c r="A498" i="10"/>
  <c r="M498" i="10" s="1"/>
  <c r="L497" i="10"/>
  <c r="H497" i="10"/>
  <c r="D497" i="10"/>
  <c r="E497" i="10" s="1"/>
  <c r="A497" i="10"/>
  <c r="K497" i="10" s="1"/>
  <c r="A496" i="10"/>
  <c r="L496" i="10" s="1"/>
  <c r="J495" i="10"/>
  <c r="F495" i="10"/>
  <c r="B495" i="10"/>
  <c r="A495" i="10"/>
  <c r="M495" i="10" s="1"/>
  <c r="L494" i="10"/>
  <c r="K494" i="10"/>
  <c r="J494" i="10"/>
  <c r="H494" i="10"/>
  <c r="G494" i="10"/>
  <c r="F494" i="10"/>
  <c r="D494" i="10"/>
  <c r="E494" i="10" s="1"/>
  <c r="C494" i="10"/>
  <c r="B494" i="10"/>
  <c r="A494" i="10"/>
  <c r="M494" i="10" s="1"/>
  <c r="L493" i="10"/>
  <c r="H493" i="10"/>
  <c r="D493" i="10"/>
  <c r="E493" i="10" s="1"/>
  <c r="A493" i="10"/>
  <c r="K493" i="10" s="1"/>
  <c r="I492" i="10"/>
  <c r="A492" i="10"/>
  <c r="J491" i="10"/>
  <c r="F491" i="10"/>
  <c r="B491" i="10"/>
  <c r="A491" i="10"/>
  <c r="M491" i="10" s="1"/>
  <c r="L490" i="10"/>
  <c r="K490" i="10"/>
  <c r="J490" i="10"/>
  <c r="H490" i="10"/>
  <c r="G490" i="10"/>
  <c r="F490" i="10"/>
  <c r="D490" i="10"/>
  <c r="E490" i="10" s="1"/>
  <c r="C490" i="10"/>
  <c r="B490" i="10"/>
  <c r="A490" i="10"/>
  <c r="M490" i="10" s="1"/>
  <c r="L489" i="10"/>
  <c r="K489" i="10"/>
  <c r="H489" i="10"/>
  <c r="G489" i="10"/>
  <c r="D489" i="10"/>
  <c r="E489" i="10" s="1"/>
  <c r="C489" i="10"/>
  <c r="A489" i="10"/>
  <c r="J489" i="10" s="1"/>
  <c r="A488" i="10"/>
  <c r="J487" i="10"/>
  <c r="F487" i="10"/>
  <c r="B487" i="10"/>
  <c r="A487" i="10"/>
  <c r="M487" i="10" s="1"/>
  <c r="L486" i="10"/>
  <c r="K486" i="10"/>
  <c r="J486" i="10"/>
  <c r="H486" i="10"/>
  <c r="G486" i="10"/>
  <c r="F486" i="10"/>
  <c r="D486" i="10"/>
  <c r="E486" i="10" s="1"/>
  <c r="C486" i="10"/>
  <c r="B486" i="10"/>
  <c r="A486" i="10"/>
  <c r="M486" i="10" s="1"/>
  <c r="L485" i="10"/>
  <c r="K485" i="10"/>
  <c r="H485" i="10"/>
  <c r="G485" i="10"/>
  <c r="D485" i="10"/>
  <c r="E485" i="10" s="1"/>
  <c r="C485" i="10"/>
  <c r="A485" i="10"/>
  <c r="J485" i="10" s="1"/>
  <c r="M484" i="10"/>
  <c r="A484" i="10"/>
  <c r="I484" i="10" s="1"/>
  <c r="J483" i="10"/>
  <c r="F483" i="10"/>
  <c r="B483" i="10"/>
  <c r="A483" i="10"/>
  <c r="M483" i="10" s="1"/>
  <c r="L482" i="10"/>
  <c r="K482" i="10"/>
  <c r="J482" i="10"/>
  <c r="H482" i="10"/>
  <c r="G482" i="10"/>
  <c r="F482" i="10"/>
  <c r="D482" i="10"/>
  <c r="E482" i="10" s="1"/>
  <c r="C482" i="10"/>
  <c r="B482" i="10"/>
  <c r="A482" i="10"/>
  <c r="M482" i="10" s="1"/>
  <c r="L481" i="10"/>
  <c r="K481" i="10"/>
  <c r="H481" i="10"/>
  <c r="G481" i="10"/>
  <c r="D481" i="10"/>
  <c r="E481" i="10" s="1"/>
  <c r="C481" i="10"/>
  <c r="A481" i="10"/>
  <c r="J481" i="10" s="1"/>
  <c r="A480" i="10"/>
  <c r="I479" i="10"/>
  <c r="A479" i="10"/>
  <c r="K478" i="10"/>
  <c r="J478" i="10"/>
  <c r="G478" i="10"/>
  <c r="F478" i="10"/>
  <c r="C478" i="10"/>
  <c r="B478" i="10"/>
  <c r="A478" i="10"/>
  <c r="M478" i="10" s="1"/>
  <c r="L477" i="10"/>
  <c r="K477" i="10"/>
  <c r="H477" i="10"/>
  <c r="G477" i="10"/>
  <c r="D477" i="10"/>
  <c r="E477" i="10" s="1"/>
  <c r="C477" i="10"/>
  <c r="A477" i="10"/>
  <c r="J477" i="10" s="1"/>
  <c r="L476" i="10"/>
  <c r="H476" i="10"/>
  <c r="D476" i="10"/>
  <c r="E476" i="10" s="1"/>
  <c r="A476" i="10"/>
  <c r="M476" i="10" s="1"/>
  <c r="I475" i="10"/>
  <c r="A475" i="10"/>
  <c r="M475" i="10" s="1"/>
  <c r="K474" i="10"/>
  <c r="I474" i="10"/>
  <c r="F474" i="10"/>
  <c r="D474" i="10"/>
  <c r="E474" i="10" s="1"/>
  <c r="B474" i="10"/>
  <c r="A474" i="10"/>
  <c r="M473" i="10"/>
  <c r="K473" i="10"/>
  <c r="G473" i="10"/>
  <c r="C473" i="10"/>
  <c r="A473" i="10"/>
  <c r="L472" i="10"/>
  <c r="J472" i="10"/>
  <c r="H472" i="10"/>
  <c r="F472" i="10"/>
  <c r="D472" i="10"/>
  <c r="E472" i="10" s="1"/>
  <c r="C472" i="10"/>
  <c r="B472" i="10"/>
  <c r="A472" i="10"/>
  <c r="M472" i="10" s="1"/>
  <c r="M471" i="10"/>
  <c r="K471" i="10"/>
  <c r="C471" i="10"/>
  <c r="A471" i="10"/>
  <c r="G471" i="10" s="1"/>
  <c r="L470" i="10"/>
  <c r="J470" i="10"/>
  <c r="H470" i="10"/>
  <c r="F470" i="10"/>
  <c r="D470" i="10"/>
  <c r="E470" i="10" s="1"/>
  <c r="B470" i="10"/>
  <c r="A470" i="10"/>
  <c r="K470" i="10" s="1"/>
  <c r="G469" i="10"/>
  <c r="A469" i="10"/>
  <c r="L468" i="10"/>
  <c r="J468" i="10"/>
  <c r="H468" i="10"/>
  <c r="G468" i="10"/>
  <c r="F468" i="10"/>
  <c r="D468" i="10"/>
  <c r="E468" i="10" s="1"/>
  <c r="C468" i="10"/>
  <c r="B468" i="10"/>
  <c r="A468" i="10"/>
  <c r="M468" i="10" s="1"/>
  <c r="M467" i="10"/>
  <c r="G467" i="10"/>
  <c r="A467" i="10"/>
  <c r="L466" i="10"/>
  <c r="J466" i="10"/>
  <c r="H466" i="10"/>
  <c r="F466" i="10"/>
  <c r="D466" i="10"/>
  <c r="E466" i="10" s="1"/>
  <c r="B466" i="10"/>
  <c r="A466" i="10"/>
  <c r="K466" i="10" s="1"/>
  <c r="K465" i="10"/>
  <c r="C465" i="10"/>
  <c r="A465" i="10"/>
  <c r="G465" i="10" s="1"/>
  <c r="L464" i="10"/>
  <c r="J464" i="10"/>
  <c r="H464" i="10"/>
  <c r="F464" i="10"/>
  <c r="D464" i="10"/>
  <c r="E464" i="10" s="1"/>
  <c r="B464" i="10"/>
  <c r="A464" i="10"/>
  <c r="M464" i="10" s="1"/>
  <c r="M463" i="10"/>
  <c r="K463" i="10"/>
  <c r="G463" i="10"/>
  <c r="C463" i="10"/>
  <c r="A463" i="10"/>
  <c r="L462" i="10"/>
  <c r="J462" i="10"/>
  <c r="H462" i="10"/>
  <c r="F462" i="10"/>
  <c r="D462" i="10"/>
  <c r="E462" i="10" s="1"/>
  <c r="B462" i="10"/>
  <c r="A462" i="10"/>
  <c r="K462" i="10" s="1"/>
  <c r="K461" i="10"/>
  <c r="G461" i="10"/>
  <c r="C461" i="10"/>
  <c r="A461" i="10"/>
  <c r="M461" i="10" s="1"/>
  <c r="L460" i="10"/>
  <c r="J460" i="10"/>
  <c r="H460" i="10"/>
  <c r="F460" i="10"/>
  <c r="D460" i="10"/>
  <c r="E460" i="10" s="1"/>
  <c r="B460" i="10"/>
  <c r="A460" i="10"/>
  <c r="M460" i="10" s="1"/>
  <c r="M459" i="10"/>
  <c r="K459" i="10"/>
  <c r="G459" i="10"/>
  <c r="C459" i="10"/>
  <c r="A459" i="10"/>
  <c r="L458" i="10"/>
  <c r="J458" i="10"/>
  <c r="H458" i="10"/>
  <c r="F458" i="10"/>
  <c r="D458" i="10"/>
  <c r="E458" i="10" s="1"/>
  <c r="B458" i="10"/>
  <c r="A458" i="10"/>
  <c r="K458" i="10" s="1"/>
  <c r="K457" i="10"/>
  <c r="G457" i="10"/>
  <c r="C457" i="10"/>
  <c r="A457" i="10"/>
  <c r="M457" i="10" s="1"/>
  <c r="L456" i="10"/>
  <c r="J456" i="10"/>
  <c r="H456" i="10"/>
  <c r="F456" i="10"/>
  <c r="D456" i="10"/>
  <c r="E456" i="10" s="1"/>
  <c r="B456" i="10"/>
  <c r="A456" i="10"/>
  <c r="M456" i="10" s="1"/>
  <c r="M455" i="10"/>
  <c r="K455" i="10"/>
  <c r="G455" i="10"/>
  <c r="C455" i="10"/>
  <c r="A455" i="10"/>
  <c r="L454" i="10"/>
  <c r="J454" i="10"/>
  <c r="H454" i="10"/>
  <c r="F454" i="10"/>
  <c r="D454" i="10"/>
  <c r="E454" i="10" s="1"/>
  <c r="B454" i="10"/>
  <c r="A454" i="10"/>
  <c r="K454" i="10" s="1"/>
  <c r="K453" i="10"/>
  <c r="G453" i="10"/>
  <c r="C453" i="10"/>
  <c r="A453" i="10"/>
  <c r="M453" i="10" s="1"/>
  <c r="L452" i="10"/>
  <c r="J452" i="10"/>
  <c r="H452" i="10"/>
  <c r="F452" i="10"/>
  <c r="D452" i="10"/>
  <c r="E452" i="10" s="1"/>
  <c r="B452" i="10"/>
  <c r="A452" i="10"/>
  <c r="M452" i="10" s="1"/>
  <c r="M451" i="10"/>
  <c r="K451" i="10"/>
  <c r="G451" i="10"/>
  <c r="C451" i="10"/>
  <c r="A451" i="10"/>
  <c r="L450" i="10"/>
  <c r="J450" i="10"/>
  <c r="H450" i="10"/>
  <c r="F450" i="10"/>
  <c r="D450" i="10"/>
  <c r="E450" i="10" s="1"/>
  <c r="B450" i="10"/>
  <c r="A450" i="10"/>
  <c r="K450" i="10" s="1"/>
  <c r="K449" i="10"/>
  <c r="G449" i="10"/>
  <c r="C449" i="10"/>
  <c r="A449" i="10"/>
  <c r="M449" i="10" s="1"/>
  <c r="L448" i="10"/>
  <c r="J448" i="10"/>
  <c r="H448" i="10"/>
  <c r="G448" i="10"/>
  <c r="F448" i="10"/>
  <c r="D448" i="10"/>
  <c r="E448" i="10" s="1"/>
  <c r="C448" i="10"/>
  <c r="B448" i="10"/>
  <c r="A448" i="10"/>
  <c r="M448" i="10" s="1"/>
  <c r="A447" i="10"/>
  <c r="J446" i="10"/>
  <c r="I446" i="10"/>
  <c r="C446" i="10"/>
  <c r="A446" i="10"/>
  <c r="L445" i="10"/>
  <c r="K445" i="10"/>
  <c r="J445" i="10"/>
  <c r="H445" i="10"/>
  <c r="G445" i="10"/>
  <c r="F445" i="10"/>
  <c r="D445" i="10"/>
  <c r="E445" i="10" s="1"/>
  <c r="C445" i="10"/>
  <c r="B445" i="10"/>
  <c r="A445" i="10"/>
  <c r="M445" i="10" s="1"/>
  <c r="K444" i="10"/>
  <c r="I444" i="10"/>
  <c r="D444" i="10"/>
  <c r="E444" i="10" s="1"/>
  <c r="A444" i="10"/>
  <c r="L443" i="10"/>
  <c r="F443" i="10"/>
  <c r="A443" i="10"/>
  <c r="J442" i="10"/>
  <c r="I442" i="10"/>
  <c r="C442" i="10"/>
  <c r="A442" i="10"/>
  <c r="L441" i="10"/>
  <c r="K441" i="10"/>
  <c r="J441" i="10"/>
  <c r="H441" i="10"/>
  <c r="G441" i="10"/>
  <c r="F441" i="10"/>
  <c r="D441" i="10"/>
  <c r="E441" i="10" s="1"/>
  <c r="C441" i="10"/>
  <c r="B441" i="10"/>
  <c r="A441" i="10"/>
  <c r="M441" i="10" s="1"/>
  <c r="M440" i="10"/>
  <c r="I440" i="10"/>
  <c r="H440" i="10"/>
  <c r="D440" i="10"/>
  <c r="E440" i="10" s="1"/>
  <c r="C440" i="10"/>
  <c r="A440" i="10"/>
  <c r="K440" i="10" s="1"/>
  <c r="J439" i="10"/>
  <c r="F439" i="10"/>
  <c r="A439" i="10"/>
  <c r="M438" i="10"/>
  <c r="I438" i="10"/>
  <c r="G438" i="10"/>
  <c r="C438" i="10"/>
  <c r="B438" i="10"/>
  <c r="A438" i="10"/>
  <c r="J438" i="10" s="1"/>
  <c r="L437" i="10"/>
  <c r="K437" i="10"/>
  <c r="J437" i="10"/>
  <c r="H437" i="10"/>
  <c r="G437" i="10"/>
  <c r="F437" i="10"/>
  <c r="D437" i="10"/>
  <c r="E437" i="10" s="1"/>
  <c r="C437" i="10"/>
  <c r="B437" i="10"/>
  <c r="A437" i="10"/>
  <c r="M437" i="10" s="1"/>
  <c r="M436" i="10"/>
  <c r="I436" i="10"/>
  <c r="H436" i="10"/>
  <c r="D436" i="10"/>
  <c r="E436" i="10" s="1"/>
  <c r="C436" i="10"/>
  <c r="A436" i="10"/>
  <c r="K436" i="10" s="1"/>
  <c r="F435" i="10"/>
  <c r="A435" i="10"/>
  <c r="J435" i="10" s="1"/>
  <c r="M434" i="10"/>
  <c r="I434" i="10"/>
  <c r="G434" i="10"/>
  <c r="C434" i="10"/>
  <c r="B434" i="10"/>
  <c r="A434" i="10"/>
  <c r="J434" i="10" s="1"/>
  <c r="L433" i="10"/>
  <c r="K433" i="10"/>
  <c r="J433" i="10"/>
  <c r="H433" i="10"/>
  <c r="G433" i="10"/>
  <c r="F433" i="10"/>
  <c r="D433" i="10"/>
  <c r="E433" i="10" s="1"/>
  <c r="C433" i="10"/>
  <c r="B433" i="10"/>
  <c r="A433" i="10"/>
  <c r="M433" i="10" s="1"/>
  <c r="M432" i="10"/>
  <c r="I432" i="10"/>
  <c r="H432" i="10"/>
  <c r="D432" i="10"/>
  <c r="E432" i="10" s="1"/>
  <c r="C432" i="10"/>
  <c r="A432" i="10"/>
  <c r="K432" i="10" s="1"/>
  <c r="L431" i="10"/>
  <c r="A431" i="10"/>
  <c r="M430" i="10"/>
  <c r="I430" i="10"/>
  <c r="G430" i="10"/>
  <c r="C430" i="10"/>
  <c r="B430" i="10"/>
  <c r="A430" i="10"/>
  <c r="J430" i="10" s="1"/>
  <c r="L429" i="10"/>
  <c r="K429" i="10"/>
  <c r="J429" i="10"/>
  <c r="H429" i="10"/>
  <c r="G429" i="10"/>
  <c r="F429" i="10"/>
  <c r="D429" i="10"/>
  <c r="E429" i="10" s="1"/>
  <c r="C429" i="10"/>
  <c r="B429" i="10"/>
  <c r="A429" i="10"/>
  <c r="M429" i="10" s="1"/>
  <c r="M428" i="10"/>
  <c r="I428" i="10"/>
  <c r="H428" i="10"/>
  <c r="D428" i="10"/>
  <c r="E428" i="10" s="1"/>
  <c r="C428" i="10"/>
  <c r="A428" i="10"/>
  <c r="K428" i="10" s="1"/>
  <c r="A427" i="10"/>
  <c r="M426" i="10"/>
  <c r="I426" i="10"/>
  <c r="G426" i="10"/>
  <c r="C426" i="10"/>
  <c r="B426" i="10"/>
  <c r="A426" i="10"/>
  <c r="J426" i="10" s="1"/>
  <c r="J425" i="10"/>
  <c r="F425" i="10"/>
  <c r="D425" i="10"/>
  <c r="E425" i="10" s="1"/>
  <c r="A425" i="10"/>
  <c r="M424" i="10"/>
  <c r="J424" i="10"/>
  <c r="B424" i="10"/>
  <c r="A424" i="10"/>
  <c r="F424" i="10" s="1"/>
  <c r="K423" i="10"/>
  <c r="J423" i="10"/>
  <c r="G423" i="10"/>
  <c r="F423" i="10"/>
  <c r="C423" i="10"/>
  <c r="B423" i="10"/>
  <c r="A423" i="10"/>
  <c r="M423" i="10" s="1"/>
  <c r="L422" i="10"/>
  <c r="K422" i="10"/>
  <c r="J422" i="10"/>
  <c r="H422" i="10"/>
  <c r="G422" i="10"/>
  <c r="F422" i="10"/>
  <c r="D422" i="10"/>
  <c r="E422" i="10" s="1"/>
  <c r="C422" i="10"/>
  <c r="B422" i="10"/>
  <c r="A422" i="10"/>
  <c r="M422" i="10" s="1"/>
  <c r="M421" i="10"/>
  <c r="L421" i="10"/>
  <c r="D421" i="10"/>
  <c r="E421" i="10" s="1"/>
  <c r="A421" i="10"/>
  <c r="H421" i="10" s="1"/>
  <c r="I420" i="10"/>
  <c r="B420" i="10"/>
  <c r="A420" i="10"/>
  <c r="J420" i="10" s="1"/>
  <c r="K419" i="10"/>
  <c r="J419" i="10"/>
  <c r="G419" i="10"/>
  <c r="F419" i="10"/>
  <c r="C419" i="10"/>
  <c r="B419" i="10"/>
  <c r="A419" i="10"/>
  <c r="M419" i="10" s="1"/>
  <c r="L418" i="10"/>
  <c r="K418" i="10"/>
  <c r="J418" i="10"/>
  <c r="H418" i="10"/>
  <c r="G418" i="10"/>
  <c r="F418" i="10"/>
  <c r="D418" i="10"/>
  <c r="E418" i="10" s="1"/>
  <c r="C418" i="10"/>
  <c r="B418" i="10"/>
  <c r="A418" i="10"/>
  <c r="M418" i="10" s="1"/>
  <c r="L417" i="10"/>
  <c r="I417" i="10"/>
  <c r="D417" i="10"/>
  <c r="E417" i="10" s="1"/>
  <c r="A417" i="10"/>
  <c r="F416" i="10"/>
  <c r="A416" i="10"/>
  <c r="I416" i="10" s="1"/>
  <c r="K415" i="10"/>
  <c r="J415" i="10"/>
  <c r="G415" i="10"/>
  <c r="F415" i="10"/>
  <c r="C415" i="10"/>
  <c r="B415" i="10"/>
  <c r="A415" i="10"/>
  <c r="M415" i="10" s="1"/>
  <c r="L414" i="10"/>
  <c r="K414" i="10"/>
  <c r="J414" i="10"/>
  <c r="H414" i="10"/>
  <c r="G414" i="10"/>
  <c r="F414" i="10"/>
  <c r="D414" i="10"/>
  <c r="E414" i="10" s="1"/>
  <c r="C414" i="10"/>
  <c r="B414" i="10"/>
  <c r="A414" i="10"/>
  <c r="M414" i="10" s="1"/>
  <c r="I413" i="10"/>
  <c r="C413" i="10"/>
  <c r="A413" i="10"/>
  <c r="G413" i="10" s="1"/>
  <c r="I412" i="10"/>
  <c r="A412" i="10"/>
  <c r="G411" i="10"/>
  <c r="A411" i="10"/>
  <c r="K410" i="10"/>
  <c r="F410" i="10"/>
  <c r="D410" i="10"/>
  <c r="E410" i="10" s="1"/>
  <c r="A410" i="10"/>
  <c r="M409" i="10"/>
  <c r="H409" i="10"/>
  <c r="B409" i="10"/>
  <c r="A409" i="10"/>
  <c r="J408" i="10"/>
  <c r="I408" i="10"/>
  <c r="C408" i="10"/>
  <c r="A408" i="10"/>
  <c r="L407" i="10"/>
  <c r="K407" i="10"/>
  <c r="J407" i="10"/>
  <c r="H407" i="10"/>
  <c r="G407" i="10"/>
  <c r="F407" i="10"/>
  <c r="D407" i="10"/>
  <c r="E407" i="10" s="1"/>
  <c r="C407" i="10"/>
  <c r="B407" i="10"/>
  <c r="A407" i="10"/>
  <c r="M407" i="10" s="1"/>
  <c r="K406" i="10"/>
  <c r="I406" i="10"/>
  <c r="D406" i="10"/>
  <c r="E406" i="10" s="1"/>
  <c r="A406" i="10"/>
  <c r="M405" i="10"/>
  <c r="H405" i="10"/>
  <c r="F405" i="10"/>
  <c r="B405" i="10"/>
  <c r="A405" i="10"/>
  <c r="J404" i="10"/>
  <c r="I404" i="10"/>
  <c r="C404" i="10"/>
  <c r="A404" i="10"/>
  <c r="L403" i="10"/>
  <c r="K403" i="10"/>
  <c r="J403" i="10"/>
  <c r="H403" i="10"/>
  <c r="G403" i="10"/>
  <c r="F403" i="10"/>
  <c r="D403" i="10"/>
  <c r="E403" i="10" s="1"/>
  <c r="C403" i="10"/>
  <c r="B403" i="10"/>
  <c r="A403" i="10"/>
  <c r="M403" i="10" s="1"/>
  <c r="M402" i="10"/>
  <c r="K402" i="10"/>
  <c r="I402" i="10"/>
  <c r="H402" i="10"/>
  <c r="D402" i="10"/>
  <c r="E402" i="10" s="1"/>
  <c r="C402" i="10"/>
  <c r="A402" i="10"/>
  <c r="F401" i="10"/>
  <c r="A401" i="10"/>
  <c r="H401" i="10" s="1"/>
  <c r="M400" i="10"/>
  <c r="J400" i="10"/>
  <c r="I400" i="10"/>
  <c r="G400" i="10"/>
  <c r="C400" i="10"/>
  <c r="B400" i="10"/>
  <c r="A400" i="10"/>
  <c r="L399" i="10"/>
  <c r="K399" i="10"/>
  <c r="J399" i="10"/>
  <c r="H399" i="10"/>
  <c r="G399" i="10"/>
  <c r="F399" i="10"/>
  <c r="D399" i="10"/>
  <c r="E399" i="10" s="1"/>
  <c r="C399" i="10"/>
  <c r="B399" i="10"/>
  <c r="A399" i="10"/>
  <c r="M399" i="10" s="1"/>
  <c r="M398" i="10"/>
  <c r="K398" i="10"/>
  <c r="I398" i="10"/>
  <c r="H398" i="10"/>
  <c r="D398" i="10"/>
  <c r="E398" i="10" s="1"/>
  <c r="C398" i="10"/>
  <c r="A398" i="10"/>
  <c r="F397" i="10"/>
  <c r="A397" i="10"/>
  <c r="H397" i="10" s="1"/>
  <c r="M396" i="10"/>
  <c r="J396" i="10"/>
  <c r="I396" i="10"/>
  <c r="G396" i="10"/>
  <c r="C396" i="10"/>
  <c r="B396" i="10"/>
  <c r="A396" i="10"/>
  <c r="L395" i="10"/>
  <c r="K395" i="10"/>
  <c r="J395" i="10"/>
  <c r="H395" i="10"/>
  <c r="G395" i="10"/>
  <c r="F395" i="10"/>
  <c r="D395" i="10"/>
  <c r="E395" i="10" s="1"/>
  <c r="C395" i="10"/>
  <c r="B395" i="10"/>
  <c r="A395" i="10"/>
  <c r="M395" i="10" s="1"/>
  <c r="M394" i="10"/>
  <c r="K394" i="10"/>
  <c r="I394" i="10"/>
  <c r="H394" i="10"/>
  <c r="D394" i="10"/>
  <c r="E394" i="10" s="1"/>
  <c r="C394" i="10"/>
  <c r="A394" i="10"/>
  <c r="A393" i="10"/>
  <c r="M392" i="10"/>
  <c r="J392" i="10"/>
  <c r="I392" i="10"/>
  <c r="G392" i="10"/>
  <c r="C392" i="10"/>
  <c r="B392" i="10"/>
  <c r="A392" i="10"/>
  <c r="L391" i="10"/>
  <c r="K391" i="10"/>
  <c r="J391" i="10"/>
  <c r="H391" i="10"/>
  <c r="G391" i="10"/>
  <c r="F391" i="10"/>
  <c r="D391" i="10"/>
  <c r="E391" i="10" s="1"/>
  <c r="C391" i="10"/>
  <c r="B391" i="10"/>
  <c r="A391" i="10"/>
  <c r="M391" i="10" s="1"/>
  <c r="M390" i="10"/>
  <c r="K390" i="10"/>
  <c r="I390" i="10"/>
  <c r="H390" i="10"/>
  <c r="D390" i="10"/>
  <c r="E390" i="10" s="1"/>
  <c r="C390" i="10"/>
  <c r="A390" i="10"/>
  <c r="M389" i="10"/>
  <c r="L389" i="10"/>
  <c r="F389" i="10"/>
  <c r="A389" i="10"/>
  <c r="M388" i="10"/>
  <c r="J388" i="10"/>
  <c r="I388" i="10"/>
  <c r="G388" i="10"/>
  <c r="C388" i="10"/>
  <c r="B388" i="10"/>
  <c r="A388" i="10"/>
  <c r="L387" i="10"/>
  <c r="K387" i="10"/>
  <c r="J387" i="10"/>
  <c r="H387" i="10"/>
  <c r="G387" i="10"/>
  <c r="F387" i="10"/>
  <c r="D387" i="10"/>
  <c r="E387" i="10" s="1"/>
  <c r="C387" i="10"/>
  <c r="B387" i="10"/>
  <c r="A387" i="10"/>
  <c r="M387" i="10" s="1"/>
  <c r="M386" i="10"/>
  <c r="K386" i="10"/>
  <c r="I386" i="10"/>
  <c r="H386" i="10"/>
  <c r="E386" i="10"/>
  <c r="D386" i="10"/>
  <c r="C386" i="10"/>
  <c r="A386" i="10"/>
  <c r="A385" i="10"/>
  <c r="M384" i="10"/>
  <c r="J384" i="10"/>
  <c r="I384" i="10"/>
  <c r="G384" i="10"/>
  <c r="C384" i="10"/>
  <c r="B384" i="10"/>
  <c r="A384" i="10"/>
  <c r="L383" i="10"/>
  <c r="K383" i="10"/>
  <c r="J383" i="10"/>
  <c r="H383" i="10"/>
  <c r="G383" i="10"/>
  <c r="F383" i="10"/>
  <c r="D383" i="10"/>
  <c r="E383" i="10" s="1"/>
  <c r="C383" i="10"/>
  <c r="B383" i="10"/>
  <c r="A383" i="10"/>
  <c r="M383" i="10" s="1"/>
  <c r="M382" i="10"/>
  <c r="K382" i="10"/>
  <c r="I382" i="10"/>
  <c r="H382" i="10"/>
  <c r="D382" i="10"/>
  <c r="E382" i="10" s="1"/>
  <c r="C382" i="10"/>
  <c r="A382" i="10"/>
  <c r="M381" i="10"/>
  <c r="L381" i="10"/>
  <c r="J381" i="10"/>
  <c r="F381" i="10"/>
  <c r="B381" i="10"/>
  <c r="A381" i="10"/>
  <c r="M380" i="10"/>
  <c r="J380" i="10"/>
  <c r="I380" i="10"/>
  <c r="G380" i="10"/>
  <c r="C380" i="10"/>
  <c r="B380" i="10"/>
  <c r="A380" i="10"/>
  <c r="L379" i="10"/>
  <c r="K379" i="10"/>
  <c r="J379" i="10"/>
  <c r="H379" i="10"/>
  <c r="G379" i="10"/>
  <c r="F379" i="10"/>
  <c r="D379" i="10"/>
  <c r="E379" i="10" s="1"/>
  <c r="C379" i="10"/>
  <c r="B379" i="10"/>
  <c r="A379" i="10"/>
  <c r="M379" i="10" s="1"/>
  <c r="M378" i="10"/>
  <c r="K378" i="10"/>
  <c r="I378" i="10"/>
  <c r="H378" i="10"/>
  <c r="E378" i="10"/>
  <c r="D378" i="10"/>
  <c r="C378" i="10"/>
  <c r="A378" i="10"/>
  <c r="A377" i="10"/>
  <c r="M376" i="10"/>
  <c r="J376" i="10"/>
  <c r="I376" i="10"/>
  <c r="G376" i="10"/>
  <c r="C376" i="10"/>
  <c r="B376" i="10"/>
  <c r="A376" i="10"/>
  <c r="L375" i="10"/>
  <c r="K375" i="10"/>
  <c r="J375" i="10"/>
  <c r="H375" i="10"/>
  <c r="G375" i="10"/>
  <c r="F375" i="10"/>
  <c r="D375" i="10"/>
  <c r="E375" i="10" s="1"/>
  <c r="C375" i="10"/>
  <c r="B375" i="10"/>
  <c r="A375" i="10"/>
  <c r="M375" i="10" s="1"/>
  <c r="M374" i="10"/>
  <c r="K374" i="10"/>
  <c r="I374" i="10"/>
  <c r="H374" i="10"/>
  <c r="D374" i="10"/>
  <c r="E374" i="10" s="1"/>
  <c r="C374" i="10"/>
  <c r="A374" i="10"/>
  <c r="M373" i="10"/>
  <c r="L373" i="10"/>
  <c r="J373" i="10"/>
  <c r="F373" i="10"/>
  <c r="B373" i="10"/>
  <c r="A373" i="10"/>
  <c r="M372" i="10"/>
  <c r="J372" i="10"/>
  <c r="I372" i="10"/>
  <c r="G372" i="10"/>
  <c r="C372" i="10"/>
  <c r="B372" i="10"/>
  <c r="A372" i="10"/>
  <c r="L371" i="10"/>
  <c r="K371" i="10"/>
  <c r="J371" i="10"/>
  <c r="H371" i="10"/>
  <c r="G371" i="10"/>
  <c r="F371" i="10"/>
  <c r="D371" i="10"/>
  <c r="E371" i="10" s="1"/>
  <c r="C371" i="10"/>
  <c r="B371" i="10"/>
  <c r="A371" i="10"/>
  <c r="M371" i="10" s="1"/>
  <c r="M370" i="10"/>
  <c r="K370" i="10"/>
  <c r="I370" i="10"/>
  <c r="H370" i="10"/>
  <c r="E370" i="10"/>
  <c r="D370" i="10"/>
  <c r="C370" i="10"/>
  <c r="A370" i="10"/>
  <c r="M369" i="10"/>
  <c r="H369" i="10"/>
  <c r="F369" i="10"/>
  <c r="A369" i="10"/>
  <c r="M368" i="10"/>
  <c r="J368" i="10"/>
  <c r="I368" i="10"/>
  <c r="G368" i="10"/>
  <c r="C368" i="10"/>
  <c r="B368" i="10"/>
  <c r="A368" i="10"/>
  <c r="L367" i="10"/>
  <c r="K367" i="10"/>
  <c r="J367" i="10"/>
  <c r="H367" i="10"/>
  <c r="G367" i="10"/>
  <c r="F367" i="10"/>
  <c r="D367" i="10"/>
  <c r="E367" i="10" s="1"/>
  <c r="C367" i="10"/>
  <c r="B367" i="10"/>
  <c r="A367" i="10"/>
  <c r="M367" i="10" s="1"/>
  <c r="M366" i="10"/>
  <c r="K366" i="10"/>
  <c r="I366" i="10"/>
  <c r="H366" i="10"/>
  <c r="E366" i="10"/>
  <c r="D366" i="10"/>
  <c r="C366" i="10"/>
  <c r="A366" i="10"/>
  <c r="M365" i="10"/>
  <c r="L365" i="10"/>
  <c r="J365" i="10"/>
  <c r="F365" i="10"/>
  <c r="B365" i="10"/>
  <c r="A365" i="10"/>
  <c r="M364" i="10"/>
  <c r="J364" i="10"/>
  <c r="I364" i="10"/>
  <c r="G364" i="10"/>
  <c r="C364" i="10"/>
  <c r="B364" i="10"/>
  <c r="A364" i="10"/>
  <c r="L363" i="10"/>
  <c r="K363" i="10"/>
  <c r="J363" i="10"/>
  <c r="H363" i="10"/>
  <c r="G363" i="10"/>
  <c r="F363" i="10"/>
  <c r="D363" i="10"/>
  <c r="E363" i="10" s="1"/>
  <c r="C363" i="10"/>
  <c r="B363" i="10"/>
  <c r="A363" i="10"/>
  <c r="M363" i="10" s="1"/>
  <c r="M362" i="10"/>
  <c r="K362" i="10"/>
  <c r="I362" i="10"/>
  <c r="H362" i="10"/>
  <c r="E362" i="10"/>
  <c r="D362" i="10"/>
  <c r="C362" i="10"/>
  <c r="A362" i="10"/>
  <c r="M361" i="10"/>
  <c r="J361" i="10"/>
  <c r="F361" i="10"/>
  <c r="C361" i="10"/>
  <c r="B361" i="10"/>
  <c r="A361" i="10"/>
  <c r="L360" i="10"/>
  <c r="K360" i="10"/>
  <c r="J360" i="10"/>
  <c r="H360" i="10"/>
  <c r="G360" i="10"/>
  <c r="F360" i="10"/>
  <c r="D360" i="10"/>
  <c r="E360" i="10" s="1"/>
  <c r="C360" i="10"/>
  <c r="B360" i="10"/>
  <c r="A360" i="10"/>
  <c r="M360" i="10" s="1"/>
  <c r="M359" i="10"/>
  <c r="I359" i="10"/>
  <c r="G359" i="10"/>
  <c r="C359" i="10"/>
  <c r="A359" i="10"/>
  <c r="L359" i="10" s="1"/>
  <c r="L358" i="10"/>
  <c r="I358" i="10"/>
  <c r="A358" i="10"/>
  <c r="K357" i="10"/>
  <c r="G357" i="10"/>
  <c r="A357" i="10"/>
  <c r="L356" i="10"/>
  <c r="K356" i="10"/>
  <c r="J356" i="10"/>
  <c r="H356" i="10"/>
  <c r="G356" i="10"/>
  <c r="F356" i="10"/>
  <c r="D356" i="10"/>
  <c r="E356" i="10" s="1"/>
  <c r="C356" i="10"/>
  <c r="B356" i="10"/>
  <c r="A356" i="10"/>
  <c r="M356" i="10" s="1"/>
  <c r="A355" i="10"/>
  <c r="J354" i="10"/>
  <c r="F354" i="10"/>
  <c r="D354" i="10"/>
  <c r="E354" i="10" s="1"/>
  <c r="A354" i="10"/>
  <c r="L354" i="10" s="1"/>
  <c r="M353" i="10"/>
  <c r="I353" i="10"/>
  <c r="F353" i="10"/>
  <c r="B353" i="10"/>
  <c r="A353" i="10"/>
  <c r="K353" i="10" s="1"/>
  <c r="L352" i="10"/>
  <c r="K352" i="10"/>
  <c r="J352" i="10"/>
  <c r="H352" i="10"/>
  <c r="G352" i="10"/>
  <c r="F352" i="10"/>
  <c r="D352" i="10"/>
  <c r="E352" i="10" s="1"/>
  <c r="C352" i="10"/>
  <c r="B352" i="10"/>
  <c r="A352" i="10"/>
  <c r="M352" i="10" s="1"/>
  <c r="M351" i="10"/>
  <c r="L351" i="10"/>
  <c r="I351" i="10"/>
  <c r="G351" i="10"/>
  <c r="D351" i="10"/>
  <c r="E351" i="10" s="1"/>
  <c r="C351" i="10"/>
  <c r="A351" i="10"/>
  <c r="L350" i="10"/>
  <c r="I350" i="10"/>
  <c r="A350" i="10"/>
  <c r="K349" i="10"/>
  <c r="G349" i="10"/>
  <c r="A349" i="10"/>
  <c r="L348" i="10"/>
  <c r="K348" i="10"/>
  <c r="J348" i="10"/>
  <c r="H348" i="10"/>
  <c r="G348" i="10"/>
  <c r="F348" i="10"/>
  <c r="D348" i="10"/>
  <c r="E348" i="10" s="1"/>
  <c r="C348" i="10"/>
  <c r="B348" i="10"/>
  <c r="A348" i="10"/>
  <c r="M348" i="10" s="1"/>
  <c r="A347" i="10"/>
  <c r="L346" i="10"/>
  <c r="J346" i="10"/>
  <c r="F346" i="10"/>
  <c r="D346" i="10"/>
  <c r="E346" i="10" s="1"/>
  <c r="A346" i="10"/>
  <c r="M345" i="10"/>
  <c r="K345" i="10"/>
  <c r="I345" i="10"/>
  <c r="F345" i="10"/>
  <c r="C345" i="10"/>
  <c r="B345" i="10"/>
  <c r="A345" i="10"/>
  <c r="L344" i="10"/>
  <c r="K344" i="10"/>
  <c r="J344" i="10"/>
  <c r="H344" i="10"/>
  <c r="G344" i="10"/>
  <c r="F344" i="10"/>
  <c r="D344" i="10"/>
  <c r="E344" i="10" s="1"/>
  <c r="C344" i="10"/>
  <c r="B344" i="10"/>
  <c r="A344" i="10"/>
  <c r="M344" i="10" s="1"/>
  <c r="M343" i="10"/>
  <c r="I343" i="10"/>
  <c r="G343" i="10"/>
  <c r="C343" i="10"/>
  <c r="A343" i="10"/>
  <c r="L343" i="10" s="1"/>
  <c r="L342" i="10"/>
  <c r="A342" i="10"/>
  <c r="A341" i="10"/>
  <c r="L340" i="10"/>
  <c r="K340" i="10"/>
  <c r="J340" i="10"/>
  <c r="H340" i="10"/>
  <c r="G340" i="10"/>
  <c r="F340" i="10"/>
  <c r="D340" i="10"/>
  <c r="E340" i="10" s="1"/>
  <c r="C340" i="10"/>
  <c r="B340" i="10"/>
  <c r="A340" i="10"/>
  <c r="M340" i="10" s="1"/>
  <c r="L339" i="10"/>
  <c r="H339" i="10"/>
  <c r="D339" i="10"/>
  <c r="E339" i="10" s="1"/>
  <c r="A339" i="10"/>
  <c r="J338" i="10"/>
  <c r="F338" i="10"/>
  <c r="D338" i="10"/>
  <c r="E338" i="10" s="1"/>
  <c r="A338" i="10"/>
  <c r="L338" i="10" s="1"/>
  <c r="M337" i="10"/>
  <c r="I337" i="10"/>
  <c r="F337" i="10"/>
  <c r="B337" i="10"/>
  <c r="A337" i="10"/>
  <c r="K337" i="10" s="1"/>
  <c r="L336" i="10"/>
  <c r="K336" i="10"/>
  <c r="J336" i="10"/>
  <c r="H336" i="10"/>
  <c r="G336" i="10"/>
  <c r="F336" i="10"/>
  <c r="D336" i="10"/>
  <c r="E336" i="10" s="1"/>
  <c r="C336" i="10"/>
  <c r="B336" i="10"/>
  <c r="A336" i="10"/>
  <c r="M336" i="10" s="1"/>
  <c r="M335" i="10"/>
  <c r="L335" i="10"/>
  <c r="I335" i="10"/>
  <c r="G335" i="10"/>
  <c r="D335" i="10"/>
  <c r="E335" i="10" s="1"/>
  <c r="C335" i="10"/>
  <c r="A335" i="10"/>
  <c r="L334" i="10"/>
  <c r="K334" i="10"/>
  <c r="J334" i="10"/>
  <c r="H334" i="10"/>
  <c r="G334" i="10"/>
  <c r="F334" i="10"/>
  <c r="D334" i="10"/>
  <c r="E334" i="10" s="1"/>
  <c r="C334" i="10"/>
  <c r="B334" i="10"/>
  <c r="A334" i="10"/>
  <c r="M334" i="10" s="1"/>
  <c r="M333" i="10"/>
  <c r="K333" i="10"/>
  <c r="I333" i="10"/>
  <c r="H333" i="10"/>
  <c r="E333" i="10"/>
  <c r="D333" i="10"/>
  <c r="C333" i="10"/>
  <c r="A333" i="10"/>
  <c r="M332" i="10"/>
  <c r="J332" i="10"/>
  <c r="H332" i="10"/>
  <c r="B332" i="10"/>
  <c r="A332" i="10"/>
  <c r="I332" i="10" s="1"/>
  <c r="M331" i="10"/>
  <c r="J331" i="10"/>
  <c r="I331" i="10"/>
  <c r="G331" i="10"/>
  <c r="C331" i="10"/>
  <c r="B331" i="10"/>
  <c r="A331" i="10"/>
  <c r="L330" i="10"/>
  <c r="K330" i="10"/>
  <c r="J330" i="10"/>
  <c r="H330" i="10"/>
  <c r="G330" i="10"/>
  <c r="F330" i="10"/>
  <c r="D330" i="10"/>
  <c r="E330" i="10" s="1"/>
  <c r="C330" i="10"/>
  <c r="B330" i="10"/>
  <c r="A330" i="10"/>
  <c r="M330" i="10" s="1"/>
  <c r="M329" i="10"/>
  <c r="K329" i="10"/>
  <c r="I329" i="10"/>
  <c r="H329" i="10"/>
  <c r="E329" i="10"/>
  <c r="D329" i="10"/>
  <c r="C329" i="10"/>
  <c r="A329" i="10"/>
  <c r="M328" i="10"/>
  <c r="J328" i="10"/>
  <c r="H328" i="10"/>
  <c r="B328" i="10"/>
  <c r="A328" i="10"/>
  <c r="I328" i="10" s="1"/>
  <c r="M327" i="10"/>
  <c r="J327" i="10"/>
  <c r="I327" i="10"/>
  <c r="G327" i="10"/>
  <c r="C327" i="10"/>
  <c r="B327" i="10"/>
  <c r="A327" i="10"/>
  <c r="L326" i="10"/>
  <c r="K326" i="10"/>
  <c r="J326" i="10"/>
  <c r="H326" i="10"/>
  <c r="G326" i="10"/>
  <c r="F326" i="10"/>
  <c r="D326" i="10"/>
  <c r="E326" i="10" s="1"/>
  <c r="C326" i="10"/>
  <c r="B326" i="10"/>
  <c r="A326" i="10"/>
  <c r="M326" i="10" s="1"/>
  <c r="M325" i="10"/>
  <c r="K325" i="10"/>
  <c r="I325" i="10"/>
  <c r="H325" i="10"/>
  <c r="E325" i="10"/>
  <c r="D325" i="10"/>
  <c r="C325" i="10"/>
  <c r="A325" i="10"/>
  <c r="M324" i="10"/>
  <c r="J324" i="10"/>
  <c r="H324" i="10"/>
  <c r="B324" i="10"/>
  <c r="A324" i="10"/>
  <c r="I324" i="10" s="1"/>
  <c r="M323" i="10"/>
  <c r="J323" i="10"/>
  <c r="I323" i="10"/>
  <c r="G323" i="10"/>
  <c r="C323" i="10"/>
  <c r="B323" i="10"/>
  <c r="A323" i="10"/>
  <c r="L322" i="10"/>
  <c r="K322" i="10"/>
  <c r="J322" i="10"/>
  <c r="H322" i="10"/>
  <c r="G322" i="10"/>
  <c r="F322" i="10"/>
  <c r="D322" i="10"/>
  <c r="E322" i="10" s="1"/>
  <c r="C322" i="10"/>
  <c r="B322" i="10"/>
  <c r="A322" i="10"/>
  <c r="M322" i="10" s="1"/>
  <c r="M321" i="10"/>
  <c r="K321" i="10"/>
  <c r="I321" i="10"/>
  <c r="H321" i="10"/>
  <c r="E321" i="10"/>
  <c r="D321" i="10"/>
  <c r="C321" i="10"/>
  <c r="A321" i="10"/>
  <c r="M320" i="10"/>
  <c r="J320" i="10"/>
  <c r="H320" i="10"/>
  <c r="B320" i="10"/>
  <c r="A320" i="10"/>
  <c r="I320" i="10" s="1"/>
  <c r="M319" i="10"/>
  <c r="J319" i="10"/>
  <c r="I319" i="10"/>
  <c r="G319" i="10"/>
  <c r="C319" i="10"/>
  <c r="B319" i="10"/>
  <c r="A319" i="10"/>
  <c r="L318" i="10"/>
  <c r="K318" i="10"/>
  <c r="J318" i="10"/>
  <c r="H318" i="10"/>
  <c r="G318" i="10"/>
  <c r="F318" i="10"/>
  <c r="D318" i="10"/>
  <c r="E318" i="10" s="1"/>
  <c r="C318" i="10"/>
  <c r="B318" i="10"/>
  <c r="A318" i="10"/>
  <c r="M318" i="10" s="1"/>
  <c r="M317" i="10"/>
  <c r="K317" i="10"/>
  <c r="I317" i="10"/>
  <c r="H317" i="10"/>
  <c r="E317" i="10"/>
  <c r="D317" i="10"/>
  <c r="C317" i="10"/>
  <c r="A317" i="10"/>
  <c r="M316" i="10"/>
  <c r="J316" i="10"/>
  <c r="H316" i="10"/>
  <c r="B316" i="10"/>
  <c r="A316" i="10"/>
  <c r="I316" i="10" s="1"/>
  <c r="M315" i="10"/>
  <c r="J315" i="10"/>
  <c r="I315" i="10"/>
  <c r="G315" i="10"/>
  <c r="C315" i="10"/>
  <c r="B315" i="10"/>
  <c r="A315" i="10"/>
  <c r="L314" i="10"/>
  <c r="K314" i="10"/>
  <c r="J314" i="10"/>
  <c r="H314" i="10"/>
  <c r="G314" i="10"/>
  <c r="F314" i="10"/>
  <c r="D314" i="10"/>
  <c r="E314" i="10" s="1"/>
  <c r="C314" i="10"/>
  <c r="B314" i="10"/>
  <c r="A314" i="10"/>
  <c r="M314" i="10" s="1"/>
  <c r="M313" i="10"/>
  <c r="K313" i="10"/>
  <c r="I313" i="10"/>
  <c r="H313" i="10"/>
  <c r="E313" i="10"/>
  <c r="D313" i="10"/>
  <c r="C313" i="10"/>
  <c r="A313" i="10"/>
  <c r="M312" i="10"/>
  <c r="J312" i="10"/>
  <c r="H312" i="10"/>
  <c r="B312" i="10"/>
  <c r="A312" i="10"/>
  <c r="I312" i="10" s="1"/>
  <c r="M311" i="10"/>
  <c r="J311" i="10"/>
  <c r="I311" i="10"/>
  <c r="G311" i="10"/>
  <c r="C311" i="10"/>
  <c r="B311" i="10"/>
  <c r="A311" i="10"/>
  <c r="L310" i="10"/>
  <c r="K310" i="10"/>
  <c r="J310" i="10"/>
  <c r="H310" i="10"/>
  <c r="G310" i="10"/>
  <c r="F310" i="10"/>
  <c r="D310" i="10"/>
  <c r="E310" i="10" s="1"/>
  <c r="C310" i="10"/>
  <c r="B310" i="10"/>
  <c r="A310" i="10"/>
  <c r="M310" i="10" s="1"/>
  <c r="M309" i="10"/>
  <c r="K309" i="10"/>
  <c r="I309" i="10"/>
  <c r="H309" i="10"/>
  <c r="E309" i="10"/>
  <c r="D309" i="10"/>
  <c r="C309" i="10"/>
  <c r="A309" i="10"/>
  <c r="M308" i="10"/>
  <c r="J308" i="10"/>
  <c r="H308" i="10"/>
  <c r="B308" i="10"/>
  <c r="A308" i="10"/>
  <c r="I308" i="10" s="1"/>
  <c r="M307" i="10"/>
  <c r="J307" i="10"/>
  <c r="I307" i="10"/>
  <c r="G307" i="10"/>
  <c r="C307" i="10"/>
  <c r="B307" i="10"/>
  <c r="A307" i="10"/>
  <c r="L306" i="10"/>
  <c r="K306" i="10"/>
  <c r="J306" i="10"/>
  <c r="H306" i="10"/>
  <c r="G306" i="10"/>
  <c r="F306" i="10"/>
  <c r="D306" i="10"/>
  <c r="E306" i="10" s="1"/>
  <c r="C306" i="10"/>
  <c r="B306" i="10"/>
  <c r="A306" i="10"/>
  <c r="M306" i="10" s="1"/>
  <c r="M305" i="10"/>
  <c r="K305" i="10"/>
  <c r="I305" i="10"/>
  <c r="H305" i="10"/>
  <c r="E305" i="10"/>
  <c r="D305" i="10"/>
  <c r="C305" i="10"/>
  <c r="A305" i="10"/>
  <c r="M304" i="10"/>
  <c r="J304" i="10"/>
  <c r="H304" i="10"/>
  <c r="B304" i="10"/>
  <c r="A304" i="10"/>
  <c r="I304" i="10" s="1"/>
  <c r="M303" i="10"/>
  <c r="J303" i="10"/>
  <c r="I303" i="10"/>
  <c r="G303" i="10"/>
  <c r="C303" i="10"/>
  <c r="B303" i="10"/>
  <c r="A303" i="10"/>
  <c r="L302" i="10"/>
  <c r="K302" i="10"/>
  <c r="J302" i="10"/>
  <c r="H302" i="10"/>
  <c r="G302" i="10"/>
  <c r="F302" i="10"/>
  <c r="D302" i="10"/>
  <c r="E302" i="10" s="1"/>
  <c r="C302" i="10"/>
  <c r="B302" i="10"/>
  <c r="A302" i="10"/>
  <c r="M302" i="10" s="1"/>
  <c r="M301" i="10"/>
  <c r="K301" i="10"/>
  <c r="I301" i="10"/>
  <c r="H301" i="10"/>
  <c r="E301" i="10"/>
  <c r="D301" i="10"/>
  <c r="C301" i="10"/>
  <c r="A301" i="10"/>
  <c r="M300" i="10"/>
  <c r="J300" i="10"/>
  <c r="H300" i="10"/>
  <c r="B300" i="10"/>
  <c r="A300" i="10"/>
  <c r="I300" i="10" s="1"/>
  <c r="M299" i="10"/>
  <c r="J299" i="10"/>
  <c r="I299" i="10"/>
  <c r="G299" i="10"/>
  <c r="C299" i="10"/>
  <c r="B299" i="10"/>
  <c r="A299" i="10"/>
  <c r="L298" i="10"/>
  <c r="K298" i="10"/>
  <c r="J298" i="10"/>
  <c r="H298" i="10"/>
  <c r="G298" i="10"/>
  <c r="F298" i="10"/>
  <c r="D298" i="10"/>
  <c r="E298" i="10" s="1"/>
  <c r="C298" i="10"/>
  <c r="B298" i="10"/>
  <c r="A298" i="10"/>
  <c r="M298" i="10" s="1"/>
  <c r="M297" i="10"/>
  <c r="K297" i="10"/>
  <c r="I297" i="10"/>
  <c r="H297" i="10"/>
  <c r="E297" i="10"/>
  <c r="D297" i="10"/>
  <c r="C297" i="10"/>
  <c r="A297" i="10"/>
  <c r="M296" i="10"/>
  <c r="L296" i="10"/>
  <c r="J296" i="10"/>
  <c r="F296" i="10"/>
  <c r="B296" i="10"/>
  <c r="A296" i="10"/>
  <c r="M295" i="10"/>
  <c r="J295" i="10"/>
  <c r="I295" i="10"/>
  <c r="G295" i="10"/>
  <c r="C295" i="10"/>
  <c r="B295" i="10"/>
  <c r="A295" i="10"/>
  <c r="L294" i="10"/>
  <c r="K294" i="10"/>
  <c r="J294" i="10"/>
  <c r="H294" i="10"/>
  <c r="G294" i="10"/>
  <c r="F294" i="10"/>
  <c r="D294" i="10"/>
  <c r="E294" i="10" s="1"/>
  <c r="C294" i="10"/>
  <c r="B294" i="10"/>
  <c r="A294" i="10"/>
  <c r="M294" i="10" s="1"/>
  <c r="M293" i="10"/>
  <c r="K293" i="10"/>
  <c r="I293" i="10"/>
  <c r="H293" i="10"/>
  <c r="E293" i="10"/>
  <c r="D293" i="10"/>
  <c r="C293" i="10"/>
  <c r="A293" i="10"/>
  <c r="M292" i="10"/>
  <c r="H292" i="10"/>
  <c r="F292" i="10"/>
  <c r="B292" i="10"/>
  <c r="A292" i="10"/>
  <c r="M291" i="10"/>
  <c r="J291" i="10"/>
  <c r="I291" i="10"/>
  <c r="G291" i="10"/>
  <c r="C291" i="10"/>
  <c r="B291" i="10"/>
  <c r="A291" i="10"/>
  <c r="L290" i="10"/>
  <c r="K290" i="10"/>
  <c r="J290" i="10"/>
  <c r="H290" i="10"/>
  <c r="G290" i="10"/>
  <c r="F290" i="10"/>
  <c r="D290" i="10"/>
  <c r="E290" i="10" s="1"/>
  <c r="C290" i="10"/>
  <c r="B290" i="10"/>
  <c r="A290" i="10"/>
  <c r="M290" i="10" s="1"/>
  <c r="M289" i="10"/>
  <c r="K289" i="10"/>
  <c r="I289" i="10"/>
  <c r="H289" i="10"/>
  <c r="E289" i="10"/>
  <c r="D289" i="10"/>
  <c r="C289" i="10"/>
  <c r="A289" i="10"/>
  <c r="M288" i="10"/>
  <c r="L288" i="10"/>
  <c r="J288" i="10"/>
  <c r="F288" i="10"/>
  <c r="B288" i="10"/>
  <c r="A288" i="10"/>
  <c r="M287" i="10"/>
  <c r="J287" i="10"/>
  <c r="I287" i="10"/>
  <c r="G287" i="10"/>
  <c r="C287" i="10"/>
  <c r="B287" i="10"/>
  <c r="A287" i="10"/>
  <c r="L286" i="10"/>
  <c r="K286" i="10"/>
  <c r="J286" i="10"/>
  <c r="H286" i="10"/>
  <c r="G286" i="10"/>
  <c r="F286" i="10"/>
  <c r="D286" i="10"/>
  <c r="E286" i="10" s="1"/>
  <c r="C286" i="10"/>
  <c r="B286" i="10"/>
  <c r="A286" i="10"/>
  <c r="M286" i="10" s="1"/>
  <c r="M285" i="10"/>
  <c r="K285" i="10"/>
  <c r="I285" i="10"/>
  <c r="H285" i="10"/>
  <c r="E285" i="10"/>
  <c r="D285" i="10"/>
  <c r="C285" i="10"/>
  <c r="A285" i="10"/>
  <c r="A284" i="10"/>
  <c r="M283" i="10"/>
  <c r="J283" i="10"/>
  <c r="I283" i="10"/>
  <c r="G283" i="10"/>
  <c r="C283" i="10"/>
  <c r="B283" i="10"/>
  <c r="A283" i="10"/>
  <c r="L282" i="10"/>
  <c r="K282" i="10"/>
  <c r="J282" i="10"/>
  <c r="H282" i="10"/>
  <c r="G282" i="10"/>
  <c r="F282" i="10"/>
  <c r="D282" i="10"/>
  <c r="E282" i="10" s="1"/>
  <c r="C282" i="10"/>
  <c r="B282" i="10"/>
  <c r="A282" i="10"/>
  <c r="M282" i="10" s="1"/>
  <c r="M281" i="10"/>
  <c r="K281" i="10"/>
  <c r="I281" i="10"/>
  <c r="H281" i="10"/>
  <c r="D281" i="10"/>
  <c r="E281" i="10" s="1"/>
  <c r="C281" i="10"/>
  <c r="A281" i="10"/>
  <c r="M280" i="10"/>
  <c r="L280" i="10"/>
  <c r="J280" i="10"/>
  <c r="F280" i="10"/>
  <c r="B280" i="10"/>
  <c r="A280" i="10"/>
  <c r="M279" i="10"/>
  <c r="J279" i="10"/>
  <c r="I279" i="10"/>
  <c r="G279" i="10"/>
  <c r="C279" i="10"/>
  <c r="B279" i="10"/>
  <c r="A279" i="10"/>
  <c r="L278" i="10"/>
  <c r="K278" i="10"/>
  <c r="J278" i="10"/>
  <c r="H278" i="10"/>
  <c r="G278" i="10"/>
  <c r="F278" i="10"/>
  <c r="D278" i="10"/>
  <c r="E278" i="10" s="1"/>
  <c r="C278" i="10"/>
  <c r="B278" i="10"/>
  <c r="A278" i="10"/>
  <c r="M278" i="10" s="1"/>
  <c r="M277" i="10"/>
  <c r="K277" i="10"/>
  <c r="I277" i="10"/>
  <c r="H277" i="10"/>
  <c r="E277" i="10"/>
  <c r="D277" i="10"/>
  <c r="C277" i="10"/>
  <c r="A277" i="10"/>
  <c r="M276" i="10"/>
  <c r="H276" i="10"/>
  <c r="F276" i="10"/>
  <c r="B276" i="10"/>
  <c r="A276" i="10"/>
  <c r="M275" i="10"/>
  <c r="J275" i="10"/>
  <c r="I275" i="10"/>
  <c r="G275" i="10"/>
  <c r="C275" i="10"/>
  <c r="B275" i="10"/>
  <c r="A275" i="10"/>
  <c r="L274" i="10"/>
  <c r="K274" i="10"/>
  <c r="J274" i="10"/>
  <c r="H274" i="10"/>
  <c r="G274" i="10"/>
  <c r="F274" i="10"/>
  <c r="D274" i="10"/>
  <c r="E274" i="10" s="1"/>
  <c r="C274" i="10"/>
  <c r="B274" i="10"/>
  <c r="A274" i="10"/>
  <c r="M274" i="10" s="1"/>
  <c r="M273" i="10"/>
  <c r="K273" i="10"/>
  <c r="I273" i="10"/>
  <c r="H273" i="10"/>
  <c r="E273" i="10"/>
  <c r="D273" i="10"/>
  <c r="C273" i="10"/>
  <c r="A273" i="10"/>
  <c r="M272" i="10"/>
  <c r="L272" i="10"/>
  <c r="J272" i="10"/>
  <c r="F272" i="10"/>
  <c r="B272" i="10"/>
  <c r="A272" i="10"/>
  <c r="M271" i="10"/>
  <c r="J271" i="10"/>
  <c r="I271" i="10"/>
  <c r="G271" i="10"/>
  <c r="C271" i="10"/>
  <c r="B271" i="10"/>
  <c r="A271" i="10"/>
  <c r="L270" i="10"/>
  <c r="K270" i="10"/>
  <c r="J270" i="10"/>
  <c r="H270" i="10"/>
  <c r="G270" i="10"/>
  <c r="F270" i="10"/>
  <c r="D270" i="10"/>
  <c r="E270" i="10" s="1"/>
  <c r="C270" i="10"/>
  <c r="B270" i="10"/>
  <c r="A270" i="10"/>
  <c r="M270" i="10" s="1"/>
  <c r="M269" i="10"/>
  <c r="K269" i="10"/>
  <c r="I269" i="10"/>
  <c r="H269" i="10"/>
  <c r="E269" i="10"/>
  <c r="D269" i="10"/>
  <c r="C269" i="10"/>
  <c r="A269" i="10"/>
  <c r="M268" i="10"/>
  <c r="F268" i="10"/>
  <c r="B268" i="10"/>
  <c r="A268" i="10"/>
  <c r="H268" i="10" s="1"/>
  <c r="M267" i="10"/>
  <c r="J267" i="10"/>
  <c r="I267" i="10"/>
  <c r="G267" i="10"/>
  <c r="C267" i="10"/>
  <c r="B267" i="10"/>
  <c r="A267" i="10"/>
  <c r="L266" i="10"/>
  <c r="K266" i="10"/>
  <c r="J266" i="10"/>
  <c r="H266" i="10"/>
  <c r="G266" i="10"/>
  <c r="F266" i="10"/>
  <c r="D266" i="10"/>
  <c r="E266" i="10" s="1"/>
  <c r="C266" i="10"/>
  <c r="B266" i="10"/>
  <c r="A266" i="10"/>
  <c r="M266" i="10" s="1"/>
  <c r="M265" i="10"/>
  <c r="K265" i="10"/>
  <c r="I265" i="10"/>
  <c r="H265" i="10"/>
  <c r="E265" i="10"/>
  <c r="D265" i="10"/>
  <c r="C265" i="10"/>
  <c r="A265" i="10"/>
  <c r="M264" i="10"/>
  <c r="L264" i="10"/>
  <c r="J264" i="10"/>
  <c r="F264" i="10"/>
  <c r="B264" i="10"/>
  <c r="A264" i="10"/>
  <c r="M263" i="10"/>
  <c r="J263" i="10"/>
  <c r="I263" i="10"/>
  <c r="G263" i="10"/>
  <c r="C263" i="10"/>
  <c r="B263" i="10"/>
  <c r="A263" i="10"/>
  <c r="L262" i="10"/>
  <c r="K262" i="10"/>
  <c r="J262" i="10"/>
  <c r="H262" i="10"/>
  <c r="G262" i="10"/>
  <c r="F262" i="10"/>
  <c r="D262" i="10"/>
  <c r="E262" i="10" s="1"/>
  <c r="C262" i="10"/>
  <c r="B262" i="10"/>
  <c r="A262" i="10"/>
  <c r="M262" i="10" s="1"/>
  <c r="M261" i="10"/>
  <c r="K261" i="10"/>
  <c r="I261" i="10"/>
  <c r="H261" i="10"/>
  <c r="E261" i="10"/>
  <c r="D261" i="10"/>
  <c r="C261" i="10"/>
  <c r="A261" i="10"/>
  <c r="M260" i="10"/>
  <c r="H260" i="10"/>
  <c r="F260" i="10"/>
  <c r="B260" i="10"/>
  <c r="A260" i="10"/>
  <c r="M259" i="10"/>
  <c r="J259" i="10"/>
  <c r="I259" i="10"/>
  <c r="G259" i="10"/>
  <c r="C259" i="10"/>
  <c r="B259" i="10"/>
  <c r="A259" i="10"/>
  <c r="L258" i="10"/>
  <c r="K258" i="10"/>
  <c r="J258" i="10"/>
  <c r="H258" i="10"/>
  <c r="G258" i="10"/>
  <c r="F258" i="10"/>
  <c r="D258" i="10"/>
  <c r="E258" i="10" s="1"/>
  <c r="C258" i="10"/>
  <c r="B258" i="10"/>
  <c r="A258" i="10"/>
  <c r="M258" i="10" s="1"/>
  <c r="M257" i="10"/>
  <c r="K257" i="10"/>
  <c r="I257" i="10"/>
  <c r="H257" i="10"/>
  <c r="E257" i="10"/>
  <c r="D257" i="10"/>
  <c r="C257" i="10"/>
  <c r="A257" i="10"/>
  <c r="M256" i="10"/>
  <c r="L256" i="10"/>
  <c r="J256" i="10"/>
  <c r="F256" i="10"/>
  <c r="B256" i="10"/>
  <c r="A256" i="10"/>
  <c r="M255" i="10"/>
  <c r="J255" i="10"/>
  <c r="I255" i="10"/>
  <c r="G255" i="10"/>
  <c r="C255" i="10"/>
  <c r="B255" i="10"/>
  <c r="A255" i="10"/>
  <c r="L254" i="10"/>
  <c r="K254" i="10"/>
  <c r="J254" i="10"/>
  <c r="H254" i="10"/>
  <c r="G254" i="10"/>
  <c r="F254" i="10"/>
  <c r="D254" i="10"/>
  <c r="E254" i="10" s="1"/>
  <c r="C254" i="10"/>
  <c r="B254" i="10"/>
  <c r="A254" i="10"/>
  <c r="M254" i="10" s="1"/>
  <c r="M253" i="10"/>
  <c r="K253" i="10"/>
  <c r="I253" i="10"/>
  <c r="H253" i="10"/>
  <c r="E253" i="10"/>
  <c r="D253" i="10"/>
  <c r="C253" i="10"/>
  <c r="A253" i="10"/>
  <c r="A252" i="10"/>
  <c r="M251" i="10"/>
  <c r="J251" i="10"/>
  <c r="I251" i="10"/>
  <c r="G251" i="10"/>
  <c r="C251" i="10"/>
  <c r="B251" i="10"/>
  <c r="A251" i="10"/>
  <c r="L250" i="10"/>
  <c r="K250" i="10"/>
  <c r="J250" i="10"/>
  <c r="H250" i="10"/>
  <c r="G250" i="10"/>
  <c r="F250" i="10"/>
  <c r="D250" i="10"/>
  <c r="E250" i="10" s="1"/>
  <c r="C250" i="10"/>
  <c r="B250" i="10"/>
  <c r="A250" i="10"/>
  <c r="M250" i="10" s="1"/>
  <c r="M249" i="10"/>
  <c r="K249" i="10"/>
  <c r="I249" i="10"/>
  <c r="H249" i="10"/>
  <c r="D249" i="10"/>
  <c r="E249" i="10" s="1"/>
  <c r="C249" i="10"/>
  <c r="A249" i="10"/>
  <c r="M248" i="10"/>
  <c r="L248" i="10"/>
  <c r="J248" i="10"/>
  <c r="F248" i="10"/>
  <c r="B248" i="10"/>
  <c r="A248" i="10"/>
  <c r="M247" i="10"/>
  <c r="J247" i="10"/>
  <c r="I247" i="10"/>
  <c r="G247" i="10"/>
  <c r="C247" i="10"/>
  <c r="B247" i="10"/>
  <c r="A247" i="10"/>
  <c r="L246" i="10"/>
  <c r="K246" i="10"/>
  <c r="J246" i="10"/>
  <c r="H246" i="10"/>
  <c r="G246" i="10"/>
  <c r="F246" i="10"/>
  <c r="D246" i="10"/>
  <c r="E246" i="10" s="1"/>
  <c r="C246" i="10"/>
  <c r="B246" i="10"/>
  <c r="A246" i="10"/>
  <c r="M246" i="10" s="1"/>
  <c r="M245" i="10"/>
  <c r="K245" i="10"/>
  <c r="I245" i="10"/>
  <c r="H245" i="10"/>
  <c r="E245" i="10"/>
  <c r="D245" i="10"/>
  <c r="C245" i="10"/>
  <c r="A245" i="10"/>
  <c r="M244" i="10"/>
  <c r="H244" i="10"/>
  <c r="B244" i="10"/>
  <c r="A244" i="10"/>
  <c r="F244" i="10" s="1"/>
  <c r="M243" i="10"/>
  <c r="J243" i="10"/>
  <c r="I243" i="10"/>
  <c r="G243" i="10"/>
  <c r="C243" i="10"/>
  <c r="B243" i="10"/>
  <c r="A243" i="10"/>
  <c r="A242" i="10"/>
  <c r="L241" i="10"/>
  <c r="K241" i="10"/>
  <c r="J241" i="10"/>
  <c r="H241" i="10"/>
  <c r="G241" i="10"/>
  <c r="F241" i="10"/>
  <c r="D241" i="10"/>
  <c r="E241" i="10" s="1"/>
  <c r="C241" i="10"/>
  <c r="B241" i="10"/>
  <c r="A241" i="10"/>
  <c r="M241" i="10" s="1"/>
  <c r="L240" i="10"/>
  <c r="D240" i="10"/>
  <c r="E240" i="10" s="1"/>
  <c r="A240" i="10"/>
  <c r="M240" i="10" s="1"/>
  <c r="L239" i="10"/>
  <c r="J239" i="10"/>
  <c r="F239" i="10"/>
  <c r="D239" i="10"/>
  <c r="E239" i="10" s="1"/>
  <c r="A239" i="10"/>
  <c r="M238" i="10"/>
  <c r="K238" i="10"/>
  <c r="I238" i="10"/>
  <c r="F238" i="10"/>
  <c r="C238" i="10"/>
  <c r="B238" i="10"/>
  <c r="A238" i="10"/>
  <c r="L237" i="10"/>
  <c r="K237" i="10"/>
  <c r="J237" i="10"/>
  <c r="H237" i="10"/>
  <c r="G237" i="10"/>
  <c r="F237" i="10"/>
  <c r="D237" i="10"/>
  <c r="E237" i="10" s="1"/>
  <c r="C237" i="10"/>
  <c r="B237" i="10"/>
  <c r="A237" i="10"/>
  <c r="M237" i="10" s="1"/>
  <c r="M236" i="10"/>
  <c r="I236" i="10"/>
  <c r="G236" i="10"/>
  <c r="C236" i="10"/>
  <c r="A236" i="10"/>
  <c r="L235" i="10"/>
  <c r="A235" i="10"/>
  <c r="F235" i="10" s="1"/>
  <c r="K234" i="10"/>
  <c r="C234" i="10"/>
  <c r="A234" i="10"/>
  <c r="M234" i="10" s="1"/>
  <c r="L233" i="10"/>
  <c r="K233" i="10"/>
  <c r="J233" i="10"/>
  <c r="H233" i="10"/>
  <c r="G233" i="10"/>
  <c r="F233" i="10"/>
  <c r="D233" i="10"/>
  <c r="E233" i="10" s="1"/>
  <c r="C233" i="10"/>
  <c r="B233" i="10"/>
  <c r="A233" i="10"/>
  <c r="M233" i="10" s="1"/>
  <c r="A232" i="10"/>
  <c r="L231" i="10"/>
  <c r="J231" i="10"/>
  <c r="F231" i="10"/>
  <c r="D231" i="10"/>
  <c r="E231" i="10" s="1"/>
  <c r="A231" i="10"/>
  <c r="M230" i="10"/>
  <c r="K230" i="10"/>
  <c r="I230" i="10"/>
  <c r="F230" i="10"/>
  <c r="C230" i="10"/>
  <c r="B230" i="10"/>
  <c r="A230" i="10"/>
  <c r="L229" i="10"/>
  <c r="K229" i="10"/>
  <c r="J229" i="10"/>
  <c r="H229" i="10"/>
  <c r="G229" i="10"/>
  <c r="F229" i="10"/>
  <c r="D229" i="10"/>
  <c r="E229" i="10" s="1"/>
  <c r="C229" i="10"/>
  <c r="B229" i="10"/>
  <c r="A229" i="10"/>
  <c r="M229" i="10" s="1"/>
  <c r="M228" i="10"/>
  <c r="I228" i="10"/>
  <c r="G228" i="10"/>
  <c r="C228" i="10"/>
  <c r="A228" i="10"/>
  <c r="L228" i="10" s="1"/>
  <c r="I227" i="10"/>
  <c r="A227" i="10"/>
  <c r="G226" i="10"/>
  <c r="A226" i="10"/>
  <c r="L225" i="10"/>
  <c r="K225" i="10"/>
  <c r="J225" i="10"/>
  <c r="H225" i="10"/>
  <c r="G225" i="10"/>
  <c r="F225" i="10"/>
  <c r="D225" i="10"/>
  <c r="E225" i="10" s="1"/>
  <c r="C225" i="10"/>
  <c r="B225" i="10"/>
  <c r="A225" i="10"/>
  <c r="M225" i="10" s="1"/>
  <c r="L224" i="10"/>
  <c r="D224" i="10"/>
  <c r="E224" i="10" s="1"/>
  <c r="A224" i="10"/>
  <c r="M224" i="10" s="1"/>
  <c r="L223" i="10"/>
  <c r="J223" i="10"/>
  <c r="F223" i="10"/>
  <c r="D223" i="10"/>
  <c r="E223" i="10" s="1"/>
  <c r="A223" i="10"/>
  <c r="M222" i="10"/>
  <c r="K222" i="10"/>
  <c r="I222" i="10"/>
  <c r="F222" i="10"/>
  <c r="C222" i="10"/>
  <c r="B222" i="10"/>
  <c r="A222" i="10"/>
  <c r="L221" i="10"/>
  <c r="K221" i="10"/>
  <c r="J221" i="10"/>
  <c r="H221" i="10"/>
  <c r="G221" i="10"/>
  <c r="F221" i="10"/>
  <c r="D221" i="10"/>
  <c r="E221" i="10" s="1"/>
  <c r="C221" i="10"/>
  <c r="B221" i="10"/>
  <c r="A221" i="10"/>
  <c r="M221" i="10" s="1"/>
  <c r="M220" i="10"/>
  <c r="I220" i="10"/>
  <c r="G220" i="10"/>
  <c r="C220" i="10"/>
  <c r="A220" i="10"/>
  <c r="L219" i="10"/>
  <c r="A219" i="10"/>
  <c r="F219" i="10" s="1"/>
  <c r="K218" i="10"/>
  <c r="C218" i="10"/>
  <c r="A218" i="10"/>
  <c r="M218" i="10" s="1"/>
  <c r="L217" i="10"/>
  <c r="K217" i="10"/>
  <c r="J217" i="10"/>
  <c r="H217" i="10"/>
  <c r="G217" i="10"/>
  <c r="F217" i="10"/>
  <c r="D217" i="10"/>
  <c r="E217" i="10" s="1"/>
  <c r="C217" i="10"/>
  <c r="B217" i="10"/>
  <c r="A217" i="10"/>
  <c r="M217" i="10" s="1"/>
  <c r="H216" i="10"/>
  <c r="A216" i="10"/>
  <c r="L215" i="10"/>
  <c r="J215" i="10"/>
  <c r="F215" i="10"/>
  <c r="D215" i="10"/>
  <c r="E215" i="10" s="1"/>
  <c r="A215" i="10"/>
  <c r="M214" i="10"/>
  <c r="K214" i="10"/>
  <c r="I214" i="10"/>
  <c r="F214" i="10"/>
  <c r="C214" i="10"/>
  <c r="B214" i="10"/>
  <c r="A214" i="10"/>
  <c r="L213" i="10"/>
  <c r="K213" i="10"/>
  <c r="J213" i="10"/>
  <c r="H213" i="10"/>
  <c r="G213" i="10"/>
  <c r="F213" i="10"/>
  <c r="D213" i="10"/>
  <c r="E213" i="10" s="1"/>
  <c r="C213" i="10"/>
  <c r="B213" i="10"/>
  <c r="A213" i="10"/>
  <c r="M213" i="10" s="1"/>
  <c r="M212" i="10"/>
  <c r="I212" i="10"/>
  <c r="G212" i="10"/>
  <c r="C212" i="10"/>
  <c r="A212" i="10"/>
  <c r="L212" i="10" s="1"/>
  <c r="A211" i="10"/>
  <c r="A210" i="10"/>
  <c r="L209" i="10"/>
  <c r="K209" i="10"/>
  <c r="J209" i="10"/>
  <c r="H209" i="10"/>
  <c r="G209" i="10"/>
  <c r="F209" i="10"/>
  <c r="D209" i="10"/>
  <c r="E209" i="10" s="1"/>
  <c r="C209" i="10"/>
  <c r="B209" i="10"/>
  <c r="A209" i="10"/>
  <c r="M209" i="10" s="1"/>
  <c r="L208" i="10"/>
  <c r="D208" i="10"/>
  <c r="E208" i="10" s="1"/>
  <c r="A208" i="10"/>
  <c r="M208" i="10" s="1"/>
  <c r="L207" i="10"/>
  <c r="J207" i="10"/>
  <c r="F207" i="10"/>
  <c r="D207" i="10"/>
  <c r="E207" i="10" s="1"/>
  <c r="A207" i="10"/>
  <c r="M206" i="10"/>
  <c r="K206" i="10"/>
  <c r="I206" i="10"/>
  <c r="F206" i="10"/>
  <c r="C206" i="10"/>
  <c r="B206" i="10"/>
  <c r="A206" i="10"/>
  <c r="L205" i="10"/>
  <c r="K205" i="10"/>
  <c r="J205" i="10"/>
  <c r="H205" i="10"/>
  <c r="G205" i="10"/>
  <c r="F205" i="10"/>
  <c r="D205" i="10"/>
  <c r="E205" i="10" s="1"/>
  <c r="C205" i="10"/>
  <c r="B205" i="10"/>
  <c r="A205" i="10"/>
  <c r="M205" i="10" s="1"/>
  <c r="M204" i="10"/>
  <c r="I204" i="10"/>
  <c r="G204" i="10"/>
  <c r="C204" i="10"/>
  <c r="A204" i="10"/>
  <c r="L203" i="10"/>
  <c r="A203" i="10"/>
  <c r="F203" i="10" s="1"/>
  <c r="K202" i="10"/>
  <c r="C202" i="10"/>
  <c r="A202" i="10"/>
  <c r="M202" i="10" s="1"/>
  <c r="L201" i="10"/>
  <c r="K201" i="10"/>
  <c r="J201" i="10"/>
  <c r="H201" i="10"/>
  <c r="G201" i="10"/>
  <c r="F201" i="10"/>
  <c r="D201" i="10"/>
  <c r="E201" i="10" s="1"/>
  <c r="C201" i="10"/>
  <c r="B201" i="10"/>
  <c r="A201" i="10"/>
  <c r="M201" i="10" s="1"/>
  <c r="A200" i="10"/>
  <c r="L199" i="10"/>
  <c r="J199" i="10"/>
  <c r="F199" i="10"/>
  <c r="D199" i="10"/>
  <c r="E199" i="10" s="1"/>
  <c r="A199" i="10"/>
  <c r="M198" i="10"/>
  <c r="K198" i="10"/>
  <c r="I198" i="10"/>
  <c r="F198" i="10"/>
  <c r="C198" i="10"/>
  <c r="B198" i="10"/>
  <c r="A198" i="10"/>
  <c r="L197" i="10"/>
  <c r="K197" i="10"/>
  <c r="J197" i="10"/>
  <c r="H197" i="10"/>
  <c r="G197" i="10"/>
  <c r="F197" i="10"/>
  <c r="D197" i="10"/>
  <c r="E197" i="10" s="1"/>
  <c r="C197" i="10"/>
  <c r="B197" i="10"/>
  <c r="A197" i="10"/>
  <c r="M197" i="10" s="1"/>
  <c r="M196" i="10"/>
  <c r="I196" i="10"/>
  <c r="G196" i="10"/>
  <c r="C196" i="10"/>
  <c r="A196" i="10"/>
  <c r="L196" i="10" s="1"/>
  <c r="I195" i="10"/>
  <c r="A195" i="10"/>
  <c r="G194" i="10"/>
  <c r="A194" i="10"/>
  <c r="J193" i="10"/>
  <c r="G193" i="10"/>
  <c r="B193" i="10"/>
  <c r="A193" i="10"/>
  <c r="I193" i="10" s="1"/>
  <c r="L192" i="10"/>
  <c r="K192" i="10"/>
  <c r="J192" i="10"/>
  <c r="H192" i="10"/>
  <c r="G192" i="10"/>
  <c r="F192" i="10"/>
  <c r="D192" i="10"/>
  <c r="E192" i="10" s="1"/>
  <c r="C192" i="10"/>
  <c r="B192" i="10"/>
  <c r="A192" i="10"/>
  <c r="M192" i="10" s="1"/>
  <c r="M191" i="10"/>
  <c r="K191" i="10"/>
  <c r="H191" i="10"/>
  <c r="C191" i="10"/>
  <c r="A191" i="10"/>
  <c r="I191" i="10" s="1"/>
  <c r="M190" i="10"/>
  <c r="J190" i="10"/>
  <c r="I190" i="10"/>
  <c r="H190" i="10"/>
  <c r="E190" i="10"/>
  <c r="D190" i="10"/>
  <c r="B190" i="10"/>
  <c r="A190" i="10"/>
  <c r="M189" i="10"/>
  <c r="J189" i="10"/>
  <c r="G189" i="10"/>
  <c r="B189" i="10"/>
  <c r="A189" i="10"/>
  <c r="I189" i="10" s="1"/>
  <c r="L188" i="10"/>
  <c r="K188" i="10"/>
  <c r="J188" i="10"/>
  <c r="H188" i="10"/>
  <c r="G188" i="10"/>
  <c r="F188" i="10"/>
  <c r="D188" i="10"/>
  <c r="E188" i="10" s="1"/>
  <c r="C188" i="10"/>
  <c r="B188" i="10"/>
  <c r="A188" i="10"/>
  <c r="M188" i="10" s="1"/>
  <c r="M187" i="10"/>
  <c r="K187" i="10"/>
  <c r="H187" i="10"/>
  <c r="C187" i="10"/>
  <c r="A187" i="10"/>
  <c r="I187" i="10" s="1"/>
  <c r="M186" i="10"/>
  <c r="J186" i="10"/>
  <c r="I186" i="10"/>
  <c r="H186" i="10"/>
  <c r="E186" i="10"/>
  <c r="D186" i="10"/>
  <c r="B186" i="10"/>
  <c r="A186" i="10"/>
  <c r="M185" i="10"/>
  <c r="J185" i="10"/>
  <c r="G185" i="10"/>
  <c r="B185" i="10"/>
  <c r="A185" i="10"/>
  <c r="I185" i="10" s="1"/>
  <c r="L184" i="10"/>
  <c r="K184" i="10"/>
  <c r="J184" i="10"/>
  <c r="H184" i="10"/>
  <c r="G184" i="10"/>
  <c r="F184" i="10"/>
  <c r="D184" i="10"/>
  <c r="E184" i="10" s="1"/>
  <c r="C184" i="10"/>
  <c r="B184" i="10"/>
  <c r="A184" i="10"/>
  <c r="M184" i="10" s="1"/>
  <c r="M183" i="10"/>
  <c r="K183" i="10"/>
  <c r="H183" i="10"/>
  <c r="C183" i="10"/>
  <c r="A183" i="10"/>
  <c r="I183" i="10" s="1"/>
  <c r="M182" i="10"/>
  <c r="J182" i="10"/>
  <c r="I182" i="10"/>
  <c r="H182" i="10"/>
  <c r="E182" i="10"/>
  <c r="D182" i="10"/>
  <c r="B182" i="10"/>
  <c r="A182" i="10"/>
  <c r="M181" i="10"/>
  <c r="J181" i="10"/>
  <c r="G181" i="10"/>
  <c r="B181" i="10"/>
  <c r="A181" i="10"/>
  <c r="I181" i="10" s="1"/>
  <c r="L180" i="10"/>
  <c r="K180" i="10"/>
  <c r="J180" i="10"/>
  <c r="H180" i="10"/>
  <c r="G180" i="10"/>
  <c r="F180" i="10"/>
  <c r="D180" i="10"/>
  <c r="E180" i="10" s="1"/>
  <c r="C180" i="10"/>
  <c r="B180" i="10"/>
  <c r="A180" i="10"/>
  <c r="M180" i="10" s="1"/>
  <c r="M179" i="10"/>
  <c r="L179" i="10"/>
  <c r="K179" i="10"/>
  <c r="H179" i="10"/>
  <c r="G179" i="10"/>
  <c r="F179" i="10"/>
  <c r="D179" i="10"/>
  <c r="E179" i="10" s="1"/>
  <c r="C179" i="10"/>
  <c r="B179" i="10"/>
  <c r="A179" i="10"/>
  <c r="J179" i="10" s="1"/>
  <c r="M178" i="10"/>
  <c r="A178" i="10"/>
  <c r="I178" i="10" s="1"/>
  <c r="L177" i="10"/>
  <c r="J177" i="10"/>
  <c r="H177" i="10"/>
  <c r="F177" i="10"/>
  <c r="D177" i="10"/>
  <c r="E177" i="10" s="1"/>
  <c r="B177" i="10"/>
  <c r="A177" i="10"/>
  <c r="M177" i="10" s="1"/>
  <c r="K176" i="10"/>
  <c r="G176" i="10"/>
  <c r="C176" i="10"/>
  <c r="A176" i="10"/>
  <c r="J176" i="10" s="1"/>
  <c r="L175" i="10"/>
  <c r="K175" i="10"/>
  <c r="J175" i="10"/>
  <c r="H175" i="10"/>
  <c r="G175" i="10"/>
  <c r="F175" i="10"/>
  <c r="D175" i="10"/>
  <c r="E175" i="10" s="1"/>
  <c r="C175" i="10"/>
  <c r="B175" i="10"/>
  <c r="A175" i="10"/>
  <c r="M175" i="10" s="1"/>
  <c r="I174" i="10"/>
  <c r="A174" i="10"/>
  <c r="M174" i="10" s="1"/>
  <c r="L173" i="10"/>
  <c r="J173" i="10"/>
  <c r="H173" i="10"/>
  <c r="F173" i="10"/>
  <c r="D173" i="10"/>
  <c r="E173" i="10" s="1"/>
  <c r="B173" i="10"/>
  <c r="A173" i="10"/>
  <c r="M173" i="10" s="1"/>
  <c r="K172" i="10"/>
  <c r="G172" i="10"/>
  <c r="C172" i="10"/>
  <c r="A172" i="10"/>
  <c r="J172" i="10" s="1"/>
  <c r="L171" i="10"/>
  <c r="K171" i="10"/>
  <c r="J171" i="10"/>
  <c r="H171" i="10"/>
  <c r="G171" i="10"/>
  <c r="F171" i="10"/>
  <c r="D171" i="10"/>
  <c r="E171" i="10" s="1"/>
  <c r="C171" i="10"/>
  <c r="B171" i="10"/>
  <c r="A171" i="10"/>
  <c r="M171" i="10" s="1"/>
  <c r="M170" i="10"/>
  <c r="A170" i="10"/>
  <c r="L169" i="10"/>
  <c r="J169" i="10"/>
  <c r="H169" i="10"/>
  <c r="F169" i="10"/>
  <c r="D169" i="10"/>
  <c r="E169" i="10" s="1"/>
  <c r="B169" i="10"/>
  <c r="A169" i="10"/>
  <c r="M169" i="10" s="1"/>
  <c r="K168" i="10"/>
  <c r="G168" i="10"/>
  <c r="C168" i="10"/>
  <c r="A168" i="10"/>
  <c r="J168" i="10" s="1"/>
  <c r="L167" i="10"/>
  <c r="K167" i="10"/>
  <c r="J167" i="10"/>
  <c r="H167" i="10"/>
  <c r="G167" i="10"/>
  <c r="F167" i="10"/>
  <c r="D167" i="10"/>
  <c r="E167" i="10" s="1"/>
  <c r="C167" i="10"/>
  <c r="B167" i="10"/>
  <c r="A167" i="10"/>
  <c r="M167" i="10" s="1"/>
  <c r="A166" i="10"/>
  <c r="L165" i="10"/>
  <c r="J165" i="10"/>
  <c r="H165" i="10"/>
  <c r="F165" i="10"/>
  <c r="D165" i="10"/>
  <c r="E165" i="10" s="1"/>
  <c r="B165" i="10"/>
  <c r="A165" i="10"/>
  <c r="M165" i="10" s="1"/>
  <c r="K164" i="10"/>
  <c r="G164" i="10"/>
  <c r="C164" i="10"/>
  <c r="A164" i="10"/>
  <c r="J164" i="10" s="1"/>
  <c r="L163" i="10"/>
  <c r="K163" i="10"/>
  <c r="J163" i="10"/>
  <c r="H163" i="10"/>
  <c r="G163" i="10"/>
  <c r="F163" i="10"/>
  <c r="D163" i="10"/>
  <c r="E163" i="10" s="1"/>
  <c r="C163" i="10"/>
  <c r="B163" i="10"/>
  <c r="A163" i="10"/>
  <c r="M163" i="10" s="1"/>
  <c r="M162" i="10"/>
  <c r="A162" i="10"/>
  <c r="I162" i="10" s="1"/>
  <c r="L161" i="10"/>
  <c r="J161" i="10"/>
  <c r="H161" i="10"/>
  <c r="F161" i="10"/>
  <c r="D161" i="10"/>
  <c r="E161" i="10" s="1"/>
  <c r="B161" i="10"/>
  <c r="A161" i="10"/>
  <c r="M161" i="10" s="1"/>
  <c r="K160" i="10"/>
  <c r="G160" i="10"/>
  <c r="C160" i="10"/>
  <c r="A160" i="10"/>
  <c r="J160" i="10" s="1"/>
  <c r="L159" i="10"/>
  <c r="K159" i="10"/>
  <c r="J159" i="10"/>
  <c r="H159" i="10"/>
  <c r="G159" i="10"/>
  <c r="F159" i="10"/>
  <c r="D159" i="10"/>
  <c r="E159" i="10" s="1"/>
  <c r="C159" i="10"/>
  <c r="B159" i="10"/>
  <c r="A159" i="10"/>
  <c r="M159" i="10" s="1"/>
  <c r="I158" i="10"/>
  <c r="A158" i="10"/>
  <c r="M158" i="10" s="1"/>
  <c r="L157" i="10"/>
  <c r="J157" i="10"/>
  <c r="H157" i="10"/>
  <c r="F157" i="10"/>
  <c r="D157" i="10"/>
  <c r="E157" i="10" s="1"/>
  <c r="B157" i="10"/>
  <c r="A157" i="10"/>
  <c r="M157" i="10" s="1"/>
  <c r="K156" i="10"/>
  <c r="G156" i="10"/>
  <c r="C156" i="10"/>
  <c r="A156" i="10"/>
  <c r="J156" i="10" s="1"/>
  <c r="L155" i="10"/>
  <c r="K155" i="10"/>
  <c r="J155" i="10"/>
  <c r="H155" i="10"/>
  <c r="G155" i="10"/>
  <c r="F155" i="10"/>
  <c r="D155" i="10"/>
  <c r="E155" i="10" s="1"/>
  <c r="C155" i="10"/>
  <c r="B155" i="10"/>
  <c r="A155" i="10"/>
  <c r="M155" i="10" s="1"/>
  <c r="M154" i="10"/>
  <c r="A154" i="10"/>
  <c r="L153" i="10"/>
  <c r="J153" i="10"/>
  <c r="H153" i="10"/>
  <c r="F153" i="10"/>
  <c r="D153" i="10"/>
  <c r="E153" i="10" s="1"/>
  <c r="B153" i="10"/>
  <c r="A153" i="10"/>
  <c r="M153" i="10" s="1"/>
  <c r="K152" i="10"/>
  <c r="G152" i="10"/>
  <c r="C152" i="10"/>
  <c r="A152" i="10"/>
  <c r="J152" i="10" s="1"/>
  <c r="L151" i="10"/>
  <c r="K151" i="10"/>
  <c r="J151" i="10"/>
  <c r="H151" i="10"/>
  <c r="G151" i="10"/>
  <c r="F151" i="10"/>
  <c r="D151" i="10"/>
  <c r="E151" i="10" s="1"/>
  <c r="C151" i="10"/>
  <c r="B151" i="10"/>
  <c r="A151" i="10"/>
  <c r="M151" i="10" s="1"/>
  <c r="A150" i="10"/>
  <c r="L149" i="10"/>
  <c r="J149" i="10"/>
  <c r="H149" i="10"/>
  <c r="F149" i="10"/>
  <c r="D149" i="10"/>
  <c r="E149" i="10" s="1"/>
  <c r="B149" i="10"/>
  <c r="A149" i="10"/>
  <c r="M149" i="10" s="1"/>
  <c r="K148" i="10"/>
  <c r="G148" i="10"/>
  <c r="C148" i="10"/>
  <c r="A148" i="10"/>
  <c r="J148" i="10" s="1"/>
  <c r="L147" i="10"/>
  <c r="K147" i="10"/>
  <c r="J147" i="10"/>
  <c r="H147" i="10"/>
  <c r="G147" i="10"/>
  <c r="F147" i="10"/>
  <c r="D147" i="10"/>
  <c r="E147" i="10" s="1"/>
  <c r="C147" i="10"/>
  <c r="B147" i="10"/>
  <c r="A147" i="10"/>
  <c r="M147" i="10" s="1"/>
  <c r="M146" i="10"/>
  <c r="A146" i="10"/>
  <c r="I146" i="10" s="1"/>
  <c r="L145" i="10"/>
  <c r="J145" i="10"/>
  <c r="H145" i="10"/>
  <c r="F145" i="10"/>
  <c r="D145" i="10"/>
  <c r="E145" i="10" s="1"/>
  <c r="B145" i="10"/>
  <c r="A145" i="10"/>
  <c r="M145" i="10" s="1"/>
  <c r="K144" i="10"/>
  <c r="G144" i="10"/>
  <c r="C144" i="10"/>
  <c r="A144" i="10"/>
  <c r="J144" i="10" s="1"/>
  <c r="L143" i="10"/>
  <c r="K143" i="10"/>
  <c r="J143" i="10"/>
  <c r="H143" i="10"/>
  <c r="G143" i="10"/>
  <c r="F143" i="10"/>
  <c r="D143" i="10"/>
  <c r="E143" i="10" s="1"/>
  <c r="C143" i="10"/>
  <c r="B143" i="10"/>
  <c r="A143" i="10"/>
  <c r="M143" i="10" s="1"/>
  <c r="I142" i="10"/>
  <c r="A142" i="10"/>
  <c r="M142" i="10" s="1"/>
  <c r="L141" i="10"/>
  <c r="J141" i="10"/>
  <c r="H141" i="10"/>
  <c r="F141" i="10"/>
  <c r="D141" i="10"/>
  <c r="E141" i="10" s="1"/>
  <c r="B141" i="10"/>
  <c r="A141" i="10"/>
  <c r="M141" i="10" s="1"/>
  <c r="K140" i="10"/>
  <c r="G140" i="10"/>
  <c r="C140" i="10"/>
  <c r="A140" i="10"/>
  <c r="J140" i="10" s="1"/>
  <c r="L139" i="10"/>
  <c r="K139" i="10"/>
  <c r="J139" i="10"/>
  <c r="H139" i="10"/>
  <c r="G139" i="10"/>
  <c r="F139" i="10"/>
  <c r="D139" i="10"/>
  <c r="E139" i="10" s="1"/>
  <c r="C139" i="10"/>
  <c r="B139" i="10"/>
  <c r="A139" i="10"/>
  <c r="M139" i="10" s="1"/>
  <c r="M138" i="10"/>
  <c r="A138" i="10"/>
  <c r="L137" i="10"/>
  <c r="J137" i="10"/>
  <c r="H137" i="10"/>
  <c r="F137" i="10"/>
  <c r="D137" i="10"/>
  <c r="E137" i="10" s="1"/>
  <c r="B137" i="10"/>
  <c r="A137" i="10"/>
  <c r="M137" i="10" s="1"/>
  <c r="K136" i="10"/>
  <c r="G136" i="10"/>
  <c r="C136" i="10"/>
  <c r="A136" i="10"/>
  <c r="J136" i="10" s="1"/>
  <c r="L135" i="10"/>
  <c r="K135" i="10"/>
  <c r="J135" i="10"/>
  <c r="H135" i="10"/>
  <c r="G135" i="10"/>
  <c r="F135" i="10"/>
  <c r="D135" i="10"/>
  <c r="E135" i="10" s="1"/>
  <c r="C135" i="10"/>
  <c r="B135" i="10"/>
  <c r="A135" i="10"/>
  <c r="M135" i="10" s="1"/>
  <c r="A134" i="10"/>
  <c r="L133" i="10"/>
  <c r="J133" i="10"/>
  <c r="H133" i="10"/>
  <c r="F133" i="10"/>
  <c r="D133" i="10"/>
  <c r="E133" i="10" s="1"/>
  <c r="B133" i="10"/>
  <c r="A133" i="10"/>
  <c r="M133" i="10" s="1"/>
  <c r="K132" i="10"/>
  <c r="G132" i="10"/>
  <c r="C132" i="10"/>
  <c r="A132" i="10"/>
  <c r="J132" i="10" s="1"/>
  <c r="L131" i="10"/>
  <c r="K131" i="10"/>
  <c r="J131" i="10"/>
  <c r="H131" i="10"/>
  <c r="G131" i="10"/>
  <c r="F131" i="10"/>
  <c r="D131" i="10"/>
  <c r="E131" i="10" s="1"/>
  <c r="C131" i="10"/>
  <c r="B131" i="10"/>
  <c r="A131" i="10"/>
  <c r="M131" i="10" s="1"/>
  <c r="M130" i="10"/>
  <c r="A130" i="10"/>
  <c r="I130" i="10" s="1"/>
  <c r="L129" i="10"/>
  <c r="J129" i="10"/>
  <c r="H129" i="10"/>
  <c r="F129" i="10"/>
  <c r="D129" i="10"/>
  <c r="E129" i="10" s="1"/>
  <c r="B129" i="10"/>
  <c r="A129" i="10"/>
  <c r="M129" i="10" s="1"/>
  <c r="K128" i="10"/>
  <c r="G128" i="10"/>
  <c r="C128" i="10"/>
  <c r="A128" i="10"/>
  <c r="J128" i="10" s="1"/>
  <c r="L127" i="10"/>
  <c r="K127" i="10"/>
  <c r="J127" i="10"/>
  <c r="H127" i="10"/>
  <c r="G127" i="10"/>
  <c r="F127" i="10"/>
  <c r="D127" i="10"/>
  <c r="E127" i="10" s="1"/>
  <c r="C127" i="10"/>
  <c r="B127" i="10"/>
  <c r="A127" i="10"/>
  <c r="M127" i="10" s="1"/>
  <c r="I126" i="10"/>
  <c r="A126" i="10"/>
  <c r="M126" i="10" s="1"/>
  <c r="L125" i="10"/>
  <c r="J125" i="10"/>
  <c r="H125" i="10"/>
  <c r="F125" i="10"/>
  <c r="D125" i="10"/>
  <c r="E125" i="10" s="1"/>
  <c r="B125" i="10"/>
  <c r="A125" i="10"/>
  <c r="M125" i="10" s="1"/>
  <c r="K124" i="10"/>
  <c r="G124" i="10"/>
  <c r="C124" i="10"/>
  <c r="A124" i="10"/>
  <c r="J124" i="10" s="1"/>
  <c r="L123" i="10"/>
  <c r="K123" i="10"/>
  <c r="J123" i="10"/>
  <c r="H123" i="10"/>
  <c r="G123" i="10"/>
  <c r="F123" i="10"/>
  <c r="D123" i="10"/>
  <c r="E123" i="10" s="1"/>
  <c r="C123" i="10"/>
  <c r="B123" i="10"/>
  <c r="A123" i="10"/>
  <c r="M123" i="10" s="1"/>
  <c r="M122" i="10"/>
  <c r="A122" i="10"/>
  <c r="G122" i="10" s="1"/>
  <c r="L121" i="10"/>
  <c r="J121" i="10"/>
  <c r="H121" i="10"/>
  <c r="F121" i="10"/>
  <c r="D121" i="10"/>
  <c r="E121" i="10" s="1"/>
  <c r="B121" i="10"/>
  <c r="A121" i="10"/>
  <c r="M121" i="10" s="1"/>
  <c r="I120" i="10"/>
  <c r="A120" i="10"/>
  <c r="L119" i="10"/>
  <c r="K119" i="10"/>
  <c r="J119" i="10"/>
  <c r="H119" i="10"/>
  <c r="G119" i="10"/>
  <c r="F119" i="10"/>
  <c r="D119" i="10"/>
  <c r="E119" i="10" s="1"/>
  <c r="C119" i="10"/>
  <c r="B119" i="10"/>
  <c r="A119" i="10"/>
  <c r="M119" i="10" s="1"/>
  <c r="M118" i="10"/>
  <c r="K118" i="10"/>
  <c r="G118" i="10"/>
  <c r="C118" i="10"/>
  <c r="A118" i="10"/>
  <c r="L117" i="10"/>
  <c r="J117" i="10"/>
  <c r="H117" i="10"/>
  <c r="F117" i="10"/>
  <c r="D117" i="10"/>
  <c r="E117" i="10" s="1"/>
  <c r="B117" i="10"/>
  <c r="A117" i="10"/>
  <c r="M117" i="10" s="1"/>
  <c r="K116" i="10"/>
  <c r="G116" i="10"/>
  <c r="C116" i="10"/>
  <c r="A116" i="10"/>
  <c r="L115" i="10"/>
  <c r="K115" i="10"/>
  <c r="J115" i="10"/>
  <c r="H115" i="10"/>
  <c r="G115" i="10"/>
  <c r="F115" i="10"/>
  <c r="D115" i="10"/>
  <c r="E115" i="10" s="1"/>
  <c r="C115" i="10"/>
  <c r="B115" i="10"/>
  <c r="A115" i="10"/>
  <c r="M115" i="10" s="1"/>
  <c r="A114" i="10"/>
  <c r="L113" i="10"/>
  <c r="J113" i="10"/>
  <c r="H113" i="10"/>
  <c r="F113" i="10"/>
  <c r="D113" i="10"/>
  <c r="E113" i="10" s="1"/>
  <c r="B113" i="10"/>
  <c r="A113" i="10"/>
  <c r="M113" i="10" s="1"/>
  <c r="M112" i="10"/>
  <c r="A112" i="10"/>
  <c r="G112" i="10" s="1"/>
  <c r="L111" i="10"/>
  <c r="K111" i="10"/>
  <c r="J111" i="10"/>
  <c r="H111" i="10"/>
  <c r="G111" i="10"/>
  <c r="F111" i="10"/>
  <c r="D111" i="10"/>
  <c r="E111" i="10" s="1"/>
  <c r="C111" i="10"/>
  <c r="B111" i="10"/>
  <c r="A111" i="10"/>
  <c r="M111" i="10" s="1"/>
  <c r="K110" i="10"/>
  <c r="G110" i="10"/>
  <c r="C110" i="10"/>
  <c r="A110" i="10"/>
  <c r="L109" i="10"/>
  <c r="J109" i="10"/>
  <c r="H109" i="10"/>
  <c r="F109" i="10"/>
  <c r="D109" i="10"/>
  <c r="E109" i="10" s="1"/>
  <c r="B109" i="10"/>
  <c r="A109" i="10"/>
  <c r="M109" i="10" s="1"/>
  <c r="M108" i="10"/>
  <c r="K108" i="10"/>
  <c r="G108" i="10"/>
  <c r="C108" i="10"/>
  <c r="A108" i="10"/>
  <c r="L107" i="10"/>
  <c r="K107" i="10"/>
  <c r="J107" i="10"/>
  <c r="H107" i="10"/>
  <c r="G107" i="10"/>
  <c r="F107" i="10"/>
  <c r="D107" i="10"/>
  <c r="E107" i="10" s="1"/>
  <c r="C107" i="10"/>
  <c r="B107" i="10"/>
  <c r="A107" i="10"/>
  <c r="M107" i="10" s="1"/>
  <c r="M106" i="10"/>
  <c r="A106" i="10"/>
  <c r="G106" i="10" s="1"/>
  <c r="L105" i="10"/>
  <c r="J105" i="10"/>
  <c r="H105" i="10"/>
  <c r="F105" i="10"/>
  <c r="D105" i="10"/>
  <c r="E105" i="10" s="1"/>
  <c r="B105" i="10"/>
  <c r="A105" i="10"/>
  <c r="M105" i="10" s="1"/>
  <c r="I104" i="10"/>
  <c r="A104" i="10"/>
  <c r="L103" i="10"/>
  <c r="K103" i="10"/>
  <c r="J103" i="10"/>
  <c r="H103" i="10"/>
  <c r="G103" i="10"/>
  <c r="F103" i="10"/>
  <c r="D103" i="10"/>
  <c r="E103" i="10" s="1"/>
  <c r="C103" i="10"/>
  <c r="B103" i="10"/>
  <c r="A103" i="10"/>
  <c r="M103" i="10" s="1"/>
  <c r="M102" i="10"/>
  <c r="K102" i="10"/>
  <c r="G102" i="10"/>
  <c r="C102" i="10"/>
  <c r="A102" i="10"/>
  <c r="L101" i="10"/>
  <c r="J101" i="10"/>
  <c r="H101" i="10"/>
  <c r="F101" i="10"/>
  <c r="D101" i="10"/>
  <c r="E101" i="10" s="1"/>
  <c r="B101" i="10"/>
  <c r="A101" i="10"/>
  <c r="M101" i="10" s="1"/>
  <c r="K100" i="10"/>
  <c r="G100" i="10"/>
  <c r="C100" i="10"/>
  <c r="A100" i="10"/>
  <c r="L99" i="10"/>
  <c r="K99" i="10"/>
  <c r="J99" i="10"/>
  <c r="H99" i="10"/>
  <c r="G99" i="10"/>
  <c r="F99" i="10"/>
  <c r="D99" i="10"/>
  <c r="E99" i="10" s="1"/>
  <c r="C99" i="10"/>
  <c r="B99" i="10"/>
  <c r="A99" i="10"/>
  <c r="M99" i="10" s="1"/>
  <c r="A98" i="10"/>
  <c r="L97" i="10"/>
  <c r="J97" i="10"/>
  <c r="H97" i="10"/>
  <c r="F97" i="10"/>
  <c r="D97" i="10"/>
  <c r="E97" i="10" s="1"/>
  <c r="B97" i="10"/>
  <c r="A97" i="10"/>
  <c r="M97" i="10" s="1"/>
  <c r="M96" i="10"/>
  <c r="A96" i="10"/>
  <c r="G96" i="10" s="1"/>
  <c r="L95" i="10"/>
  <c r="K95" i="10"/>
  <c r="J95" i="10"/>
  <c r="H95" i="10"/>
  <c r="G95" i="10"/>
  <c r="F95" i="10"/>
  <c r="D95" i="10"/>
  <c r="E95" i="10" s="1"/>
  <c r="C95" i="10"/>
  <c r="B95" i="10"/>
  <c r="A95" i="10"/>
  <c r="M95" i="10" s="1"/>
  <c r="K94" i="10"/>
  <c r="G94" i="10"/>
  <c r="C94" i="10"/>
  <c r="A94" i="10"/>
  <c r="L93" i="10"/>
  <c r="J93" i="10"/>
  <c r="H93" i="10"/>
  <c r="F93" i="10"/>
  <c r="D93" i="10"/>
  <c r="E93" i="10" s="1"/>
  <c r="B93" i="10"/>
  <c r="A93" i="10"/>
  <c r="M93" i="10" s="1"/>
  <c r="M92" i="10"/>
  <c r="K92" i="10"/>
  <c r="G92" i="10"/>
  <c r="C92" i="10"/>
  <c r="A92" i="10"/>
  <c r="L91" i="10"/>
  <c r="K91" i="10"/>
  <c r="J91" i="10"/>
  <c r="H91" i="10"/>
  <c r="G91" i="10"/>
  <c r="F91" i="10"/>
  <c r="D91" i="10"/>
  <c r="E91" i="10" s="1"/>
  <c r="C91" i="10"/>
  <c r="B91" i="10"/>
  <c r="A91" i="10"/>
  <c r="M91" i="10" s="1"/>
  <c r="M90" i="10"/>
  <c r="A90" i="10"/>
  <c r="G90" i="10" s="1"/>
  <c r="L89" i="10"/>
  <c r="J89" i="10"/>
  <c r="H89" i="10"/>
  <c r="F89" i="10"/>
  <c r="D89" i="10"/>
  <c r="E89" i="10" s="1"/>
  <c r="B89" i="10"/>
  <c r="A89" i="10"/>
  <c r="M89" i="10" s="1"/>
  <c r="I88" i="10"/>
  <c r="A88" i="10"/>
  <c r="L87" i="10"/>
  <c r="K87" i="10"/>
  <c r="J87" i="10"/>
  <c r="H87" i="10"/>
  <c r="G87" i="10"/>
  <c r="F87" i="10"/>
  <c r="D87" i="10"/>
  <c r="E87" i="10" s="1"/>
  <c r="C87" i="10"/>
  <c r="B87" i="10"/>
  <c r="A87" i="10"/>
  <c r="M87" i="10" s="1"/>
  <c r="M86" i="10"/>
  <c r="K86" i="10"/>
  <c r="G86" i="10"/>
  <c r="C86" i="10"/>
  <c r="A86" i="10"/>
  <c r="L85" i="10"/>
  <c r="J85" i="10"/>
  <c r="H85" i="10"/>
  <c r="F85" i="10"/>
  <c r="D85" i="10"/>
  <c r="E85" i="10" s="1"/>
  <c r="B85" i="10"/>
  <c r="A85" i="10"/>
  <c r="M85" i="10" s="1"/>
  <c r="K84" i="10"/>
  <c r="G84" i="10"/>
  <c r="C84" i="10"/>
  <c r="A84" i="10"/>
  <c r="L83" i="10"/>
  <c r="K83" i="10"/>
  <c r="J83" i="10"/>
  <c r="H83" i="10"/>
  <c r="G83" i="10"/>
  <c r="F83" i="10"/>
  <c r="D83" i="10"/>
  <c r="E83" i="10" s="1"/>
  <c r="C83" i="10"/>
  <c r="B83" i="10"/>
  <c r="A83" i="10"/>
  <c r="M83" i="10" s="1"/>
  <c r="A82" i="10"/>
  <c r="L81" i="10"/>
  <c r="J81" i="10"/>
  <c r="H81" i="10"/>
  <c r="F81" i="10"/>
  <c r="D81" i="10"/>
  <c r="E81" i="10" s="1"/>
  <c r="B81" i="10"/>
  <c r="A81" i="10"/>
  <c r="M81" i="10" s="1"/>
  <c r="M80" i="10"/>
  <c r="A80" i="10"/>
  <c r="G80" i="10" s="1"/>
  <c r="L79" i="10"/>
  <c r="K79" i="10"/>
  <c r="J79" i="10"/>
  <c r="H79" i="10"/>
  <c r="G79" i="10"/>
  <c r="F79" i="10"/>
  <c r="D79" i="10"/>
  <c r="E79" i="10" s="1"/>
  <c r="C79" i="10"/>
  <c r="B79" i="10"/>
  <c r="A79" i="10"/>
  <c r="M79" i="10" s="1"/>
  <c r="K78" i="10"/>
  <c r="G78" i="10"/>
  <c r="C78" i="10"/>
  <c r="A78" i="10"/>
  <c r="L77" i="10"/>
  <c r="J77" i="10"/>
  <c r="H77" i="10"/>
  <c r="F77" i="10"/>
  <c r="D77" i="10"/>
  <c r="E77" i="10" s="1"/>
  <c r="B77" i="10"/>
  <c r="A77" i="10"/>
  <c r="M77" i="10" s="1"/>
  <c r="M76" i="10"/>
  <c r="K76" i="10"/>
  <c r="G76" i="10"/>
  <c r="C76" i="10"/>
  <c r="A76" i="10"/>
  <c r="L75" i="10"/>
  <c r="K75" i="10"/>
  <c r="J75" i="10"/>
  <c r="H75" i="10"/>
  <c r="G75" i="10"/>
  <c r="F75" i="10"/>
  <c r="D75" i="10"/>
  <c r="E75" i="10" s="1"/>
  <c r="C75" i="10"/>
  <c r="B75" i="10"/>
  <c r="A75" i="10"/>
  <c r="M75" i="10" s="1"/>
  <c r="M74" i="10"/>
  <c r="A74" i="10"/>
  <c r="G74" i="10" s="1"/>
  <c r="L73" i="10"/>
  <c r="J73" i="10"/>
  <c r="H73" i="10"/>
  <c r="F73" i="10"/>
  <c r="D73" i="10"/>
  <c r="E73" i="10" s="1"/>
  <c r="B73" i="10"/>
  <c r="A73" i="10"/>
  <c r="M73" i="10" s="1"/>
  <c r="I72" i="10"/>
  <c r="A72" i="10"/>
  <c r="L71" i="10"/>
  <c r="K71" i="10"/>
  <c r="J71" i="10"/>
  <c r="H71" i="10"/>
  <c r="G71" i="10"/>
  <c r="F71" i="10"/>
  <c r="D71" i="10"/>
  <c r="E71" i="10" s="1"/>
  <c r="C71" i="10"/>
  <c r="B71" i="10"/>
  <c r="A71" i="10"/>
  <c r="M71" i="10" s="1"/>
  <c r="M70" i="10"/>
  <c r="K70" i="10"/>
  <c r="G70" i="10"/>
  <c r="C70" i="10"/>
  <c r="A70" i="10"/>
  <c r="L69" i="10"/>
  <c r="J69" i="10"/>
  <c r="H69" i="10"/>
  <c r="F69" i="10"/>
  <c r="D69" i="10"/>
  <c r="E69" i="10" s="1"/>
  <c r="B69" i="10"/>
  <c r="A69" i="10"/>
  <c r="M69" i="10" s="1"/>
  <c r="K68" i="10"/>
  <c r="G68" i="10"/>
  <c r="C68" i="10"/>
  <c r="A68" i="10"/>
  <c r="L67" i="10"/>
  <c r="K67" i="10"/>
  <c r="J67" i="10"/>
  <c r="H67" i="10"/>
  <c r="G67" i="10"/>
  <c r="F67" i="10"/>
  <c r="D67" i="10"/>
  <c r="E67" i="10" s="1"/>
  <c r="C67" i="10"/>
  <c r="B67" i="10"/>
  <c r="A67" i="10"/>
  <c r="M67" i="10" s="1"/>
  <c r="A66" i="10"/>
  <c r="J65" i="10"/>
  <c r="I65" i="10"/>
  <c r="H65" i="10"/>
  <c r="E65" i="10"/>
  <c r="D65" i="10"/>
  <c r="B65" i="10"/>
  <c r="A65" i="10"/>
  <c r="M64" i="10"/>
  <c r="J64" i="10"/>
  <c r="G64" i="10"/>
  <c r="B64" i="10"/>
  <c r="A64" i="10"/>
  <c r="L63" i="10"/>
  <c r="K63" i="10"/>
  <c r="J63" i="10"/>
  <c r="H63" i="10"/>
  <c r="G63" i="10"/>
  <c r="F63" i="10"/>
  <c r="D63" i="10"/>
  <c r="E63" i="10" s="1"/>
  <c r="C63" i="10"/>
  <c r="B63" i="10"/>
  <c r="A63" i="10"/>
  <c r="M63" i="10" s="1"/>
  <c r="M62" i="10"/>
  <c r="K62" i="10"/>
  <c r="H62" i="10"/>
  <c r="C62" i="10"/>
  <c r="A62" i="10"/>
  <c r="J61" i="10"/>
  <c r="I61" i="10"/>
  <c r="H61" i="10"/>
  <c r="E61" i="10"/>
  <c r="D61" i="10"/>
  <c r="B61" i="10"/>
  <c r="A61" i="10"/>
  <c r="J60" i="10"/>
  <c r="G60" i="10"/>
  <c r="B60" i="10"/>
  <c r="A60" i="10"/>
  <c r="K59" i="10"/>
  <c r="J59" i="10"/>
  <c r="H59" i="10"/>
  <c r="G59" i="10"/>
  <c r="F59" i="10"/>
  <c r="D59" i="10"/>
  <c r="E59" i="10" s="1"/>
  <c r="C59" i="10"/>
  <c r="B59" i="10"/>
  <c r="A59" i="10"/>
  <c r="K58" i="10"/>
  <c r="H58" i="10"/>
  <c r="C58" i="10"/>
  <c r="A58" i="10"/>
  <c r="J57" i="10"/>
  <c r="I57" i="10"/>
  <c r="H57" i="10"/>
  <c r="E57" i="10"/>
  <c r="D57" i="10"/>
  <c r="B57" i="10"/>
  <c r="A57" i="10"/>
  <c r="J56" i="10"/>
  <c r="G56" i="10"/>
  <c r="B56" i="10"/>
  <c r="A56" i="10"/>
  <c r="K55" i="10"/>
  <c r="J55" i="10"/>
  <c r="H55" i="10"/>
  <c r="G55" i="10"/>
  <c r="F55" i="10"/>
  <c r="D55" i="10"/>
  <c r="E55" i="10" s="1"/>
  <c r="C55" i="10"/>
  <c r="B55" i="10"/>
  <c r="A55" i="10"/>
  <c r="K54" i="10"/>
  <c r="H54" i="10"/>
  <c r="C54" i="10"/>
  <c r="A54" i="10"/>
  <c r="J53" i="10"/>
  <c r="I53" i="10"/>
  <c r="H53" i="10"/>
  <c r="E53" i="10"/>
  <c r="D53" i="10"/>
  <c r="B53" i="10"/>
  <c r="A53" i="10"/>
  <c r="J52" i="10"/>
  <c r="G52" i="10"/>
  <c r="B52" i="10"/>
  <c r="A52" i="10"/>
  <c r="K51" i="10"/>
  <c r="J51" i="10"/>
  <c r="H51" i="10"/>
  <c r="G51" i="10"/>
  <c r="F51" i="10"/>
  <c r="D51" i="10"/>
  <c r="E51" i="10" s="1"/>
  <c r="C51" i="10"/>
  <c r="B51" i="10"/>
  <c r="A51" i="10"/>
  <c r="K50" i="10"/>
  <c r="I50" i="10"/>
  <c r="H50" i="10"/>
  <c r="E50" i="10"/>
  <c r="D50" i="10"/>
  <c r="C50" i="10"/>
  <c r="A50" i="10"/>
  <c r="J49" i="10"/>
  <c r="H49" i="10"/>
  <c r="B49" i="10"/>
  <c r="A49" i="10"/>
  <c r="I49" i="10" s="1"/>
  <c r="J48" i="10"/>
  <c r="I48" i="10"/>
  <c r="G48" i="10"/>
  <c r="C48" i="10"/>
  <c r="B48" i="10"/>
  <c r="A48" i="10"/>
  <c r="K47" i="10"/>
  <c r="J47" i="10"/>
  <c r="H47" i="10"/>
  <c r="G47" i="10"/>
  <c r="F47" i="10"/>
  <c r="D47" i="10"/>
  <c r="E47" i="10" s="1"/>
  <c r="C47" i="10"/>
  <c r="B47" i="10"/>
  <c r="A47" i="10"/>
  <c r="K46" i="10"/>
  <c r="I46" i="10"/>
  <c r="H46" i="10"/>
  <c r="E46" i="10"/>
  <c r="D46" i="10"/>
  <c r="C46" i="10"/>
  <c r="A46" i="10"/>
  <c r="J45" i="10"/>
  <c r="H45" i="10"/>
  <c r="B45" i="10"/>
  <c r="A45" i="10"/>
  <c r="I45" i="10" s="1"/>
  <c r="J44" i="10"/>
  <c r="I44" i="10"/>
  <c r="G44" i="10"/>
  <c r="C44" i="10"/>
  <c r="B44" i="10"/>
  <c r="A44" i="10"/>
  <c r="K43" i="10"/>
  <c r="J43" i="10"/>
  <c r="H43" i="10"/>
  <c r="G43" i="10"/>
  <c r="F43" i="10"/>
  <c r="D43" i="10"/>
  <c r="E43" i="10" s="1"/>
  <c r="C43" i="10"/>
  <c r="B43" i="10"/>
  <c r="A43" i="10"/>
  <c r="K42" i="10"/>
  <c r="I42" i="10"/>
  <c r="H42" i="10"/>
  <c r="E42" i="10"/>
  <c r="D42" i="10"/>
  <c r="C42" i="10"/>
  <c r="A42" i="10"/>
  <c r="J41" i="10"/>
  <c r="H41" i="10"/>
  <c r="B41" i="10"/>
  <c r="A41" i="10"/>
  <c r="I41" i="10" s="1"/>
  <c r="J40" i="10"/>
  <c r="I40" i="10"/>
  <c r="G40" i="10"/>
  <c r="C40" i="10"/>
  <c r="B40" i="10"/>
  <c r="A40" i="10"/>
  <c r="K39" i="10"/>
  <c r="J39" i="10"/>
  <c r="H39" i="10"/>
  <c r="G39" i="10"/>
  <c r="F39" i="10"/>
  <c r="D39" i="10"/>
  <c r="E39" i="10" s="1"/>
  <c r="C39" i="10"/>
  <c r="B39" i="10"/>
  <c r="A39" i="10"/>
  <c r="K38" i="10"/>
  <c r="I38" i="10"/>
  <c r="H38" i="10"/>
  <c r="E38" i="10"/>
  <c r="D38" i="10"/>
  <c r="C38" i="10"/>
  <c r="A38" i="10"/>
  <c r="J37" i="10"/>
  <c r="H37" i="10"/>
  <c r="B37" i="10"/>
  <c r="A37" i="10"/>
  <c r="I37" i="10" s="1"/>
  <c r="J36" i="10"/>
  <c r="I36" i="10"/>
  <c r="G36" i="10"/>
  <c r="C36" i="10"/>
  <c r="B36" i="10"/>
  <c r="A36" i="10"/>
  <c r="K35" i="10"/>
  <c r="J35" i="10"/>
  <c r="H35" i="10"/>
  <c r="G35" i="10"/>
  <c r="F35" i="10"/>
  <c r="D35" i="10"/>
  <c r="E35" i="10" s="1"/>
  <c r="C35" i="10"/>
  <c r="B35" i="10"/>
  <c r="A35" i="10"/>
  <c r="K34" i="10"/>
  <c r="I34" i="10"/>
  <c r="H34" i="10"/>
  <c r="E34" i="10"/>
  <c r="D34" i="10"/>
  <c r="C34" i="10"/>
  <c r="A34" i="10"/>
  <c r="J33" i="10"/>
  <c r="H33" i="10"/>
  <c r="B33" i="10"/>
  <c r="A33" i="10"/>
  <c r="I33" i="10" s="1"/>
  <c r="J32" i="10"/>
  <c r="I32" i="10"/>
  <c r="G32" i="10"/>
  <c r="C32" i="10"/>
  <c r="B32" i="10"/>
  <c r="A32" i="10"/>
  <c r="K31" i="10"/>
  <c r="J31" i="10"/>
  <c r="H31" i="10"/>
  <c r="G31" i="10"/>
  <c r="F31" i="10"/>
  <c r="D31" i="10"/>
  <c r="E31" i="10" s="1"/>
  <c r="C31" i="10"/>
  <c r="B31" i="10"/>
  <c r="A31" i="10"/>
  <c r="G30" i="10"/>
  <c r="A30" i="10"/>
  <c r="K29" i="10"/>
  <c r="J29" i="10"/>
  <c r="H29" i="10"/>
  <c r="G29" i="10"/>
  <c r="F29" i="10"/>
  <c r="D29" i="10"/>
  <c r="E29" i="10" s="1"/>
  <c r="C29" i="10"/>
  <c r="B29" i="10"/>
  <c r="A29" i="10"/>
  <c r="I28" i="10"/>
  <c r="A28" i="10"/>
  <c r="J27" i="10"/>
  <c r="H27" i="10"/>
  <c r="F27" i="10"/>
  <c r="D27" i="10"/>
  <c r="E27" i="10" s="1"/>
  <c r="B27" i="10"/>
  <c r="A27" i="10"/>
  <c r="K26" i="10"/>
  <c r="G26" i="10"/>
  <c r="C26" i="10"/>
  <c r="A26" i="10"/>
  <c r="K25" i="10"/>
  <c r="J25" i="10"/>
  <c r="H25" i="10"/>
  <c r="G25" i="10"/>
  <c r="F25" i="10"/>
  <c r="D25" i="10"/>
  <c r="E25" i="10" s="1"/>
  <c r="C25" i="10"/>
  <c r="B25" i="10"/>
  <c r="A25" i="10"/>
  <c r="G24" i="10"/>
  <c r="A24" i="10"/>
  <c r="J23" i="10"/>
  <c r="H23" i="10"/>
  <c r="F23" i="10"/>
  <c r="D23" i="10"/>
  <c r="E23" i="10" s="1"/>
  <c r="B23" i="10"/>
  <c r="A23" i="10"/>
  <c r="K22" i="10"/>
  <c r="I22" i="10"/>
  <c r="C22" i="10"/>
  <c r="A22" i="10"/>
  <c r="K21" i="10"/>
  <c r="J21" i="10"/>
  <c r="H21" i="10"/>
  <c r="G21" i="10"/>
  <c r="F21" i="10"/>
  <c r="D21" i="10"/>
  <c r="E21" i="10" s="1"/>
  <c r="C21" i="10"/>
  <c r="B21" i="10"/>
  <c r="A21" i="10"/>
  <c r="K20" i="10"/>
  <c r="G20" i="10"/>
  <c r="C20" i="10"/>
  <c r="A20" i="10"/>
  <c r="J19" i="10"/>
  <c r="H19" i="10"/>
  <c r="F19" i="10"/>
  <c r="D19" i="10"/>
  <c r="E19" i="10" s="1"/>
  <c r="B19" i="10"/>
  <c r="A19" i="10"/>
  <c r="I18" i="10"/>
  <c r="G18" i="10"/>
  <c r="A18" i="10"/>
  <c r="K17" i="10"/>
  <c r="J17" i="10"/>
  <c r="H17" i="10"/>
  <c r="G17" i="10"/>
  <c r="F17" i="10"/>
  <c r="D17" i="10"/>
  <c r="E17" i="10" s="1"/>
  <c r="C17" i="10"/>
  <c r="B17" i="10"/>
  <c r="A17" i="10"/>
  <c r="A16" i="10"/>
  <c r="K16" i="10" s="1"/>
  <c r="J15" i="10"/>
  <c r="H15" i="10"/>
  <c r="F15" i="10"/>
  <c r="D15" i="10"/>
  <c r="E15" i="10" s="1"/>
  <c r="B15" i="10"/>
  <c r="A15" i="10"/>
  <c r="G14" i="10"/>
  <c r="A14" i="10"/>
  <c r="K13" i="10"/>
  <c r="J13" i="10"/>
  <c r="H13" i="10"/>
  <c r="G13" i="10"/>
  <c r="F13" i="10"/>
  <c r="D13" i="10"/>
  <c r="E13" i="10" s="1"/>
  <c r="C13" i="10"/>
  <c r="B13" i="10"/>
  <c r="A13" i="10"/>
  <c r="I12" i="10"/>
  <c r="A12" i="10"/>
  <c r="G12" i="10" s="1"/>
  <c r="J11" i="10"/>
  <c r="H11" i="10"/>
  <c r="F11" i="10"/>
  <c r="D11" i="10"/>
  <c r="E11" i="10" s="1"/>
  <c r="B11" i="10"/>
  <c r="A11" i="10"/>
  <c r="K10" i="10"/>
  <c r="G10" i="10"/>
  <c r="C10" i="10"/>
  <c r="A10" i="10"/>
  <c r="K9" i="10"/>
  <c r="J9" i="10"/>
  <c r="H9" i="10"/>
  <c r="G9" i="10"/>
  <c r="F9" i="10"/>
  <c r="D9" i="10"/>
  <c r="E9" i="10" s="1"/>
  <c r="C9" i="10"/>
  <c r="B9" i="10"/>
  <c r="A9" i="10"/>
  <c r="I8" i="10"/>
  <c r="G8" i="10"/>
  <c r="A8" i="10"/>
  <c r="J7" i="10"/>
  <c r="H7" i="10"/>
  <c r="F7" i="10"/>
  <c r="D7" i="10"/>
  <c r="E7" i="10" s="1"/>
  <c r="B7" i="10"/>
  <c r="A7" i="10"/>
  <c r="A6" i="10"/>
  <c r="I6" i="10" s="1"/>
  <c r="K5" i="10"/>
  <c r="J5" i="10"/>
  <c r="H5" i="10"/>
  <c r="G5" i="10"/>
  <c r="F5" i="10"/>
  <c r="D5" i="10"/>
  <c r="E5" i="10" s="1"/>
  <c r="C5" i="10"/>
  <c r="B5" i="10"/>
  <c r="A5" i="10"/>
  <c r="I4" i="10"/>
  <c r="C4" i="10"/>
  <c r="A4" i="10"/>
  <c r="A3" i="10"/>
  <c r="F3" i="10" s="1"/>
  <c r="A2" i="10"/>
  <c r="D602" i="9"/>
  <c r="C602" i="9"/>
  <c r="D601" i="9"/>
  <c r="C601" i="9"/>
  <c r="D600" i="9"/>
  <c r="C600" i="9"/>
  <c r="D599" i="9"/>
  <c r="C599" i="9"/>
  <c r="D598" i="9"/>
  <c r="C598" i="9"/>
  <c r="D597" i="9"/>
  <c r="C597" i="9"/>
  <c r="D596" i="9"/>
  <c r="C596" i="9"/>
  <c r="D595" i="9"/>
  <c r="C595" i="9"/>
  <c r="D594" i="9"/>
  <c r="C594" i="9"/>
  <c r="D593" i="9"/>
  <c r="C593" i="9"/>
  <c r="D592" i="9"/>
  <c r="C592" i="9"/>
  <c r="D591" i="9"/>
  <c r="C591" i="9"/>
  <c r="D590" i="9"/>
  <c r="C590" i="9"/>
  <c r="D589" i="9"/>
  <c r="C589" i="9"/>
  <c r="D588" i="9"/>
  <c r="C588" i="9"/>
  <c r="D587" i="9"/>
  <c r="C587" i="9"/>
  <c r="D586" i="9"/>
  <c r="C586" i="9"/>
  <c r="D585" i="9"/>
  <c r="C585" i="9"/>
  <c r="D584" i="9"/>
  <c r="C584" i="9"/>
  <c r="D583" i="9"/>
  <c r="C583" i="9"/>
  <c r="D582" i="9"/>
  <c r="C582" i="9"/>
  <c r="D581" i="9"/>
  <c r="C581" i="9"/>
  <c r="D580" i="9"/>
  <c r="C580" i="9"/>
  <c r="D579" i="9"/>
  <c r="C579" i="9"/>
  <c r="D578" i="9"/>
  <c r="C578" i="9"/>
  <c r="D577" i="9"/>
  <c r="C577" i="9"/>
  <c r="D576" i="9"/>
  <c r="C576" i="9"/>
  <c r="D575" i="9"/>
  <c r="C575" i="9"/>
  <c r="D574" i="9"/>
  <c r="C574" i="9"/>
  <c r="D573" i="9"/>
  <c r="C573" i="9"/>
  <c r="D572" i="9"/>
  <c r="C572" i="9"/>
  <c r="D571" i="9"/>
  <c r="C571" i="9"/>
  <c r="D570" i="9"/>
  <c r="C570" i="9"/>
  <c r="D569" i="9"/>
  <c r="C569" i="9"/>
  <c r="D568" i="9"/>
  <c r="C568" i="9"/>
  <c r="D567" i="9"/>
  <c r="C567" i="9"/>
  <c r="D566" i="9"/>
  <c r="C566" i="9"/>
  <c r="D565" i="9"/>
  <c r="C565" i="9"/>
  <c r="D564" i="9"/>
  <c r="C564" i="9"/>
  <c r="D563" i="9"/>
  <c r="C563" i="9"/>
  <c r="D562" i="9"/>
  <c r="C562" i="9"/>
  <c r="D561" i="9"/>
  <c r="C561" i="9"/>
  <c r="D560" i="9"/>
  <c r="C560" i="9"/>
  <c r="D559" i="9"/>
  <c r="C559" i="9"/>
  <c r="D558" i="9"/>
  <c r="C558" i="9"/>
  <c r="D557" i="9"/>
  <c r="C557" i="9"/>
  <c r="D556" i="9"/>
  <c r="C556" i="9"/>
  <c r="D555" i="9"/>
  <c r="C555" i="9"/>
  <c r="D554" i="9"/>
  <c r="C554" i="9"/>
  <c r="D553" i="9"/>
  <c r="C553" i="9"/>
  <c r="D552" i="9"/>
  <c r="C552" i="9"/>
  <c r="D551" i="9"/>
  <c r="C551" i="9"/>
  <c r="D550" i="9"/>
  <c r="C550" i="9"/>
  <c r="D549" i="9"/>
  <c r="C549" i="9"/>
  <c r="D548" i="9"/>
  <c r="C548" i="9"/>
  <c r="D547" i="9"/>
  <c r="C547" i="9"/>
  <c r="D546" i="9"/>
  <c r="C546" i="9"/>
  <c r="D545" i="9"/>
  <c r="C545" i="9"/>
  <c r="D544" i="9"/>
  <c r="C544" i="9"/>
  <c r="D543" i="9"/>
  <c r="C543" i="9"/>
  <c r="D542" i="9"/>
  <c r="C542" i="9"/>
  <c r="D541" i="9"/>
  <c r="C541" i="9"/>
  <c r="D540" i="9"/>
  <c r="C540" i="9"/>
  <c r="D539" i="9"/>
  <c r="C539" i="9"/>
  <c r="D538" i="9"/>
  <c r="C538" i="9"/>
  <c r="D537" i="9"/>
  <c r="C537" i="9"/>
  <c r="D536" i="9"/>
  <c r="C536" i="9"/>
  <c r="D535" i="9"/>
  <c r="C535" i="9"/>
  <c r="D534" i="9"/>
  <c r="C534" i="9"/>
  <c r="D533" i="9"/>
  <c r="C533" i="9"/>
  <c r="D532" i="9"/>
  <c r="C532" i="9"/>
  <c r="D531" i="9"/>
  <c r="C531" i="9"/>
  <c r="D530" i="9"/>
  <c r="C530" i="9"/>
  <c r="D529" i="9"/>
  <c r="C529" i="9"/>
  <c r="D528" i="9"/>
  <c r="C528" i="9"/>
  <c r="D527" i="9"/>
  <c r="C527" i="9"/>
  <c r="D526" i="9"/>
  <c r="C526" i="9"/>
  <c r="D525" i="9"/>
  <c r="C525" i="9"/>
  <c r="D524" i="9"/>
  <c r="C524" i="9"/>
  <c r="D523" i="9"/>
  <c r="C523" i="9"/>
  <c r="D522" i="9"/>
  <c r="C522" i="9"/>
  <c r="D521" i="9"/>
  <c r="C521" i="9"/>
  <c r="D520" i="9"/>
  <c r="C520" i="9"/>
  <c r="D519" i="9"/>
  <c r="C519" i="9"/>
  <c r="D518" i="9"/>
  <c r="C518" i="9"/>
  <c r="D517" i="9"/>
  <c r="C517" i="9"/>
  <c r="D516" i="9"/>
  <c r="C516" i="9"/>
  <c r="D515" i="9"/>
  <c r="C515" i="9"/>
  <c r="D514" i="9"/>
  <c r="C514" i="9"/>
  <c r="D513" i="9"/>
  <c r="C513" i="9"/>
  <c r="D512" i="9"/>
  <c r="C512" i="9"/>
  <c r="D511" i="9"/>
  <c r="C511" i="9"/>
  <c r="D510" i="9"/>
  <c r="C510" i="9"/>
  <c r="D509" i="9"/>
  <c r="C509" i="9"/>
  <c r="D508" i="9"/>
  <c r="C508" i="9"/>
  <c r="D507" i="9"/>
  <c r="C507" i="9"/>
  <c r="D506" i="9"/>
  <c r="C506" i="9"/>
  <c r="D505" i="9"/>
  <c r="C505" i="9"/>
  <c r="D504" i="9"/>
  <c r="C504" i="9"/>
  <c r="D503" i="9"/>
  <c r="C503" i="9"/>
  <c r="D502" i="9"/>
  <c r="C502" i="9"/>
  <c r="D501" i="9"/>
  <c r="C501" i="9"/>
  <c r="D500" i="9"/>
  <c r="C500" i="9"/>
  <c r="D499" i="9"/>
  <c r="C499" i="9"/>
  <c r="D498" i="9"/>
  <c r="C498" i="9"/>
  <c r="D497" i="9"/>
  <c r="C497" i="9"/>
  <c r="D496" i="9"/>
  <c r="C496" i="9"/>
  <c r="D495" i="9"/>
  <c r="C495" i="9"/>
  <c r="D494" i="9"/>
  <c r="C494" i="9"/>
  <c r="D493" i="9"/>
  <c r="C493" i="9"/>
  <c r="D492" i="9"/>
  <c r="C492" i="9"/>
  <c r="D491" i="9"/>
  <c r="C491" i="9"/>
  <c r="D490" i="9"/>
  <c r="C490" i="9"/>
  <c r="D489" i="9"/>
  <c r="C489" i="9"/>
  <c r="D488" i="9"/>
  <c r="C488" i="9"/>
  <c r="D487" i="9"/>
  <c r="C487" i="9"/>
  <c r="D486" i="9"/>
  <c r="C486" i="9"/>
  <c r="D485" i="9"/>
  <c r="C485" i="9"/>
  <c r="D484" i="9"/>
  <c r="C484" i="9"/>
  <c r="D483" i="9"/>
  <c r="C483" i="9"/>
  <c r="D482" i="9"/>
  <c r="C482" i="9"/>
  <c r="D481" i="9"/>
  <c r="C481" i="9"/>
  <c r="D480" i="9"/>
  <c r="C480" i="9"/>
  <c r="D479" i="9"/>
  <c r="C479" i="9"/>
  <c r="D478" i="9"/>
  <c r="C478" i="9"/>
  <c r="D477" i="9"/>
  <c r="C477" i="9"/>
  <c r="D476" i="9"/>
  <c r="C476" i="9"/>
  <c r="D475" i="9"/>
  <c r="C475" i="9"/>
  <c r="D474" i="9"/>
  <c r="C474" i="9"/>
  <c r="D473" i="9"/>
  <c r="C473" i="9"/>
  <c r="D472" i="9"/>
  <c r="C472" i="9"/>
  <c r="D471" i="9"/>
  <c r="C471" i="9"/>
  <c r="D470" i="9"/>
  <c r="C470" i="9"/>
  <c r="D469" i="9"/>
  <c r="C469" i="9"/>
  <c r="D468" i="9"/>
  <c r="C468" i="9"/>
  <c r="D467" i="9"/>
  <c r="C467" i="9"/>
  <c r="D466" i="9"/>
  <c r="C466" i="9"/>
  <c r="D465" i="9"/>
  <c r="C465" i="9"/>
  <c r="D464" i="9"/>
  <c r="C464" i="9"/>
  <c r="D463" i="9"/>
  <c r="C463" i="9"/>
  <c r="D462" i="9"/>
  <c r="C462" i="9"/>
  <c r="D461" i="9"/>
  <c r="C461" i="9"/>
  <c r="D460" i="9"/>
  <c r="C460" i="9"/>
  <c r="D459" i="9"/>
  <c r="C459" i="9"/>
  <c r="D458" i="9"/>
  <c r="C458" i="9"/>
  <c r="D457" i="9"/>
  <c r="C457" i="9"/>
  <c r="D456" i="9"/>
  <c r="C456" i="9"/>
  <c r="D455" i="9"/>
  <c r="C455" i="9"/>
  <c r="D454" i="9"/>
  <c r="C454" i="9"/>
  <c r="D453" i="9"/>
  <c r="C453" i="9"/>
  <c r="D452" i="9"/>
  <c r="C452" i="9"/>
  <c r="D451" i="9"/>
  <c r="C451" i="9"/>
  <c r="D450" i="9"/>
  <c r="C450" i="9"/>
  <c r="D449" i="9"/>
  <c r="C449" i="9"/>
  <c r="D448" i="9"/>
  <c r="C448" i="9"/>
  <c r="D447" i="9"/>
  <c r="C447" i="9"/>
  <c r="D446" i="9"/>
  <c r="C446" i="9"/>
  <c r="D445" i="9"/>
  <c r="C445" i="9"/>
  <c r="D444" i="9"/>
  <c r="C444" i="9"/>
  <c r="D443" i="9"/>
  <c r="C443" i="9"/>
  <c r="D442" i="9"/>
  <c r="C442" i="9"/>
  <c r="D441" i="9"/>
  <c r="C441" i="9"/>
  <c r="D440" i="9"/>
  <c r="C440" i="9"/>
  <c r="D439" i="9"/>
  <c r="C439" i="9"/>
  <c r="D438" i="9"/>
  <c r="C438" i="9"/>
  <c r="D437" i="9"/>
  <c r="C437" i="9"/>
  <c r="D436" i="9"/>
  <c r="C436" i="9"/>
  <c r="D435" i="9"/>
  <c r="C435" i="9"/>
  <c r="D434" i="9"/>
  <c r="C434" i="9"/>
  <c r="D433" i="9"/>
  <c r="C433" i="9"/>
  <c r="D432" i="9"/>
  <c r="C432" i="9"/>
  <c r="D431" i="9"/>
  <c r="C431" i="9"/>
  <c r="D430" i="9"/>
  <c r="C430" i="9"/>
  <c r="D429" i="9"/>
  <c r="C429" i="9"/>
  <c r="D428" i="9"/>
  <c r="C428" i="9"/>
  <c r="D427" i="9"/>
  <c r="C427" i="9"/>
  <c r="D426" i="9"/>
  <c r="C426" i="9"/>
  <c r="D425" i="9"/>
  <c r="C425" i="9"/>
  <c r="D424" i="9"/>
  <c r="C424" i="9"/>
  <c r="D423" i="9"/>
  <c r="C423" i="9"/>
  <c r="D422" i="9"/>
  <c r="C422" i="9"/>
  <c r="D421" i="9"/>
  <c r="C421" i="9"/>
  <c r="D420" i="9"/>
  <c r="C420" i="9"/>
  <c r="D419" i="9"/>
  <c r="C419" i="9"/>
  <c r="D418" i="9"/>
  <c r="C418" i="9"/>
  <c r="D417" i="9"/>
  <c r="C417" i="9"/>
  <c r="D416" i="9"/>
  <c r="C416" i="9"/>
  <c r="D415" i="9"/>
  <c r="C415" i="9"/>
  <c r="D414" i="9"/>
  <c r="C414" i="9"/>
  <c r="D413" i="9"/>
  <c r="C413" i="9"/>
  <c r="D412" i="9"/>
  <c r="C412" i="9"/>
  <c r="D411" i="9"/>
  <c r="C411" i="9"/>
  <c r="D410" i="9"/>
  <c r="C410" i="9"/>
  <c r="D409" i="9"/>
  <c r="C409" i="9"/>
  <c r="D408" i="9"/>
  <c r="C408" i="9"/>
  <c r="D407" i="9"/>
  <c r="C407" i="9"/>
  <c r="D406" i="9"/>
  <c r="C406" i="9"/>
  <c r="D405" i="9"/>
  <c r="C405" i="9"/>
  <c r="D404" i="9"/>
  <c r="C404" i="9"/>
  <c r="D403" i="9"/>
  <c r="C403" i="9"/>
  <c r="D402" i="9"/>
  <c r="C402" i="9"/>
  <c r="D401" i="9"/>
  <c r="C401" i="9"/>
  <c r="D400" i="9"/>
  <c r="C400" i="9"/>
  <c r="D399" i="9"/>
  <c r="C399" i="9"/>
  <c r="D398" i="9"/>
  <c r="C398" i="9"/>
  <c r="D397" i="9"/>
  <c r="C397" i="9"/>
  <c r="D396" i="9"/>
  <c r="C396" i="9"/>
  <c r="D395" i="9"/>
  <c r="C395" i="9"/>
  <c r="D394" i="9"/>
  <c r="C394" i="9"/>
  <c r="D393" i="9"/>
  <c r="C393" i="9"/>
  <c r="D392" i="9"/>
  <c r="C392" i="9"/>
  <c r="D391" i="9"/>
  <c r="C391" i="9"/>
  <c r="D390" i="9"/>
  <c r="C390" i="9"/>
  <c r="D389" i="9"/>
  <c r="C389" i="9"/>
  <c r="D388" i="9"/>
  <c r="C388" i="9"/>
  <c r="D387" i="9"/>
  <c r="C387" i="9"/>
  <c r="D386" i="9"/>
  <c r="C386" i="9"/>
  <c r="D385" i="9"/>
  <c r="C385" i="9"/>
  <c r="D384" i="9"/>
  <c r="C384" i="9"/>
  <c r="D383" i="9"/>
  <c r="C383" i="9"/>
  <c r="D382" i="9"/>
  <c r="C382" i="9"/>
  <c r="D381" i="9"/>
  <c r="C381" i="9"/>
  <c r="D380" i="9"/>
  <c r="C380" i="9"/>
  <c r="D379" i="9"/>
  <c r="C379" i="9"/>
  <c r="D378" i="9"/>
  <c r="C378" i="9"/>
  <c r="D377" i="9"/>
  <c r="C377" i="9"/>
  <c r="D376" i="9"/>
  <c r="C376" i="9"/>
  <c r="D375" i="9"/>
  <c r="C375" i="9"/>
  <c r="D374" i="9"/>
  <c r="C374" i="9"/>
  <c r="D373" i="9"/>
  <c r="C373" i="9"/>
  <c r="D372" i="9"/>
  <c r="C372" i="9"/>
  <c r="D371" i="9"/>
  <c r="C371" i="9"/>
  <c r="D370" i="9"/>
  <c r="C370" i="9"/>
  <c r="D369" i="9"/>
  <c r="C369" i="9"/>
  <c r="D368" i="9"/>
  <c r="C368" i="9"/>
  <c r="D367" i="9"/>
  <c r="C367" i="9"/>
  <c r="D366" i="9"/>
  <c r="C366" i="9"/>
  <c r="D365" i="9"/>
  <c r="C365" i="9"/>
  <c r="D364" i="9"/>
  <c r="C364" i="9"/>
  <c r="D363" i="9"/>
  <c r="C363" i="9"/>
  <c r="D362" i="9"/>
  <c r="C362" i="9"/>
  <c r="D361" i="9"/>
  <c r="C361" i="9"/>
  <c r="D360" i="9"/>
  <c r="C360" i="9"/>
  <c r="D359" i="9"/>
  <c r="C359" i="9"/>
  <c r="D358" i="9"/>
  <c r="C358" i="9"/>
  <c r="D357" i="9"/>
  <c r="C357" i="9"/>
  <c r="D356" i="9"/>
  <c r="C356" i="9"/>
  <c r="D355" i="9"/>
  <c r="C355" i="9"/>
  <c r="D354" i="9"/>
  <c r="C354" i="9"/>
  <c r="D353" i="9"/>
  <c r="C353" i="9"/>
  <c r="D352" i="9"/>
  <c r="C352" i="9"/>
  <c r="D351" i="9"/>
  <c r="C351" i="9"/>
  <c r="D350" i="9"/>
  <c r="C350" i="9"/>
  <c r="D349" i="9"/>
  <c r="C349" i="9"/>
  <c r="D348" i="9"/>
  <c r="C348" i="9"/>
  <c r="D347" i="9"/>
  <c r="C347" i="9"/>
  <c r="D346" i="9"/>
  <c r="C346" i="9"/>
  <c r="D345" i="9"/>
  <c r="C345" i="9"/>
  <c r="D344" i="9"/>
  <c r="C344" i="9"/>
  <c r="D343" i="9"/>
  <c r="C343" i="9"/>
  <c r="D342" i="9"/>
  <c r="C342" i="9"/>
  <c r="D341" i="9"/>
  <c r="C341" i="9"/>
  <c r="D340" i="9"/>
  <c r="C340" i="9"/>
  <c r="D339" i="9"/>
  <c r="C339" i="9"/>
  <c r="D338" i="9"/>
  <c r="C338" i="9"/>
  <c r="D337" i="9"/>
  <c r="C337" i="9"/>
  <c r="D336" i="9"/>
  <c r="C336" i="9"/>
  <c r="D335" i="9"/>
  <c r="C335" i="9"/>
  <c r="D334" i="9"/>
  <c r="C334" i="9"/>
  <c r="D333" i="9"/>
  <c r="C333" i="9"/>
  <c r="D332" i="9"/>
  <c r="C332" i="9"/>
  <c r="D331" i="9"/>
  <c r="C331" i="9"/>
  <c r="D330" i="9"/>
  <c r="C330" i="9"/>
  <c r="D329" i="9"/>
  <c r="C329" i="9"/>
  <c r="D328" i="9"/>
  <c r="C328" i="9"/>
  <c r="D327" i="9"/>
  <c r="C327" i="9"/>
  <c r="D326" i="9"/>
  <c r="C326" i="9"/>
  <c r="D325" i="9"/>
  <c r="C325" i="9"/>
  <c r="D324" i="9"/>
  <c r="C324" i="9"/>
  <c r="D323" i="9"/>
  <c r="C323" i="9"/>
  <c r="D322" i="9"/>
  <c r="C322" i="9"/>
  <c r="D321" i="9"/>
  <c r="C321" i="9"/>
  <c r="D320" i="9"/>
  <c r="C320" i="9"/>
  <c r="D319" i="9"/>
  <c r="C319" i="9"/>
  <c r="D318" i="9"/>
  <c r="C318" i="9"/>
  <c r="D317" i="9"/>
  <c r="C317" i="9"/>
  <c r="D316" i="9"/>
  <c r="C316" i="9"/>
  <c r="D315" i="9"/>
  <c r="C315" i="9"/>
  <c r="D314" i="9"/>
  <c r="C314" i="9"/>
  <c r="D313" i="9"/>
  <c r="C313" i="9"/>
  <c r="D312" i="9"/>
  <c r="C312" i="9"/>
  <c r="D311" i="9"/>
  <c r="C311" i="9"/>
  <c r="D310" i="9"/>
  <c r="C310" i="9"/>
  <c r="D309" i="9"/>
  <c r="C309" i="9"/>
  <c r="D308" i="9"/>
  <c r="C308" i="9"/>
  <c r="D307" i="9"/>
  <c r="C307" i="9"/>
  <c r="D306" i="9"/>
  <c r="C306" i="9"/>
  <c r="D305" i="9"/>
  <c r="C305" i="9"/>
  <c r="D304" i="9"/>
  <c r="C304" i="9"/>
  <c r="D303" i="9"/>
  <c r="C303" i="9"/>
  <c r="D302" i="9"/>
  <c r="C302" i="9"/>
  <c r="D301" i="9"/>
  <c r="C301" i="9"/>
  <c r="D300" i="9"/>
  <c r="C300" i="9"/>
  <c r="D299" i="9"/>
  <c r="C299" i="9"/>
  <c r="D298" i="9"/>
  <c r="C298" i="9"/>
  <c r="D297" i="9"/>
  <c r="C297" i="9"/>
  <c r="D296" i="9"/>
  <c r="C296" i="9"/>
  <c r="D295" i="9"/>
  <c r="C295" i="9"/>
  <c r="D294" i="9"/>
  <c r="C294" i="9"/>
  <c r="D293" i="9"/>
  <c r="C293" i="9"/>
  <c r="D292" i="9"/>
  <c r="C292" i="9"/>
  <c r="D291" i="9"/>
  <c r="C291" i="9"/>
  <c r="D290" i="9"/>
  <c r="C290" i="9"/>
  <c r="D289" i="9"/>
  <c r="C289" i="9"/>
  <c r="D288" i="9"/>
  <c r="C288" i="9"/>
  <c r="D287" i="9"/>
  <c r="C287" i="9"/>
  <c r="D286" i="9"/>
  <c r="C286" i="9"/>
  <c r="D285" i="9"/>
  <c r="C285" i="9"/>
  <c r="D284" i="9"/>
  <c r="C284" i="9"/>
  <c r="D283" i="9"/>
  <c r="C283" i="9"/>
  <c r="D282" i="9"/>
  <c r="C282" i="9"/>
  <c r="D281" i="9"/>
  <c r="C281" i="9"/>
  <c r="D280" i="9"/>
  <c r="C280" i="9"/>
  <c r="D279" i="9"/>
  <c r="C279" i="9"/>
  <c r="D278" i="9"/>
  <c r="C278" i="9"/>
  <c r="D277" i="9"/>
  <c r="C277" i="9"/>
  <c r="D276" i="9"/>
  <c r="C276" i="9"/>
  <c r="D275" i="9"/>
  <c r="C275" i="9"/>
  <c r="D274" i="9"/>
  <c r="C274" i="9"/>
  <c r="D273" i="9"/>
  <c r="C273" i="9"/>
  <c r="D272" i="9"/>
  <c r="C272" i="9"/>
  <c r="D271" i="9"/>
  <c r="C271" i="9"/>
  <c r="D270" i="9"/>
  <c r="C270" i="9"/>
  <c r="D269" i="9"/>
  <c r="C269" i="9"/>
  <c r="D268" i="9"/>
  <c r="C268" i="9"/>
  <c r="D267" i="9"/>
  <c r="C267" i="9"/>
  <c r="D266" i="9"/>
  <c r="C266" i="9"/>
  <c r="D265" i="9"/>
  <c r="C265" i="9"/>
  <c r="D264" i="9"/>
  <c r="C264" i="9"/>
  <c r="D263" i="9"/>
  <c r="C263" i="9"/>
  <c r="D262" i="9"/>
  <c r="C262" i="9"/>
  <c r="D261" i="9"/>
  <c r="C261" i="9"/>
  <c r="D260" i="9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3" i="9"/>
  <c r="C3" i="9"/>
  <c r="D2" i="9"/>
  <c r="C2" i="9"/>
  <c r="A501" i="7"/>
  <c r="D501" i="7" s="1"/>
  <c r="A500" i="7"/>
  <c r="C499" i="7"/>
  <c r="A499" i="7"/>
  <c r="D498" i="7"/>
  <c r="A498" i="7"/>
  <c r="D497" i="7"/>
  <c r="C497" i="7"/>
  <c r="A497" i="7"/>
  <c r="E496" i="7"/>
  <c r="D496" i="7"/>
  <c r="G496" i="7" s="1"/>
  <c r="H496" i="7" s="1"/>
  <c r="A496" i="7"/>
  <c r="D495" i="7"/>
  <c r="A495" i="7"/>
  <c r="E494" i="7"/>
  <c r="A494" i="7"/>
  <c r="A493" i="7"/>
  <c r="A492" i="7"/>
  <c r="C491" i="7"/>
  <c r="A491" i="7"/>
  <c r="D490" i="7"/>
  <c r="A490" i="7"/>
  <c r="D489" i="7"/>
  <c r="C489" i="7"/>
  <c r="A489" i="7"/>
  <c r="E488" i="7"/>
  <c r="D488" i="7"/>
  <c r="G488" i="7" s="1"/>
  <c r="H488" i="7" s="1"/>
  <c r="A488" i="7"/>
  <c r="D487" i="7"/>
  <c r="A487" i="7"/>
  <c r="E486" i="7"/>
  <c r="A486" i="7"/>
  <c r="A485" i="7"/>
  <c r="A484" i="7"/>
  <c r="C483" i="7"/>
  <c r="A483" i="7"/>
  <c r="D482" i="7"/>
  <c r="A482" i="7"/>
  <c r="D481" i="7"/>
  <c r="C481" i="7"/>
  <c r="A481" i="7"/>
  <c r="E480" i="7"/>
  <c r="D480" i="7"/>
  <c r="G480" i="7" s="1"/>
  <c r="H480" i="7" s="1"/>
  <c r="A480" i="7"/>
  <c r="D479" i="7"/>
  <c r="A479" i="7"/>
  <c r="E478" i="7"/>
  <c r="A478" i="7"/>
  <c r="A477" i="7"/>
  <c r="A476" i="7"/>
  <c r="C475" i="7"/>
  <c r="A475" i="7"/>
  <c r="D474" i="7"/>
  <c r="A474" i="7"/>
  <c r="D473" i="7"/>
  <c r="C473" i="7"/>
  <c r="A473" i="7"/>
  <c r="E472" i="7"/>
  <c r="D472" i="7"/>
  <c r="G472" i="7" s="1"/>
  <c r="H472" i="7" s="1"/>
  <c r="A472" i="7"/>
  <c r="D471" i="7"/>
  <c r="A471" i="7"/>
  <c r="E470" i="7"/>
  <c r="A470" i="7"/>
  <c r="A469" i="7"/>
  <c r="A468" i="7"/>
  <c r="C467" i="7"/>
  <c r="A467" i="7"/>
  <c r="D466" i="7"/>
  <c r="A466" i="7"/>
  <c r="D465" i="7"/>
  <c r="C465" i="7"/>
  <c r="A465" i="7"/>
  <c r="E464" i="7"/>
  <c r="D464" i="7"/>
  <c r="G464" i="7" s="1"/>
  <c r="H464" i="7" s="1"/>
  <c r="A464" i="7"/>
  <c r="D463" i="7"/>
  <c r="A463" i="7"/>
  <c r="E462" i="7"/>
  <c r="A462" i="7"/>
  <c r="A461" i="7"/>
  <c r="A460" i="7"/>
  <c r="C459" i="7"/>
  <c r="A459" i="7"/>
  <c r="D458" i="7"/>
  <c r="A458" i="7"/>
  <c r="D457" i="7"/>
  <c r="C457" i="7"/>
  <c r="A457" i="7"/>
  <c r="E456" i="7"/>
  <c r="D456" i="7"/>
  <c r="G456" i="7" s="1"/>
  <c r="H456" i="7" s="1"/>
  <c r="A456" i="7"/>
  <c r="D455" i="7"/>
  <c r="A455" i="7"/>
  <c r="E454" i="7"/>
  <c r="A454" i="7"/>
  <c r="A453" i="7"/>
  <c r="A452" i="7"/>
  <c r="C451" i="7"/>
  <c r="A451" i="7"/>
  <c r="D450" i="7"/>
  <c r="A450" i="7"/>
  <c r="D449" i="7"/>
  <c r="C449" i="7"/>
  <c r="A449" i="7"/>
  <c r="E448" i="7"/>
  <c r="D448" i="7"/>
  <c r="G448" i="7" s="1"/>
  <c r="H448" i="7" s="1"/>
  <c r="A448" i="7"/>
  <c r="D447" i="7"/>
  <c r="A447" i="7"/>
  <c r="E446" i="7"/>
  <c r="A446" i="7"/>
  <c r="A445" i="7"/>
  <c r="A444" i="7"/>
  <c r="C443" i="7"/>
  <c r="A443" i="7"/>
  <c r="D442" i="7"/>
  <c r="A442" i="7"/>
  <c r="D441" i="7"/>
  <c r="C441" i="7"/>
  <c r="A441" i="7"/>
  <c r="E440" i="7"/>
  <c r="D440" i="7"/>
  <c r="G440" i="7" s="1"/>
  <c r="H440" i="7" s="1"/>
  <c r="A440" i="7"/>
  <c r="D439" i="7"/>
  <c r="A439" i="7"/>
  <c r="E438" i="7"/>
  <c r="A438" i="7"/>
  <c r="A437" i="7"/>
  <c r="A436" i="7"/>
  <c r="C435" i="7"/>
  <c r="A435" i="7"/>
  <c r="D434" i="7"/>
  <c r="A434" i="7"/>
  <c r="D433" i="7"/>
  <c r="C433" i="7"/>
  <c r="A433" i="7"/>
  <c r="E432" i="7"/>
  <c r="D432" i="7"/>
  <c r="G432" i="7" s="1"/>
  <c r="H432" i="7" s="1"/>
  <c r="A432" i="7"/>
  <c r="D431" i="7"/>
  <c r="A431" i="7"/>
  <c r="E430" i="7"/>
  <c r="A430" i="7"/>
  <c r="A429" i="7"/>
  <c r="A428" i="7"/>
  <c r="C427" i="7"/>
  <c r="A427" i="7"/>
  <c r="D426" i="7"/>
  <c r="A426" i="7"/>
  <c r="D425" i="7"/>
  <c r="C425" i="7"/>
  <c r="A425" i="7"/>
  <c r="E424" i="7"/>
  <c r="D424" i="7"/>
  <c r="G424" i="7" s="1"/>
  <c r="H424" i="7" s="1"/>
  <c r="A424" i="7"/>
  <c r="D423" i="7"/>
  <c r="A423" i="7"/>
  <c r="E422" i="7"/>
  <c r="A422" i="7"/>
  <c r="A421" i="7"/>
  <c r="A420" i="7"/>
  <c r="C419" i="7"/>
  <c r="A419" i="7"/>
  <c r="D418" i="7"/>
  <c r="A418" i="7"/>
  <c r="D417" i="7"/>
  <c r="C417" i="7"/>
  <c r="A417" i="7"/>
  <c r="E416" i="7"/>
  <c r="D416" i="7"/>
  <c r="G416" i="7" s="1"/>
  <c r="H416" i="7" s="1"/>
  <c r="A416" i="7"/>
  <c r="D415" i="7"/>
  <c r="A415" i="7"/>
  <c r="E414" i="7"/>
  <c r="A414" i="7"/>
  <c r="A413" i="7"/>
  <c r="A412" i="7"/>
  <c r="C411" i="7"/>
  <c r="A411" i="7"/>
  <c r="D410" i="7"/>
  <c r="A410" i="7"/>
  <c r="D409" i="7"/>
  <c r="C409" i="7"/>
  <c r="A409" i="7"/>
  <c r="E408" i="7"/>
  <c r="D408" i="7"/>
  <c r="G408" i="7" s="1"/>
  <c r="H408" i="7" s="1"/>
  <c r="A408" i="7"/>
  <c r="D407" i="7"/>
  <c r="A407" i="7"/>
  <c r="E406" i="7"/>
  <c r="A406" i="7"/>
  <c r="A405" i="7"/>
  <c r="A404" i="7"/>
  <c r="C403" i="7"/>
  <c r="A403" i="7"/>
  <c r="D402" i="7"/>
  <c r="A402" i="7"/>
  <c r="D401" i="7"/>
  <c r="C401" i="7"/>
  <c r="A401" i="7"/>
  <c r="E400" i="7"/>
  <c r="D400" i="7"/>
  <c r="G400" i="7" s="1"/>
  <c r="H400" i="7" s="1"/>
  <c r="A400" i="7"/>
  <c r="D399" i="7"/>
  <c r="A399" i="7"/>
  <c r="E398" i="7"/>
  <c r="A398" i="7"/>
  <c r="A397" i="7"/>
  <c r="A396" i="7"/>
  <c r="C395" i="7"/>
  <c r="A395" i="7"/>
  <c r="D394" i="7"/>
  <c r="A394" i="7"/>
  <c r="D393" i="7"/>
  <c r="C393" i="7"/>
  <c r="A393" i="7"/>
  <c r="E392" i="7"/>
  <c r="D392" i="7"/>
  <c r="G392" i="7" s="1"/>
  <c r="H392" i="7" s="1"/>
  <c r="A392" i="7"/>
  <c r="D391" i="7"/>
  <c r="A391" i="7"/>
  <c r="E390" i="7"/>
  <c r="A390" i="7"/>
  <c r="A389" i="7"/>
  <c r="A388" i="7"/>
  <c r="C387" i="7"/>
  <c r="A387" i="7"/>
  <c r="D386" i="7"/>
  <c r="A386" i="7"/>
  <c r="D385" i="7"/>
  <c r="C385" i="7"/>
  <c r="A385" i="7"/>
  <c r="E384" i="7"/>
  <c r="D384" i="7"/>
  <c r="G384" i="7" s="1"/>
  <c r="H384" i="7" s="1"/>
  <c r="A384" i="7"/>
  <c r="D383" i="7"/>
  <c r="A383" i="7"/>
  <c r="E382" i="7"/>
  <c r="A382" i="7"/>
  <c r="A381" i="7"/>
  <c r="A380" i="7"/>
  <c r="C379" i="7"/>
  <c r="A379" i="7"/>
  <c r="D378" i="7"/>
  <c r="A378" i="7"/>
  <c r="D377" i="7"/>
  <c r="C377" i="7"/>
  <c r="A377" i="7"/>
  <c r="E376" i="7"/>
  <c r="D376" i="7"/>
  <c r="G376" i="7" s="1"/>
  <c r="H376" i="7" s="1"/>
  <c r="A376" i="7"/>
  <c r="D375" i="7"/>
  <c r="A375" i="7"/>
  <c r="E374" i="7"/>
  <c r="A374" i="7"/>
  <c r="A373" i="7"/>
  <c r="A372" i="7"/>
  <c r="C371" i="7"/>
  <c r="A371" i="7"/>
  <c r="D370" i="7"/>
  <c r="A370" i="7"/>
  <c r="D369" i="7"/>
  <c r="C369" i="7"/>
  <c r="A369" i="7"/>
  <c r="E368" i="7"/>
  <c r="D368" i="7"/>
  <c r="G368" i="7" s="1"/>
  <c r="H368" i="7" s="1"/>
  <c r="A368" i="7"/>
  <c r="D367" i="7"/>
  <c r="A367" i="7"/>
  <c r="E366" i="7"/>
  <c r="A366" i="7"/>
  <c r="A365" i="7"/>
  <c r="A364" i="7"/>
  <c r="C363" i="7"/>
  <c r="A363" i="7"/>
  <c r="D362" i="7"/>
  <c r="A362" i="7"/>
  <c r="D361" i="7"/>
  <c r="C361" i="7"/>
  <c r="A361" i="7"/>
  <c r="E360" i="7"/>
  <c r="D360" i="7"/>
  <c r="G360" i="7" s="1"/>
  <c r="H360" i="7" s="1"/>
  <c r="A360" i="7"/>
  <c r="D359" i="7"/>
  <c r="A359" i="7"/>
  <c r="E358" i="7"/>
  <c r="A358" i="7"/>
  <c r="A357" i="7"/>
  <c r="A356" i="7"/>
  <c r="C355" i="7"/>
  <c r="A355" i="7"/>
  <c r="D354" i="7"/>
  <c r="A354" i="7"/>
  <c r="D353" i="7"/>
  <c r="C353" i="7"/>
  <c r="A353" i="7"/>
  <c r="E352" i="7"/>
  <c r="D352" i="7"/>
  <c r="G352" i="7" s="1"/>
  <c r="H352" i="7" s="1"/>
  <c r="A352" i="7"/>
  <c r="D351" i="7"/>
  <c r="A351" i="7"/>
  <c r="E350" i="7"/>
  <c r="A350" i="7"/>
  <c r="A349" i="7"/>
  <c r="A348" i="7"/>
  <c r="C347" i="7"/>
  <c r="A347" i="7"/>
  <c r="D346" i="7"/>
  <c r="A346" i="7"/>
  <c r="D345" i="7"/>
  <c r="C345" i="7"/>
  <c r="A345" i="7"/>
  <c r="E344" i="7"/>
  <c r="D344" i="7"/>
  <c r="G344" i="7" s="1"/>
  <c r="H344" i="7" s="1"/>
  <c r="A344" i="7"/>
  <c r="D343" i="7"/>
  <c r="A343" i="7"/>
  <c r="E342" i="7"/>
  <c r="A342" i="7"/>
  <c r="C341" i="7"/>
  <c r="A341" i="7"/>
  <c r="A340" i="7"/>
  <c r="A339" i="7"/>
  <c r="E338" i="7"/>
  <c r="D338" i="7"/>
  <c r="G338" i="7" s="1"/>
  <c r="H338" i="7" s="1"/>
  <c r="A338" i="7"/>
  <c r="D337" i="7"/>
  <c r="C337" i="7"/>
  <c r="A337" i="7"/>
  <c r="G336" i="7"/>
  <c r="H336" i="7" s="1"/>
  <c r="E336" i="7"/>
  <c r="D336" i="7"/>
  <c r="A336" i="7"/>
  <c r="D335" i="7"/>
  <c r="A335" i="7"/>
  <c r="A334" i="7"/>
  <c r="A333" i="7"/>
  <c r="D332" i="7"/>
  <c r="A332" i="7"/>
  <c r="C331" i="7"/>
  <c r="A331" i="7"/>
  <c r="D331" i="7" s="1"/>
  <c r="A330" i="7"/>
  <c r="D329" i="7"/>
  <c r="C329" i="7"/>
  <c r="A329" i="7"/>
  <c r="E328" i="7"/>
  <c r="G328" i="7" s="1"/>
  <c r="H328" i="7" s="1"/>
  <c r="D328" i="7"/>
  <c r="A328" i="7"/>
  <c r="A327" i="7"/>
  <c r="E326" i="7"/>
  <c r="A326" i="7"/>
  <c r="C325" i="7"/>
  <c r="A325" i="7"/>
  <c r="A324" i="7"/>
  <c r="D323" i="7"/>
  <c r="A323" i="7"/>
  <c r="D322" i="7"/>
  <c r="A322" i="7"/>
  <c r="E322" i="7" s="1"/>
  <c r="D321" i="7"/>
  <c r="C321" i="7"/>
  <c r="A321" i="7"/>
  <c r="E320" i="7"/>
  <c r="D320" i="7"/>
  <c r="G320" i="7" s="1"/>
  <c r="H320" i="7" s="1"/>
  <c r="A320" i="7"/>
  <c r="D319" i="7"/>
  <c r="A319" i="7"/>
  <c r="A318" i="7"/>
  <c r="A317" i="7"/>
  <c r="D316" i="7"/>
  <c r="A316" i="7"/>
  <c r="D315" i="7"/>
  <c r="C315" i="7"/>
  <c r="A315" i="7"/>
  <c r="E314" i="7"/>
  <c r="A314" i="7"/>
  <c r="D313" i="7"/>
  <c r="C313" i="7"/>
  <c r="A313" i="7"/>
  <c r="E312" i="7"/>
  <c r="D312" i="7"/>
  <c r="G312" i="7" s="1"/>
  <c r="H312" i="7" s="1"/>
  <c r="A312" i="7"/>
  <c r="A311" i="7"/>
  <c r="E310" i="7"/>
  <c r="A310" i="7"/>
  <c r="C309" i="7"/>
  <c r="A309" i="7"/>
  <c r="A308" i="7"/>
  <c r="A307" i="7"/>
  <c r="E306" i="7"/>
  <c r="D306" i="7"/>
  <c r="G306" i="7" s="1"/>
  <c r="H306" i="7" s="1"/>
  <c r="A306" i="7"/>
  <c r="D305" i="7"/>
  <c r="C305" i="7"/>
  <c r="A305" i="7"/>
  <c r="G304" i="7"/>
  <c r="H304" i="7" s="1"/>
  <c r="E304" i="7"/>
  <c r="D304" i="7"/>
  <c r="A304" i="7"/>
  <c r="D303" i="7"/>
  <c r="A303" i="7"/>
  <c r="A302" i="7"/>
  <c r="A301" i="7"/>
  <c r="D300" i="7"/>
  <c r="A300" i="7"/>
  <c r="C299" i="7"/>
  <c r="A299" i="7"/>
  <c r="D299" i="7" s="1"/>
  <c r="A298" i="7"/>
  <c r="D297" i="7"/>
  <c r="C297" i="7"/>
  <c r="A297" i="7"/>
  <c r="E296" i="7"/>
  <c r="G296" i="7" s="1"/>
  <c r="H296" i="7" s="1"/>
  <c r="D296" i="7"/>
  <c r="A296" i="7"/>
  <c r="A295" i="7"/>
  <c r="E294" i="7"/>
  <c r="A294" i="7"/>
  <c r="C293" i="7"/>
  <c r="A293" i="7"/>
  <c r="A292" i="7"/>
  <c r="D291" i="7"/>
  <c r="A291" i="7"/>
  <c r="D290" i="7"/>
  <c r="A290" i="7"/>
  <c r="E290" i="7" s="1"/>
  <c r="D289" i="7"/>
  <c r="C289" i="7"/>
  <c r="A289" i="7"/>
  <c r="E288" i="7"/>
  <c r="D288" i="7"/>
  <c r="G288" i="7" s="1"/>
  <c r="H288" i="7" s="1"/>
  <c r="A288" i="7"/>
  <c r="D287" i="7"/>
  <c r="A287" i="7"/>
  <c r="A286" i="7"/>
  <c r="A285" i="7"/>
  <c r="D284" i="7"/>
  <c r="A284" i="7"/>
  <c r="D283" i="7"/>
  <c r="C283" i="7"/>
  <c r="A283" i="7"/>
  <c r="E282" i="7"/>
  <c r="A282" i="7"/>
  <c r="D281" i="7"/>
  <c r="C281" i="7"/>
  <c r="A281" i="7"/>
  <c r="E280" i="7"/>
  <c r="D280" i="7"/>
  <c r="G280" i="7" s="1"/>
  <c r="H280" i="7" s="1"/>
  <c r="A280" i="7"/>
  <c r="A279" i="7"/>
  <c r="E278" i="7"/>
  <c r="A278" i="7"/>
  <c r="C277" i="7"/>
  <c r="A277" i="7"/>
  <c r="A276" i="7"/>
  <c r="A275" i="7"/>
  <c r="E274" i="7"/>
  <c r="D274" i="7"/>
  <c r="G274" i="7" s="1"/>
  <c r="H274" i="7" s="1"/>
  <c r="A274" i="7"/>
  <c r="D273" i="7"/>
  <c r="C273" i="7"/>
  <c r="A273" i="7"/>
  <c r="G272" i="7"/>
  <c r="H272" i="7" s="1"/>
  <c r="E272" i="7"/>
  <c r="D272" i="7"/>
  <c r="A272" i="7"/>
  <c r="D271" i="7"/>
  <c r="A271" i="7"/>
  <c r="A270" i="7"/>
  <c r="A269" i="7"/>
  <c r="D268" i="7"/>
  <c r="A268" i="7"/>
  <c r="C267" i="7"/>
  <c r="A267" i="7"/>
  <c r="D267" i="7" s="1"/>
  <c r="A266" i="7"/>
  <c r="D265" i="7"/>
  <c r="C265" i="7"/>
  <c r="A265" i="7"/>
  <c r="E264" i="7"/>
  <c r="G264" i="7" s="1"/>
  <c r="H264" i="7" s="1"/>
  <c r="D264" i="7"/>
  <c r="A264" i="7"/>
  <c r="A263" i="7"/>
  <c r="E262" i="7"/>
  <c r="A262" i="7"/>
  <c r="C261" i="7"/>
  <c r="A261" i="7"/>
  <c r="A260" i="7"/>
  <c r="D259" i="7"/>
  <c r="A259" i="7"/>
  <c r="D258" i="7"/>
  <c r="A258" i="7"/>
  <c r="E258" i="7" s="1"/>
  <c r="D257" i="7"/>
  <c r="C257" i="7"/>
  <c r="A257" i="7"/>
  <c r="E256" i="7"/>
  <c r="A256" i="7"/>
  <c r="F256" i="7" s="1"/>
  <c r="E255" i="7"/>
  <c r="G255" i="7" s="1"/>
  <c r="H255" i="7" s="1"/>
  <c r="C255" i="7"/>
  <c r="B255" i="7"/>
  <c r="A255" i="7"/>
  <c r="D255" i="7" s="1"/>
  <c r="A254" i="7"/>
  <c r="E253" i="7"/>
  <c r="G253" i="7" s="1"/>
  <c r="H253" i="7" s="1"/>
  <c r="C253" i="7"/>
  <c r="B253" i="7"/>
  <c r="A253" i="7"/>
  <c r="D253" i="7" s="1"/>
  <c r="E252" i="7"/>
  <c r="A252" i="7"/>
  <c r="F252" i="7" s="1"/>
  <c r="E251" i="7"/>
  <c r="G251" i="7" s="1"/>
  <c r="H251" i="7" s="1"/>
  <c r="C251" i="7"/>
  <c r="B251" i="7"/>
  <c r="A251" i="7"/>
  <c r="D251" i="7" s="1"/>
  <c r="A250" i="7"/>
  <c r="E249" i="7"/>
  <c r="G249" i="7" s="1"/>
  <c r="H249" i="7" s="1"/>
  <c r="C249" i="7"/>
  <c r="B249" i="7"/>
  <c r="A249" i="7"/>
  <c r="D249" i="7" s="1"/>
  <c r="E248" i="7"/>
  <c r="A248" i="7"/>
  <c r="F248" i="7" s="1"/>
  <c r="E247" i="7"/>
  <c r="G247" i="7" s="1"/>
  <c r="H247" i="7" s="1"/>
  <c r="C247" i="7"/>
  <c r="B247" i="7"/>
  <c r="A247" i="7"/>
  <c r="D247" i="7" s="1"/>
  <c r="A246" i="7"/>
  <c r="E245" i="7"/>
  <c r="G245" i="7" s="1"/>
  <c r="H245" i="7" s="1"/>
  <c r="C245" i="7"/>
  <c r="B245" i="7"/>
  <c r="A245" i="7"/>
  <c r="D245" i="7" s="1"/>
  <c r="E244" i="7"/>
  <c r="A244" i="7"/>
  <c r="F244" i="7" s="1"/>
  <c r="E243" i="7"/>
  <c r="G243" i="7" s="1"/>
  <c r="H243" i="7" s="1"/>
  <c r="C243" i="7"/>
  <c r="B243" i="7"/>
  <c r="A243" i="7"/>
  <c r="D243" i="7" s="1"/>
  <c r="A242" i="7"/>
  <c r="E241" i="7"/>
  <c r="G241" i="7" s="1"/>
  <c r="H241" i="7" s="1"/>
  <c r="C241" i="7"/>
  <c r="B241" i="7"/>
  <c r="A241" i="7"/>
  <c r="D241" i="7" s="1"/>
  <c r="E240" i="7"/>
  <c r="A240" i="7"/>
  <c r="F240" i="7" s="1"/>
  <c r="E239" i="7"/>
  <c r="G239" i="7" s="1"/>
  <c r="H239" i="7" s="1"/>
  <c r="C239" i="7"/>
  <c r="B239" i="7"/>
  <c r="A239" i="7"/>
  <c r="D239" i="7" s="1"/>
  <c r="A238" i="7"/>
  <c r="E237" i="7"/>
  <c r="G237" i="7" s="1"/>
  <c r="H237" i="7" s="1"/>
  <c r="C237" i="7"/>
  <c r="B237" i="7"/>
  <c r="A237" i="7"/>
  <c r="D237" i="7" s="1"/>
  <c r="E236" i="7"/>
  <c r="A236" i="7"/>
  <c r="F236" i="7" s="1"/>
  <c r="E235" i="7"/>
  <c r="G235" i="7" s="1"/>
  <c r="H235" i="7" s="1"/>
  <c r="C235" i="7"/>
  <c r="B235" i="7"/>
  <c r="A235" i="7"/>
  <c r="D235" i="7" s="1"/>
  <c r="A234" i="7"/>
  <c r="E233" i="7"/>
  <c r="G233" i="7" s="1"/>
  <c r="H233" i="7" s="1"/>
  <c r="C233" i="7"/>
  <c r="B233" i="7"/>
  <c r="A233" i="7"/>
  <c r="D233" i="7" s="1"/>
  <c r="E232" i="7"/>
  <c r="A232" i="7"/>
  <c r="F232" i="7" s="1"/>
  <c r="E231" i="7"/>
  <c r="G231" i="7" s="1"/>
  <c r="H231" i="7" s="1"/>
  <c r="C231" i="7"/>
  <c r="B231" i="7"/>
  <c r="A231" i="7"/>
  <c r="D231" i="7" s="1"/>
  <c r="A230" i="7"/>
  <c r="E229" i="7"/>
  <c r="G229" i="7" s="1"/>
  <c r="H229" i="7" s="1"/>
  <c r="C229" i="7"/>
  <c r="B229" i="7"/>
  <c r="A229" i="7"/>
  <c r="D229" i="7" s="1"/>
  <c r="E228" i="7"/>
  <c r="A228" i="7"/>
  <c r="F228" i="7" s="1"/>
  <c r="E227" i="7"/>
  <c r="G227" i="7" s="1"/>
  <c r="H227" i="7" s="1"/>
  <c r="C227" i="7"/>
  <c r="B227" i="7"/>
  <c r="A227" i="7"/>
  <c r="D227" i="7" s="1"/>
  <c r="A226" i="7"/>
  <c r="E225" i="7"/>
  <c r="G225" i="7" s="1"/>
  <c r="H225" i="7" s="1"/>
  <c r="C225" i="7"/>
  <c r="B225" i="7"/>
  <c r="A225" i="7"/>
  <c r="D225" i="7" s="1"/>
  <c r="E224" i="7"/>
  <c r="A224" i="7"/>
  <c r="F224" i="7" s="1"/>
  <c r="E223" i="7"/>
  <c r="G223" i="7" s="1"/>
  <c r="H223" i="7" s="1"/>
  <c r="C223" i="7"/>
  <c r="B223" i="7"/>
  <c r="A223" i="7"/>
  <c r="D223" i="7" s="1"/>
  <c r="A222" i="7"/>
  <c r="E221" i="7"/>
  <c r="G221" i="7" s="1"/>
  <c r="H221" i="7" s="1"/>
  <c r="C221" i="7"/>
  <c r="B221" i="7"/>
  <c r="A221" i="7"/>
  <c r="D221" i="7" s="1"/>
  <c r="E220" i="7"/>
  <c r="A220" i="7"/>
  <c r="F220" i="7" s="1"/>
  <c r="E219" i="7"/>
  <c r="G219" i="7" s="1"/>
  <c r="H219" i="7" s="1"/>
  <c r="C219" i="7"/>
  <c r="B219" i="7"/>
  <c r="A219" i="7"/>
  <c r="D219" i="7" s="1"/>
  <c r="A218" i="7"/>
  <c r="E217" i="7"/>
  <c r="G217" i="7" s="1"/>
  <c r="H217" i="7" s="1"/>
  <c r="C217" i="7"/>
  <c r="B217" i="7"/>
  <c r="A217" i="7"/>
  <c r="D217" i="7" s="1"/>
  <c r="E216" i="7"/>
  <c r="A216" i="7"/>
  <c r="F216" i="7" s="1"/>
  <c r="E215" i="7"/>
  <c r="G215" i="7" s="1"/>
  <c r="H215" i="7" s="1"/>
  <c r="C215" i="7"/>
  <c r="B215" i="7"/>
  <c r="A215" i="7"/>
  <c r="D215" i="7" s="1"/>
  <c r="A214" i="7"/>
  <c r="E213" i="7"/>
  <c r="G213" i="7" s="1"/>
  <c r="H213" i="7" s="1"/>
  <c r="C213" i="7"/>
  <c r="B213" i="7"/>
  <c r="A213" i="7"/>
  <c r="D213" i="7" s="1"/>
  <c r="E212" i="7"/>
  <c r="A212" i="7"/>
  <c r="F212" i="7" s="1"/>
  <c r="E211" i="7"/>
  <c r="G211" i="7" s="1"/>
  <c r="H211" i="7" s="1"/>
  <c r="C211" i="7"/>
  <c r="B211" i="7"/>
  <c r="A211" i="7"/>
  <c r="D211" i="7" s="1"/>
  <c r="A210" i="7"/>
  <c r="E209" i="7"/>
  <c r="G209" i="7" s="1"/>
  <c r="H209" i="7" s="1"/>
  <c r="C209" i="7"/>
  <c r="B209" i="7"/>
  <c r="A209" i="7"/>
  <c r="D209" i="7" s="1"/>
  <c r="E208" i="7"/>
  <c r="A208" i="7"/>
  <c r="F208" i="7" s="1"/>
  <c r="E207" i="7"/>
  <c r="G207" i="7" s="1"/>
  <c r="H207" i="7" s="1"/>
  <c r="C207" i="7"/>
  <c r="B207" i="7"/>
  <c r="A207" i="7"/>
  <c r="D207" i="7" s="1"/>
  <c r="A206" i="7"/>
  <c r="E205" i="7"/>
  <c r="G205" i="7" s="1"/>
  <c r="H205" i="7" s="1"/>
  <c r="C205" i="7"/>
  <c r="B205" i="7"/>
  <c r="A205" i="7"/>
  <c r="D205" i="7" s="1"/>
  <c r="E204" i="7"/>
  <c r="A204" i="7"/>
  <c r="F204" i="7" s="1"/>
  <c r="E203" i="7"/>
  <c r="G203" i="7" s="1"/>
  <c r="H203" i="7" s="1"/>
  <c r="C203" i="7"/>
  <c r="B203" i="7"/>
  <c r="A203" i="7"/>
  <c r="D203" i="7" s="1"/>
  <c r="A202" i="7"/>
  <c r="E201" i="7"/>
  <c r="G201" i="7" s="1"/>
  <c r="H201" i="7" s="1"/>
  <c r="C201" i="7"/>
  <c r="B201" i="7"/>
  <c r="A201" i="7"/>
  <c r="D201" i="7" s="1"/>
  <c r="E200" i="7"/>
  <c r="A200" i="7"/>
  <c r="F200" i="7" s="1"/>
  <c r="E199" i="7"/>
  <c r="G199" i="7" s="1"/>
  <c r="H199" i="7" s="1"/>
  <c r="C199" i="7"/>
  <c r="B199" i="7"/>
  <c r="A199" i="7"/>
  <c r="D199" i="7" s="1"/>
  <c r="A198" i="7"/>
  <c r="E197" i="7"/>
  <c r="G197" i="7" s="1"/>
  <c r="H197" i="7" s="1"/>
  <c r="C197" i="7"/>
  <c r="B197" i="7"/>
  <c r="A197" i="7"/>
  <c r="D197" i="7" s="1"/>
  <c r="E196" i="7"/>
  <c r="A196" i="7"/>
  <c r="F196" i="7" s="1"/>
  <c r="E195" i="7"/>
  <c r="G195" i="7" s="1"/>
  <c r="H195" i="7" s="1"/>
  <c r="C195" i="7"/>
  <c r="B195" i="7"/>
  <c r="A195" i="7"/>
  <c r="D195" i="7" s="1"/>
  <c r="A194" i="7"/>
  <c r="E193" i="7"/>
  <c r="G193" i="7" s="1"/>
  <c r="H193" i="7" s="1"/>
  <c r="C193" i="7"/>
  <c r="B193" i="7"/>
  <c r="A193" i="7"/>
  <c r="D193" i="7" s="1"/>
  <c r="E192" i="7"/>
  <c r="A192" i="7"/>
  <c r="F192" i="7" s="1"/>
  <c r="E191" i="7"/>
  <c r="G191" i="7" s="1"/>
  <c r="H191" i="7" s="1"/>
  <c r="C191" i="7"/>
  <c r="B191" i="7"/>
  <c r="A191" i="7"/>
  <c r="D191" i="7" s="1"/>
  <c r="A190" i="7"/>
  <c r="E189" i="7"/>
  <c r="G189" i="7" s="1"/>
  <c r="H189" i="7" s="1"/>
  <c r="C189" i="7"/>
  <c r="B189" i="7"/>
  <c r="A189" i="7"/>
  <c r="D189" i="7" s="1"/>
  <c r="E188" i="7"/>
  <c r="A188" i="7"/>
  <c r="F188" i="7" s="1"/>
  <c r="E187" i="7"/>
  <c r="G187" i="7" s="1"/>
  <c r="H187" i="7" s="1"/>
  <c r="C187" i="7"/>
  <c r="B187" i="7"/>
  <c r="A187" i="7"/>
  <c r="D187" i="7" s="1"/>
  <c r="A186" i="7"/>
  <c r="E185" i="7"/>
  <c r="G185" i="7" s="1"/>
  <c r="H185" i="7" s="1"/>
  <c r="C185" i="7"/>
  <c r="B185" i="7"/>
  <c r="A185" i="7"/>
  <c r="D185" i="7" s="1"/>
  <c r="E184" i="7"/>
  <c r="A184" i="7"/>
  <c r="F184" i="7" s="1"/>
  <c r="E183" i="7"/>
  <c r="G183" i="7" s="1"/>
  <c r="H183" i="7" s="1"/>
  <c r="C183" i="7"/>
  <c r="B183" i="7"/>
  <c r="A183" i="7"/>
  <c r="D183" i="7" s="1"/>
  <c r="A182" i="7"/>
  <c r="E181" i="7"/>
  <c r="G181" i="7" s="1"/>
  <c r="H181" i="7" s="1"/>
  <c r="C181" i="7"/>
  <c r="B181" i="7"/>
  <c r="A181" i="7"/>
  <c r="D181" i="7" s="1"/>
  <c r="E180" i="7"/>
  <c r="A180" i="7"/>
  <c r="F180" i="7" s="1"/>
  <c r="E179" i="7"/>
  <c r="G179" i="7" s="1"/>
  <c r="H179" i="7" s="1"/>
  <c r="C179" i="7"/>
  <c r="B179" i="7"/>
  <c r="A179" i="7"/>
  <c r="D179" i="7" s="1"/>
  <c r="A178" i="7"/>
  <c r="E177" i="7"/>
  <c r="G177" i="7" s="1"/>
  <c r="H177" i="7" s="1"/>
  <c r="C177" i="7"/>
  <c r="B177" i="7"/>
  <c r="A177" i="7"/>
  <c r="D177" i="7" s="1"/>
  <c r="E176" i="7"/>
  <c r="A176" i="7"/>
  <c r="F176" i="7" s="1"/>
  <c r="E175" i="7"/>
  <c r="G175" i="7" s="1"/>
  <c r="H175" i="7" s="1"/>
  <c r="C175" i="7"/>
  <c r="B175" i="7"/>
  <c r="A175" i="7"/>
  <c r="D175" i="7" s="1"/>
  <c r="A174" i="7"/>
  <c r="E173" i="7"/>
  <c r="G173" i="7" s="1"/>
  <c r="H173" i="7" s="1"/>
  <c r="C173" i="7"/>
  <c r="B173" i="7"/>
  <c r="A173" i="7"/>
  <c r="D173" i="7" s="1"/>
  <c r="E172" i="7"/>
  <c r="A172" i="7"/>
  <c r="F172" i="7" s="1"/>
  <c r="E171" i="7"/>
  <c r="G171" i="7" s="1"/>
  <c r="H171" i="7" s="1"/>
  <c r="C171" i="7"/>
  <c r="B171" i="7"/>
  <c r="A171" i="7"/>
  <c r="D171" i="7" s="1"/>
  <c r="A170" i="7"/>
  <c r="E169" i="7"/>
  <c r="G169" i="7" s="1"/>
  <c r="H169" i="7" s="1"/>
  <c r="C169" i="7"/>
  <c r="B169" i="7"/>
  <c r="A169" i="7"/>
  <c r="D169" i="7" s="1"/>
  <c r="E168" i="7"/>
  <c r="A168" i="7"/>
  <c r="F168" i="7" s="1"/>
  <c r="E167" i="7"/>
  <c r="G167" i="7" s="1"/>
  <c r="H167" i="7" s="1"/>
  <c r="C167" i="7"/>
  <c r="B167" i="7"/>
  <c r="A167" i="7"/>
  <c r="D167" i="7" s="1"/>
  <c r="A166" i="7"/>
  <c r="E165" i="7"/>
  <c r="G165" i="7" s="1"/>
  <c r="H165" i="7" s="1"/>
  <c r="C165" i="7"/>
  <c r="B165" i="7"/>
  <c r="A165" i="7"/>
  <c r="D165" i="7" s="1"/>
  <c r="E164" i="7"/>
  <c r="A164" i="7"/>
  <c r="F164" i="7" s="1"/>
  <c r="E163" i="7"/>
  <c r="G163" i="7" s="1"/>
  <c r="H163" i="7" s="1"/>
  <c r="C163" i="7"/>
  <c r="B163" i="7"/>
  <c r="A163" i="7"/>
  <c r="D163" i="7" s="1"/>
  <c r="A162" i="7"/>
  <c r="E161" i="7"/>
  <c r="G161" i="7" s="1"/>
  <c r="H161" i="7" s="1"/>
  <c r="C161" i="7"/>
  <c r="B161" i="7"/>
  <c r="A161" i="7"/>
  <c r="D161" i="7" s="1"/>
  <c r="E160" i="7"/>
  <c r="A160" i="7"/>
  <c r="F160" i="7" s="1"/>
  <c r="E159" i="7"/>
  <c r="G159" i="7" s="1"/>
  <c r="H159" i="7" s="1"/>
  <c r="C159" i="7"/>
  <c r="B159" i="7"/>
  <c r="A159" i="7"/>
  <c r="D159" i="7" s="1"/>
  <c r="A158" i="7"/>
  <c r="E157" i="7"/>
  <c r="G157" i="7" s="1"/>
  <c r="H157" i="7" s="1"/>
  <c r="C157" i="7"/>
  <c r="B157" i="7"/>
  <c r="A157" i="7"/>
  <c r="D157" i="7" s="1"/>
  <c r="E156" i="7"/>
  <c r="A156" i="7"/>
  <c r="F156" i="7" s="1"/>
  <c r="E155" i="7"/>
  <c r="G155" i="7" s="1"/>
  <c r="H155" i="7" s="1"/>
  <c r="C155" i="7"/>
  <c r="B155" i="7"/>
  <c r="A155" i="7"/>
  <c r="D155" i="7" s="1"/>
  <c r="A154" i="7"/>
  <c r="E153" i="7"/>
  <c r="G153" i="7" s="1"/>
  <c r="H153" i="7" s="1"/>
  <c r="C153" i="7"/>
  <c r="B153" i="7"/>
  <c r="A153" i="7"/>
  <c r="D153" i="7" s="1"/>
  <c r="E152" i="7"/>
  <c r="A152" i="7"/>
  <c r="F152" i="7" s="1"/>
  <c r="E151" i="7"/>
  <c r="G151" i="7" s="1"/>
  <c r="H151" i="7" s="1"/>
  <c r="C151" i="7"/>
  <c r="B151" i="7"/>
  <c r="A151" i="7"/>
  <c r="D151" i="7" s="1"/>
  <c r="A150" i="7"/>
  <c r="E149" i="7"/>
  <c r="G149" i="7" s="1"/>
  <c r="H149" i="7" s="1"/>
  <c r="C149" i="7"/>
  <c r="B149" i="7"/>
  <c r="A149" i="7"/>
  <c r="D149" i="7" s="1"/>
  <c r="E148" i="7"/>
  <c r="A148" i="7"/>
  <c r="F148" i="7" s="1"/>
  <c r="E147" i="7"/>
  <c r="G147" i="7" s="1"/>
  <c r="H147" i="7" s="1"/>
  <c r="C147" i="7"/>
  <c r="B147" i="7"/>
  <c r="A147" i="7"/>
  <c r="D147" i="7" s="1"/>
  <c r="A146" i="7"/>
  <c r="E145" i="7"/>
  <c r="G145" i="7" s="1"/>
  <c r="H145" i="7" s="1"/>
  <c r="C145" i="7"/>
  <c r="B145" i="7"/>
  <c r="A145" i="7"/>
  <c r="D145" i="7" s="1"/>
  <c r="E144" i="7"/>
  <c r="A144" i="7"/>
  <c r="F144" i="7" s="1"/>
  <c r="E143" i="7"/>
  <c r="G143" i="7" s="1"/>
  <c r="H143" i="7" s="1"/>
  <c r="C143" i="7"/>
  <c r="B143" i="7"/>
  <c r="A143" i="7"/>
  <c r="D143" i="7" s="1"/>
  <c r="A142" i="7"/>
  <c r="E141" i="7"/>
  <c r="G141" i="7" s="1"/>
  <c r="H141" i="7" s="1"/>
  <c r="C141" i="7"/>
  <c r="B141" i="7"/>
  <c r="A141" i="7"/>
  <c r="D141" i="7" s="1"/>
  <c r="E140" i="7"/>
  <c r="A140" i="7"/>
  <c r="F140" i="7" s="1"/>
  <c r="E139" i="7"/>
  <c r="G139" i="7" s="1"/>
  <c r="H139" i="7" s="1"/>
  <c r="C139" i="7"/>
  <c r="B139" i="7"/>
  <c r="A139" i="7"/>
  <c r="D139" i="7" s="1"/>
  <c r="A138" i="7"/>
  <c r="E137" i="7"/>
  <c r="G137" i="7" s="1"/>
  <c r="H137" i="7" s="1"/>
  <c r="C137" i="7"/>
  <c r="B137" i="7"/>
  <c r="A137" i="7"/>
  <c r="D137" i="7" s="1"/>
  <c r="E136" i="7"/>
  <c r="A136" i="7"/>
  <c r="F136" i="7" s="1"/>
  <c r="E135" i="7"/>
  <c r="G135" i="7" s="1"/>
  <c r="H135" i="7" s="1"/>
  <c r="C135" i="7"/>
  <c r="B135" i="7"/>
  <c r="A135" i="7"/>
  <c r="D135" i="7" s="1"/>
  <c r="A134" i="7"/>
  <c r="E133" i="7"/>
  <c r="G133" i="7" s="1"/>
  <c r="H133" i="7" s="1"/>
  <c r="C133" i="7"/>
  <c r="B133" i="7"/>
  <c r="A133" i="7"/>
  <c r="D133" i="7" s="1"/>
  <c r="E132" i="7"/>
  <c r="A132" i="7"/>
  <c r="F132" i="7" s="1"/>
  <c r="E131" i="7"/>
  <c r="G131" i="7" s="1"/>
  <c r="H131" i="7" s="1"/>
  <c r="C131" i="7"/>
  <c r="B131" i="7"/>
  <c r="A131" i="7"/>
  <c r="D131" i="7" s="1"/>
  <c r="A130" i="7"/>
  <c r="E129" i="7"/>
  <c r="G129" i="7" s="1"/>
  <c r="H129" i="7" s="1"/>
  <c r="C129" i="7"/>
  <c r="B129" i="7"/>
  <c r="A129" i="7"/>
  <c r="D129" i="7" s="1"/>
  <c r="E128" i="7"/>
  <c r="A128" i="7"/>
  <c r="F128" i="7" s="1"/>
  <c r="E127" i="7"/>
  <c r="G127" i="7" s="1"/>
  <c r="H127" i="7" s="1"/>
  <c r="C127" i="7"/>
  <c r="B127" i="7"/>
  <c r="A127" i="7"/>
  <c r="D127" i="7" s="1"/>
  <c r="A126" i="7"/>
  <c r="E125" i="7"/>
  <c r="G125" i="7" s="1"/>
  <c r="H125" i="7" s="1"/>
  <c r="C125" i="7"/>
  <c r="B125" i="7"/>
  <c r="A125" i="7"/>
  <c r="D125" i="7" s="1"/>
  <c r="E124" i="7"/>
  <c r="A124" i="7"/>
  <c r="F124" i="7" s="1"/>
  <c r="E123" i="7"/>
  <c r="G123" i="7" s="1"/>
  <c r="H123" i="7" s="1"/>
  <c r="C123" i="7"/>
  <c r="B123" i="7"/>
  <c r="A123" i="7"/>
  <c r="D123" i="7" s="1"/>
  <c r="A122" i="7"/>
  <c r="E121" i="7"/>
  <c r="C121" i="7"/>
  <c r="A121" i="7"/>
  <c r="D121" i="7" s="1"/>
  <c r="G121" i="7" s="1"/>
  <c r="H121" i="7" s="1"/>
  <c r="E120" i="7"/>
  <c r="D120" i="7"/>
  <c r="G120" i="7" s="1"/>
  <c r="H120" i="7" s="1"/>
  <c r="C120" i="7"/>
  <c r="A120" i="7"/>
  <c r="E119" i="7"/>
  <c r="C119" i="7"/>
  <c r="A119" i="7"/>
  <c r="D119" i="7" s="1"/>
  <c r="G119" i="7" s="1"/>
  <c r="H119" i="7" s="1"/>
  <c r="E118" i="7"/>
  <c r="D118" i="7"/>
  <c r="G118" i="7" s="1"/>
  <c r="H118" i="7" s="1"/>
  <c r="C118" i="7"/>
  <c r="A118" i="7"/>
  <c r="E117" i="7"/>
  <c r="C117" i="7"/>
  <c r="A117" i="7"/>
  <c r="D117" i="7" s="1"/>
  <c r="G117" i="7" s="1"/>
  <c r="H117" i="7" s="1"/>
  <c r="E116" i="7"/>
  <c r="D116" i="7"/>
  <c r="G116" i="7" s="1"/>
  <c r="H116" i="7" s="1"/>
  <c r="C116" i="7"/>
  <c r="A116" i="7"/>
  <c r="E115" i="7"/>
  <c r="C115" i="7"/>
  <c r="A115" i="7"/>
  <c r="D115" i="7" s="1"/>
  <c r="G115" i="7" s="1"/>
  <c r="H115" i="7" s="1"/>
  <c r="E114" i="7"/>
  <c r="D114" i="7"/>
  <c r="G114" i="7" s="1"/>
  <c r="H114" i="7" s="1"/>
  <c r="C114" i="7"/>
  <c r="A114" i="7"/>
  <c r="E113" i="7"/>
  <c r="C113" i="7"/>
  <c r="A113" i="7"/>
  <c r="D113" i="7" s="1"/>
  <c r="G113" i="7" s="1"/>
  <c r="H113" i="7" s="1"/>
  <c r="E112" i="7"/>
  <c r="D112" i="7"/>
  <c r="G112" i="7" s="1"/>
  <c r="H112" i="7" s="1"/>
  <c r="C112" i="7"/>
  <c r="A112" i="7"/>
  <c r="E111" i="7"/>
  <c r="C111" i="7"/>
  <c r="A111" i="7"/>
  <c r="D111" i="7" s="1"/>
  <c r="G111" i="7" s="1"/>
  <c r="H111" i="7" s="1"/>
  <c r="E110" i="7"/>
  <c r="D110" i="7"/>
  <c r="G110" i="7" s="1"/>
  <c r="H110" i="7" s="1"/>
  <c r="C110" i="7"/>
  <c r="A110" i="7"/>
  <c r="E109" i="7"/>
  <c r="C109" i="7"/>
  <c r="A109" i="7"/>
  <c r="D109" i="7" s="1"/>
  <c r="G109" i="7" s="1"/>
  <c r="H109" i="7" s="1"/>
  <c r="E108" i="7"/>
  <c r="D108" i="7"/>
  <c r="G108" i="7" s="1"/>
  <c r="H108" i="7" s="1"/>
  <c r="C108" i="7"/>
  <c r="A108" i="7"/>
  <c r="E107" i="7"/>
  <c r="C107" i="7"/>
  <c r="A107" i="7"/>
  <c r="D107" i="7" s="1"/>
  <c r="G107" i="7" s="1"/>
  <c r="H107" i="7" s="1"/>
  <c r="E106" i="7"/>
  <c r="D106" i="7"/>
  <c r="G106" i="7" s="1"/>
  <c r="H106" i="7" s="1"/>
  <c r="C106" i="7"/>
  <c r="A106" i="7"/>
  <c r="E105" i="7"/>
  <c r="C105" i="7"/>
  <c r="A105" i="7"/>
  <c r="D105" i="7" s="1"/>
  <c r="G105" i="7" s="1"/>
  <c r="H105" i="7" s="1"/>
  <c r="E104" i="7"/>
  <c r="D104" i="7"/>
  <c r="G104" i="7" s="1"/>
  <c r="H104" i="7" s="1"/>
  <c r="C104" i="7"/>
  <c r="A104" i="7"/>
  <c r="E103" i="7"/>
  <c r="C103" i="7"/>
  <c r="A103" i="7"/>
  <c r="D103" i="7" s="1"/>
  <c r="G103" i="7" s="1"/>
  <c r="H103" i="7" s="1"/>
  <c r="E102" i="7"/>
  <c r="D102" i="7"/>
  <c r="G102" i="7" s="1"/>
  <c r="H102" i="7" s="1"/>
  <c r="C102" i="7"/>
  <c r="A102" i="7"/>
  <c r="E101" i="7"/>
  <c r="C101" i="7"/>
  <c r="A101" i="7"/>
  <c r="D101" i="7" s="1"/>
  <c r="G101" i="7" s="1"/>
  <c r="H101" i="7" s="1"/>
  <c r="E100" i="7"/>
  <c r="D100" i="7"/>
  <c r="G100" i="7" s="1"/>
  <c r="H100" i="7" s="1"/>
  <c r="C100" i="7"/>
  <c r="A100" i="7"/>
  <c r="E99" i="7"/>
  <c r="C99" i="7"/>
  <c r="A99" i="7"/>
  <c r="D99" i="7" s="1"/>
  <c r="G99" i="7" s="1"/>
  <c r="H99" i="7" s="1"/>
  <c r="E98" i="7"/>
  <c r="D98" i="7"/>
  <c r="G98" i="7" s="1"/>
  <c r="H98" i="7" s="1"/>
  <c r="C98" i="7"/>
  <c r="A98" i="7"/>
  <c r="E97" i="7"/>
  <c r="C97" i="7"/>
  <c r="A97" i="7"/>
  <c r="D97" i="7" s="1"/>
  <c r="G97" i="7" s="1"/>
  <c r="H97" i="7" s="1"/>
  <c r="E96" i="7"/>
  <c r="D96" i="7"/>
  <c r="G96" i="7" s="1"/>
  <c r="H96" i="7" s="1"/>
  <c r="C96" i="7"/>
  <c r="A96" i="7"/>
  <c r="E95" i="7"/>
  <c r="C95" i="7"/>
  <c r="A95" i="7"/>
  <c r="D95" i="7" s="1"/>
  <c r="G95" i="7" s="1"/>
  <c r="H95" i="7" s="1"/>
  <c r="E94" i="7"/>
  <c r="D94" i="7"/>
  <c r="G94" i="7" s="1"/>
  <c r="H94" i="7" s="1"/>
  <c r="C94" i="7"/>
  <c r="A94" i="7"/>
  <c r="E93" i="7"/>
  <c r="C93" i="7"/>
  <c r="A93" i="7"/>
  <c r="D93" i="7" s="1"/>
  <c r="G93" i="7" s="1"/>
  <c r="H93" i="7" s="1"/>
  <c r="E92" i="7"/>
  <c r="D92" i="7"/>
  <c r="G92" i="7" s="1"/>
  <c r="H92" i="7" s="1"/>
  <c r="C92" i="7"/>
  <c r="A92" i="7"/>
  <c r="E91" i="7"/>
  <c r="C91" i="7"/>
  <c r="A91" i="7"/>
  <c r="D91" i="7" s="1"/>
  <c r="G91" i="7" s="1"/>
  <c r="H91" i="7" s="1"/>
  <c r="E90" i="7"/>
  <c r="D90" i="7"/>
  <c r="G90" i="7" s="1"/>
  <c r="H90" i="7" s="1"/>
  <c r="C90" i="7"/>
  <c r="A90" i="7"/>
  <c r="E89" i="7"/>
  <c r="C89" i="7"/>
  <c r="A89" i="7"/>
  <c r="D89" i="7" s="1"/>
  <c r="G89" i="7" s="1"/>
  <c r="H89" i="7" s="1"/>
  <c r="E88" i="7"/>
  <c r="D88" i="7"/>
  <c r="G88" i="7" s="1"/>
  <c r="H88" i="7" s="1"/>
  <c r="C88" i="7"/>
  <c r="A88" i="7"/>
  <c r="E87" i="7"/>
  <c r="C87" i="7"/>
  <c r="A87" i="7"/>
  <c r="D87" i="7" s="1"/>
  <c r="G87" i="7" s="1"/>
  <c r="H87" i="7" s="1"/>
  <c r="E86" i="7"/>
  <c r="D86" i="7"/>
  <c r="G86" i="7" s="1"/>
  <c r="H86" i="7" s="1"/>
  <c r="C86" i="7"/>
  <c r="A86" i="7"/>
  <c r="E85" i="7"/>
  <c r="C85" i="7"/>
  <c r="A85" i="7"/>
  <c r="D85" i="7" s="1"/>
  <c r="G85" i="7" s="1"/>
  <c r="H85" i="7" s="1"/>
  <c r="E84" i="7"/>
  <c r="D84" i="7"/>
  <c r="G84" i="7" s="1"/>
  <c r="H84" i="7" s="1"/>
  <c r="C84" i="7"/>
  <c r="A84" i="7"/>
  <c r="E83" i="7"/>
  <c r="C83" i="7"/>
  <c r="A83" i="7"/>
  <c r="D83" i="7" s="1"/>
  <c r="G83" i="7" s="1"/>
  <c r="H83" i="7" s="1"/>
  <c r="E82" i="7"/>
  <c r="D82" i="7"/>
  <c r="G82" i="7" s="1"/>
  <c r="H82" i="7" s="1"/>
  <c r="C82" i="7"/>
  <c r="A82" i="7"/>
  <c r="E81" i="7"/>
  <c r="C81" i="7"/>
  <c r="A81" i="7"/>
  <c r="D81" i="7" s="1"/>
  <c r="G81" i="7" s="1"/>
  <c r="H81" i="7" s="1"/>
  <c r="E80" i="7"/>
  <c r="D80" i="7"/>
  <c r="G80" i="7" s="1"/>
  <c r="H80" i="7" s="1"/>
  <c r="C80" i="7"/>
  <c r="A80" i="7"/>
  <c r="E79" i="7"/>
  <c r="C79" i="7"/>
  <c r="A79" i="7"/>
  <c r="D79" i="7" s="1"/>
  <c r="G79" i="7" s="1"/>
  <c r="H79" i="7" s="1"/>
  <c r="E78" i="7"/>
  <c r="D78" i="7"/>
  <c r="G78" i="7" s="1"/>
  <c r="H78" i="7" s="1"/>
  <c r="C78" i="7"/>
  <c r="A78" i="7"/>
  <c r="E77" i="7"/>
  <c r="C77" i="7"/>
  <c r="A77" i="7"/>
  <c r="D77" i="7" s="1"/>
  <c r="G77" i="7" s="1"/>
  <c r="H77" i="7" s="1"/>
  <c r="E76" i="7"/>
  <c r="D76" i="7"/>
  <c r="G76" i="7" s="1"/>
  <c r="H76" i="7" s="1"/>
  <c r="C76" i="7"/>
  <c r="A76" i="7"/>
  <c r="E75" i="7"/>
  <c r="C75" i="7"/>
  <c r="A75" i="7"/>
  <c r="D75" i="7" s="1"/>
  <c r="G75" i="7" s="1"/>
  <c r="H75" i="7" s="1"/>
  <c r="F74" i="7"/>
  <c r="D74" i="7"/>
  <c r="B74" i="7"/>
  <c r="A74" i="7"/>
  <c r="E74" i="7" s="1"/>
  <c r="F73" i="7"/>
  <c r="D73" i="7"/>
  <c r="B73" i="7"/>
  <c r="A73" i="7"/>
  <c r="E73" i="7" s="1"/>
  <c r="F72" i="7"/>
  <c r="D72" i="7"/>
  <c r="B72" i="7"/>
  <c r="A72" i="7"/>
  <c r="E72" i="7" s="1"/>
  <c r="F71" i="7"/>
  <c r="D71" i="7"/>
  <c r="B71" i="7"/>
  <c r="A71" i="7"/>
  <c r="E71" i="7" s="1"/>
  <c r="F70" i="7"/>
  <c r="D70" i="7"/>
  <c r="B70" i="7"/>
  <c r="A70" i="7"/>
  <c r="E70" i="7" s="1"/>
  <c r="F69" i="7"/>
  <c r="D69" i="7"/>
  <c r="B69" i="7"/>
  <c r="A69" i="7"/>
  <c r="E69" i="7" s="1"/>
  <c r="F68" i="7"/>
  <c r="D68" i="7"/>
  <c r="B68" i="7"/>
  <c r="A68" i="7"/>
  <c r="E68" i="7" s="1"/>
  <c r="F67" i="7"/>
  <c r="D67" i="7"/>
  <c r="B67" i="7"/>
  <c r="A67" i="7"/>
  <c r="E67" i="7" s="1"/>
  <c r="F66" i="7"/>
  <c r="D66" i="7"/>
  <c r="B66" i="7"/>
  <c r="A66" i="7"/>
  <c r="E66" i="7" s="1"/>
  <c r="F65" i="7"/>
  <c r="D65" i="7"/>
  <c r="B65" i="7"/>
  <c r="A65" i="7"/>
  <c r="E65" i="7" s="1"/>
  <c r="F64" i="7"/>
  <c r="D64" i="7"/>
  <c r="B64" i="7"/>
  <c r="A64" i="7"/>
  <c r="E64" i="7" s="1"/>
  <c r="F63" i="7"/>
  <c r="D63" i="7"/>
  <c r="B63" i="7"/>
  <c r="A63" i="7"/>
  <c r="E63" i="7" s="1"/>
  <c r="F62" i="7"/>
  <c r="D62" i="7"/>
  <c r="B62" i="7"/>
  <c r="A62" i="7"/>
  <c r="E62" i="7" s="1"/>
  <c r="F61" i="7"/>
  <c r="D61" i="7"/>
  <c r="B61" i="7"/>
  <c r="A61" i="7"/>
  <c r="E61" i="7" s="1"/>
  <c r="F60" i="7"/>
  <c r="D60" i="7"/>
  <c r="B60" i="7"/>
  <c r="A60" i="7"/>
  <c r="E60" i="7" s="1"/>
  <c r="F59" i="7"/>
  <c r="D59" i="7"/>
  <c r="B59" i="7"/>
  <c r="A59" i="7"/>
  <c r="E59" i="7" s="1"/>
  <c r="F58" i="7"/>
  <c r="D58" i="7"/>
  <c r="B58" i="7"/>
  <c r="A58" i="7"/>
  <c r="E58" i="7" s="1"/>
  <c r="F57" i="7"/>
  <c r="D57" i="7"/>
  <c r="B57" i="7"/>
  <c r="A57" i="7"/>
  <c r="E57" i="7" s="1"/>
  <c r="F56" i="7"/>
  <c r="D56" i="7"/>
  <c r="B56" i="7"/>
  <c r="A56" i="7"/>
  <c r="E56" i="7" s="1"/>
  <c r="F55" i="7"/>
  <c r="D55" i="7"/>
  <c r="B55" i="7"/>
  <c r="A55" i="7"/>
  <c r="E55" i="7" s="1"/>
  <c r="F54" i="7"/>
  <c r="D54" i="7"/>
  <c r="B54" i="7"/>
  <c r="A54" i="7"/>
  <c r="E54" i="7" s="1"/>
  <c r="F53" i="7"/>
  <c r="D53" i="7"/>
  <c r="B53" i="7"/>
  <c r="A53" i="7"/>
  <c r="E53" i="7" s="1"/>
  <c r="F52" i="7"/>
  <c r="D52" i="7"/>
  <c r="B52" i="7"/>
  <c r="A52" i="7"/>
  <c r="E52" i="7" s="1"/>
  <c r="F51" i="7"/>
  <c r="D51" i="7"/>
  <c r="B51" i="7"/>
  <c r="A51" i="7"/>
  <c r="E51" i="7" s="1"/>
  <c r="F50" i="7"/>
  <c r="D50" i="7"/>
  <c r="B50" i="7"/>
  <c r="A50" i="7"/>
  <c r="E50" i="7" s="1"/>
  <c r="F49" i="7"/>
  <c r="D49" i="7"/>
  <c r="B49" i="7"/>
  <c r="A49" i="7"/>
  <c r="E49" i="7" s="1"/>
  <c r="F48" i="7"/>
  <c r="D48" i="7"/>
  <c r="B48" i="7"/>
  <c r="A48" i="7"/>
  <c r="E48" i="7" s="1"/>
  <c r="F47" i="7"/>
  <c r="D47" i="7"/>
  <c r="B47" i="7"/>
  <c r="A47" i="7"/>
  <c r="E47" i="7" s="1"/>
  <c r="F46" i="7"/>
  <c r="D46" i="7"/>
  <c r="B46" i="7"/>
  <c r="A46" i="7"/>
  <c r="E46" i="7" s="1"/>
  <c r="F45" i="7"/>
  <c r="D45" i="7"/>
  <c r="B45" i="7"/>
  <c r="A45" i="7"/>
  <c r="E45" i="7" s="1"/>
  <c r="F44" i="7"/>
  <c r="D44" i="7"/>
  <c r="B44" i="7"/>
  <c r="A44" i="7"/>
  <c r="E44" i="7" s="1"/>
  <c r="F43" i="7"/>
  <c r="D43" i="7"/>
  <c r="B43" i="7"/>
  <c r="A43" i="7"/>
  <c r="E43" i="7" s="1"/>
  <c r="F42" i="7"/>
  <c r="D42" i="7"/>
  <c r="B42" i="7"/>
  <c r="A42" i="7"/>
  <c r="E42" i="7" s="1"/>
  <c r="F41" i="7"/>
  <c r="D41" i="7"/>
  <c r="B41" i="7"/>
  <c r="A41" i="7"/>
  <c r="E41" i="7" s="1"/>
  <c r="F40" i="7"/>
  <c r="D40" i="7"/>
  <c r="B40" i="7"/>
  <c r="A40" i="7"/>
  <c r="E40" i="7" s="1"/>
  <c r="F39" i="7"/>
  <c r="D39" i="7"/>
  <c r="B39" i="7"/>
  <c r="A39" i="7"/>
  <c r="E39" i="7" s="1"/>
  <c r="F38" i="7"/>
  <c r="D38" i="7"/>
  <c r="B38" i="7"/>
  <c r="A38" i="7"/>
  <c r="E38" i="7" s="1"/>
  <c r="F37" i="7"/>
  <c r="D37" i="7"/>
  <c r="B37" i="7"/>
  <c r="A37" i="7"/>
  <c r="E37" i="7" s="1"/>
  <c r="F36" i="7"/>
  <c r="D36" i="7"/>
  <c r="G36" i="7" s="1"/>
  <c r="H36" i="7" s="1"/>
  <c r="B36" i="7"/>
  <c r="A36" i="7"/>
  <c r="E36" i="7" s="1"/>
  <c r="F35" i="7"/>
  <c r="D35" i="7"/>
  <c r="G35" i="7" s="1"/>
  <c r="H35" i="7" s="1"/>
  <c r="B35" i="7"/>
  <c r="A35" i="7"/>
  <c r="E35" i="7" s="1"/>
  <c r="F34" i="7"/>
  <c r="D34" i="7"/>
  <c r="B34" i="7"/>
  <c r="A34" i="7"/>
  <c r="E34" i="7" s="1"/>
  <c r="F33" i="7"/>
  <c r="D33" i="7"/>
  <c r="B33" i="7"/>
  <c r="A33" i="7"/>
  <c r="E33" i="7" s="1"/>
  <c r="F32" i="7"/>
  <c r="D32" i="7"/>
  <c r="G32" i="7" s="1"/>
  <c r="H32" i="7" s="1"/>
  <c r="B32" i="7"/>
  <c r="A32" i="7"/>
  <c r="E32" i="7" s="1"/>
  <c r="F31" i="7"/>
  <c r="D31" i="7"/>
  <c r="G31" i="7" s="1"/>
  <c r="H31" i="7" s="1"/>
  <c r="B31" i="7"/>
  <c r="A31" i="7"/>
  <c r="E31" i="7" s="1"/>
  <c r="F30" i="7"/>
  <c r="D30" i="7"/>
  <c r="B30" i="7"/>
  <c r="A30" i="7"/>
  <c r="E30" i="7" s="1"/>
  <c r="F29" i="7"/>
  <c r="D29" i="7"/>
  <c r="B29" i="7"/>
  <c r="A29" i="7"/>
  <c r="E29" i="7" s="1"/>
  <c r="F28" i="7"/>
  <c r="D28" i="7"/>
  <c r="G28" i="7" s="1"/>
  <c r="H28" i="7" s="1"/>
  <c r="B28" i="7"/>
  <c r="A28" i="7"/>
  <c r="E28" i="7" s="1"/>
  <c r="F27" i="7"/>
  <c r="D27" i="7"/>
  <c r="G27" i="7" s="1"/>
  <c r="H27" i="7" s="1"/>
  <c r="B27" i="7"/>
  <c r="A27" i="7"/>
  <c r="E27" i="7" s="1"/>
  <c r="F26" i="7"/>
  <c r="D26" i="7"/>
  <c r="B26" i="7"/>
  <c r="A26" i="7"/>
  <c r="E26" i="7" s="1"/>
  <c r="F25" i="7"/>
  <c r="D25" i="7"/>
  <c r="B25" i="7"/>
  <c r="A25" i="7"/>
  <c r="E25" i="7" s="1"/>
  <c r="F24" i="7"/>
  <c r="D24" i="7"/>
  <c r="G24" i="7" s="1"/>
  <c r="H24" i="7" s="1"/>
  <c r="B24" i="7"/>
  <c r="A24" i="7"/>
  <c r="E24" i="7" s="1"/>
  <c r="F23" i="7"/>
  <c r="D23" i="7"/>
  <c r="G23" i="7" s="1"/>
  <c r="H23" i="7" s="1"/>
  <c r="B23" i="7"/>
  <c r="A23" i="7"/>
  <c r="E23" i="7" s="1"/>
  <c r="F22" i="7"/>
  <c r="D22" i="7"/>
  <c r="B22" i="7"/>
  <c r="A22" i="7"/>
  <c r="E22" i="7" s="1"/>
  <c r="F21" i="7"/>
  <c r="D21" i="7"/>
  <c r="B21" i="7"/>
  <c r="A21" i="7"/>
  <c r="E21" i="7" s="1"/>
  <c r="F20" i="7"/>
  <c r="D20" i="7"/>
  <c r="G20" i="7" s="1"/>
  <c r="H20" i="7" s="1"/>
  <c r="B20" i="7"/>
  <c r="A20" i="7"/>
  <c r="E20" i="7" s="1"/>
  <c r="F19" i="7"/>
  <c r="D19" i="7"/>
  <c r="G19" i="7" s="1"/>
  <c r="H19" i="7" s="1"/>
  <c r="B19" i="7"/>
  <c r="A19" i="7"/>
  <c r="E19" i="7" s="1"/>
  <c r="F18" i="7"/>
  <c r="D18" i="7"/>
  <c r="B18" i="7"/>
  <c r="A18" i="7"/>
  <c r="E18" i="7" s="1"/>
  <c r="F17" i="7"/>
  <c r="D17" i="7"/>
  <c r="B17" i="7"/>
  <c r="A17" i="7"/>
  <c r="E17" i="7" s="1"/>
  <c r="F16" i="7"/>
  <c r="D16" i="7"/>
  <c r="G16" i="7" s="1"/>
  <c r="H16" i="7" s="1"/>
  <c r="B16" i="7"/>
  <c r="A16" i="7"/>
  <c r="E16" i="7" s="1"/>
  <c r="F15" i="7"/>
  <c r="D15" i="7"/>
  <c r="G15" i="7" s="1"/>
  <c r="H15" i="7" s="1"/>
  <c r="B15" i="7"/>
  <c r="A15" i="7"/>
  <c r="E15" i="7" s="1"/>
  <c r="F14" i="7"/>
  <c r="D14" i="7"/>
  <c r="B14" i="7"/>
  <c r="A14" i="7"/>
  <c r="E14" i="7" s="1"/>
  <c r="F13" i="7"/>
  <c r="D13" i="7"/>
  <c r="B13" i="7"/>
  <c r="A13" i="7"/>
  <c r="E13" i="7" s="1"/>
  <c r="F12" i="7"/>
  <c r="D12" i="7"/>
  <c r="G12" i="7" s="1"/>
  <c r="H12" i="7" s="1"/>
  <c r="B12" i="7"/>
  <c r="A12" i="7"/>
  <c r="E12" i="7" s="1"/>
  <c r="F11" i="7"/>
  <c r="D11" i="7"/>
  <c r="G11" i="7" s="1"/>
  <c r="H11" i="7" s="1"/>
  <c r="B11" i="7"/>
  <c r="A11" i="7"/>
  <c r="E11" i="7" s="1"/>
  <c r="F10" i="7"/>
  <c r="D10" i="7"/>
  <c r="B10" i="7"/>
  <c r="A10" i="7"/>
  <c r="E10" i="7" s="1"/>
  <c r="F9" i="7"/>
  <c r="D9" i="7"/>
  <c r="B9" i="7"/>
  <c r="A9" i="7"/>
  <c r="E9" i="7" s="1"/>
  <c r="F8" i="7"/>
  <c r="D8" i="7"/>
  <c r="G8" i="7" s="1"/>
  <c r="H8" i="7" s="1"/>
  <c r="B8" i="7"/>
  <c r="A8" i="7"/>
  <c r="E8" i="7" s="1"/>
  <c r="F7" i="7"/>
  <c r="D7" i="7"/>
  <c r="G7" i="7" s="1"/>
  <c r="H7" i="7" s="1"/>
  <c r="B7" i="7"/>
  <c r="A7" i="7"/>
  <c r="E7" i="7" s="1"/>
  <c r="F6" i="7"/>
  <c r="D6" i="7"/>
  <c r="B6" i="7"/>
  <c r="A6" i="7"/>
  <c r="E6" i="7" s="1"/>
  <c r="F5" i="7"/>
  <c r="D5" i="7"/>
  <c r="B5" i="7"/>
  <c r="A5" i="7"/>
  <c r="E5" i="7" s="1"/>
  <c r="F4" i="7"/>
  <c r="D4" i="7"/>
  <c r="G4" i="7" s="1"/>
  <c r="H4" i="7" s="1"/>
  <c r="B4" i="7"/>
  <c r="A4" i="7"/>
  <c r="E4" i="7" s="1"/>
  <c r="F3" i="7"/>
  <c r="D3" i="7"/>
  <c r="G3" i="7" s="1"/>
  <c r="H3" i="7" s="1"/>
  <c r="B3" i="7"/>
  <c r="A3" i="7"/>
  <c r="E3" i="7" s="1"/>
  <c r="F2" i="7"/>
  <c r="D2" i="7"/>
  <c r="B2" i="7"/>
  <c r="A2" i="7"/>
  <c r="C2" i="7" s="1"/>
  <c r="D2881" i="6"/>
  <c r="B2881" i="6"/>
  <c r="D2880" i="6"/>
  <c r="B2880" i="6"/>
  <c r="D2879" i="6"/>
  <c r="B2879" i="6"/>
  <c r="D2878" i="6"/>
  <c r="B2878" i="6"/>
  <c r="D2877" i="6"/>
  <c r="B2877" i="6"/>
  <c r="D2876" i="6"/>
  <c r="B2876" i="6"/>
  <c r="D2875" i="6"/>
  <c r="B2875" i="6"/>
  <c r="D2874" i="6"/>
  <c r="B2874" i="6"/>
  <c r="D2873" i="6"/>
  <c r="B2873" i="6"/>
  <c r="D2872" i="6"/>
  <c r="B2872" i="6"/>
  <c r="D2871" i="6"/>
  <c r="B2871" i="6"/>
  <c r="D2870" i="6"/>
  <c r="B2870" i="6"/>
  <c r="D2869" i="6"/>
  <c r="B2869" i="6"/>
  <c r="D2868" i="6"/>
  <c r="B2868" i="6"/>
  <c r="D2867" i="6"/>
  <c r="B2867" i="6"/>
  <c r="D2866" i="6"/>
  <c r="B2866" i="6"/>
  <c r="D2865" i="6"/>
  <c r="B2865" i="6"/>
  <c r="D2864" i="6"/>
  <c r="B2864" i="6"/>
  <c r="D2863" i="6"/>
  <c r="B2863" i="6"/>
  <c r="D2862" i="6"/>
  <c r="B2862" i="6"/>
  <c r="D2861" i="6"/>
  <c r="B2861" i="6"/>
  <c r="D2860" i="6"/>
  <c r="B2860" i="6"/>
  <c r="D2859" i="6"/>
  <c r="B2859" i="6"/>
  <c r="D2858" i="6"/>
  <c r="B2858" i="6"/>
  <c r="D2857" i="6"/>
  <c r="B2857" i="6"/>
  <c r="D2856" i="6"/>
  <c r="B2856" i="6"/>
  <c r="D2855" i="6"/>
  <c r="B2855" i="6"/>
  <c r="D2854" i="6"/>
  <c r="B2854" i="6"/>
  <c r="D2853" i="6"/>
  <c r="B2853" i="6"/>
  <c r="D2852" i="6"/>
  <c r="B2852" i="6"/>
  <c r="D2851" i="6"/>
  <c r="B2851" i="6"/>
  <c r="D2850" i="6"/>
  <c r="B2850" i="6"/>
  <c r="D2849" i="6"/>
  <c r="B2849" i="6"/>
  <c r="D2848" i="6"/>
  <c r="B2848" i="6"/>
  <c r="D2847" i="6"/>
  <c r="B2847" i="6"/>
  <c r="D2846" i="6"/>
  <c r="B2846" i="6"/>
  <c r="D2845" i="6"/>
  <c r="B2845" i="6"/>
  <c r="D2844" i="6"/>
  <c r="B2844" i="6"/>
  <c r="D2843" i="6"/>
  <c r="B2843" i="6"/>
  <c r="D2842" i="6"/>
  <c r="B2842" i="6"/>
  <c r="D2841" i="6"/>
  <c r="B2841" i="6"/>
  <c r="D2840" i="6"/>
  <c r="B2840" i="6"/>
  <c r="D2839" i="6"/>
  <c r="B2839" i="6"/>
  <c r="D2838" i="6"/>
  <c r="B2838" i="6"/>
  <c r="D2837" i="6"/>
  <c r="B2837" i="6"/>
  <c r="D2836" i="6"/>
  <c r="B2836" i="6"/>
  <c r="D2835" i="6"/>
  <c r="B2835" i="6"/>
  <c r="D2834" i="6"/>
  <c r="B2834" i="6"/>
  <c r="D2833" i="6"/>
  <c r="B2833" i="6"/>
  <c r="D2832" i="6"/>
  <c r="B2832" i="6"/>
  <c r="D2831" i="6"/>
  <c r="B2831" i="6"/>
  <c r="D2830" i="6"/>
  <c r="B2830" i="6"/>
  <c r="D2829" i="6"/>
  <c r="B2829" i="6"/>
  <c r="D2828" i="6"/>
  <c r="B2828" i="6"/>
  <c r="D2827" i="6"/>
  <c r="B2827" i="6"/>
  <c r="D2826" i="6"/>
  <c r="B2826" i="6"/>
  <c r="D2825" i="6"/>
  <c r="B2825" i="6"/>
  <c r="D2824" i="6"/>
  <c r="B2824" i="6"/>
  <c r="D2823" i="6"/>
  <c r="B2823" i="6"/>
  <c r="D2822" i="6"/>
  <c r="B2822" i="6"/>
  <c r="D2821" i="6"/>
  <c r="B2821" i="6"/>
  <c r="D2820" i="6"/>
  <c r="B2820" i="6"/>
  <c r="D2819" i="6"/>
  <c r="B2819" i="6"/>
  <c r="D2818" i="6"/>
  <c r="B2818" i="6"/>
  <c r="D2817" i="6"/>
  <c r="B2817" i="6"/>
  <c r="D2816" i="6"/>
  <c r="B2816" i="6"/>
  <c r="D2815" i="6"/>
  <c r="B2815" i="6"/>
  <c r="D2814" i="6"/>
  <c r="B2814" i="6"/>
  <c r="D2813" i="6"/>
  <c r="B2813" i="6"/>
  <c r="D2812" i="6"/>
  <c r="B2812" i="6"/>
  <c r="D2811" i="6"/>
  <c r="B2811" i="6"/>
  <c r="D2810" i="6"/>
  <c r="B2810" i="6"/>
  <c r="D2809" i="6"/>
  <c r="B2809" i="6"/>
  <c r="D2808" i="6"/>
  <c r="B2808" i="6"/>
  <c r="D2807" i="6"/>
  <c r="B2807" i="6"/>
  <c r="D2806" i="6"/>
  <c r="B2806" i="6"/>
  <c r="D2805" i="6"/>
  <c r="B2805" i="6"/>
  <c r="D2804" i="6"/>
  <c r="B2804" i="6"/>
  <c r="D2803" i="6"/>
  <c r="B2803" i="6"/>
  <c r="D2802" i="6"/>
  <c r="B2802" i="6"/>
  <c r="D2801" i="6"/>
  <c r="B2801" i="6"/>
  <c r="D2800" i="6"/>
  <c r="B2800" i="6"/>
  <c r="D2799" i="6"/>
  <c r="B2799" i="6"/>
  <c r="D2798" i="6"/>
  <c r="B2798" i="6"/>
  <c r="D2797" i="6"/>
  <c r="B2797" i="6"/>
  <c r="D2796" i="6"/>
  <c r="B2796" i="6"/>
  <c r="D2795" i="6"/>
  <c r="B2795" i="6"/>
  <c r="D2794" i="6"/>
  <c r="B2794" i="6"/>
  <c r="D2793" i="6"/>
  <c r="B2793" i="6"/>
  <c r="D2792" i="6"/>
  <c r="B2792" i="6"/>
  <c r="D2791" i="6"/>
  <c r="B2791" i="6"/>
  <c r="D2790" i="6"/>
  <c r="B2790" i="6"/>
  <c r="D2789" i="6"/>
  <c r="B2789" i="6"/>
  <c r="D2788" i="6"/>
  <c r="B2788" i="6"/>
  <c r="D2787" i="6"/>
  <c r="B2787" i="6"/>
  <c r="D2786" i="6"/>
  <c r="B2786" i="6"/>
  <c r="D2785" i="6"/>
  <c r="B2785" i="6"/>
  <c r="D2784" i="6"/>
  <c r="B2784" i="6"/>
  <c r="D2783" i="6"/>
  <c r="B2783" i="6"/>
  <c r="D2782" i="6"/>
  <c r="B2782" i="6"/>
  <c r="D2781" i="6"/>
  <c r="B2781" i="6"/>
  <c r="D2780" i="6"/>
  <c r="B2780" i="6"/>
  <c r="D2779" i="6"/>
  <c r="B2779" i="6"/>
  <c r="D2778" i="6"/>
  <c r="B2778" i="6"/>
  <c r="D2777" i="6"/>
  <c r="B2777" i="6"/>
  <c r="D2776" i="6"/>
  <c r="B2776" i="6"/>
  <c r="D2775" i="6"/>
  <c r="B2775" i="6"/>
  <c r="D2774" i="6"/>
  <c r="B2774" i="6"/>
  <c r="D2773" i="6"/>
  <c r="B2773" i="6"/>
  <c r="D2772" i="6"/>
  <c r="B2772" i="6"/>
  <c r="D2771" i="6"/>
  <c r="B2771" i="6"/>
  <c r="D2770" i="6"/>
  <c r="B2770" i="6"/>
  <c r="D2769" i="6"/>
  <c r="B2769" i="6"/>
  <c r="D2768" i="6"/>
  <c r="B2768" i="6"/>
  <c r="D2767" i="6"/>
  <c r="B2767" i="6"/>
  <c r="D2766" i="6"/>
  <c r="B2766" i="6"/>
  <c r="D2765" i="6"/>
  <c r="B2765" i="6"/>
  <c r="D2764" i="6"/>
  <c r="B2764" i="6"/>
  <c r="D2763" i="6"/>
  <c r="B2763" i="6"/>
  <c r="D2762" i="6"/>
  <c r="B2762" i="6"/>
  <c r="D2761" i="6"/>
  <c r="B2761" i="6"/>
  <c r="D2760" i="6"/>
  <c r="B2760" i="6"/>
  <c r="D2759" i="6"/>
  <c r="B2759" i="6"/>
  <c r="D2758" i="6"/>
  <c r="B2758" i="6"/>
  <c r="D2757" i="6"/>
  <c r="B2757" i="6"/>
  <c r="D2756" i="6"/>
  <c r="B2756" i="6"/>
  <c r="D2755" i="6"/>
  <c r="B2755" i="6"/>
  <c r="D2754" i="6"/>
  <c r="B2754" i="6"/>
  <c r="D2753" i="6"/>
  <c r="B2753" i="6"/>
  <c r="D2752" i="6"/>
  <c r="B2752" i="6"/>
  <c r="D2751" i="6"/>
  <c r="B2751" i="6"/>
  <c r="D2750" i="6"/>
  <c r="B2750" i="6"/>
  <c r="D2749" i="6"/>
  <c r="B2749" i="6"/>
  <c r="D2748" i="6"/>
  <c r="B2748" i="6"/>
  <c r="D2747" i="6"/>
  <c r="B2747" i="6"/>
  <c r="D2746" i="6"/>
  <c r="B2746" i="6"/>
  <c r="D2745" i="6"/>
  <c r="B2745" i="6"/>
  <c r="D2744" i="6"/>
  <c r="B2744" i="6"/>
  <c r="D2743" i="6"/>
  <c r="B2743" i="6"/>
  <c r="D2742" i="6"/>
  <c r="B2742" i="6"/>
  <c r="D2741" i="6"/>
  <c r="B2741" i="6"/>
  <c r="D2740" i="6"/>
  <c r="B2740" i="6"/>
  <c r="D2739" i="6"/>
  <c r="B2739" i="6"/>
  <c r="D2738" i="6"/>
  <c r="B2738" i="6"/>
  <c r="D2737" i="6"/>
  <c r="B2737" i="6"/>
  <c r="D2736" i="6"/>
  <c r="B2736" i="6"/>
  <c r="D2735" i="6"/>
  <c r="B2735" i="6"/>
  <c r="D2734" i="6"/>
  <c r="B2734" i="6"/>
  <c r="D2733" i="6"/>
  <c r="B2733" i="6"/>
  <c r="D2732" i="6"/>
  <c r="B2732" i="6"/>
  <c r="D2731" i="6"/>
  <c r="B2731" i="6"/>
  <c r="D2730" i="6"/>
  <c r="B2730" i="6"/>
  <c r="D2729" i="6"/>
  <c r="B2729" i="6"/>
  <c r="D2728" i="6"/>
  <c r="B2728" i="6"/>
  <c r="D2727" i="6"/>
  <c r="B2727" i="6"/>
  <c r="D2726" i="6"/>
  <c r="B2726" i="6"/>
  <c r="D2725" i="6"/>
  <c r="B2725" i="6"/>
  <c r="D2724" i="6"/>
  <c r="B2724" i="6"/>
  <c r="D2723" i="6"/>
  <c r="B2723" i="6"/>
  <c r="D2722" i="6"/>
  <c r="B2722" i="6"/>
  <c r="D2721" i="6"/>
  <c r="B2721" i="6"/>
  <c r="D2720" i="6"/>
  <c r="B2720" i="6"/>
  <c r="D2719" i="6"/>
  <c r="B2719" i="6"/>
  <c r="D2718" i="6"/>
  <c r="B2718" i="6"/>
  <c r="D2717" i="6"/>
  <c r="B2717" i="6"/>
  <c r="D2716" i="6"/>
  <c r="B2716" i="6"/>
  <c r="D2715" i="6"/>
  <c r="B2715" i="6"/>
  <c r="D2714" i="6"/>
  <c r="B2714" i="6"/>
  <c r="D2713" i="6"/>
  <c r="B2713" i="6"/>
  <c r="D2712" i="6"/>
  <c r="B2712" i="6"/>
  <c r="D2711" i="6"/>
  <c r="B2711" i="6"/>
  <c r="D2710" i="6"/>
  <c r="B2710" i="6"/>
  <c r="D2709" i="6"/>
  <c r="B2709" i="6"/>
  <c r="D2708" i="6"/>
  <c r="B2708" i="6"/>
  <c r="D2707" i="6"/>
  <c r="B2707" i="6"/>
  <c r="D2706" i="6"/>
  <c r="B2706" i="6"/>
  <c r="D2705" i="6"/>
  <c r="B2705" i="6"/>
  <c r="D2704" i="6"/>
  <c r="B2704" i="6"/>
  <c r="D2703" i="6"/>
  <c r="B2703" i="6"/>
  <c r="D2702" i="6"/>
  <c r="B2702" i="6"/>
  <c r="D2701" i="6"/>
  <c r="B2701" i="6"/>
  <c r="D2700" i="6"/>
  <c r="B2700" i="6"/>
  <c r="D2699" i="6"/>
  <c r="B2699" i="6"/>
  <c r="D2698" i="6"/>
  <c r="B2698" i="6"/>
  <c r="D2697" i="6"/>
  <c r="B2697" i="6"/>
  <c r="D2696" i="6"/>
  <c r="B2696" i="6"/>
  <c r="D2695" i="6"/>
  <c r="B2695" i="6"/>
  <c r="D2694" i="6"/>
  <c r="B2694" i="6"/>
  <c r="D2693" i="6"/>
  <c r="B2693" i="6"/>
  <c r="D2692" i="6"/>
  <c r="B2692" i="6"/>
  <c r="D2691" i="6"/>
  <c r="B2691" i="6"/>
  <c r="D2690" i="6"/>
  <c r="B2690" i="6"/>
  <c r="D2689" i="6"/>
  <c r="B2689" i="6"/>
  <c r="D2688" i="6"/>
  <c r="B2688" i="6"/>
  <c r="D2687" i="6"/>
  <c r="B2687" i="6"/>
  <c r="D2686" i="6"/>
  <c r="B2686" i="6"/>
  <c r="D2685" i="6"/>
  <c r="B2685" i="6"/>
  <c r="D2684" i="6"/>
  <c r="B2684" i="6"/>
  <c r="D2683" i="6"/>
  <c r="B2683" i="6"/>
  <c r="D2682" i="6"/>
  <c r="B2682" i="6"/>
  <c r="D2681" i="6"/>
  <c r="B2681" i="6"/>
  <c r="D2680" i="6"/>
  <c r="B2680" i="6"/>
  <c r="D2679" i="6"/>
  <c r="B2679" i="6"/>
  <c r="D2678" i="6"/>
  <c r="B2678" i="6"/>
  <c r="D2677" i="6"/>
  <c r="B2677" i="6"/>
  <c r="D2676" i="6"/>
  <c r="B2676" i="6"/>
  <c r="D2675" i="6"/>
  <c r="B2675" i="6"/>
  <c r="D2674" i="6"/>
  <c r="B2674" i="6"/>
  <c r="D2673" i="6"/>
  <c r="B2673" i="6"/>
  <c r="D2672" i="6"/>
  <c r="B2672" i="6"/>
  <c r="D2671" i="6"/>
  <c r="B2671" i="6"/>
  <c r="D2670" i="6"/>
  <c r="B2670" i="6"/>
  <c r="D2669" i="6"/>
  <c r="B2669" i="6"/>
  <c r="D2668" i="6"/>
  <c r="B2668" i="6"/>
  <c r="D2667" i="6"/>
  <c r="B2667" i="6"/>
  <c r="D2666" i="6"/>
  <c r="B2666" i="6"/>
  <c r="D2665" i="6"/>
  <c r="B2665" i="6"/>
  <c r="D2664" i="6"/>
  <c r="B2664" i="6"/>
  <c r="D2663" i="6"/>
  <c r="B2663" i="6"/>
  <c r="D2662" i="6"/>
  <c r="B2662" i="6"/>
  <c r="D2661" i="6"/>
  <c r="B2661" i="6"/>
  <c r="D2660" i="6"/>
  <c r="B2660" i="6"/>
  <c r="D2659" i="6"/>
  <c r="B2659" i="6"/>
  <c r="D2658" i="6"/>
  <c r="B2658" i="6"/>
  <c r="D2657" i="6"/>
  <c r="B2657" i="6"/>
  <c r="D2656" i="6"/>
  <c r="B2656" i="6"/>
  <c r="D2655" i="6"/>
  <c r="B2655" i="6"/>
  <c r="D2654" i="6"/>
  <c r="B2654" i="6"/>
  <c r="D2653" i="6"/>
  <c r="B2653" i="6"/>
  <c r="D2652" i="6"/>
  <c r="B2652" i="6"/>
  <c r="D2651" i="6"/>
  <c r="B2651" i="6"/>
  <c r="D2650" i="6"/>
  <c r="B2650" i="6"/>
  <c r="D2649" i="6"/>
  <c r="B2649" i="6"/>
  <c r="D2648" i="6"/>
  <c r="B2648" i="6"/>
  <c r="D2647" i="6"/>
  <c r="B2647" i="6"/>
  <c r="D2646" i="6"/>
  <c r="B2646" i="6"/>
  <c r="D2645" i="6"/>
  <c r="B2645" i="6"/>
  <c r="D2644" i="6"/>
  <c r="B2644" i="6"/>
  <c r="D2643" i="6"/>
  <c r="B2643" i="6"/>
  <c r="D2642" i="6"/>
  <c r="B2642" i="6"/>
  <c r="D2641" i="6"/>
  <c r="B2641" i="6"/>
  <c r="D2640" i="6"/>
  <c r="B2640" i="6"/>
  <c r="D2639" i="6"/>
  <c r="B2639" i="6"/>
  <c r="D2638" i="6"/>
  <c r="B2638" i="6"/>
  <c r="D2637" i="6"/>
  <c r="B2637" i="6"/>
  <c r="D2636" i="6"/>
  <c r="B2636" i="6"/>
  <c r="D2635" i="6"/>
  <c r="B2635" i="6"/>
  <c r="D2634" i="6"/>
  <c r="B2634" i="6"/>
  <c r="D2633" i="6"/>
  <c r="B2633" i="6"/>
  <c r="D2632" i="6"/>
  <c r="B2632" i="6"/>
  <c r="D2631" i="6"/>
  <c r="B2631" i="6"/>
  <c r="D2630" i="6"/>
  <c r="B2630" i="6"/>
  <c r="D2629" i="6"/>
  <c r="B2629" i="6"/>
  <c r="D2628" i="6"/>
  <c r="B2628" i="6"/>
  <c r="D2627" i="6"/>
  <c r="B2627" i="6"/>
  <c r="D2626" i="6"/>
  <c r="B2626" i="6"/>
  <c r="D2625" i="6"/>
  <c r="B2625" i="6"/>
  <c r="D2624" i="6"/>
  <c r="B2624" i="6"/>
  <c r="D2623" i="6"/>
  <c r="B2623" i="6"/>
  <c r="D2622" i="6"/>
  <c r="B2622" i="6"/>
  <c r="D2621" i="6"/>
  <c r="B2621" i="6"/>
  <c r="D2620" i="6"/>
  <c r="B2620" i="6"/>
  <c r="D2619" i="6"/>
  <c r="B2619" i="6"/>
  <c r="D2618" i="6"/>
  <c r="B2618" i="6"/>
  <c r="D2617" i="6"/>
  <c r="B2617" i="6"/>
  <c r="D2616" i="6"/>
  <c r="B2616" i="6"/>
  <c r="D2615" i="6"/>
  <c r="B2615" i="6"/>
  <c r="D2614" i="6"/>
  <c r="B2614" i="6"/>
  <c r="D2613" i="6"/>
  <c r="B2613" i="6"/>
  <c r="D2612" i="6"/>
  <c r="B2612" i="6"/>
  <c r="D2611" i="6"/>
  <c r="B2611" i="6"/>
  <c r="D2610" i="6"/>
  <c r="B2610" i="6"/>
  <c r="D2609" i="6"/>
  <c r="B2609" i="6"/>
  <c r="D2608" i="6"/>
  <c r="B2608" i="6"/>
  <c r="D2607" i="6"/>
  <c r="B2607" i="6"/>
  <c r="D2606" i="6"/>
  <c r="B2606" i="6"/>
  <c r="D2605" i="6"/>
  <c r="B2605" i="6"/>
  <c r="D2604" i="6"/>
  <c r="B2604" i="6"/>
  <c r="D2603" i="6"/>
  <c r="B2603" i="6"/>
  <c r="D2602" i="6"/>
  <c r="B2602" i="6"/>
  <c r="D2601" i="6"/>
  <c r="B2601" i="6"/>
  <c r="D2600" i="6"/>
  <c r="B2600" i="6"/>
  <c r="D2599" i="6"/>
  <c r="B2599" i="6"/>
  <c r="D2598" i="6"/>
  <c r="B2598" i="6"/>
  <c r="D2597" i="6"/>
  <c r="B2597" i="6"/>
  <c r="D2596" i="6"/>
  <c r="B2596" i="6"/>
  <c r="D2595" i="6"/>
  <c r="B2595" i="6"/>
  <c r="D2594" i="6"/>
  <c r="B2594" i="6"/>
  <c r="D2593" i="6"/>
  <c r="B2593" i="6"/>
  <c r="D2592" i="6"/>
  <c r="B2592" i="6"/>
  <c r="D2591" i="6"/>
  <c r="B2591" i="6"/>
  <c r="D2590" i="6"/>
  <c r="B2590" i="6"/>
  <c r="D2589" i="6"/>
  <c r="B2589" i="6"/>
  <c r="D2588" i="6"/>
  <c r="B2588" i="6"/>
  <c r="D2587" i="6"/>
  <c r="B2587" i="6"/>
  <c r="D2586" i="6"/>
  <c r="B2586" i="6"/>
  <c r="D2585" i="6"/>
  <c r="B2585" i="6"/>
  <c r="D2584" i="6"/>
  <c r="B2584" i="6"/>
  <c r="D2583" i="6"/>
  <c r="B2583" i="6"/>
  <c r="D2582" i="6"/>
  <c r="B2582" i="6"/>
  <c r="D2581" i="6"/>
  <c r="B2581" i="6"/>
  <c r="D2580" i="6"/>
  <c r="B2580" i="6"/>
  <c r="D2579" i="6"/>
  <c r="B2579" i="6"/>
  <c r="D2578" i="6"/>
  <c r="B2578" i="6"/>
  <c r="D2577" i="6"/>
  <c r="B2577" i="6"/>
  <c r="D2576" i="6"/>
  <c r="B2576" i="6"/>
  <c r="D2575" i="6"/>
  <c r="B2575" i="6"/>
  <c r="D2574" i="6"/>
  <c r="B2574" i="6"/>
  <c r="D2573" i="6"/>
  <c r="B2573" i="6"/>
  <c r="D2572" i="6"/>
  <c r="B2572" i="6"/>
  <c r="D2571" i="6"/>
  <c r="B2571" i="6"/>
  <c r="D2570" i="6"/>
  <c r="B2570" i="6"/>
  <c r="D2569" i="6"/>
  <c r="B2569" i="6"/>
  <c r="D2568" i="6"/>
  <c r="B2568" i="6"/>
  <c r="D2567" i="6"/>
  <c r="B2567" i="6"/>
  <c r="D2566" i="6"/>
  <c r="B2566" i="6"/>
  <c r="D2565" i="6"/>
  <c r="B2565" i="6"/>
  <c r="D2564" i="6"/>
  <c r="B2564" i="6"/>
  <c r="D2563" i="6"/>
  <c r="B2563" i="6"/>
  <c r="D2562" i="6"/>
  <c r="B2562" i="6"/>
  <c r="D2561" i="6"/>
  <c r="B2561" i="6"/>
  <c r="D2560" i="6"/>
  <c r="B2560" i="6"/>
  <c r="D2559" i="6"/>
  <c r="B2559" i="6"/>
  <c r="D2558" i="6"/>
  <c r="B2558" i="6"/>
  <c r="D2557" i="6"/>
  <c r="B2557" i="6"/>
  <c r="D2556" i="6"/>
  <c r="B2556" i="6"/>
  <c r="D2555" i="6"/>
  <c r="B2555" i="6"/>
  <c r="D2554" i="6"/>
  <c r="B2554" i="6"/>
  <c r="D2553" i="6"/>
  <c r="B2553" i="6"/>
  <c r="D2552" i="6"/>
  <c r="B2552" i="6"/>
  <c r="D2551" i="6"/>
  <c r="B2551" i="6"/>
  <c r="D2550" i="6"/>
  <c r="B2550" i="6"/>
  <c r="D2549" i="6"/>
  <c r="B2549" i="6"/>
  <c r="D2548" i="6"/>
  <c r="B2548" i="6"/>
  <c r="D2547" i="6"/>
  <c r="B2547" i="6"/>
  <c r="D2546" i="6"/>
  <c r="B2546" i="6"/>
  <c r="D2545" i="6"/>
  <c r="B2545" i="6"/>
  <c r="D2544" i="6"/>
  <c r="B2544" i="6"/>
  <c r="D2543" i="6"/>
  <c r="B2543" i="6"/>
  <c r="D2542" i="6"/>
  <c r="B2542" i="6"/>
  <c r="D2541" i="6"/>
  <c r="B2541" i="6"/>
  <c r="D2540" i="6"/>
  <c r="B2540" i="6"/>
  <c r="D2539" i="6"/>
  <c r="B2539" i="6"/>
  <c r="D2538" i="6"/>
  <c r="B2538" i="6"/>
  <c r="D2537" i="6"/>
  <c r="B2537" i="6"/>
  <c r="D2536" i="6"/>
  <c r="B2536" i="6"/>
  <c r="D2535" i="6"/>
  <c r="B2535" i="6"/>
  <c r="D2534" i="6"/>
  <c r="B2534" i="6"/>
  <c r="D2533" i="6"/>
  <c r="B2533" i="6"/>
  <c r="D2532" i="6"/>
  <c r="B2532" i="6"/>
  <c r="D2531" i="6"/>
  <c r="B2531" i="6"/>
  <c r="D2530" i="6"/>
  <c r="B2530" i="6"/>
  <c r="D2529" i="6"/>
  <c r="B2529" i="6"/>
  <c r="D2528" i="6"/>
  <c r="B2528" i="6"/>
  <c r="D2527" i="6"/>
  <c r="B2527" i="6"/>
  <c r="D2526" i="6"/>
  <c r="B2526" i="6"/>
  <c r="D2525" i="6"/>
  <c r="B2525" i="6"/>
  <c r="D2524" i="6"/>
  <c r="B2524" i="6"/>
  <c r="D2523" i="6"/>
  <c r="B2523" i="6"/>
  <c r="D2522" i="6"/>
  <c r="B2522" i="6"/>
  <c r="D2521" i="6"/>
  <c r="B2521" i="6"/>
  <c r="D2520" i="6"/>
  <c r="B2520" i="6"/>
  <c r="D2519" i="6"/>
  <c r="B2519" i="6"/>
  <c r="D2518" i="6"/>
  <c r="B2518" i="6"/>
  <c r="D2517" i="6"/>
  <c r="B2517" i="6"/>
  <c r="D2516" i="6"/>
  <c r="B2516" i="6"/>
  <c r="D2515" i="6"/>
  <c r="B2515" i="6"/>
  <c r="D2514" i="6"/>
  <c r="B2514" i="6"/>
  <c r="D2513" i="6"/>
  <c r="B2513" i="6"/>
  <c r="D2512" i="6"/>
  <c r="B2512" i="6"/>
  <c r="D2511" i="6"/>
  <c r="B2511" i="6"/>
  <c r="D2510" i="6"/>
  <c r="B2510" i="6"/>
  <c r="D2509" i="6"/>
  <c r="B2509" i="6"/>
  <c r="D2508" i="6"/>
  <c r="B2508" i="6"/>
  <c r="D2507" i="6"/>
  <c r="B2507" i="6"/>
  <c r="D2506" i="6"/>
  <c r="B2506" i="6"/>
  <c r="D2505" i="6"/>
  <c r="B2505" i="6"/>
  <c r="D2504" i="6"/>
  <c r="B2504" i="6"/>
  <c r="D2503" i="6"/>
  <c r="B2503" i="6"/>
  <c r="D2502" i="6"/>
  <c r="B2502" i="6"/>
  <c r="D2501" i="6"/>
  <c r="B2501" i="6"/>
  <c r="D2500" i="6"/>
  <c r="B2500" i="6"/>
  <c r="D2499" i="6"/>
  <c r="B2499" i="6"/>
  <c r="D2498" i="6"/>
  <c r="B2498" i="6"/>
  <c r="D2497" i="6"/>
  <c r="B2497" i="6"/>
  <c r="D2496" i="6"/>
  <c r="B2496" i="6"/>
  <c r="D2495" i="6"/>
  <c r="B2495" i="6"/>
  <c r="D2494" i="6"/>
  <c r="B2494" i="6"/>
  <c r="D2493" i="6"/>
  <c r="B2493" i="6"/>
  <c r="D2492" i="6"/>
  <c r="B2492" i="6"/>
  <c r="D2491" i="6"/>
  <c r="B2491" i="6"/>
  <c r="D2490" i="6"/>
  <c r="B2490" i="6"/>
  <c r="D2489" i="6"/>
  <c r="B2489" i="6"/>
  <c r="D2488" i="6"/>
  <c r="B2488" i="6"/>
  <c r="D2487" i="6"/>
  <c r="B2487" i="6"/>
  <c r="D2486" i="6"/>
  <c r="B2486" i="6"/>
  <c r="D2485" i="6"/>
  <c r="B2485" i="6"/>
  <c r="D2484" i="6"/>
  <c r="B2484" i="6"/>
  <c r="D2483" i="6"/>
  <c r="B2483" i="6"/>
  <c r="D2482" i="6"/>
  <c r="B2482" i="6"/>
  <c r="D2481" i="6"/>
  <c r="B2481" i="6"/>
  <c r="D2480" i="6"/>
  <c r="B2480" i="6"/>
  <c r="D2479" i="6"/>
  <c r="B2479" i="6"/>
  <c r="D2478" i="6"/>
  <c r="B2478" i="6"/>
  <c r="D2477" i="6"/>
  <c r="B2477" i="6"/>
  <c r="D2476" i="6"/>
  <c r="B2476" i="6"/>
  <c r="D2475" i="6"/>
  <c r="B2475" i="6"/>
  <c r="D2474" i="6"/>
  <c r="B2474" i="6"/>
  <c r="D2473" i="6"/>
  <c r="B2473" i="6"/>
  <c r="D2472" i="6"/>
  <c r="B2472" i="6"/>
  <c r="D2471" i="6"/>
  <c r="B2471" i="6"/>
  <c r="D2470" i="6"/>
  <c r="B2470" i="6"/>
  <c r="D2469" i="6"/>
  <c r="B2469" i="6"/>
  <c r="D2468" i="6"/>
  <c r="B2468" i="6"/>
  <c r="D2467" i="6"/>
  <c r="B2467" i="6"/>
  <c r="D2466" i="6"/>
  <c r="B2466" i="6"/>
  <c r="D2465" i="6"/>
  <c r="B2465" i="6"/>
  <c r="D2464" i="6"/>
  <c r="B2464" i="6"/>
  <c r="D2463" i="6"/>
  <c r="B2463" i="6"/>
  <c r="D2462" i="6"/>
  <c r="B2462" i="6"/>
  <c r="D2461" i="6"/>
  <c r="B2461" i="6"/>
  <c r="D2460" i="6"/>
  <c r="B2460" i="6"/>
  <c r="D2459" i="6"/>
  <c r="B2459" i="6"/>
  <c r="D2458" i="6"/>
  <c r="B2458" i="6"/>
  <c r="D2457" i="6"/>
  <c r="B2457" i="6"/>
  <c r="D2456" i="6"/>
  <c r="B2456" i="6"/>
  <c r="D2455" i="6"/>
  <c r="B2455" i="6"/>
  <c r="D2454" i="6"/>
  <c r="B2454" i="6"/>
  <c r="D2453" i="6"/>
  <c r="B2453" i="6"/>
  <c r="D2452" i="6"/>
  <c r="B2452" i="6"/>
  <c r="D2451" i="6"/>
  <c r="B2451" i="6"/>
  <c r="D2450" i="6"/>
  <c r="B2450" i="6"/>
  <c r="D2449" i="6"/>
  <c r="B2449" i="6"/>
  <c r="D2448" i="6"/>
  <c r="B2448" i="6"/>
  <c r="D2447" i="6"/>
  <c r="B2447" i="6"/>
  <c r="D2446" i="6"/>
  <c r="B2446" i="6"/>
  <c r="D2445" i="6"/>
  <c r="B2445" i="6"/>
  <c r="D2444" i="6"/>
  <c r="B2444" i="6"/>
  <c r="D2443" i="6"/>
  <c r="B2443" i="6"/>
  <c r="D2442" i="6"/>
  <c r="B2442" i="6"/>
  <c r="D2441" i="6"/>
  <c r="B2441" i="6"/>
  <c r="D2440" i="6"/>
  <c r="B2440" i="6"/>
  <c r="D2439" i="6"/>
  <c r="B2439" i="6"/>
  <c r="D2438" i="6"/>
  <c r="B2438" i="6"/>
  <c r="D2437" i="6"/>
  <c r="B2437" i="6"/>
  <c r="D2436" i="6"/>
  <c r="B2436" i="6"/>
  <c r="D2435" i="6"/>
  <c r="B2435" i="6"/>
  <c r="D2434" i="6"/>
  <c r="B2434" i="6"/>
  <c r="D2433" i="6"/>
  <c r="B2433" i="6"/>
  <c r="D2432" i="6"/>
  <c r="B2432" i="6"/>
  <c r="D2431" i="6"/>
  <c r="B2431" i="6"/>
  <c r="D2430" i="6"/>
  <c r="B2430" i="6"/>
  <c r="D2429" i="6"/>
  <c r="B2429" i="6"/>
  <c r="D2428" i="6"/>
  <c r="B2428" i="6"/>
  <c r="D2427" i="6"/>
  <c r="B2427" i="6"/>
  <c r="D2426" i="6"/>
  <c r="B2426" i="6"/>
  <c r="D2425" i="6"/>
  <c r="B2425" i="6"/>
  <c r="D2424" i="6"/>
  <c r="B2424" i="6"/>
  <c r="D2423" i="6"/>
  <c r="B2423" i="6"/>
  <c r="D2422" i="6"/>
  <c r="B2422" i="6"/>
  <c r="D2421" i="6"/>
  <c r="B2421" i="6"/>
  <c r="D2420" i="6"/>
  <c r="B2420" i="6"/>
  <c r="D2419" i="6"/>
  <c r="B2419" i="6"/>
  <c r="D2418" i="6"/>
  <c r="B2418" i="6"/>
  <c r="D2417" i="6"/>
  <c r="B2417" i="6"/>
  <c r="D2416" i="6"/>
  <c r="B2416" i="6"/>
  <c r="D2415" i="6"/>
  <c r="B2415" i="6"/>
  <c r="D2414" i="6"/>
  <c r="B2414" i="6"/>
  <c r="D2413" i="6"/>
  <c r="B2413" i="6"/>
  <c r="D2412" i="6"/>
  <c r="B2412" i="6"/>
  <c r="D2411" i="6"/>
  <c r="B2411" i="6"/>
  <c r="D2410" i="6"/>
  <c r="B2410" i="6"/>
  <c r="D2409" i="6"/>
  <c r="B2409" i="6"/>
  <c r="D2408" i="6"/>
  <c r="B2408" i="6"/>
  <c r="D2407" i="6"/>
  <c r="B2407" i="6"/>
  <c r="D2406" i="6"/>
  <c r="B2406" i="6"/>
  <c r="D2405" i="6"/>
  <c r="B2405" i="6"/>
  <c r="D2404" i="6"/>
  <c r="B2404" i="6"/>
  <c r="D2403" i="6"/>
  <c r="B2403" i="6"/>
  <c r="D2402" i="6"/>
  <c r="B2402" i="6"/>
  <c r="D2401" i="6"/>
  <c r="B2401" i="6"/>
  <c r="D2400" i="6"/>
  <c r="B2400" i="6"/>
  <c r="D2399" i="6"/>
  <c r="B2399" i="6"/>
  <c r="D2398" i="6"/>
  <c r="B2398" i="6"/>
  <c r="D2397" i="6"/>
  <c r="B2397" i="6"/>
  <c r="D2396" i="6"/>
  <c r="B2396" i="6"/>
  <c r="D2395" i="6"/>
  <c r="B2395" i="6"/>
  <c r="D2394" i="6"/>
  <c r="B2394" i="6"/>
  <c r="D2393" i="6"/>
  <c r="B2393" i="6"/>
  <c r="D2392" i="6"/>
  <c r="B2392" i="6"/>
  <c r="D2391" i="6"/>
  <c r="B2391" i="6"/>
  <c r="D2390" i="6"/>
  <c r="B2390" i="6"/>
  <c r="D2389" i="6"/>
  <c r="B2389" i="6"/>
  <c r="D2388" i="6"/>
  <c r="B2388" i="6"/>
  <c r="D2387" i="6"/>
  <c r="B2387" i="6"/>
  <c r="D2386" i="6"/>
  <c r="B2386" i="6"/>
  <c r="D2385" i="6"/>
  <c r="B2385" i="6"/>
  <c r="D2384" i="6"/>
  <c r="B2384" i="6"/>
  <c r="D2383" i="6"/>
  <c r="B2383" i="6"/>
  <c r="D2382" i="6"/>
  <c r="B2382" i="6"/>
  <c r="D2381" i="6"/>
  <c r="B2381" i="6"/>
  <c r="D2380" i="6"/>
  <c r="B2380" i="6"/>
  <c r="D2379" i="6"/>
  <c r="B2379" i="6"/>
  <c r="D2378" i="6"/>
  <c r="B2378" i="6"/>
  <c r="D2377" i="6"/>
  <c r="B2377" i="6"/>
  <c r="D2376" i="6"/>
  <c r="B2376" i="6"/>
  <c r="D2375" i="6"/>
  <c r="B2375" i="6"/>
  <c r="D2374" i="6"/>
  <c r="B2374" i="6"/>
  <c r="D2373" i="6"/>
  <c r="B2373" i="6"/>
  <c r="D2372" i="6"/>
  <c r="B2372" i="6"/>
  <c r="D2371" i="6"/>
  <c r="B2371" i="6"/>
  <c r="D2370" i="6"/>
  <c r="B2370" i="6"/>
  <c r="D2369" i="6"/>
  <c r="B2369" i="6"/>
  <c r="D2368" i="6"/>
  <c r="B2368" i="6"/>
  <c r="D2367" i="6"/>
  <c r="B2367" i="6"/>
  <c r="D2366" i="6"/>
  <c r="B2366" i="6"/>
  <c r="D2365" i="6"/>
  <c r="B2365" i="6"/>
  <c r="D2364" i="6"/>
  <c r="B2364" i="6"/>
  <c r="D2363" i="6"/>
  <c r="B2363" i="6"/>
  <c r="D2362" i="6"/>
  <c r="B2362" i="6"/>
  <c r="D2361" i="6"/>
  <c r="B2361" i="6"/>
  <c r="D2360" i="6"/>
  <c r="B2360" i="6"/>
  <c r="D2359" i="6"/>
  <c r="B2359" i="6"/>
  <c r="D2358" i="6"/>
  <c r="B2358" i="6"/>
  <c r="D2357" i="6"/>
  <c r="B2357" i="6"/>
  <c r="D2356" i="6"/>
  <c r="B2356" i="6"/>
  <c r="D2355" i="6"/>
  <c r="B2355" i="6"/>
  <c r="D2354" i="6"/>
  <c r="B2354" i="6"/>
  <c r="D2353" i="6"/>
  <c r="B2353" i="6"/>
  <c r="D2352" i="6"/>
  <c r="B2352" i="6"/>
  <c r="D2351" i="6"/>
  <c r="B2351" i="6"/>
  <c r="D2350" i="6"/>
  <c r="B2350" i="6"/>
  <c r="D2349" i="6"/>
  <c r="B2349" i="6"/>
  <c r="D2348" i="6"/>
  <c r="B2348" i="6"/>
  <c r="D2347" i="6"/>
  <c r="B2347" i="6"/>
  <c r="D2346" i="6"/>
  <c r="B2346" i="6"/>
  <c r="D2345" i="6"/>
  <c r="B2345" i="6"/>
  <c r="D2344" i="6"/>
  <c r="B2344" i="6"/>
  <c r="D2343" i="6"/>
  <c r="B2343" i="6"/>
  <c r="D2342" i="6"/>
  <c r="B2342" i="6"/>
  <c r="D2341" i="6"/>
  <c r="B2341" i="6"/>
  <c r="D2340" i="6"/>
  <c r="B2340" i="6"/>
  <c r="D2339" i="6"/>
  <c r="B2339" i="6"/>
  <c r="D2338" i="6"/>
  <c r="B2338" i="6"/>
  <c r="D2337" i="6"/>
  <c r="B2337" i="6"/>
  <c r="D2336" i="6"/>
  <c r="B2336" i="6"/>
  <c r="D2335" i="6"/>
  <c r="B2335" i="6"/>
  <c r="D2334" i="6"/>
  <c r="B2334" i="6"/>
  <c r="D2333" i="6"/>
  <c r="B2333" i="6"/>
  <c r="D2332" i="6"/>
  <c r="B2332" i="6"/>
  <c r="D2331" i="6"/>
  <c r="B2331" i="6"/>
  <c r="D2330" i="6"/>
  <c r="B2330" i="6"/>
  <c r="D2329" i="6"/>
  <c r="B2329" i="6"/>
  <c r="D2328" i="6"/>
  <c r="B2328" i="6"/>
  <c r="D2327" i="6"/>
  <c r="B2327" i="6"/>
  <c r="D2326" i="6"/>
  <c r="B2326" i="6"/>
  <c r="D2325" i="6"/>
  <c r="B2325" i="6"/>
  <c r="D2324" i="6"/>
  <c r="B2324" i="6"/>
  <c r="D2323" i="6"/>
  <c r="B2323" i="6"/>
  <c r="D2322" i="6"/>
  <c r="B2322" i="6"/>
  <c r="D2321" i="6"/>
  <c r="B2321" i="6"/>
  <c r="D2320" i="6"/>
  <c r="B2320" i="6"/>
  <c r="D2319" i="6"/>
  <c r="B2319" i="6"/>
  <c r="D2318" i="6"/>
  <c r="B2318" i="6"/>
  <c r="D2317" i="6"/>
  <c r="B2317" i="6"/>
  <c r="D2316" i="6"/>
  <c r="B2316" i="6"/>
  <c r="D2315" i="6"/>
  <c r="B2315" i="6"/>
  <c r="D2314" i="6"/>
  <c r="B2314" i="6"/>
  <c r="D2313" i="6"/>
  <c r="B2313" i="6"/>
  <c r="D2312" i="6"/>
  <c r="B2312" i="6"/>
  <c r="D2311" i="6"/>
  <c r="B2311" i="6"/>
  <c r="D2310" i="6"/>
  <c r="B2310" i="6"/>
  <c r="D2309" i="6"/>
  <c r="B2309" i="6"/>
  <c r="D2308" i="6"/>
  <c r="B2308" i="6"/>
  <c r="D2307" i="6"/>
  <c r="B2307" i="6"/>
  <c r="D2306" i="6"/>
  <c r="B2306" i="6"/>
  <c r="D2305" i="6"/>
  <c r="B2305" i="6"/>
  <c r="D2304" i="6"/>
  <c r="B2304" i="6"/>
  <c r="D2303" i="6"/>
  <c r="B2303" i="6"/>
  <c r="D2302" i="6"/>
  <c r="B2302" i="6"/>
  <c r="D2301" i="6"/>
  <c r="B2301" i="6"/>
  <c r="D2300" i="6"/>
  <c r="B2300" i="6"/>
  <c r="D2299" i="6"/>
  <c r="B2299" i="6"/>
  <c r="D2298" i="6"/>
  <c r="B2298" i="6"/>
  <c r="D2297" i="6"/>
  <c r="B2297" i="6"/>
  <c r="D2296" i="6"/>
  <c r="B2296" i="6"/>
  <c r="D2295" i="6"/>
  <c r="B2295" i="6"/>
  <c r="D2294" i="6"/>
  <c r="B2294" i="6"/>
  <c r="D2293" i="6"/>
  <c r="B2293" i="6"/>
  <c r="D2292" i="6"/>
  <c r="B2292" i="6"/>
  <c r="D2291" i="6"/>
  <c r="B2291" i="6"/>
  <c r="D2290" i="6"/>
  <c r="B2290" i="6"/>
  <c r="D2289" i="6"/>
  <c r="B2289" i="6"/>
  <c r="D2288" i="6"/>
  <c r="B2288" i="6"/>
  <c r="D2287" i="6"/>
  <c r="B2287" i="6"/>
  <c r="D2286" i="6"/>
  <c r="B2286" i="6"/>
  <c r="D2285" i="6"/>
  <c r="B2285" i="6"/>
  <c r="D2284" i="6"/>
  <c r="B2284" i="6"/>
  <c r="D2283" i="6"/>
  <c r="B2283" i="6"/>
  <c r="D2282" i="6"/>
  <c r="B2282" i="6"/>
  <c r="D2281" i="6"/>
  <c r="B2281" i="6"/>
  <c r="D2280" i="6"/>
  <c r="B2280" i="6"/>
  <c r="D2279" i="6"/>
  <c r="B2279" i="6"/>
  <c r="D2278" i="6"/>
  <c r="B2278" i="6"/>
  <c r="D2277" i="6"/>
  <c r="B2277" i="6"/>
  <c r="D2276" i="6"/>
  <c r="B2276" i="6"/>
  <c r="D2275" i="6"/>
  <c r="B2275" i="6"/>
  <c r="D2274" i="6"/>
  <c r="B2274" i="6"/>
  <c r="D2273" i="6"/>
  <c r="B2273" i="6"/>
  <c r="D2272" i="6"/>
  <c r="B2272" i="6"/>
  <c r="D2271" i="6"/>
  <c r="B2271" i="6"/>
  <c r="D2270" i="6"/>
  <c r="B2270" i="6"/>
  <c r="D2269" i="6"/>
  <c r="B2269" i="6"/>
  <c r="D2268" i="6"/>
  <c r="B2268" i="6"/>
  <c r="D2267" i="6"/>
  <c r="B2267" i="6"/>
  <c r="D2266" i="6"/>
  <c r="B2266" i="6"/>
  <c r="D2265" i="6"/>
  <c r="B2265" i="6"/>
  <c r="D2264" i="6"/>
  <c r="B2264" i="6"/>
  <c r="D2263" i="6"/>
  <c r="B2263" i="6"/>
  <c r="D2262" i="6"/>
  <c r="B2262" i="6"/>
  <c r="D2261" i="6"/>
  <c r="B2261" i="6"/>
  <c r="D2260" i="6"/>
  <c r="B2260" i="6"/>
  <c r="D2259" i="6"/>
  <c r="B2259" i="6"/>
  <c r="D2258" i="6"/>
  <c r="B2258" i="6"/>
  <c r="D2257" i="6"/>
  <c r="B2257" i="6"/>
  <c r="D2256" i="6"/>
  <c r="B2256" i="6"/>
  <c r="D2255" i="6"/>
  <c r="B2255" i="6"/>
  <c r="D2254" i="6"/>
  <c r="B2254" i="6"/>
  <c r="D2253" i="6"/>
  <c r="B2253" i="6"/>
  <c r="D2252" i="6"/>
  <c r="B2252" i="6"/>
  <c r="D2251" i="6"/>
  <c r="B2251" i="6"/>
  <c r="D2250" i="6"/>
  <c r="B2250" i="6"/>
  <c r="D2249" i="6"/>
  <c r="B2249" i="6"/>
  <c r="D2248" i="6"/>
  <c r="B2248" i="6"/>
  <c r="D2247" i="6"/>
  <c r="B2247" i="6"/>
  <c r="D2246" i="6"/>
  <c r="B2246" i="6"/>
  <c r="D2245" i="6"/>
  <c r="B2245" i="6"/>
  <c r="D2244" i="6"/>
  <c r="B2244" i="6"/>
  <c r="D2243" i="6"/>
  <c r="B2243" i="6"/>
  <c r="D2242" i="6"/>
  <c r="B2242" i="6"/>
  <c r="D2241" i="6"/>
  <c r="B2241" i="6"/>
  <c r="D2240" i="6"/>
  <c r="B2240" i="6"/>
  <c r="D2239" i="6"/>
  <c r="B2239" i="6"/>
  <c r="D2238" i="6"/>
  <c r="B2238" i="6"/>
  <c r="D2237" i="6"/>
  <c r="B2237" i="6"/>
  <c r="D2236" i="6"/>
  <c r="B2236" i="6"/>
  <c r="D2235" i="6"/>
  <c r="B2235" i="6"/>
  <c r="D2234" i="6"/>
  <c r="B2234" i="6"/>
  <c r="D2233" i="6"/>
  <c r="B2233" i="6"/>
  <c r="D2232" i="6"/>
  <c r="B2232" i="6"/>
  <c r="D2231" i="6"/>
  <c r="B2231" i="6"/>
  <c r="D2230" i="6"/>
  <c r="B2230" i="6"/>
  <c r="D2229" i="6"/>
  <c r="B2229" i="6"/>
  <c r="D2228" i="6"/>
  <c r="B2228" i="6"/>
  <c r="D2227" i="6"/>
  <c r="B2227" i="6"/>
  <c r="D2226" i="6"/>
  <c r="B2226" i="6"/>
  <c r="D2225" i="6"/>
  <c r="B2225" i="6"/>
  <c r="D2224" i="6"/>
  <c r="B2224" i="6"/>
  <c r="D2223" i="6"/>
  <c r="B2223" i="6"/>
  <c r="D2222" i="6"/>
  <c r="B2222" i="6"/>
  <c r="D2221" i="6"/>
  <c r="B2221" i="6"/>
  <c r="D2220" i="6"/>
  <c r="B2220" i="6"/>
  <c r="D2219" i="6"/>
  <c r="B2219" i="6"/>
  <c r="D2218" i="6"/>
  <c r="B2218" i="6"/>
  <c r="D2217" i="6"/>
  <c r="B2217" i="6"/>
  <c r="D2216" i="6"/>
  <c r="B2216" i="6"/>
  <c r="D2215" i="6"/>
  <c r="B2215" i="6"/>
  <c r="D2214" i="6"/>
  <c r="B2214" i="6"/>
  <c r="D2213" i="6"/>
  <c r="B2213" i="6"/>
  <c r="D2212" i="6"/>
  <c r="B2212" i="6"/>
  <c r="D2211" i="6"/>
  <c r="B2211" i="6"/>
  <c r="D2210" i="6"/>
  <c r="B2210" i="6"/>
  <c r="D2209" i="6"/>
  <c r="B2209" i="6"/>
  <c r="D2208" i="6"/>
  <c r="B2208" i="6"/>
  <c r="D2207" i="6"/>
  <c r="B2207" i="6"/>
  <c r="D2206" i="6"/>
  <c r="B2206" i="6"/>
  <c r="D2205" i="6"/>
  <c r="B2205" i="6"/>
  <c r="D2204" i="6"/>
  <c r="B2204" i="6"/>
  <c r="D2203" i="6"/>
  <c r="B2203" i="6"/>
  <c r="D2202" i="6"/>
  <c r="B2202" i="6"/>
  <c r="D2201" i="6"/>
  <c r="B2201" i="6"/>
  <c r="D2200" i="6"/>
  <c r="B2200" i="6"/>
  <c r="D2199" i="6"/>
  <c r="B2199" i="6"/>
  <c r="D2198" i="6"/>
  <c r="B2198" i="6"/>
  <c r="D2197" i="6"/>
  <c r="B2197" i="6"/>
  <c r="D2196" i="6"/>
  <c r="B2196" i="6"/>
  <c r="D2195" i="6"/>
  <c r="B2195" i="6"/>
  <c r="D2194" i="6"/>
  <c r="B2194" i="6"/>
  <c r="D2193" i="6"/>
  <c r="B2193" i="6"/>
  <c r="D2192" i="6"/>
  <c r="B2192" i="6"/>
  <c r="D2191" i="6"/>
  <c r="B2191" i="6"/>
  <c r="D2190" i="6"/>
  <c r="B2190" i="6"/>
  <c r="D2189" i="6"/>
  <c r="B2189" i="6"/>
  <c r="D2188" i="6"/>
  <c r="B2188" i="6"/>
  <c r="D2187" i="6"/>
  <c r="B2187" i="6"/>
  <c r="D2186" i="6"/>
  <c r="B2186" i="6"/>
  <c r="D2185" i="6"/>
  <c r="B2185" i="6"/>
  <c r="D2184" i="6"/>
  <c r="B2184" i="6"/>
  <c r="D2183" i="6"/>
  <c r="B2183" i="6"/>
  <c r="D2182" i="6"/>
  <c r="B2182" i="6"/>
  <c r="D2181" i="6"/>
  <c r="B2181" i="6"/>
  <c r="D2180" i="6"/>
  <c r="B2180" i="6"/>
  <c r="D2179" i="6"/>
  <c r="B2179" i="6"/>
  <c r="D2178" i="6"/>
  <c r="B2178" i="6"/>
  <c r="D2177" i="6"/>
  <c r="B2177" i="6"/>
  <c r="D2176" i="6"/>
  <c r="B2176" i="6"/>
  <c r="D2175" i="6"/>
  <c r="B2175" i="6"/>
  <c r="D2174" i="6"/>
  <c r="B2174" i="6"/>
  <c r="D2173" i="6"/>
  <c r="B2173" i="6"/>
  <c r="D2172" i="6"/>
  <c r="B2172" i="6"/>
  <c r="D2171" i="6"/>
  <c r="B2171" i="6"/>
  <c r="D2170" i="6"/>
  <c r="B2170" i="6"/>
  <c r="D2169" i="6"/>
  <c r="B2169" i="6"/>
  <c r="D2168" i="6"/>
  <c r="B2168" i="6"/>
  <c r="D2167" i="6"/>
  <c r="B2167" i="6"/>
  <c r="D2166" i="6"/>
  <c r="B2166" i="6"/>
  <c r="D2165" i="6"/>
  <c r="B2165" i="6"/>
  <c r="D2164" i="6"/>
  <c r="B2164" i="6"/>
  <c r="D2163" i="6"/>
  <c r="B2163" i="6"/>
  <c r="D2162" i="6"/>
  <c r="B2162" i="6"/>
  <c r="D2161" i="6"/>
  <c r="B2161" i="6"/>
  <c r="D2160" i="6"/>
  <c r="B2160" i="6"/>
  <c r="D2159" i="6"/>
  <c r="B2159" i="6"/>
  <c r="D2158" i="6"/>
  <c r="B2158" i="6"/>
  <c r="D2157" i="6"/>
  <c r="B2157" i="6"/>
  <c r="D2156" i="6"/>
  <c r="B2156" i="6"/>
  <c r="D2155" i="6"/>
  <c r="B2155" i="6"/>
  <c r="D2154" i="6"/>
  <c r="B2154" i="6"/>
  <c r="D2153" i="6"/>
  <c r="B2153" i="6"/>
  <c r="D2152" i="6"/>
  <c r="B2152" i="6"/>
  <c r="D2151" i="6"/>
  <c r="B2151" i="6"/>
  <c r="D2150" i="6"/>
  <c r="B2150" i="6"/>
  <c r="D2149" i="6"/>
  <c r="B2149" i="6"/>
  <c r="D2148" i="6"/>
  <c r="B2148" i="6"/>
  <c r="D2147" i="6"/>
  <c r="B2147" i="6"/>
  <c r="D2146" i="6"/>
  <c r="B2146" i="6"/>
  <c r="D2145" i="6"/>
  <c r="B2145" i="6"/>
  <c r="D2144" i="6"/>
  <c r="B2144" i="6"/>
  <c r="D2143" i="6"/>
  <c r="B2143" i="6"/>
  <c r="D2142" i="6"/>
  <c r="B2142" i="6"/>
  <c r="D2141" i="6"/>
  <c r="B2141" i="6"/>
  <c r="D2140" i="6"/>
  <c r="B2140" i="6"/>
  <c r="D2139" i="6"/>
  <c r="B2139" i="6"/>
  <c r="D2138" i="6"/>
  <c r="B2138" i="6"/>
  <c r="D2137" i="6"/>
  <c r="B2137" i="6"/>
  <c r="D2136" i="6"/>
  <c r="B2136" i="6"/>
  <c r="D2135" i="6"/>
  <c r="B2135" i="6"/>
  <c r="D2134" i="6"/>
  <c r="B2134" i="6"/>
  <c r="D2133" i="6"/>
  <c r="B2133" i="6"/>
  <c r="D2132" i="6"/>
  <c r="B2132" i="6"/>
  <c r="D2131" i="6"/>
  <c r="B2131" i="6"/>
  <c r="D2130" i="6"/>
  <c r="B2130" i="6"/>
  <c r="D2129" i="6"/>
  <c r="B2129" i="6"/>
  <c r="D2128" i="6"/>
  <c r="B2128" i="6"/>
  <c r="D2127" i="6"/>
  <c r="B2127" i="6"/>
  <c r="D2126" i="6"/>
  <c r="B2126" i="6"/>
  <c r="D2125" i="6"/>
  <c r="B2125" i="6"/>
  <c r="D2124" i="6"/>
  <c r="B2124" i="6"/>
  <c r="D2123" i="6"/>
  <c r="B2123" i="6"/>
  <c r="D2122" i="6"/>
  <c r="B2122" i="6"/>
  <c r="D2121" i="6"/>
  <c r="B2121" i="6"/>
  <c r="D2120" i="6"/>
  <c r="B2120" i="6"/>
  <c r="D2119" i="6"/>
  <c r="B2119" i="6"/>
  <c r="D2118" i="6"/>
  <c r="B2118" i="6"/>
  <c r="D2117" i="6"/>
  <c r="B2117" i="6"/>
  <c r="D2116" i="6"/>
  <c r="B2116" i="6"/>
  <c r="D2115" i="6"/>
  <c r="B2115" i="6"/>
  <c r="D2114" i="6"/>
  <c r="B2114" i="6"/>
  <c r="D2113" i="6"/>
  <c r="B2113" i="6"/>
  <c r="D2112" i="6"/>
  <c r="B2112" i="6"/>
  <c r="D2111" i="6"/>
  <c r="B2111" i="6"/>
  <c r="D2110" i="6"/>
  <c r="B2110" i="6"/>
  <c r="D2109" i="6"/>
  <c r="B2109" i="6"/>
  <c r="D2108" i="6"/>
  <c r="B2108" i="6"/>
  <c r="D2107" i="6"/>
  <c r="B2107" i="6"/>
  <c r="D2106" i="6"/>
  <c r="B2106" i="6"/>
  <c r="D2105" i="6"/>
  <c r="B2105" i="6"/>
  <c r="D2104" i="6"/>
  <c r="B2104" i="6"/>
  <c r="D2103" i="6"/>
  <c r="B2103" i="6"/>
  <c r="D2102" i="6"/>
  <c r="B2102" i="6"/>
  <c r="D2101" i="6"/>
  <c r="B2101" i="6"/>
  <c r="D2100" i="6"/>
  <c r="B2100" i="6"/>
  <c r="D2099" i="6"/>
  <c r="B2099" i="6"/>
  <c r="D2098" i="6"/>
  <c r="B2098" i="6"/>
  <c r="D2097" i="6"/>
  <c r="B2097" i="6"/>
  <c r="D2096" i="6"/>
  <c r="B2096" i="6"/>
  <c r="D2095" i="6"/>
  <c r="B2095" i="6"/>
  <c r="D2094" i="6"/>
  <c r="B2094" i="6"/>
  <c r="D2093" i="6"/>
  <c r="B2093" i="6"/>
  <c r="D2092" i="6"/>
  <c r="B2092" i="6"/>
  <c r="D2091" i="6"/>
  <c r="B2091" i="6"/>
  <c r="D2090" i="6"/>
  <c r="B2090" i="6"/>
  <c r="D2089" i="6"/>
  <c r="B2089" i="6"/>
  <c r="D2088" i="6"/>
  <c r="B2088" i="6"/>
  <c r="D2087" i="6"/>
  <c r="B2087" i="6"/>
  <c r="D2086" i="6"/>
  <c r="B2086" i="6"/>
  <c r="D2085" i="6"/>
  <c r="B2085" i="6"/>
  <c r="D2084" i="6"/>
  <c r="B2084" i="6"/>
  <c r="D2083" i="6"/>
  <c r="B2083" i="6"/>
  <c r="D2082" i="6"/>
  <c r="B2082" i="6"/>
  <c r="D2081" i="6"/>
  <c r="B2081" i="6"/>
  <c r="D2080" i="6"/>
  <c r="B2080" i="6"/>
  <c r="D2079" i="6"/>
  <c r="B2079" i="6"/>
  <c r="D2078" i="6"/>
  <c r="B2078" i="6"/>
  <c r="D2077" i="6"/>
  <c r="B2077" i="6"/>
  <c r="D2076" i="6"/>
  <c r="B2076" i="6"/>
  <c r="D2075" i="6"/>
  <c r="B2075" i="6"/>
  <c r="D2074" i="6"/>
  <c r="B2074" i="6"/>
  <c r="D2073" i="6"/>
  <c r="B2073" i="6"/>
  <c r="D2072" i="6"/>
  <c r="B2072" i="6"/>
  <c r="D2071" i="6"/>
  <c r="B2071" i="6"/>
  <c r="D2070" i="6"/>
  <c r="B2070" i="6"/>
  <c r="D2069" i="6"/>
  <c r="B2069" i="6"/>
  <c r="D2068" i="6"/>
  <c r="B2068" i="6"/>
  <c r="D2067" i="6"/>
  <c r="B2067" i="6"/>
  <c r="D2066" i="6"/>
  <c r="B2066" i="6"/>
  <c r="D2065" i="6"/>
  <c r="B2065" i="6"/>
  <c r="D2064" i="6"/>
  <c r="B2064" i="6"/>
  <c r="D2063" i="6"/>
  <c r="B2063" i="6"/>
  <c r="D2062" i="6"/>
  <c r="B2062" i="6"/>
  <c r="D2061" i="6"/>
  <c r="B2061" i="6"/>
  <c r="D2060" i="6"/>
  <c r="B2060" i="6"/>
  <c r="D2059" i="6"/>
  <c r="B2059" i="6"/>
  <c r="D2058" i="6"/>
  <c r="B2058" i="6"/>
  <c r="D2057" i="6"/>
  <c r="B2057" i="6"/>
  <c r="D2056" i="6"/>
  <c r="B2056" i="6"/>
  <c r="D2055" i="6"/>
  <c r="B2055" i="6"/>
  <c r="D2054" i="6"/>
  <c r="B2054" i="6"/>
  <c r="D2053" i="6"/>
  <c r="B2053" i="6"/>
  <c r="D2052" i="6"/>
  <c r="B2052" i="6"/>
  <c r="D2051" i="6"/>
  <c r="B2051" i="6"/>
  <c r="D2050" i="6"/>
  <c r="B2050" i="6"/>
  <c r="D2049" i="6"/>
  <c r="B2049" i="6"/>
  <c r="D2048" i="6"/>
  <c r="B2048" i="6"/>
  <c r="D2047" i="6"/>
  <c r="B2047" i="6"/>
  <c r="D2046" i="6"/>
  <c r="B2046" i="6"/>
  <c r="D2045" i="6"/>
  <c r="B2045" i="6"/>
  <c r="D2044" i="6"/>
  <c r="B2044" i="6"/>
  <c r="D2043" i="6"/>
  <c r="B2043" i="6"/>
  <c r="D2042" i="6"/>
  <c r="B2042" i="6"/>
  <c r="D2041" i="6"/>
  <c r="B2041" i="6"/>
  <c r="D2040" i="6"/>
  <c r="B2040" i="6"/>
  <c r="D2039" i="6"/>
  <c r="B2039" i="6"/>
  <c r="D2038" i="6"/>
  <c r="B2038" i="6"/>
  <c r="D2037" i="6"/>
  <c r="B2037" i="6"/>
  <c r="D2036" i="6"/>
  <c r="B2036" i="6"/>
  <c r="D2035" i="6"/>
  <c r="B2035" i="6"/>
  <c r="D2034" i="6"/>
  <c r="B2034" i="6"/>
  <c r="D2033" i="6"/>
  <c r="B2033" i="6"/>
  <c r="D2032" i="6"/>
  <c r="B2032" i="6"/>
  <c r="D2031" i="6"/>
  <c r="B2031" i="6"/>
  <c r="D2030" i="6"/>
  <c r="B2030" i="6"/>
  <c r="D2029" i="6"/>
  <c r="B2029" i="6"/>
  <c r="D2028" i="6"/>
  <c r="B2028" i="6"/>
  <c r="D2027" i="6"/>
  <c r="B2027" i="6"/>
  <c r="D2026" i="6"/>
  <c r="B2026" i="6"/>
  <c r="D2025" i="6"/>
  <c r="B2025" i="6"/>
  <c r="D2024" i="6"/>
  <c r="B2024" i="6"/>
  <c r="D2023" i="6"/>
  <c r="B2023" i="6"/>
  <c r="D2022" i="6"/>
  <c r="B2022" i="6"/>
  <c r="D2021" i="6"/>
  <c r="B2021" i="6"/>
  <c r="D2020" i="6"/>
  <c r="B2020" i="6"/>
  <c r="D2019" i="6"/>
  <c r="B2019" i="6"/>
  <c r="D2018" i="6"/>
  <c r="B2018" i="6"/>
  <c r="D2017" i="6"/>
  <c r="B2017" i="6"/>
  <c r="D2016" i="6"/>
  <c r="B2016" i="6"/>
  <c r="D2015" i="6"/>
  <c r="B2015" i="6"/>
  <c r="D2014" i="6"/>
  <c r="B2014" i="6"/>
  <c r="D2013" i="6"/>
  <c r="B2013" i="6"/>
  <c r="D2012" i="6"/>
  <c r="B2012" i="6"/>
  <c r="D2011" i="6"/>
  <c r="B2011" i="6"/>
  <c r="D2010" i="6"/>
  <c r="B2010" i="6"/>
  <c r="D2009" i="6"/>
  <c r="B2009" i="6"/>
  <c r="D2008" i="6"/>
  <c r="B2008" i="6"/>
  <c r="D2007" i="6"/>
  <c r="B2007" i="6"/>
  <c r="D2006" i="6"/>
  <c r="B2006" i="6"/>
  <c r="D2005" i="6"/>
  <c r="B2005" i="6"/>
  <c r="D2004" i="6"/>
  <c r="B2004" i="6"/>
  <c r="D2003" i="6"/>
  <c r="B2003" i="6"/>
  <c r="D2002" i="6"/>
  <c r="B2002" i="6"/>
  <c r="D2001" i="6"/>
  <c r="B2001" i="6"/>
  <c r="D2000" i="6"/>
  <c r="B2000" i="6"/>
  <c r="D1999" i="6"/>
  <c r="B1999" i="6"/>
  <c r="D1998" i="6"/>
  <c r="B1998" i="6"/>
  <c r="D1997" i="6"/>
  <c r="B1997" i="6"/>
  <c r="D1996" i="6"/>
  <c r="B1996" i="6"/>
  <c r="D1995" i="6"/>
  <c r="B1995" i="6"/>
  <c r="D1994" i="6"/>
  <c r="B1994" i="6"/>
  <c r="D1993" i="6"/>
  <c r="B1993" i="6"/>
  <c r="D1992" i="6"/>
  <c r="B1992" i="6"/>
  <c r="D1991" i="6"/>
  <c r="B1991" i="6"/>
  <c r="D1990" i="6"/>
  <c r="B1990" i="6"/>
  <c r="D1989" i="6"/>
  <c r="B1989" i="6"/>
  <c r="D1988" i="6"/>
  <c r="B1988" i="6"/>
  <c r="D1987" i="6"/>
  <c r="B1987" i="6"/>
  <c r="D1986" i="6"/>
  <c r="B1986" i="6"/>
  <c r="D1985" i="6"/>
  <c r="B1985" i="6"/>
  <c r="D1984" i="6"/>
  <c r="B1984" i="6"/>
  <c r="D1983" i="6"/>
  <c r="B1983" i="6"/>
  <c r="D1982" i="6"/>
  <c r="B1982" i="6"/>
  <c r="D1981" i="6"/>
  <c r="B1981" i="6"/>
  <c r="D1980" i="6"/>
  <c r="B1980" i="6"/>
  <c r="D1979" i="6"/>
  <c r="B1979" i="6"/>
  <c r="D1978" i="6"/>
  <c r="B1978" i="6"/>
  <c r="D1977" i="6"/>
  <c r="B1977" i="6"/>
  <c r="D1976" i="6"/>
  <c r="B1976" i="6"/>
  <c r="D1975" i="6"/>
  <c r="B1975" i="6"/>
  <c r="D1974" i="6"/>
  <c r="B1974" i="6"/>
  <c r="D1973" i="6"/>
  <c r="B1973" i="6"/>
  <c r="D1972" i="6"/>
  <c r="B1972" i="6"/>
  <c r="D1971" i="6"/>
  <c r="B1971" i="6"/>
  <c r="D1970" i="6"/>
  <c r="B1970" i="6"/>
  <c r="D1969" i="6"/>
  <c r="B1969" i="6"/>
  <c r="D1968" i="6"/>
  <c r="B1968" i="6"/>
  <c r="D1967" i="6"/>
  <c r="B1967" i="6"/>
  <c r="D1966" i="6"/>
  <c r="B1966" i="6"/>
  <c r="D1965" i="6"/>
  <c r="B1965" i="6"/>
  <c r="D1964" i="6"/>
  <c r="B1964" i="6"/>
  <c r="D1963" i="6"/>
  <c r="B1963" i="6"/>
  <c r="D1962" i="6"/>
  <c r="B1962" i="6"/>
  <c r="D1961" i="6"/>
  <c r="B1961" i="6"/>
  <c r="D1960" i="6"/>
  <c r="B1960" i="6"/>
  <c r="D1959" i="6"/>
  <c r="B1959" i="6"/>
  <c r="D1958" i="6"/>
  <c r="B1958" i="6"/>
  <c r="D1957" i="6"/>
  <c r="B1957" i="6"/>
  <c r="D1956" i="6"/>
  <c r="B1956" i="6"/>
  <c r="D1955" i="6"/>
  <c r="B1955" i="6"/>
  <c r="D1954" i="6"/>
  <c r="B1954" i="6"/>
  <c r="D1953" i="6"/>
  <c r="B1953" i="6"/>
  <c r="D1952" i="6"/>
  <c r="B1952" i="6"/>
  <c r="D1951" i="6"/>
  <c r="B1951" i="6"/>
  <c r="D1950" i="6"/>
  <c r="B1950" i="6"/>
  <c r="D1949" i="6"/>
  <c r="B1949" i="6"/>
  <c r="D1948" i="6"/>
  <c r="B1948" i="6"/>
  <c r="D1947" i="6"/>
  <c r="B1947" i="6"/>
  <c r="D1946" i="6"/>
  <c r="B1946" i="6"/>
  <c r="D1945" i="6"/>
  <c r="B1945" i="6"/>
  <c r="D1944" i="6"/>
  <c r="B1944" i="6"/>
  <c r="D1943" i="6"/>
  <c r="B1943" i="6"/>
  <c r="D1942" i="6"/>
  <c r="B1942" i="6"/>
  <c r="D1941" i="6"/>
  <c r="B1941" i="6"/>
  <c r="D1940" i="6"/>
  <c r="B1940" i="6"/>
  <c r="D1939" i="6"/>
  <c r="B1939" i="6"/>
  <c r="D1938" i="6"/>
  <c r="B1938" i="6"/>
  <c r="D1937" i="6"/>
  <c r="B1937" i="6"/>
  <c r="D1936" i="6"/>
  <c r="B1936" i="6"/>
  <c r="D1935" i="6"/>
  <c r="B1935" i="6"/>
  <c r="D1934" i="6"/>
  <c r="B1934" i="6"/>
  <c r="D1933" i="6"/>
  <c r="B1933" i="6"/>
  <c r="D1932" i="6"/>
  <c r="B1932" i="6"/>
  <c r="D1931" i="6"/>
  <c r="B1931" i="6"/>
  <c r="D1930" i="6"/>
  <c r="B1930" i="6"/>
  <c r="D1929" i="6"/>
  <c r="B1929" i="6"/>
  <c r="D1928" i="6"/>
  <c r="B1928" i="6"/>
  <c r="D1927" i="6"/>
  <c r="B1927" i="6"/>
  <c r="D1926" i="6"/>
  <c r="B1926" i="6"/>
  <c r="D1925" i="6"/>
  <c r="B1925" i="6"/>
  <c r="D1924" i="6"/>
  <c r="B1924" i="6"/>
  <c r="D1923" i="6"/>
  <c r="B1923" i="6"/>
  <c r="D1922" i="6"/>
  <c r="B1922" i="6"/>
  <c r="D1921" i="6"/>
  <c r="B1921" i="6"/>
  <c r="D1920" i="6"/>
  <c r="B1920" i="6"/>
  <c r="D1919" i="6"/>
  <c r="B1919" i="6"/>
  <c r="D1918" i="6"/>
  <c r="B1918" i="6"/>
  <c r="D1917" i="6"/>
  <c r="B1917" i="6"/>
  <c r="D1916" i="6"/>
  <c r="B1916" i="6"/>
  <c r="D1915" i="6"/>
  <c r="B1915" i="6"/>
  <c r="D1914" i="6"/>
  <c r="B1914" i="6"/>
  <c r="D1913" i="6"/>
  <c r="B1913" i="6"/>
  <c r="D1912" i="6"/>
  <c r="B1912" i="6"/>
  <c r="D1911" i="6"/>
  <c r="B1911" i="6"/>
  <c r="D1910" i="6"/>
  <c r="B1910" i="6"/>
  <c r="D1909" i="6"/>
  <c r="B1909" i="6"/>
  <c r="D1908" i="6"/>
  <c r="B1908" i="6"/>
  <c r="D1907" i="6"/>
  <c r="B1907" i="6"/>
  <c r="D1906" i="6"/>
  <c r="B1906" i="6"/>
  <c r="D1905" i="6"/>
  <c r="B1905" i="6"/>
  <c r="D1904" i="6"/>
  <c r="B1904" i="6"/>
  <c r="D1903" i="6"/>
  <c r="B1903" i="6"/>
  <c r="D1902" i="6"/>
  <c r="B1902" i="6"/>
  <c r="D1901" i="6"/>
  <c r="B1901" i="6"/>
  <c r="D1900" i="6"/>
  <c r="B1900" i="6"/>
  <c r="D1899" i="6"/>
  <c r="B1899" i="6"/>
  <c r="D1898" i="6"/>
  <c r="B1898" i="6"/>
  <c r="D1897" i="6"/>
  <c r="B1897" i="6"/>
  <c r="D1896" i="6"/>
  <c r="B1896" i="6"/>
  <c r="D1895" i="6"/>
  <c r="B1895" i="6"/>
  <c r="D1894" i="6"/>
  <c r="B1894" i="6"/>
  <c r="D1893" i="6"/>
  <c r="B1893" i="6"/>
  <c r="D1892" i="6"/>
  <c r="B1892" i="6"/>
  <c r="D1891" i="6"/>
  <c r="B1891" i="6"/>
  <c r="D1890" i="6"/>
  <c r="B1890" i="6"/>
  <c r="D1889" i="6"/>
  <c r="B1889" i="6"/>
  <c r="D1888" i="6"/>
  <c r="B1888" i="6"/>
  <c r="D1887" i="6"/>
  <c r="B1887" i="6"/>
  <c r="D1886" i="6"/>
  <c r="B1886" i="6"/>
  <c r="D1885" i="6"/>
  <c r="B1885" i="6"/>
  <c r="D1884" i="6"/>
  <c r="B1884" i="6"/>
  <c r="D1883" i="6"/>
  <c r="B1883" i="6"/>
  <c r="D1882" i="6"/>
  <c r="B1882" i="6"/>
  <c r="D1881" i="6"/>
  <c r="B1881" i="6"/>
  <c r="D1880" i="6"/>
  <c r="B1880" i="6"/>
  <c r="D1879" i="6"/>
  <c r="B1879" i="6"/>
  <c r="D1878" i="6"/>
  <c r="B1878" i="6"/>
  <c r="D1877" i="6"/>
  <c r="B1877" i="6"/>
  <c r="D1876" i="6"/>
  <c r="B1876" i="6"/>
  <c r="D1875" i="6"/>
  <c r="B1875" i="6"/>
  <c r="D1874" i="6"/>
  <c r="B1874" i="6"/>
  <c r="D1873" i="6"/>
  <c r="B1873" i="6"/>
  <c r="D1872" i="6"/>
  <c r="B1872" i="6"/>
  <c r="D1871" i="6"/>
  <c r="B1871" i="6"/>
  <c r="D1870" i="6"/>
  <c r="B1870" i="6"/>
  <c r="D1869" i="6"/>
  <c r="B1869" i="6"/>
  <c r="D1868" i="6"/>
  <c r="B1868" i="6"/>
  <c r="D1867" i="6"/>
  <c r="B1867" i="6"/>
  <c r="D1866" i="6"/>
  <c r="B1866" i="6"/>
  <c r="D1865" i="6"/>
  <c r="B1865" i="6"/>
  <c r="D1864" i="6"/>
  <c r="B1864" i="6"/>
  <c r="D1863" i="6"/>
  <c r="B1863" i="6"/>
  <c r="D1862" i="6"/>
  <c r="B1862" i="6"/>
  <c r="D1861" i="6"/>
  <c r="B1861" i="6"/>
  <c r="D1860" i="6"/>
  <c r="B1860" i="6"/>
  <c r="D1859" i="6"/>
  <c r="B1859" i="6"/>
  <c r="D1858" i="6"/>
  <c r="B1858" i="6"/>
  <c r="D1857" i="6"/>
  <c r="B1857" i="6"/>
  <c r="D1856" i="6"/>
  <c r="B1856" i="6"/>
  <c r="D1855" i="6"/>
  <c r="B1855" i="6"/>
  <c r="D1854" i="6"/>
  <c r="B1854" i="6"/>
  <c r="D1853" i="6"/>
  <c r="B1853" i="6"/>
  <c r="D1852" i="6"/>
  <c r="B1852" i="6"/>
  <c r="D1851" i="6"/>
  <c r="B1851" i="6"/>
  <c r="D1850" i="6"/>
  <c r="B1850" i="6"/>
  <c r="D1849" i="6"/>
  <c r="B1849" i="6"/>
  <c r="D1848" i="6"/>
  <c r="B1848" i="6"/>
  <c r="D1847" i="6"/>
  <c r="B1847" i="6"/>
  <c r="D1846" i="6"/>
  <c r="B1846" i="6"/>
  <c r="D1845" i="6"/>
  <c r="B1845" i="6"/>
  <c r="D1844" i="6"/>
  <c r="B1844" i="6"/>
  <c r="D1843" i="6"/>
  <c r="B1843" i="6"/>
  <c r="D1842" i="6"/>
  <c r="B1842" i="6"/>
  <c r="D1841" i="6"/>
  <c r="B1841" i="6"/>
  <c r="D1840" i="6"/>
  <c r="B1840" i="6"/>
  <c r="D1839" i="6"/>
  <c r="B1839" i="6"/>
  <c r="D1838" i="6"/>
  <c r="B1838" i="6"/>
  <c r="D1837" i="6"/>
  <c r="B1837" i="6"/>
  <c r="D1836" i="6"/>
  <c r="B1836" i="6"/>
  <c r="D1835" i="6"/>
  <c r="B1835" i="6"/>
  <c r="D1834" i="6"/>
  <c r="B1834" i="6"/>
  <c r="D1833" i="6"/>
  <c r="B1833" i="6"/>
  <c r="D1832" i="6"/>
  <c r="B1832" i="6"/>
  <c r="D1831" i="6"/>
  <c r="B1831" i="6"/>
  <c r="D1830" i="6"/>
  <c r="B1830" i="6"/>
  <c r="D1829" i="6"/>
  <c r="B1829" i="6"/>
  <c r="D1828" i="6"/>
  <c r="B1828" i="6"/>
  <c r="D1827" i="6"/>
  <c r="B1827" i="6"/>
  <c r="D1826" i="6"/>
  <c r="B1826" i="6"/>
  <c r="D1825" i="6"/>
  <c r="B1825" i="6"/>
  <c r="D1824" i="6"/>
  <c r="B1824" i="6"/>
  <c r="D1823" i="6"/>
  <c r="B1823" i="6"/>
  <c r="D1822" i="6"/>
  <c r="B1822" i="6"/>
  <c r="D1821" i="6"/>
  <c r="B1821" i="6"/>
  <c r="D1820" i="6"/>
  <c r="B1820" i="6"/>
  <c r="D1819" i="6"/>
  <c r="B1819" i="6"/>
  <c r="D1818" i="6"/>
  <c r="B1818" i="6"/>
  <c r="D1817" i="6"/>
  <c r="B1817" i="6"/>
  <c r="D1816" i="6"/>
  <c r="B1816" i="6"/>
  <c r="D1815" i="6"/>
  <c r="B1815" i="6"/>
  <c r="D1814" i="6"/>
  <c r="B1814" i="6"/>
  <c r="D1813" i="6"/>
  <c r="B1813" i="6"/>
  <c r="D1812" i="6"/>
  <c r="B1812" i="6"/>
  <c r="D1811" i="6"/>
  <c r="B1811" i="6"/>
  <c r="D1810" i="6"/>
  <c r="B1810" i="6"/>
  <c r="D1809" i="6"/>
  <c r="B1809" i="6"/>
  <c r="D1808" i="6"/>
  <c r="B1808" i="6"/>
  <c r="D1807" i="6"/>
  <c r="B1807" i="6"/>
  <c r="D1806" i="6"/>
  <c r="B1806" i="6"/>
  <c r="D1805" i="6"/>
  <c r="B1805" i="6"/>
  <c r="D1804" i="6"/>
  <c r="B1804" i="6"/>
  <c r="D1803" i="6"/>
  <c r="B1803" i="6"/>
  <c r="D1802" i="6"/>
  <c r="B1802" i="6"/>
  <c r="D1801" i="6"/>
  <c r="B1801" i="6"/>
  <c r="D1800" i="6"/>
  <c r="B1800" i="6"/>
  <c r="D1799" i="6"/>
  <c r="B1799" i="6"/>
  <c r="D1798" i="6"/>
  <c r="B1798" i="6"/>
  <c r="D1797" i="6"/>
  <c r="B1797" i="6"/>
  <c r="D1796" i="6"/>
  <c r="B1796" i="6"/>
  <c r="D1795" i="6"/>
  <c r="B1795" i="6"/>
  <c r="D1794" i="6"/>
  <c r="B1794" i="6"/>
  <c r="D1793" i="6"/>
  <c r="B1793" i="6"/>
  <c r="D1792" i="6"/>
  <c r="B1792" i="6"/>
  <c r="D1791" i="6"/>
  <c r="B1791" i="6"/>
  <c r="D1790" i="6"/>
  <c r="B1790" i="6"/>
  <c r="D1789" i="6"/>
  <c r="B1789" i="6"/>
  <c r="D1788" i="6"/>
  <c r="B1788" i="6"/>
  <c r="D1787" i="6"/>
  <c r="B1787" i="6"/>
  <c r="D1786" i="6"/>
  <c r="B1786" i="6"/>
  <c r="D1785" i="6"/>
  <c r="B1785" i="6"/>
  <c r="D1784" i="6"/>
  <c r="B1784" i="6"/>
  <c r="D1783" i="6"/>
  <c r="B1783" i="6"/>
  <c r="D1782" i="6"/>
  <c r="B1782" i="6"/>
  <c r="D1781" i="6"/>
  <c r="B1781" i="6"/>
  <c r="D1780" i="6"/>
  <c r="B1780" i="6"/>
  <c r="D1779" i="6"/>
  <c r="B1779" i="6"/>
  <c r="D1778" i="6"/>
  <c r="B1778" i="6"/>
  <c r="D1777" i="6"/>
  <c r="B1777" i="6"/>
  <c r="D1776" i="6"/>
  <c r="B1776" i="6"/>
  <c r="D1775" i="6"/>
  <c r="B1775" i="6"/>
  <c r="D1774" i="6"/>
  <c r="B1774" i="6"/>
  <c r="D1773" i="6"/>
  <c r="B1773" i="6"/>
  <c r="D1772" i="6"/>
  <c r="B1772" i="6"/>
  <c r="D1771" i="6"/>
  <c r="B1771" i="6"/>
  <c r="D1770" i="6"/>
  <c r="B1770" i="6"/>
  <c r="D1769" i="6"/>
  <c r="B1769" i="6"/>
  <c r="D1768" i="6"/>
  <c r="B1768" i="6"/>
  <c r="D1767" i="6"/>
  <c r="B1767" i="6"/>
  <c r="D1766" i="6"/>
  <c r="B1766" i="6"/>
  <c r="D1765" i="6"/>
  <c r="B1765" i="6"/>
  <c r="D1764" i="6"/>
  <c r="B1764" i="6"/>
  <c r="D1763" i="6"/>
  <c r="B1763" i="6"/>
  <c r="D1762" i="6"/>
  <c r="B1762" i="6"/>
  <c r="D1761" i="6"/>
  <c r="B1761" i="6"/>
  <c r="D1760" i="6"/>
  <c r="B1760" i="6"/>
  <c r="D1759" i="6"/>
  <c r="B1759" i="6"/>
  <c r="D1758" i="6"/>
  <c r="B1758" i="6"/>
  <c r="D1757" i="6"/>
  <c r="B1757" i="6"/>
  <c r="D1756" i="6"/>
  <c r="B1756" i="6"/>
  <c r="D1755" i="6"/>
  <c r="B1755" i="6"/>
  <c r="D1754" i="6"/>
  <c r="B1754" i="6"/>
  <c r="D1753" i="6"/>
  <c r="B1753" i="6"/>
  <c r="D1752" i="6"/>
  <c r="B1752" i="6"/>
  <c r="D1751" i="6"/>
  <c r="B1751" i="6"/>
  <c r="D1750" i="6"/>
  <c r="B1750" i="6"/>
  <c r="D1749" i="6"/>
  <c r="B1749" i="6"/>
  <c r="D1748" i="6"/>
  <c r="B1748" i="6"/>
  <c r="D1747" i="6"/>
  <c r="B1747" i="6"/>
  <c r="D1746" i="6"/>
  <c r="B1746" i="6"/>
  <c r="D1745" i="6"/>
  <c r="B1745" i="6"/>
  <c r="D1744" i="6"/>
  <c r="B1744" i="6"/>
  <c r="D1743" i="6"/>
  <c r="B1743" i="6"/>
  <c r="D1742" i="6"/>
  <c r="B1742" i="6"/>
  <c r="D1741" i="6"/>
  <c r="B1741" i="6"/>
  <c r="D1740" i="6"/>
  <c r="B1740" i="6"/>
  <c r="D1739" i="6"/>
  <c r="B1739" i="6"/>
  <c r="D1738" i="6"/>
  <c r="B1738" i="6"/>
  <c r="D1737" i="6"/>
  <c r="B1737" i="6"/>
  <c r="D1736" i="6"/>
  <c r="B1736" i="6"/>
  <c r="D1735" i="6"/>
  <c r="B1735" i="6"/>
  <c r="D1734" i="6"/>
  <c r="B1734" i="6"/>
  <c r="D1733" i="6"/>
  <c r="B1733" i="6"/>
  <c r="D1732" i="6"/>
  <c r="B1732" i="6"/>
  <c r="D1731" i="6"/>
  <c r="B1731" i="6"/>
  <c r="D1730" i="6"/>
  <c r="B1730" i="6"/>
  <c r="D1729" i="6"/>
  <c r="B1729" i="6"/>
  <c r="D1728" i="6"/>
  <c r="B1728" i="6"/>
  <c r="D1727" i="6"/>
  <c r="B1727" i="6"/>
  <c r="D1726" i="6"/>
  <c r="B1726" i="6"/>
  <c r="D1725" i="6"/>
  <c r="B1725" i="6"/>
  <c r="D1724" i="6"/>
  <c r="B1724" i="6"/>
  <c r="D1723" i="6"/>
  <c r="B1723" i="6"/>
  <c r="D1722" i="6"/>
  <c r="B1722" i="6"/>
  <c r="D1721" i="6"/>
  <c r="B1721" i="6"/>
  <c r="D1720" i="6"/>
  <c r="B1720" i="6"/>
  <c r="D1719" i="6"/>
  <c r="B1719" i="6"/>
  <c r="D1718" i="6"/>
  <c r="B1718" i="6"/>
  <c r="D1717" i="6"/>
  <c r="B1717" i="6"/>
  <c r="D1716" i="6"/>
  <c r="B1716" i="6"/>
  <c r="D1715" i="6"/>
  <c r="B1715" i="6"/>
  <c r="D1714" i="6"/>
  <c r="B1714" i="6"/>
  <c r="D1713" i="6"/>
  <c r="B1713" i="6"/>
  <c r="D1712" i="6"/>
  <c r="B1712" i="6"/>
  <c r="D1711" i="6"/>
  <c r="B1711" i="6"/>
  <c r="D1710" i="6"/>
  <c r="B1710" i="6"/>
  <c r="D1709" i="6"/>
  <c r="B1709" i="6"/>
  <c r="D1708" i="6"/>
  <c r="B1708" i="6"/>
  <c r="D1707" i="6"/>
  <c r="B1707" i="6"/>
  <c r="D1706" i="6"/>
  <c r="B1706" i="6"/>
  <c r="D1705" i="6"/>
  <c r="B1705" i="6"/>
  <c r="D1704" i="6"/>
  <c r="B1704" i="6"/>
  <c r="D1703" i="6"/>
  <c r="B1703" i="6"/>
  <c r="D1702" i="6"/>
  <c r="B1702" i="6"/>
  <c r="D1701" i="6"/>
  <c r="B1701" i="6"/>
  <c r="D1700" i="6"/>
  <c r="B1700" i="6"/>
  <c r="D1699" i="6"/>
  <c r="B1699" i="6"/>
  <c r="D1698" i="6"/>
  <c r="B1698" i="6"/>
  <c r="D1697" i="6"/>
  <c r="B1697" i="6"/>
  <c r="D1696" i="6"/>
  <c r="B1696" i="6"/>
  <c r="D1695" i="6"/>
  <c r="B1695" i="6"/>
  <c r="D1694" i="6"/>
  <c r="B1694" i="6"/>
  <c r="D1693" i="6"/>
  <c r="B1693" i="6"/>
  <c r="D1692" i="6"/>
  <c r="B1692" i="6"/>
  <c r="D1691" i="6"/>
  <c r="B1691" i="6"/>
  <c r="D1690" i="6"/>
  <c r="B1690" i="6"/>
  <c r="D1689" i="6"/>
  <c r="B1689" i="6"/>
  <c r="D1688" i="6"/>
  <c r="B1688" i="6"/>
  <c r="D1687" i="6"/>
  <c r="B1687" i="6"/>
  <c r="D1686" i="6"/>
  <c r="B1686" i="6"/>
  <c r="D1685" i="6"/>
  <c r="B1685" i="6"/>
  <c r="D1684" i="6"/>
  <c r="B1684" i="6"/>
  <c r="D1683" i="6"/>
  <c r="B1683" i="6"/>
  <c r="D1682" i="6"/>
  <c r="B1682" i="6"/>
  <c r="D1681" i="6"/>
  <c r="B1681" i="6"/>
  <c r="D1680" i="6"/>
  <c r="B1680" i="6"/>
  <c r="D1679" i="6"/>
  <c r="B1679" i="6"/>
  <c r="D1678" i="6"/>
  <c r="B1678" i="6"/>
  <c r="D1677" i="6"/>
  <c r="B1677" i="6"/>
  <c r="D1676" i="6"/>
  <c r="B1676" i="6"/>
  <c r="D1675" i="6"/>
  <c r="B1675" i="6"/>
  <c r="D1674" i="6"/>
  <c r="B1674" i="6"/>
  <c r="D1673" i="6"/>
  <c r="B1673" i="6"/>
  <c r="D1672" i="6"/>
  <c r="B1672" i="6"/>
  <c r="D1671" i="6"/>
  <c r="B1671" i="6"/>
  <c r="D1670" i="6"/>
  <c r="B1670" i="6"/>
  <c r="D1669" i="6"/>
  <c r="B1669" i="6"/>
  <c r="D1668" i="6"/>
  <c r="B1668" i="6"/>
  <c r="D1667" i="6"/>
  <c r="B1667" i="6"/>
  <c r="D1666" i="6"/>
  <c r="B1666" i="6"/>
  <c r="D1665" i="6"/>
  <c r="B1665" i="6"/>
  <c r="D1664" i="6"/>
  <c r="B1664" i="6"/>
  <c r="D1663" i="6"/>
  <c r="B1663" i="6"/>
  <c r="D1662" i="6"/>
  <c r="B1662" i="6"/>
  <c r="D1661" i="6"/>
  <c r="B1661" i="6"/>
  <c r="D1660" i="6"/>
  <c r="B1660" i="6"/>
  <c r="D1659" i="6"/>
  <c r="B1659" i="6"/>
  <c r="D1658" i="6"/>
  <c r="B1658" i="6"/>
  <c r="D1657" i="6"/>
  <c r="B1657" i="6"/>
  <c r="D1656" i="6"/>
  <c r="B1656" i="6"/>
  <c r="D1655" i="6"/>
  <c r="B1655" i="6"/>
  <c r="D1654" i="6"/>
  <c r="B1654" i="6"/>
  <c r="D1653" i="6"/>
  <c r="B1653" i="6"/>
  <c r="D1652" i="6"/>
  <c r="B1652" i="6"/>
  <c r="D1651" i="6"/>
  <c r="B1651" i="6"/>
  <c r="D1650" i="6"/>
  <c r="B1650" i="6"/>
  <c r="D1649" i="6"/>
  <c r="B1649" i="6"/>
  <c r="D1648" i="6"/>
  <c r="B1648" i="6"/>
  <c r="D1647" i="6"/>
  <c r="B1647" i="6"/>
  <c r="D1646" i="6"/>
  <c r="B1646" i="6"/>
  <c r="D1645" i="6"/>
  <c r="B1645" i="6"/>
  <c r="D1644" i="6"/>
  <c r="B1644" i="6"/>
  <c r="D1643" i="6"/>
  <c r="B1643" i="6"/>
  <c r="D1642" i="6"/>
  <c r="B1642" i="6"/>
  <c r="D1641" i="6"/>
  <c r="B1641" i="6"/>
  <c r="D1640" i="6"/>
  <c r="B1640" i="6"/>
  <c r="D1639" i="6"/>
  <c r="B1639" i="6"/>
  <c r="D1638" i="6"/>
  <c r="B1638" i="6"/>
  <c r="D1637" i="6"/>
  <c r="B1637" i="6"/>
  <c r="D1636" i="6"/>
  <c r="B1636" i="6"/>
  <c r="D1635" i="6"/>
  <c r="B1635" i="6"/>
  <c r="D1634" i="6"/>
  <c r="B1634" i="6"/>
  <c r="D1633" i="6"/>
  <c r="B1633" i="6"/>
  <c r="D1632" i="6"/>
  <c r="B1632" i="6"/>
  <c r="D1631" i="6"/>
  <c r="B1631" i="6"/>
  <c r="D1630" i="6"/>
  <c r="B1630" i="6"/>
  <c r="D1629" i="6"/>
  <c r="B1629" i="6"/>
  <c r="D1628" i="6"/>
  <c r="B1628" i="6"/>
  <c r="D1627" i="6"/>
  <c r="B1627" i="6"/>
  <c r="D1626" i="6"/>
  <c r="B1626" i="6"/>
  <c r="D1625" i="6"/>
  <c r="B1625" i="6"/>
  <c r="D1624" i="6"/>
  <c r="B1624" i="6"/>
  <c r="D1623" i="6"/>
  <c r="B1623" i="6"/>
  <c r="D1622" i="6"/>
  <c r="B1622" i="6"/>
  <c r="D1621" i="6"/>
  <c r="B1621" i="6"/>
  <c r="D1620" i="6"/>
  <c r="B1620" i="6"/>
  <c r="D1619" i="6"/>
  <c r="B1619" i="6"/>
  <c r="D1618" i="6"/>
  <c r="B1618" i="6"/>
  <c r="D1617" i="6"/>
  <c r="B1617" i="6"/>
  <c r="D1616" i="6"/>
  <c r="B1616" i="6"/>
  <c r="D1615" i="6"/>
  <c r="B1615" i="6"/>
  <c r="D1614" i="6"/>
  <c r="B1614" i="6"/>
  <c r="D1613" i="6"/>
  <c r="B1613" i="6"/>
  <c r="D1612" i="6"/>
  <c r="B1612" i="6"/>
  <c r="D1611" i="6"/>
  <c r="B1611" i="6"/>
  <c r="D1610" i="6"/>
  <c r="B1610" i="6"/>
  <c r="D1609" i="6"/>
  <c r="B1609" i="6"/>
  <c r="D1608" i="6"/>
  <c r="B1608" i="6"/>
  <c r="D1607" i="6"/>
  <c r="B1607" i="6"/>
  <c r="D1606" i="6"/>
  <c r="B1606" i="6"/>
  <c r="D1605" i="6"/>
  <c r="B1605" i="6"/>
  <c r="D1604" i="6"/>
  <c r="B1604" i="6"/>
  <c r="D1603" i="6"/>
  <c r="B1603" i="6"/>
  <c r="D1602" i="6"/>
  <c r="B1602" i="6"/>
  <c r="D1601" i="6"/>
  <c r="B1601" i="6"/>
  <c r="D1600" i="6"/>
  <c r="B1600" i="6"/>
  <c r="D1599" i="6"/>
  <c r="B1599" i="6"/>
  <c r="D1598" i="6"/>
  <c r="B1598" i="6"/>
  <c r="D1597" i="6"/>
  <c r="B1597" i="6"/>
  <c r="D1596" i="6"/>
  <c r="B1596" i="6"/>
  <c r="D1595" i="6"/>
  <c r="B1595" i="6"/>
  <c r="D1594" i="6"/>
  <c r="B1594" i="6"/>
  <c r="D1593" i="6"/>
  <c r="B1593" i="6"/>
  <c r="D1592" i="6"/>
  <c r="B1592" i="6"/>
  <c r="D1591" i="6"/>
  <c r="B1591" i="6"/>
  <c r="D1590" i="6"/>
  <c r="B1590" i="6"/>
  <c r="D1589" i="6"/>
  <c r="B1589" i="6"/>
  <c r="D1588" i="6"/>
  <c r="B1588" i="6"/>
  <c r="D1587" i="6"/>
  <c r="B1587" i="6"/>
  <c r="D1586" i="6"/>
  <c r="B1586" i="6"/>
  <c r="D1585" i="6"/>
  <c r="B1585" i="6"/>
  <c r="D1584" i="6"/>
  <c r="B1584" i="6"/>
  <c r="D1583" i="6"/>
  <c r="B1583" i="6"/>
  <c r="D1582" i="6"/>
  <c r="B1582" i="6"/>
  <c r="D1581" i="6"/>
  <c r="B1581" i="6"/>
  <c r="D1580" i="6"/>
  <c r="B1580" i="6"/>
  <c r="D1579" i="6"/>
  <c r="B1579" i="6"/>
  <c r="D1578" i="6"/>
  <c r="B1578" i="6"/>
  <c r="D1577" i="6"/>
  <c r="B1577" i="6"/>
  <c r="D1576" i="6"/>
  <c r="B1576" i="6"/>
  <c r="D1575" i="6"/>
  <c r="B1575" i="6"/>
  <c r="D1574" i="6"/>
  <c r="B1574" i="6"/>
  <c r="D1573" i="6"/>
  <c r="B1573" i="6"/>
  <c r="D1572" i="6"/>
  <c r="B1572" i="6"/>
  <c r="D1571" i="6"/>
  <c r="B1571" i="6"/>
  <c r="D1570" i="6"/>
  <c r="B1570" i="6"/>
  <c r="D1569" i="6"/>
  <c r="B1569" i="6"/>
  <c r="D1568" i="6"/>
  <c r="B1568" i="6"/>
  <c r="D1567" i="6"/>
  <c r="B1567" i="6"/>
  <c r="D1566" i="6"/>
  <c r="B1566" i="6"/>
  <c r="D1565" i="6"/>
  <c r="B1565" i="6"/>
  <c r="D1564" i="6"/>
  <c r="B1564" i="6"/>
  <c r="D1563" i="6"/>
  <c r="B1563" i="6"/>
  <c r="D1562" i="6"/>
  <c r="B1562" i="6"/>
  <c r="D1561" i="6"/>
  <c r="B1561" i="6"/>
  <c r="D1560" i="6"/>
  <c r="B1560" i="6"/>
  <c r="D1559" i="6"/>
  <c r="B1559" i="6"/>
  <c r="D1558" i="6"/>
  <c r="B1558" i="6"/>
  <c r="D1557" i="6"/>
  <c r="B1557" i="6"/>
  <c r="D1556" i="6"/>
  <c r="B1556" i="6"/>
  <c r="D1555" i="6"/>
  <c r="B1555" i="6"/>
  <c r="D1554" i="6"/>
  <c r="B1554" i="6"/>
  <c r="D1553" i="6"/>
  <c r="B1553" i="6"/>
  <c r="D1552" i="6"/>
  <c r="B1552" i="6"/>
  <c r="D1551" i="6"/>
  <c r="B1551" i="6"/>
  <c r="D1550" i="6"/>
  <c r="B1550" i="6"/>
  <c r="D1549" i="6"/>
  <c r="B1549" i="6"/>
  <c r="D1548" i="6"/>
  <c r="B1548" i="6"/>
  <c r="D1547" i="6"/>
  <c r="B1547" i="6"/>
  <c r="D1546" i="6"/>
  <c r="B1546" i="6"/>
  <c r="D1545" i="6"/>
  <c r="B1545" i="6"/>
  <c r="D1544" i="6"/>
  <c r="B1544" i="6"/>
  <c r="D1543" i="6"/>
  <c r="B1543" i="6"/>
  <c r="D1542" i="6"/>
  <c r="B1542" i="6"/>
  <c r="D1541" i="6"/>
  <c r="B1541" i="6"/>
  <c r="D1540" i="6"/>
  <c r="B1540" i="6"/>
  <c r="D1539" i="6"/>
  <c r="B1539" i="6"/>
  <c r="D1538" i="6"/>
  <c r="B1538" i="6"/>
  <c r="D1537" i="6"/>
  <c r="B1537" i="6"/>
  <c r="D1536" i="6"/>
  <c r="B1536" i="6"/>
  <c r="D1535" i="6"/>
  <c r="B1535" i="6"/>
  <c r="D1534" i="6"/>
  <c r="B1534" i="6"/>
  <c r="D1533" i="6"/>
  <c r="B1533" i="6"/>
  <c r="D1532" i="6"/>
  <c r="B1532" i="6"/>
  <c r="D1531" i="6"/>
  <c r="B1531" i="6"/>
  <c r="D1530" i="6"/>
  <c r="B1530" i="6"/>
  <c r="D1529" i="6"/>
  <c r="B1529" i="6"/>
  <c r="D1528" i="6"/>
  <c r="B1528" i="6"/>
  <c r="D1527" i="6"/>
  <c r="B1527" i="6"/>
  <c r="D1526" i="6"/>
  <c r="B1526" i="6"/>
  <c r="D1525" i="6"/>
  <c r="B1525" i="6"/>
  <c r="D1524" i="6"/>
  <c r="B1524" i="6"/>
  <c r="D1523" i="6"/>
  <c r="B1523" i="6"/>
  <c r="D1522" i="6"/>
  <c r="B1522" i="6"/>
  <c r="D1521" i="6"/>
  <c r="B1521" i="6"/>
  <c r="D1520" i="6"/>
  <c r="B1520" i="6"/>
  <c r="D1519" i="6"/>
  <c r="B1519" i="6"/>
  <c r="D1518" i="6"/>
  <c r="B1518" i="6"/>
  <c r="D1517" i="6"/>
  <c r="B1517" i="6"/>
  <c r="D1516" i="6"/>
  <c r="B1516" i="6"/>
  <c r="D1515" i="6"/>
  <c r="B1515" i="6"/>
  <c r="D1514" i="6"/>
  <c r="B1514" i="6"/>
  <c r="D1513" i="6"/>
  <c r="B1513" i="6"/>
  <c r="D1512" i="6"/>
  <c r="B1512" i="6"/>
  <c r="D1511" i="6"/>
  <c r="B1511" i="6"/>
  <c r="D1510" i="6"/>
  <c r="B1510" i="6"/>
  <c r="D1509" i="6"/>
  <c r="B1509" i="6"/>
  <c r="D1508" i="6"/>
  <c r="B1508" i="6"/>
  <c r="D1507" i="6"/>
  <c r="B1507" i="6"/>
  <c r="D1506" i="6"/>
  <c r="B1506" i="6"/>
  <c r="D1505" i="6"/>
  <c r="B1505" i="6"/>
  <c r="D1504" i="6"/>
  <c r="B1504" i="6"/>
  <c r="D1503" i="6"/>
  <c r="B1503" i="6"/>
  <c r="D1502" i="6"/>
  <c r="B1502" i="6"/>
  <c r="D1501" i="6"/>
  <c r="B1501" i="6"/>
  <c r="D1500" i="6"/>
  <c r="B1500" i="6"/>
  <c r="D1499" i="6"/>
  <c r="B1499" i="6"/>
  <c r="D1498" i="6"/>
  <c r="B1498" i="6"/>
  <c r="D1497" i="6"/>
  <c r="B1497" i="6"/>
  <c r="D1496" i="6"/>
  <c r="B1496" i="6"/>
  <c r="D1495" i="6"/>
  <c r="B1495" i="6"/>
  <c r="D1494" i="6"/>
  <c r="B1494" i="6"/>
  <c r="D1493" i="6"/>
  <c r="B1493" i="6"/>
  <c r="D1492" i="6"/>
  <c r="B1492" i="6"/>
  <c r="D1491" i="6"/>
  <c r="B1491" i="6"/>
  <c r="D1490" i="6"/>
  <c r="B1490" i="6"/>
  <c r="D1489" i="6"/>
  <c r="B1489" i="6"/>
  <c r="D1488" i="6"/>
  <c r="B1488" i="6"/>
  <c r="D1487" i="6"/>
  <c r="B1487" i="6"/>
  <c r="D1486" i="6"/>
  <c r="B1486" i="6"/>
  <c r="D1485" i="6"/>
  <c r="B1485" i="6"/>
  <c r="D1484" i="6"/>
  <c r="B1484" i="6"/>
  <c r="D1483" i="6"/>
  <c r="B1483" i="6"/>
  <c r="D1482" i="6"/>
  <c r="B1482" i="6"/>
  <c r="D1481" i="6"/>
  <c r="B1481" i="6"/>
  <c r="D1480" i="6"/>
  <c r="B1480" i="6"/>
  <c r="D1479" i="6"/>
  <c r="B1479" i="6"/>
  <c r="D1478" i="6"/>
  <c r="B1478" i="6"/>
  <c r="D1477" i="6"/>
  <c r="B1477" i="6"/>
  <c r="D1476" i="6"/>
  <c r="B1476" i="6"/>
  <c r="D1475" i="6"/>
  <c r="B1475" i="6"/>
  <c r="D1474" i="6"/>
  <c r="B1474" i="6"/>
  <c r="D1473" i="6"/>
  <c r="B1473" i="6"/>
  <c r="D1472" i="6"/>
  <c r="B1472" i="6"/>
  <c r="D1471" i="6"/>
  <c r="B1471" i="6"/>
  <c r="D1470" i="6"/>
  <c r="B1470" i="6"/>
  <c r="D1469" i="6"/>
  <c r="B1469" i="6"/>
  <c r="D1468" i="6"/>
  <c r="B1468" i="6"/>
  <c r="D1467" i="6"/>
  <c r="B1467" i="6"/>
  <c r="D1466" i="6"/>
  <c r="B1466" i="6"/>
  <c r="D1465" i="6"/>
  <c r="B1465" i="6"/>
  <c r="D1464" i="6"/>
  <c r="B1464" i="6"/>
  <c r="D1463" i="6"/>
  <c r="B1463" i="6"/>
  <c r="D1462" i="6"/>
  <c r="B1462" i="6"/>
  <c r="D1461" i="6"/>
  <c r="B1461" i="6"/>
  <c r="D1460" i="6"/>
  <c r="B1460" i="6"/>
  <c r="D1459" i="6"/>
  <c r="B1459" i="6"/>
  <c r="D1458" i="6"/>
  <c r="B1458" i="6"/>
  <c r="D1457" i="6"/>
  <c r="B1457" i="6"/>
  <c r="D1456" i="6"/>
  <c r="B1456" i="6"/>
  <c r="D1455" i="6"/>
  <c r="B1455" i="6"/>
  <c r="D1454" i="6"/>
  <c r="B1454" i="6"/>
  <c r="D1453" i="6"/>
  <c r="B1453" i="6"/>
  <c r="D1452" i="6"/>
  <c r="B1452" i="6"/>
  <c r="D1451" i="6"/>
  <c r="B1451" i="6"/>
  <c r="D1450" i="6"/>
  <c r="B1450" i="6"/>
  <c r="D1449" i="6"/>
  <c r="B1449" i="6"/>
  <c r="D1448" i="6"/>
  <c r="B1448" i="6"/>
  <c r="D1447" i="6"/>
  <c r="B1447" i="6"/>
  <c r="D1446" i="6"/>
  <c r="B1446" i="6"/>
  <c r="D1445" i="6"/>
  <c r="B1445" i="6"/>
  <c r="D1444" i="6"/>
  <c r="B1444" i="6"/>
  <c r="D1443" i="6"/>
  <c r="B1443" i="6"/>
  <c r="D1442" i="6"/>
  <c r="B1442" i="6"/>
  <c r="D1441" i="6"/>
  <c r="B1441" i="6"/>
  <c r="D1440" i="6"/>
  <c r="B1440" i="6"/>
  <c r="D1439" i="6"/>
  <c r="B1439" i="6"/>
  <c r="D1438" i="6"/>
  <c r="B1438" i="6"/>
  <c r="D1437" i="6"/>
  <c r="B1437" i="6"/>
  <c r="D1436" i="6"/>
  <c r="B1436" i="6"/>
  <c r="D1435" i="6"/>
  <c r="B1435" i="6"/>
  <c r="D1434" i="6"/>
  <c r="B1434" i="6"/>
  <c r="D1433" i="6"/>
  <c r="B1433" i="6"/>
  <c r="D1432" i="6"/>
  <c r="B1432" i="6"/>
  <c r="D1431" i="6"/>
  <c r="B1431" i="6"/>
  <c r="D1430" i="6"/>
  <c r="B1430" i="6"/>
  <c r="D1429" i="6"/>
  <c r="B1429" i="6"/>
  <c r="D1428" i="6"/>
  <c r="B1428" i="6"/>
  <c r="D1427" i="6"/>
  <c r="B1427" i="6"/>
  <c r="D1426" i="6"/>
  <c r="B1426" i="6"/>
  <c r="D1425" i="6"/>
  <c r="B1425" i="6"/>
  <c r="D1424" i="6"/>
  <c r="B1424" i="6"/>
  <c r="D1423" i="6"/>
  <c r="B1423" i="6"/>
  <c r="D1422" i="6"/>
  <c r="B1422" i="6"/>
  <c r="D1421" i="6"/>
  <c r="B1421" i="6"/>
  <c r="D1420" i="6"/>
  <c r="B1420" i="6"/>
  <c r="D1419" i="6"/>
  <c r="B1419" i="6"/>
  <c r="D1418" i="6"/>
  <c r="B1418" i="6"/>
  <c r="D1417" i="6"/>
  <c r="B1417" i="6"/>
  <c r="D1416" i="6"/>
  <c r="B1416" i="6"/>
  <c r="D1415" i="6"/>
  <c r="B1415" i="6"/>
  <c r="D1414" i="6"/>
  <c r="B1414" i="6"/>
  <c r="D1413" i="6"/>
  <c r="B1413" i="6"/>
  <c r="D1412" i="6"/>
  <c r="B1412" i="6"/>
  <c r="D1411" i="6"/>
  <c r="B1411" i="6"/>
  <c r="D1410" i="6"/>
  <c r="B1410" i="6"/>
  <c r="D1409" i="6"/>
  <c r="B1409" i="6"/>
  <c r="D1408" i="6"/>
  <c r="B1408" i="6"/>
  <c r="D1407" i="6"/>
  <c r="B1407" i="6"/>
  <c r="D1406" i="6"/>
  <c r="B1406" i="6"/>
  <c r="D1405" i="6"/>
  <c r="B1405" i="6"/>
  <c r="D1404" i="6"/>
  <c r="B1404" i="6"/>
  <c r="D1403" i="6"/>
  <c r="B1403" i="6"/>
  <c r="D1402" i="6"/>
  <c r="B1402" i="6"/>
  <c r="D1401" i="6"/>
  <c r="B1401" i="6"/>
  <c r="D1400" i="6"/>
  <c r="B1400" i="6"/>
  <c r="D1399" i="6"/>
  <c r="B1399" i="6"/>
  <c r="D1398" i="6"/>
  <c r="B1398" i="6"/>
  <c r="D1397" i="6"/>
  <c r="B1397" i="6"/>
  <c r="D1396" i="6"/>
  <c r="B1396" i="6"/>
  <c r="D1395" i="6"/>
  <c r="B1395" i="6"/>
  <c r="D1394" i="6"/>
  <c r="B1394" i="6"/>
  <c r="D1393" i="6"/>
  <c r="B1393" i="6"/>
  <c r="D1392" i="6"/>
  <c r="B1392" i="6"/>
  <c r="D1391" i="6"/>
  <c r="B1391" i="6"/>
  <c r="D1390" i="6"/>
  <c r="B1390" i="6"/>
  <c r="D1389" i="6"/>
  <c r="B1389" i="6"/>
  <c r="D1388" i="6"/>
  <c r="B1388" i="6"/>
  <c r="D1387" i="6"/>
  <c r="B1387" i="6"/>
  <c r="D1386" i="6"/>
  <c r="B1386" i="6"/>
  <c r="D1385" i="6"/>
  <c r="B1385" i="6"/>
  <c r="D1384" i="6"/>
  <c r="B1384" i="6"/>
  <c r="D1383" i="6"/>
  <c r="B1383" i="6"/>
  <c r="D1382" i="6"/>
  <c r="B1382" i="6"/>
  <c r="D1381" i="6"/>
  <c r="B1381" i="6"/>
  <c r="D1380" i="6"/>
  <c r="B1380" i="6"/>
  <c r="D1379" i="6"/>
  <c r="B1379" i="6"/>
  <c r="D1378" i="6"/>
  <c r="B1378" i="6"/>
  <c r="D1377" i="6"/>
  <c r="B1377" i="6"/>
  <c r="D1376" i="6"/>
  <c r="B1376" i="6"/>
  <c r="D1375" i="6"/>
  <c r="B1375" i="6"/>
  <c r="D1374" i="6"/>
  <c r="B1374" i="6"/>
  <c r="D1373" i="6"/>
  <c r="B1373" i="6"/>
  <c r="D1372" i="6"/>
  <c r="B1372" i="6"/>
  <c r="D1371" i="6"/>
  <c r="B1371" i="6"/>
  <c r="D1370" i="6"/>
  <c r="B1370" i="6"/>
  <c r="D1369" i="6"/>
  <c r="B1369" i="6"/>
  <c r="D1368" i="6"/>
  <c r="B1368" i="6"/>
  <c r="D1367" i="6"/>
  <c r="B1367" i="6"/>
  <c r="D1366" i="6"/>
  <c r="B1366" i="6"/>
  <c r="D1365" i="6"/>
  <c r="B1365" i="6"/>
  <c r="D1364" i="6"/>
  <c r="B1364" i="6"/>
  <c r="D1363" i="6"/>
  <c r="B1363" i="6"/>
  <c r="D1362" i="6"/>
  <c r="B1362" i="6"/>
  <c r="D1361" i="6"/>
  <c r="B1361" i="6"/>
  <c r="D1360" i="6"/>
  <c r="B1360" i="6"/>
  <c r="D1359" i="6"/>
  <c r="B1359" i="6"/>
  <c r="D1358" i="6"/>
  <c r="B1358" i="6"/>
  <c r="D1357" i="6"/>
  <c r="B1357" i="6"/>
  <c r="D1356" i="6"/>
  <c r="B1356" i="6"/>
  <c r="D1355" i="6"/>
  <c r="B1355" i="6"/>
  <c r="D1354" i="6"/>
  <c r="B1354" i="6"/>
  <c r="D1353" i="6"/>
  <c r="B1353" i="6"/>
  <c r="D1352" i="6"/>
  <c r="B1352" i="6"/>
  <c r="D1351" i="6"/>
  <c r="B1351" i="6"/>
  <c r="D1350" i="6"/>
  <c r="B1350" i="6"/>
  <c r="D1349" i="6"/>
  <c r="B1349" i="6"/>
  <c r="D1348" i="6"/>
  <c r="B1348" i="6"/>
  <c r="D1347" i="6"/>
  <c r="B1347" i="6"/>
  <c r="D1346" i="6"/>
  <c r="B1346" i="6"/>
  <c r="D1345" i="6"/>
  <c r="B1345" i="6"/>
  <c r="D1344" i="6"/>
  <c r="B1344" i="6"/>
  <c r="D1343" i="6"/>
  <c r="B1343" i="6"/>
  <c r="D1342" i="6"/>
  <c r="B1342" i="6"/>
  <c r="D1341" i="6"/>
  <c r="B1341" i="6"/>
  <c r="D1340" i="6"/>
  <c r="B1340" i="6"/>
  <c r="D1339" i="6"/>
  <c r="B1339" i="6"/>
  <c r="D1338" i="6"/>
  <c r="B1338" i="6"/>
  <c r="D1337" i="6"/>
  <c r="B1337" i="6"/>
  <c r="D1336" i="6"/>
  <c r="B1336" i="6"/>
  <c r="D1335" i="6"/>
  <c r="B1335" i="6"/>
  <c r="D1334" i="6"/>
  <c r="B1334" i="6"/>
  <c r="D1333" i="6"/>
  <c r="B1333" i="6"/>
  <c r="D1332" i="6"/>
  <c r="B1332" i="6"/>
  <c r="D1331" i="6"/>
  <c r="B1331" i="6"/>
  <c r="D1330" i="6"/>
  <c r="B1330" i="6"/>
  <c r="D1329" i="6"/>
  <c r="B1329" i="6"/>
  <c r="D1328" i="6"/>
  <c r="B1328" i="6"/>
  <c r="D1327" i="6"/>
  <c r="B1327" i="6"/>
  <c r="D1326" i="6"/>
  <c r="B1326" i="6"/>
  <c r="D1325" i="6"/>
  <c r="B1325" i="6"/>
  <c r="D1324" i="6"/>
  <c r="B1324" i="6"/>
  <c r="D1323" i="6"/>
  <c r="B1323" i="6"/>
  <c r="D1322" i="6"/>
  <c r="B1322" i="6"/>
  <c r="D1321" i="6"/>
  <c r="B1321" i="6"/>
  <c r="D1320" i="6"/>
  <c r="B1320" i="6"/>
  <c r="D1319" i="6"/>
  <c r="B1319" i="6"/>
  <c r="D1318" i="6"/>
  <c r="B1318" i="6"/>
  <c r="D1317" i="6"/>
  <c r="B1317" i="6"/>
  <c r="D1316" i="6"/>
  <c r="B1316" i="6"/>
  <c r="D1315" i="6"/>
  <c r="B1315" i="6"/>
  <c r="D1314" i="6"/>
  <c r="B1314" i="6"/>
  <c r="D1313" i="6"/>
  <c r="B1313" i="6"/>
  <c r="D1312" i="6"/>
  <c r="B1312" i="6"/>
  <c r="D1311" i="6"/>
  <c r="B1311" i="6"/>
  <c r="D1310" i="6"/>
  <c r="B1310" i="6"/>
  <c r="D1309" i="6"/>
  <c r="B1309" i="6"/>
  <c r="D1308" i="6"/>
  <c r="B1308" i="6"/>
  <c r="D1307" i="6"/>
  <c r="B1307" i="6"/>
  <c r="D1306" i="6"/>
  <c r="B1306" i="6"/>
  <c r="D1305" i="6"/>
  <c r="B1305" i="6"/>
  <c r="D1304" i="6"/>
  <c r="B1304" i="6"/>
  <c r="D1303" i="6"/>
  <c r="B1303" i="6"/>
  <c r="D1302" i="6"/>
  <c r="B1302" i="6"/>
  <c r="D1301" i="6"/>
  <c r="B1301" i="6"/>
  <c r="D1300" i="6"/>
  <c r="B1300" i="6"/>
  <c r="D1299" i="6"/>
  <c r="B1299" i="6"/>
  <c r="D1298" i="6"/>
  <c r="B1298" i="6"/>
  <c r="D1297" i="6"/>
  <c r="B1297" i="6"/>
  <c r="D1296" i="6"/>
  <c r="B1296" i="6"/>
  <c r="D1295" i="6"/>
  <c r="B1295" i="6"/>
  <c r="D1294" i="6"/>
  <c r="B1294" i="6"/>
  <c r="D1293" i="6"/>
  <c r="B1293" i="6"/>
  <c r="D1292" i="6"/>
  <c r="B1292" i="6"/>
  <c r="D1291" i="6"/>
  <c r="B1291" i="6"/>
  <c r="D1290" i="6"/>
  <c r="B1290" i="6"/>
  <c r="D1289" i="6"/>
  <c r="B1289" i="6"/>
  <c r="D1288" i="6"/>
  <c r="B1288" i="6"/>
  <c r="D1287" i="6"/>
  <c r="B1287" i="6"/>
  <c r="D1286" i="6"/>
  <c r="B1286" i="6"/>
  <c r="D1285" i="6"/>
  <c r="B1285" i="6"/>
  <c r="D1284" i="6"/>
  <c r="B1284" i="6"/>
  <c r="D1283" i="6"/>
  <c r="B1283" i="6"/>
  <c r="D1282" i="6"/>
  <c r="B1282" i="6"/>
  <c r="D1281" i="6"/>
  <c r="B1281" i="6"/>
  <c r="D1280" i="6"/>
  <c r="B1280" i="6"/>
  <c r="D1279" i="6"/>
  <c r="B1279" i="6"/>
  <c r="D1278" i="6"/>
  <c r="B1278" i="6"/>
  <c r="D1277" i="6"/>
  <c r="B1277" i="6"/>
  <c r="D1276" i="6"/>
  <c r="B1276" i="6"/>
  <c r="D1275" i="6"/>
  <c r="B1275" i="6"/>
  <c r="D1274" i="6"/>
  <c r="B1274" i="6"/>
  <c r="D1273" i="6"/>
  <c r="B1273" i="6"/>
  <c r="D1272" i="6"/>
  <c r="B1272" i="6"/>
  <c r="D1271" i="6"/>
  <c r="B1271" i="6"/>
  <c r="D1270" i="6"/>
  <c r="B1270" i="6"/>
  <c r="D1269" i="6"/>
  <c r="B1269" i="6"/>
  <c r="D1268" i="6"/>
  <c r="B1268" i="6"/>
  <c r="D1267" i="6"/>
  <c r="B1267" i="6"/>
  <c r="D1266" i="6"/>
  <c r="B1266" i="6"/>
  <c r="D1265" i="6"/>
  <c r="B1265" i="6"/>
  <c r="D1264" i="6"/>
  <c r="B1264" i="6"/>
  <c r="D1263" i="6"/>
  <c r="B1263" i="6"/>
  <c r="D1262" i="6"/>
  <c r="B1262" i="6"/>
  <c r="D1261" i="6"/>
  <c r="B1261" i="6"/>
  <c r="D1260" i="6"/>
  <c r="B1260" i="6"/>
  <c r="D1259" i="6"/>
  <c r="B1259" i="6"/>
  <c r="D1258" i="6"/>
  <c r="B1258" i="6"/>
  <c r="D1257" i="6"/>
  <c r="B1257" i="6"/>
  <c r="D1256" i="6"/>
  <c r="B1256" i="6"/>
  <c r="D1255" i="6"/>
  <c r="B1255" i="6"/>
  <c r="D1254" i="6"/>
  <c r="B1254" i="6"/>
  <c r="D1253" i="6"/>
  <c r="B1253" i="6"/>
  <c r="D1252" i="6"/>
  <c r="B1252" i="6"/>
  <c r="D1251" i="6"/>
  <c r="B1251" i="6"/>
  <c r="D1250" i="6"/>
  <c r="B1250" i="6"/>
  <c r="D1249" i="6"/>
  <c r="B1249" i="6"/>
  <c r="D1248" i="6"/>
  <c r="B1248" i="6"/>
  <c r="D1247" i="6"/>
  <c r="B1247" i="6"/>
  <c r="D1246" i="6"/>
  <c r="B1246" i="6"/>
  <c r="D1245" i="6"/>
  <c r="B1245" i="6"/>
  <c r="D1244" i="6"/>
  <c r="B1244" i="6"/>
  <c r="D1243" i="6"/>
  <c r="B1243" i="6"/>
  <c r="D1242" i="6"/>
  <c r="B1242" i="6"/>
  <c r="D1241" i="6"/>
  <c r="B1241" i="6"/>
  <c r="D1240" i="6"/>
  <c r="B1240" i="6"/>
  <c r="D1239" i="6"/>
  <c r="B1239" i="6"/>
  <c r="D1238" i="6"/>
  <c r="B1238" i="6"/>
  <c r="D1237" i="6"/>
  <c r="B1237" i="6"/>
  <c r="D1236" i="6"/>
  <c r="B1236" i="6"/>
  <c r="D1235" i="6"/>
  <c r="B1235" i="6"/>
  <c r="D1234" i="6"/>
  <c r="B1234" i="6"/>
  <c r="D1233" i="6"/>
  <c r="B1233" i="6"/>
  <c r="D1232" i="6"/>
  <c r="B1232" i="6"/>
  <c r="D1231" i="6"/>
  <c r="B1231" i="6"/>
  <c r="D1230" i="6"/>
  <c r="B1230" i="6"/>
  <c r="D1229" i="6"/>
  <c r="B1229" i="6"/>
  <c r="D1228" i="6"/>
  <c r="B1228" i="6"/>
  <c r="D1227" i="6"/>
  <c r="B1227" i="6"/>
  <c r="D1226" i="6"/>
  <c r="B1226" i="6"/>
  <c r="D1225" i="6"/>
  <c r="B1225" i="6"/>
  <c r="D1224" i="6"/>
  <c r="B1224" i="6"/>
  <c r="D1223" i="6"/>
  <c r="B1223" i="6"/>
  <c r="D1222" i="6"/>
  <c r="B1222" i="6"/>
  <c r="D1221" i="6"/>
  <c r="B1221" i="6"/>
  <c r="D1220" i="6"/>
  <c r="B1220" i="6"/>
  <c r="D1219" i="6"/>
  <c r="B1219" i="6"/>
  <c r="D1218" i="6"/>
  <c r="B1218" i="6"/>
  <c r="D1217" i="6"/>
  <c r="B1217" i="6"/>
  <c r="D1216" i="6"/>
  <c r="B1216" i="6"/>
  <c r="D1215" i="6"/>
  <c r="B1215" i="6"/>
  <c r="D1214" i="6"/>
  <c r="B1214" i="6"/>
  <c r="D1213" i="6"/>
  <c r="B1213" i="6"/>
  <c r="D1212" i="6"/>
  <c r="B1212" i="6"/>
  <c r="D1211" i="6"/>
  <c r="B1211" i="6"/>
  <c r="D1210" i="6"/>
  <c r="B1210" i="6"/>
  <c r="D1209" i="6"/>
  <c r="B1209" i="6"/>
  <c r="D1208" i="6"/>
  <c r="B1208" i="6"/>
  <c r="D1207" i="6"/>
  <c r="B1207" i="6"/>
  <c r="D1206" i="6"/>
  <c r="B1206" i="6"/>
  <c r="D1205" i="6"/>
  <c r="B1205" i="6"/>
  <c r="D1204" i="6"/>
  <c r="B1204" i="6"/>
  <c r="D1203" i="6"/>
  <c r="B1203" i="6"/>
  <c r="D1202" i="6"/>
  <c r="B1202" i="6"/>
  <c r="D1201" i="6"/>
  <c r="B1201" i="6"/>
  <c r="D1200" i="6"/>
  <c r="B1200" i="6"/>
  <c r="D1199" i="6"/>
  <c r="B1199" i="6"/>
  <c r="D1198" i="6"/>
  <c r="B1198" i="6"/>
  <c r="D1197" i="6"/>
  <c r="B1197" i="6"/>
  <c r="D1196" i="6"/>
  <c r="B1196" i="6"/>
  <c r="D1195" i="6"/>
  <c r="B1195" i="6"/>
  <c r="D1194" i="6"/>
  <c r="B1194" i="6"/>
  <c r="D1193" i="6"/>
  <c r="B1193" i="6"/>
  <c r="D1192" i="6"/>
  <c r="B1192" i="6"/>
  <c r="D1191" i="6"/>
  <c r="B1191" i="6"/>
  <c r="D1190" i="6"/>
  <c r="B1190" i="6"/>
  <c r="D1189" i="6"/>
  <c r="B1189" i="6"/>
  <c r="D1188" i="6"/>
  <c r="B1188" i="6"/>
  <c r="D1187" i="6"/>
  <c r="B1187" i="6"/>
  <c r="D1186" i="6"/>
  <c r="B1186" i="6"/>
  <c r="D1185" i="6"/>
  <c r="B1185" i="6"/>
  <c r="D1184" i="6"/>
  <c r="B1184" i="6"/>
  <c r="D1183" i="6"/>
  <c r="B1183" i="6"/>
  <c r="D1182" i="6"/>
  <c r="B1182" i="6"/>
  <c r="D1181" i="6"/>
  <c r="B1181" i="6"/>
  <c r="D1180" i="6"/>
  <c r="B1180" i="6"/>
  <c r="D1179" i="6"/>
  <c r="B1179" i="6"/>
  <c r="D1178" i="6"/>
  <c r="B1178" i="6"/>
  <c r="D1177" i="6"/>
  <c r="B1177" i="6"/>
  <c r="D1176" i="6"/>
  <c r="B1176" i="6"/>
  <c r="D1175" i="6"/>
  <c r="B1175" i="6"/>
  <c r="D1174" i="6"/>
  <c r="B1174" i="6"/>
  <c r="D1173" i="6"/>
  <c r="B1173" i="6"/>
  <c r="D1172" i="6"/>
  <c r="B1172" i="6"/>
  <c r="D1171" i="6"/>
  <c r="B1171" i="6"/>
  <c r="D1170" i="6"/>
  <c r="B1170" i="6"/>
  <c r="D1169" i="6"/>
  <c r="B1169" i="6"/>
  <c r="D1168" i="6"/>
  <c r="B1168" i="6"/>
  <c r="D1167" i="6"/>
  <c r="B1167" i="6"/>
  <c r="D1166" i="6"/>
  <c r="B1166" i="6"/>
  <c r="D1165" i="6"/>
  <c r="B1165" i="6"/>
  <c r="D1164" i="6"/>
  <c r="B1164" i="6"/>
  <c r="D1163" i="6"/>
  <c r="B1163" i="6"/>
  <c r="D1162" i="6"/>
  <c r="B1162" i="6"/>
  <c r="D1161" i="6"/>
  <c r="B1161" i="6"/>
  <c r="D1160" i="6"/>
  <c r="B1160" i="6"/>
  <c r="D1159" i="6"/>
  <c r="B1159" i="6"/>
  <c r="D1158" i="6"/>
  <c r="B1158" i="6"/>
  <c r="D1157" i="6"/>
  <c r="B1157" i="6"/>
  <c r="D1156" i="6"/>
  <c r="B1156" i="6"/>
  <c r="D1155" i="6"/>
  <c r="B1155" i="6"/>
  <c r="D1154" i="6"/>
  <c r="B1154" i="6"/>
  <c r="D1153" i="6"/>
  <c r="B1153" i="6"/>
  <c r="D1152" i="6"/>
  <c r="B1152" i="6"/>
  <c r="D1151" i="6"/>
  <c r="B1151" i="6"/>
  <c r="D1150" i="6"/>
  <c r="B1150" i="6"/>
  <c r="D1149" i="6"/>
  <c r="B1149" i="6"/>
  <c r="D1148" i="6"/>
  <c r="B1148" i="6"/>
  <c r="D1147" i="6"/>
  <c r="B1147" i="6"/>
  <c r="D1146" i="6"/>
  <c r="B1146" i="6"/>
  <c r="D1145" i="6"/>
  <c r="B1145" i="6"/>
  <c r="D1144" i="6"/>
  <c r="B1144" i="6"/>
  <c r="D1143" i="6"/>
  <c r="B1143" i="6"/>
  <c r="D1142" i="6"/>
  <c r="B1142" i="6"/>
  <c r="D1141" i="6"/>
  <c r="B1141" i="6"/>
  <c r="D1140" i="6"/>
  <c r="B1140" i="6"/>
  <c r="D1139" i="6"/>
  <c r="B1139" i="6"/>
  <c r="D1138" i="6"/>
  <c r="B1138" i="6"/>
  <c r="D1137" i="6"/>
  <c r="B1137" i="6"/>
  <c r="D1136" i="6"/>
  <c r="B1136" i="6"/>
  <c r="D1135" i="6"/>
  <c r="B1135" i="6"/>
  <c r="D1134" i="6"/>
  <c r="B1134" i="6"/>
  <c r="D1133" i="6"/>
  <c r="B1133" i="6"/>
  <c r="D1132" i="6"/>
  <c r="B1132" i="6"/>
  <c r="D1131" i="6"/>
  <c r="B1131" i="6"/>
  <c r="D1130" i="6"/>
  <c r="B1130" i="6"/>
  <c r="D1129" i="6"/>
  <c r="B1129" i="6"/>
  <c r="D1128" i="6"/>
  <c r="B1128" i="6"/>
  <c r="D1127" i="6"/>
  <c r="B1127" i="6"/>
  <c r="D1126" i="6"/>
  <c r="B1126" i="6"/>
  <c r="D1125" i="6"/>
  <c r="B1125" i="6"/>
  <c r="D1124" i="6"/>
  <c r="B1124" i="6"/>
  <c r="D1123" i="6"/>
  <c r="B1123" i="6"/>
  <c r="D1122" i="6"/>
  <c r="B1122" i="6"/>
  <c r="D1121" i="6"/>
  <c r="B1121" i="6"/>
  <c r="D1120" i="6"/>
  <c r="B1120" i="6"/>
  <c r="D1119" i="6"/>
  <c r="B1119" i="6"/>
  <c r="D1118" i="6"/>
  <c r="B1118" i="6"/>
  <c r="D1117" i="6"/>
  <c r="B1117" i="6"/>
  <c r="D1116" i="6"/>
  <c r="B1116" i="6"/>
  <c r="D1115" i="6"/>
  <c r="B1115" i="6"/>
  <c r="D1114" i="6"/>
  <c r="B1114" i="6"/>
  <c r="D1113" i="6"/>
  <c r="B1113" i="6"/>
  <c r="D1112" i="6"/>
  <c r="B1112" i="6"/>
  <c r="D1111" i="6"/>
  <c r="B1111" i="6"/>
  <c r="D1110" i="6"/>
  <c r="B1110" i="6"/>
  <c r="D1109" i="6"/>
  <c r="B1109" i="6"/>
  <c r="D1108" i="6"/>
  <c r="B1108" i="6"/>
  <c r="D1107" i="6"/>
  <c r="B1107" i="6"/>
  <c r="D1106" i="6"/>
  <c r="B1106" i="6"/>
  <c r="D1105" i="6"/>
  <c r="B1105" i="6"/>
  <c r="D1104" i="6"/>
  <c r="B1104" i="6"/>
  <c r="D1103" i="6"/>
  <c r="B1103" i="6"/>
  <c r="D1102" i="6"/>
  <c r="B1102" i="6"/>
  <c r="D1101" i="6"/>
  <c r="B1101" i="6"/>
  <c r="D1100" i="6"/>
  <c r="B1100" i="6"/>
  <c r="D1099" i="6"/>
  <c r="B1099" i="6"/>
  <c r="D1098" i="6"/>
  <c r="B1098" i="6"/>
  <c r="D1097" i="6"/>
  <c r="B1097" i="6"/>
  <c r="D1096" i="6"/>
  <c r="B1096" i="6"/>
  <c r="D1095" i="6"/>
  <c r="B1095" i="6"/>
  <c r="D1094" i="6"/>
  <c r="B1094" i="6"/>
  <c r="D1093" i="6"/>
  <c r="B1093" i="6"/>
  <c r="D1092" i="6"/>
  <c r="B1092" i="6"/>
  <c r="D1091" i="6"/>
  <c r="B1091" i="6"/>
  <c r="D1090" i="6"/>
  <c r="B1090" i="6"/>
  <c r="D1089" i="6"/>
  <c r="B1089" i="6"/>
  <c r="D1088" i="6"/>
  <c r="B1088" i="6"/>
  <c r="D1087" i="6"/>
  <c r="B1087" i="6"/>
  <c r="D1086" i="6"/>
  <c r="B1086" i="6"/>
  <c r="D1085" i="6"/>
  <c r="B1085" i="6"/>
  <c r="D1084" i="6"/>
  <c r="B1084" i="6"/>
  <c r="D1083" i="6"/>
  <c r="B1083" i="6"/>
  <c r="D1082" i="6"/>
  <c r="B1082" i="6"/>
  <c r="D1081" i="6"/>
  <c r="B1081" i="6"/>
  <c r="D1080" i="6"/>
  <c r="B1080" i="6"/>
  <c r="D1079" i="6"/>
  <c r="B1079" i="6"/>
  <c r="D1078" i="6"/>
  <c r="B1078" i="6"/>
  <c r="D1077" i="6"/>
  <c r="B1077" i="6"/>
  <c r="D1076" i="6"/>
  <c r="B1076" i="6"/>
  <c r="D1075" i="6"/>
  <c r="B1075" i="6"/>
  <c r="D1074" i="6"/>
  <c r="B1074" i="6"/>
  <c r="D1073" i="6"/>
  <c r="B1073" i="6"/>
  <c r="D1072" i="6"/>
  <c r="B1072" i="6"/>
  <c r="D1071" i="6"/>
  <c r="B1071" i="6"/>
  <c r="D1070" i="6"/>
  <c r="B1070" i="6"/>
  <c r="D1069" i="6"/>
  <c r="B1069" i="6"/>
  <c r="D1068" i="6"/>
  <c r="B1068" i="6"/>
  <c r="D1067" i="6"/>
  <c r="B1067" i="6"/>
  <c r="D1066" i="6"/>
  <c r="B1066" i="6"/>
  <c r="D1065" i="6"/>
  <c r="B1065" i="6"/>
  <c r="D1064" i="6"/>
  <c r="B1064" i="6"/>
  <c r="D1063" i="6"/>
  <c r="B1063" i="6"/>
  <c r="D1062" i="6"/>
  <c r="B1062" i="6"/>
  <c r="D1061" i="6"/>
  <c r="B1061" i="6"/>
  <c r="D1060" i="6"/>
  <c r="B1060" i="6"/>
  <c r="D1059" i="6"/>
  <c r="B1059" i="6"/>
  <c r="D1058" i="6"/>
  <c r="B1058" i="6"/>
  <c r="D1057" i="6"/>
  <c r="B1057" i="6"/>
  <c r="D1056" i="6"/>
  <c r="B1056" i="6"/>
  <c r="D1055" i="6"/>
  <c r="B1055" i="6"/>
  <c r="D1054" i="6"/>
  <c r="B1054" i="6"/>
  <c r="D1053" i="6"/>
  <c r="B1053" i="6"/>
  <c r="D1052" i="6"/>
  <c r="B1052" i="6"/>
  <c r="D1051" i="6"/>
  <c r="B1051" i="6"/>
  <c r="D1050" i="6"/>
  <c r="B1050" i="6"/>
  <c r="D1049" i="6"/>
  <c r="B1049" i="6"/>
  <c r="D1048" i="6"/>
  <c r="B1048" i="6"/>
  <c r="D1047" i="6"/>
  <c r="B1047" i="6"/>
  <c r="D1046" i="6"/>
  <c r="B1046" i="6"/>
  <c r="D1045" i="6"/>
  <c r="B1045" i="6"/>
  <c r="D1044" i="6"/>
  <c r="B1044" i="6"/>
  <c r="D1043" i="6"/>
  <c r="B1043" i="6"/>
  <c r="D1042" i="6"/>
  <c r="B1042" i="6"/>
  <c r="D1041" i="6"/>
  <c r="B1041" i="6"/>
  <c r="D1040" i="6"/>
  <c r="B1040" i="6"/>
  <c r="D1039" i="6"/>
  <c r="B1039" i="6"/>
  <c r="D1038" i="6"/>
  <c r="B1038" i="6"/>
  <c r="D1037" i="6"/>
  <c r="B1037" i="6"/>
  <c r="D1036" i="6"/>
  <c r="B1036" i="6"/>
  <c r="D1035" i="6"/>
  <c r="B1035" i="6"/>
  <c r="D1034" i="6"/>
  <c r="B1034" i="6"/>
  <c r="D1033" i="6"/>
  <c r="B1033" i="6"/>
  <c r="D1032" i="6"/>
  <c r="B1032" i="6"/>
  <c r="D1031" i="6"/>
  <c r="B1031" i="6"/>
  <c r="D1030" i="6"/>
  <c r="B1030" i="6"/>
  <c r="D1029" i="6"/>
  <c r="B1029" i="6"/>
  <c r="D1028" i="6"/>
  <c r="B1028" i="6"/>
  <c r="D1027" i="6"/>
  <c r="B1027" i="6"/>
  <c r="D1026" i="6"/>
  <c r="B1026" i="6"/>
  <c r="D1025" i="6"/>
  <c r="B1025" i="6"/>
  <c r="D1024" i="6"/>
  <c r="B1024" i="6"/>
  <c r="D1023" i="6"/>
  <c r="B1023" i="6"/>
  <c r="D1022" i="6"/>
  <c r="B1022" i="6"/>
  <c r="D1021" i="6"/>
  <c r="B1021" i="6"/>
  <c r="D1020" i="6"/>
  <c r="B1020" i="6"/>
  <c r="D1019" i="6"/>
  <c r="B1019" i="6"/>
  <c r="D1018" i="6"/>
  <c r="B1018" i="6"/>
  <c r="D1017" i="6"/>
  <c r="B1017" i="6"/>
  <c r="D1016" i="6"/>
  <c r="B1016" i="6"/>
  <c r="D1015" i="6"/>
  <c r="B1015" i="6"/>
  <c r="D1014" i="6"/>
  <c r="B1014" i="6"/>
  <c r="D1013" i="6"/>
  <c r="B1013" i="6"/>
  <c r="D1012" i="6"/>
  <c r="B1012" i="6"/>
  <c r="D1011" i="6"/>
  <c r="B1011" i="6"/>
  <c r="D1010" i="6"/>
  <c r="B1010" i="6"/>
  <c r="D1009" i="6"/>
  <c r="B1009" i="6"/>
  <c r="D1008" i="6"/>
  <c r="B1008" i="6"/>
  <c r="D1007" i="6"/>
  <c r="B1007" i="6"/>
  <c r="D1006" i="6"/>
  <c r="B1006" i="6"/>
  <c r="D1005" i="6"/>
  <c r="B1005" i="6"/>
  <c r="D1004" i="6"/>
  <c r="B1004" i="6"/>
  <c r="D1003" i="6"/>
  <c r="B1003" i="6"/>
  <c r="D1002" i="6"/>
  <c r="B1002" i="6"/>
  <c r="D1001" i="6"/>
  <c r="B1001" i="6"/>
  <c r="D1000" i="6"/>
  <c r="B1000" i="6"/>
  <c r="D999" i="6"/>
  <c r="B999" i="6"/>
  <c r="D998" i="6"/>
  <c r="B998" i="6"/>
  <c r="D997" i="6"/>
  <c r="B997" i="6"/>
  <c r="D996" i="6"/>
  <c r="B996" i="6"/>
  <c r="D995" i="6"/>
  <c r="B995" i="6"/>
  <c r="D994" i="6"/>
  <c r="B994" i="6"/>
  <c r="D993" i="6"/>
  <c r="B993" i="6"/>
  <c r="D992" i="6"/>
  <c r="B992" i="6"/>
  <c r="D991" i="6"/>
  <c r="B991" i="6"/>
  <c r="D990" i="6"/>
  <c r="B990" i="6"/>
  <c r="D989" i="6"/>
  <c r="B989" i="6"/>
  <c r="D988" i="6"/>
  <c r="B988" i="6"/>
  <c r="D987" i="6"/>
  <c r="B987" i="6"/>
  <c r="D986" i="6"/>
  <c r="B986" i="6"/>
  <c r="D985" i="6"/>
  <c r="B985" i="6"/>
  <c r="D984" i="6"/>
  <c r="B984" i="6"/>
  <c r="D983" i="6"/>
  <c r="B983" i="6"/>
  <c r="D982" i="6"/>
  <c r="B982" i="6"/>
  <c r="D981" i="6"/>
  <c r="B981" i="6"/>
  <c r="D980" i="6"/>
  <c r="B980" i="6"/>
  <c r="D979" i="6"/>
  <c r="B979" i="6"/>
  <c r="D978" i="6"/>
  <c r="B978" i="6"/>
  <c r="D977" i="6"/>
  <c r="B977" i="6"/>
  <c r="D976" i="6"/>
  <c r="B976" i="6"/>
  <c r="D975" i="6"/>
  <c r="B975" i="6"/>
  <c r="D974" i="6"/>
  <c r="B974" i="6"/>
  <c r="D973" i="6"/>
  <c r="B973" i="6"/>
  <c r="D972" i="6"/>
  <c r="B972" i="6"/>
  <c r="D971" i="6"/>
  <c r="B971" i="6"/>
  <c r="D970" i="6"/>
  <c r="B970" i="6"/>
  <c r="D969" i="6"/>
  <c r="B969" i="6"/>
  <c r="D968" i="6"/>
  <c r="B968" i="6"/>
  <c r="D967" i="6"/>
  <c r="B967" i="6"/>
  <c r="D966" i="6"/>
  <c r="B966" i="6"/>
  <c r="D965" i="6"/>
  <c r="B965" i="6"/>
  <c r="D964" i="6"/>
  <c r="B964" i="6"/>
  <c r="D963" i="6"/>
  <c r="B963" i="6"/>
  <c r="D962" i="6"/>
  <c r="B962" i="6"/>
  <c r="D961" i="6"/>
  <c r="B961" i="6"/>
  <c r="D960" i="6"/>
  <c r="B960" i="6"/>
  <c r="D959" i="6"/>
  <c r="B959" i="6"/>
  <c r="D958" i="6"/>
  <c r="B958" i="6"/>
  <c r="D957" i="6"/>
  <c r="B957" i="6"/>
  <c r="D956" i="6"/>
  <c r="B956" i="6"/>
  <c r="D955" i="6"/>
  <c r="B955" i="6"/>
  <c r="D954" i="6"/>
  <c r="B954" i="6"/>
  <c r="D953" i="6"/>
  <c r="B953" i="6"/>
  <c r="D952" i="6"/>
  <c r="B952" i="6"/>
  <c r="D951" i="6"/>
  <c r="B951" i="6"/>
  <c r="D950" i="6"/>
  <c r="B950" i="6"/>
  <c r="D949" i="6"/>
  <c r="B949" i="6"/>
  <c r="D948" i="6"/>
  <c r="B948" i="6"/>
  <c r="D947" i="6"/>
  <c r="B947" i="6"/>
  <c r="D946" i="6"/>
  <c r="B946" i="6"/>
  <c r="D945" i="6"/>
  <c r="B945" i="6"/>
  <c r="D944" i="6"/>
  <c r="B944" i="6"/>
  <c r="D943" i="6"/>
  <c r="B943" i="6"/>
  <c r="D942" i="6"/>
  <c r="B942" i="6"/>
  <c r="D941" i="6"/>
  <c r="B941" i="6"/>
  <c r="D940" i="6"/>
  <c r="B940" i="6"/>
  <c r="D939" i="6"/>
  <c r="B939" i="6"/>
  <c r="D938" i="6"/>
  <c r="B938" i="6"/>
  <c r="D937" i="6"/>
  <c r="B937" i="6"/>
  <c r="D936" i="6"/>
  <c r="B936" i="6"/>
  <c r="D935" i="6"/>
  <c r="B935" i="6"/>
  <c r="D934" i="6"/>
  <c r="B934" i="6"/>
  <c r="D933" i="6"/>
  <c r="B933" i="6"/>
  <c r="D932" i="6"/>
  <c r="B932" i="6"/>
  <c r="D931" i="6"/>
  <c r="B931" i="6"/>
  <c r="D930" i="6"/>
  <c r="B930" i="6"/>
  <c r="D929" i="6"/>
  <c r="B929" i="6"/>
  <c r="D928" i="6"/>
  <c r="B928" i="6"/>
  <c r="D927" i="6"/>
  <c r="B927" i="6"/>
  <c r="D926" i="6"/>
  <c r="B926" i="6"/>
  <c r="D925" i="6"/>
  <c r="B925" i="6"/>
  <c r="D924" i="6"/>
  <c r="B924" i="6"/>
  <c r="D923" i="6"/>
  <c r="B923" i="6"/>
  <c r="D922" i="6"/>
  <c r="B922" i="6"/>
  <c r="D921" i="6"/>
  <c r="B921" i="6"/>
  <c r="D920" i="6"/>
  <c r="B920" i="6"/>
  <c r="D919" i="6"/>
  <c r="B919" i="6"/>
  <c r="D918" i="6"/>
  <c r="B918" i="6"/>
  <c r="D917" i="6"/>
  <c r="B917" i="6"/>
  <c r="D916" i="6"/>
  <c r="B916" i="6"/>
  <c r="D915" i="6"/>
  <c r="B915" i="6"/>
  <c r="D914" i="6"/>
  <c r="B914" i="6"/>
  <c r="D913" i="6"/>
  <c r="B913" i="6"/>
  <c r="D912" i="6"/>
  <c r="B912" i="6"/>
  <c r="D911" i="6"/>
  <c r="B911" i="6"/>
  <c r="D910" i="6"/>
  <c r="B910" i="6"/>
  <c r="D909" i="6"/>
  <c r="B909" i="6"/>
  <c r="D908" i="6"/>
  <c r="B908" i="6"/>
  <c r="D907" i="6"/>
  <c r="B907" i="6"/>
  <c r="D906" i="6"/>
  <c r="B906" i="6"/>
  <c r="D905" i="6"/>
  <c r="B905" i="6"/>
  <c r="D904" i="6"/>
  <c r="B904" i="6"/>
  <c r="D903" i="6"/>
  <c r="B903" i="6"/>
  <c r="D902" i="6"/>
  <c r="B902" i="6"/>
  <c r="D901" i="6"/>
  <c r="B901" i="6"/>
  <c r="D900" i="6"/>
  <c r="B900" i="6"/>
  <c r="D899" i="6"/>
  <c r="B899" i="6"/>
  <c r="D898" i="6"/>
  <c r="B898" i="6"/>
  <c r="D897" i="6"/>
  <c r="B897" i="6"/>
  <c r="D896" i="6"/>
  <c r="B896" i="6"/>
  <c r="D895" i="6"/>
  <c r="B895" i="6"/>
  <c r="D894" i="6"/>
  <c r="B894" i="6"/>
  <c r="D893" i="6"/>
  <c r="B893" i="6"/>
  <c r="D892" i="6"/>
  <c r="B892" i="6"/>
  <c r="D891" i="6"/>
  <c r="B891" i="6"/>
  <c r="D890" i="6"/>
  <c r="B890" i="6"/>
  <c r="D889" i="6"/>
  <c r="B889" i="6"/>
  <c r="D888" i="6"/>
  <c r="B888" i="6"/>
  <c r="D887" i="6"/>
  <c r="B887" i="6"/>
  <c r="D886" i="6"/>
  <c r="B886" i="6"/>
  <c r="D885" i="6"/>
  <c r="B885" i="6"/>
  <c r="D884" i="6"/>
  <c r="B884" i="6"/>
  <c r="D883" i="6"/>
  <c r="B883" i="6"/>
  <c r="D882" i="6"/>
  <c r="B882" i="6"/>
  <c r="D881" i="6"/>
  <c r="B881" i="6"/>
  <c r="D880" i="6"/>
  <c r="B880" i="6"/>
  <c r="D879" i="6"/>
  <c r="B879" i="6"/>
  <c r="D878" i="6"/>
  <c r="B878" i="6"/>
  <c r="D877" i="6"/>
  <c r="B877" i="6"/>
  <c r="D876" i="6"/>
  <c r="B876" i="6"/>
  <c r="D875" i="6"/>
  <c r="B875" i="6"/>
  <c r="D874" i="6"/>
  <c r="B874" i="6"/>
  <c r="D873" i="6"/>
  <c r="B873" i="6"/>
  <c r="D872" i="6"/>
  <c r="B872" i="6"/>
  <c r="D871" i="6"/>
  <c r="B871" i="6"/>
  <c r="D870" i="6"/>
  <c r="B870" i="6"/>
  <c r="D869" i="6"/>
  <c r="B869" i="6"/>
  <c r="D868" i="6"/>
  <c r="B868" i="6"/>
  <c r="D867" i="6"/>
  <c r="B867" i="6"/>
  <c r="D866" i="6"/>
  <c r="B866" i="6"/>
  <c r="D865" i="6"/>
  <c r="B865" i="6"/>
  <c r="D864" i="6"/>
  <c r="B864" i="6"/>
  <c r="D863" i="6"/>
  <c r="B863" i="6"/>
  <c r="D862" i="6"/>
  <c r="B862" i="6"/>
  <c r="D861" i="6"/>
  <c r="B861" i="6"/>
  <c r="D860" i="6"/>
  <c r="B860" i="6"/>
  <c r="D859" i="6"/>
  <c r="B859" i="6"/>
  <c r="D858" i="6"/>
  <c r="B858" i="6"/>
  <c r="D857" i="6"/>
  <c r="B857" i="6"/>
  <c r="D856" i="6"/>
  <c r="B856" i="6"/>
  <c r="D855" i="6"/>
  <c r="B855" i="6"/>
  <c r="D854" i="6"/>
  <c r="B854" i="6"/>
  <c r="D853" i="6"/>
  <c r="B853" i="6"/>
  <c r="D852" i="6"/>
  <c r="B852" i="6"/>
  <c r="D851" i="6"/>
  <c r="B851" i="6"/>
  <c r="D850" i="6"/>
  <c r="B850" i="6"/>
  <c r="D849" i="6"/>
  <c r="B849" i="6"/>
  <c r="D848" i="6"/>
  <c r="B848" i="6"/>
  <c r="D847" i="6"/>
  <c r="B847" i="6"/>
  <c r="D846" i="6"/>
  <c r="B846" i="6"/>
  <c r="D845" i="6"/>
  <c r="B845" i="6"/>
  <c r="D844" i="6"/>
  <c r="B844" i="6"/>
  <c r="D843" i="6"/>
  <c r="B843" i="6"/>
  <c r="D842" i="6"/>
  <c r="B842" i="6"/>
  <c r="D841" i="6"/>
  <c r="B841" i="6"/>
  <c r="D840" i="6"/>
  <c r="B840" i="6"/>
  <c r="D839" i="6"/>
  <c r="B839" i="6"/>
  <c r="D838" i="6"/>
  <c r="B838" i="6"/>
  <c r="D837" i="6"/>
  <c r="B837" i="6"/>
  <c r="D836" i="6"/>
  <c r="B836" i="6"/>
  <c r="D835" i="6"/>
  <c r="B835" i="6"/>
  <c r="D834" i="6"/>
  <c r="B834" i="6"/>
  <c r="D833" i="6"/>
  <c r="B833" i="6"/>
  <c r="D832" i="6"/>
  <c r="B832" i="6"/>
  <c r="D831" i="6"/>
  <c r="B831" i="6"/>
  <c r="D830" i="6"/>
  <c r="B830" i="6"/>
  <c r="D829" i="6"/>
  <c r="B829" i="6"/>
  <c r="D828" i="6"/>
  <c r="B828" i="6"/>
  <c r="D827" i="6"/>
  <c r="B827" i="6"/>
  <c r="D826" i="6"/>
  <c r="B826" i="6"/>
  <c r="D825" i="6"/>
  <c r="B825" i="6"/>
  <c r="D824" i="6"/>
  <c r="B824" i="6"/>
  <c r="D823" i="6"/>
  <c r="B823" i="6"/>
  <c r="D822" i="6"/>
  <c r="B822" i="6"/>
  <c r="D821" i="6"/>
  <c r="B821" i="6"/>
  <c r="D820" i="6"/>
  <c r="B820" i="6"/>
  <c r="D819" i="6"/>
  <c r="B819" i="6"/>
  <c r="D818" i="6"/>
  <c r="B818" i="6"/>
  <c r="D817" i="6"/>
  <c r="B817" i="6"/>
  <c r="D816" i="6"/>
  <c r="B816" i="6"/>
  <c r="D815" i="6"/>
  <c r="B815" i="6"/>
  <c r="D814" i="6"/>
  <c r="B814" i="6"/>
  <c r="D813" i="6"/>
  <c r="B813" i="6"/>
  <c r="D812" i="6"/>
  <c r="B812" i="6"/>
  <c r="D811" i="6"/>
  <c r="B811" i="6"/>
  <c r="D810" i="6"/>
  <c r="B810" i="6"/>
  <c r="D809" i="6"/>
  <c r="B809" i="6"/>
  <c r="D808" i="6"/>
  <c r="B808" i="6"/>
  <c r="D807" i="6"/>
  <c r="B807" i="6"/>
  <c r="D806" i="6"/>
  <c r="B806" i="6"/>
  <c r="D805" i="6"/>
  <c r="B805" i="6"/>
  <c r="D804" i="6"/>
  <c r="B804" i="6"/>
  <c r="D803" i="6"/>
  <c r="B803" i="6"/>
  <c r="D802" i="6"/>
  <c r="B802" i="6"/>
  <c r="D801" i="6"/>
  <c r="B801" i="6"/>
  <c r="D800" i="6"/>
  <c r="B800" i="6"/>
  <c r="D799" i="6"/>
  <c r="B799" i="6"/>
  <c r="D798" i="6"/>
  <c r="B798" i="6"/>
  <c r="D797" i="6"/>
  <c r="B797" i="6"/>
  <c r="D796" i="6"/>
  <c r="B796" i="6"/>
  <c r="D795" i="6"/>
  <c r="B795" i="6"/>
  <c r="D794" i="6"/>
  <c r="B794" i="6"/>
  <c r="D793" i="6"/>
  <c r="B793" i="6"/>
  <c r="D792" i="6"/>
  <c r="B792" i="6"/>
  <c r="D791" i="6"/>
  <c r="B791" i="6"/>
  <c r="D790" i="6"/>
  <c r="B790" i="6"/>
  <c r="D789" i="6"/>
  <c r="B789" i="6"/>
  <c r="D788" i="6"/>
  <c r="B788" i="6"/>
  <c r="D787" i="6"/>
  <c r="B787" i="6"/>
  <c r="D786" i="6"/>
  <c r="B786" i="6"/>
  <c r="D785" i="6"/>
  <c r="B785" i="6"/>
  <c r="D784" i="6"/>
  <c r="B784" i="6"/>
  <c r="D783" i="6"/>
  <c r="B783" i="6"/>
  <c r="D782" i="6"/>
  <c r="B782" i="6"/>
  <c r="D781" i="6"/>
  <c r="B781" i="6"/>
  <c r="D780" i="6"/>
  <c r="B780" i="6"/>
  <c r="D779" i="6"/>
  <c r="B779" i="6"/>
  <c r="D778" i="6"/>
  <c r="B778" i="6"/>
  <c r="D777" i="6"/>
  <c r="B777" i="6"/>
  <c r="D776" i="6"/>
  <c r="B776" i="6"/>
  <c r="D775" i="6"/>
  <c r="B775" i="6"/>
  <c r="D774" i="6"/>
  <c r="B774" i="6"/>
  <c r="D773" i="6"/>
  <c r="B773" i="6"/>
  <c r="D772" i="6"/>
  <c r="B772" i="6"/>
  <c r="D771" i="6"/>
  <c r="B771" i="6"/>
  <c r="D770" i="6"/>
  <c r="B770" i="6"/>
  <c r="D769" i="6"/>
  <c r="B769" i="6"/>
  <c r="D768" i="6"/>
  <c r="B768" i="6"/>
  <c r="D767" i="6"/>
  <c r="B767" i="6"/>
  <c r="D766" i="6"/>
  <c r="B766" i="6"/>
  <c r="D765" i="6"/>
  <c r="B765" i="6"/>
  <c r="D764" i="6"/>
  <c r="B764" i="6"/>
  <c r="D763" i="6"/>
  <c r="B763" i="6"/>
  <c r="D762" i="6"/>
  <c r="B762" i="6"/>
  <c r="D761" i="6"/>
  <c r="B761" i="6"/>
  <c r="D760" i="6"/>
  <c r="B760" i="6"/>
  <c r="D759" i="6"/>
  <c r="B759" i="6"/>
  <c r="D758" i="6"/>
  <c r="B758" i="6"/>
  <c r="D757" i="6"/>
  <c r="B757" i="6"/>
  <c r="D756" i="6"/>
  <c r="B756" i="6"/>
  <c r="D755" i="6"/>
  <c r="B755" i="6"/>
  <c r="D754" i="6"/>
  <c r="B754" i="6"/>
  <c r="D753" i="6"/>
  <c r="B753" i="6"/>
  <c r="D752" i="6"/>
  <c r="B752" i="6"/>
  <c r="D751" i="6"/>
  <c r="B751" i="6"/>
  <c r="D750" i="6"/>
  <c r="B750" i="6"/>
  <c r="D749" i="6"/>
  <c r="B749" i="6"/>
  <c r="D748" i="6"/>
  <c r="B748" i="6"/>
  <c r="D747" i="6"/>
  <c r="B747" i="6"/>
  <c r="D746" i="6"/>
  <c r="B746" i="6"/>
  <c r="D745" i="6"/>
  <c r="B745" i="6"/>
  <c r="D744" i="6"/>
  <c r="B744" i="6"/>
  <c r="D743" i="6"/>
  <c r="B743" i="6"/>
  <c r="D742" i="6"/>
  <c r="B742" i="6"/>
  <c r="D741" i="6"/>
  <c r="B741" i="6"/>
  <c r="D740" i="6"/>
  <c r="B740" i="6"/>
  <c r="D739" i="6"/>
  <c r="B739" i="6"/>
  <c r="D738" i="6"/>
  <c r="B738" i="6"/>
  <c r="D737" i="6"/>
  <c r="B737" i="6"/>
  <c r="D736" i="6"/>
  <c r="B736" i="6"/>
  <c r="D735" i="6"/>
  <c r="B735" i="6"/>
  <c r="D734" i="6"/>
  <c r="B734" i="6"/>
  <c r="D733" i="6"/>
  <c r="B733" i="6"/>
  <c r="D732" i="6"/>
  <c r="B732" i="6"/>
  <c r="D731" i="6"/>
  <c r="B731" i="6"/>
  <c r="D730" i="6"/>
  <c r="B730" i="6"/>
  <c r="D729" i="6"/>
  <c r="B729" i="6"/>
  <c r="D728" i="6"/>
  <c r="B728" i="6"/>
  <c r="D727" i="6"/>
  <c r="B727" i="6"/>
  <c r="D726" i="6"/>
  <c r="B726" i="6"/>
  <c r="D725" i="6"/>
  <c r="B725" i="6"/>
  <c r="D724" i="6"/>
  <c r="B724" i="6"/>
  <c r="D723" i="6"/>
  <c r="B723" i="6"/>
  <c r="D722" i="6"/>
  <c r="B722" i="6"/>
  <c r="D721" i="6"/>
  <c r="B721" i="6"/>
  <c r="D720" i="6"/>
  <c r="B720" i="6"/>
  <c r="D719" i="6"/>
  <c r="B719" i="6"/>
  <c r="D718" i="6"/>
  <c r="B718" i="6"/>
  <c r="D717" i="6"/>
  <c r="B717" i="6"/>
  <c r="D716" i="6"/>
  <c r="B716" i="6"/>
  <c r="D715" i="6"/>
  <c r="B715" i="6"/>
  <c r="D714" i="6"/>
  <c r="B714" i="6"/>
  <c r="D713" i="6"/>
  <c r="B713" i="6"/>
  <c r="D712" i="6"/>
  <c r="B712" i="6"/>
  <c r="D711" i="6"/>
  <c r="B711" i="6"/>
  <c r="D710" i="6"/>
  <c r="B710" i="6"/>
  <c r="D709" i="6"/>
  <c r="B709" i="6"/>
  <c r="D708" i="6"/>
  <c r="B708" i="6"/>
  <c r="D707" i="6"/>
  <c r="B707" i="6"/>
  <c r="D706" i="6"/>
  <c r="B706" i="6"/>
  <c r="D705" i="6"/>
  <c r="B705" i="6"/>
  <c r="D704" i="6"/>
  <c r="B704" i="6"/>
  <c r="D703" i="6"/>
  <c r="B703" i="6"/>
  <c r="D702" i="6"/>
  <c r="B702" i="6"/>
  <c r="D701" i="6"/>
  <c r="B701" i="6"/>
  <c r="D700" i="6"/>
  <c r="B700" i="6"/>
  <c r="D699" i="6"/>
  <c r="B699" i="6"/>
  <c r="D698" i="6"/>
  <c r="B698" i="6"/>
  <c r="D697" i="6"/>
  <c r="B697" i="6"/>
  <c r="D696" i="6"/>
  <c r="B696" i="6"/>
  <c r="D695" i="6"/>
  <c r="B695" i="6"/>
  <c r="D694" i="6"/>
  <c r="B694" i="6"/>
  <c r="D693" i="6"/>
  <c r="B693" i="6"/>
  <c r="D692" i="6"/>
  <c r="B692" i="6"/>
  <c r="D691" i="6"/>
  <c r="B691" i="6"/>
  <c r="D690" i="6"/>
  <c r="B690" i="6"/>
  <c r="D689" i="6"/>
  <c r="B689" i="6"/>
  <c r="D688" i="6"/>
  <c r="B688" i="6"/>
  <c r="D687" i="6"/>
  <c r="B687" i="6"/>
  <c r="D686" i="6"/>
  <c r="B686" i="6"/>
  <c r="D685" i="6"/>
  <c r="B685" i="6"/>
  <c r="D684" i="6"/>
  <c r="B684" i="6"/>
  <c r="D683" i="6"/>
  <c r="B683" i="6"/>
  <c r="D682" i="6"/>
  <c r="B682" i="6"/>
  <c r="D681" i="6"/>
  <c r="B681" i="6"/>
  <c r="D680" i="6"/>
  <c r="B680" i="6"/>
  <c r="D679" i="6"/>
  <c r="B679" i="6"/>
  <c r="D678" i="6"/>
  <c r="B678" i="6"/>
  <c r="D677" i="6"/>
  <c r="B677" i="6"/>
  <c r="D676" i="6"/>
  <c r="B676" i="6"/>
  <c r="D675" i="6"/>
  <c r="B675" i="6"/>
  <c r="D674" i="6"/>
  <c r="B674" i="6"/>
  <c r="D673" i="6"/>
  <c r="B673" i="6"/>
  <c r="D672" i="6"/>
  <c r="B672" i="6"/>
  <c r="D671" i="6"/>
  <c r="B671" i="6"/>
  <c r="D670" i="6"/>
  <c r="B670" i="6"/>
  <c r="D669" i="6"/>
  <c r="B669" i="6"/>
  <c r="D668" i="6"/>
  <c r="B668" i="6"/>
  <c r="D667" i="6"/>
  <c r="B667" i="6"/>
  <c r="D666" i="6"/>
  <c r="B666" i="6"/>
  <c r="D665" i="6"/>
  <c r="B665" i="6"/>
  <c r="D664" i="6"/>
  <c r="B664" i="6"/>
  <c r="D663" i="6"/>
  <c r="B663" i="6"/>
  <c r="D662" i="6"/>
  <c r="B662" i="6"/>
  <c r="D661" i="6"/>
  <c r="B661" i="6"/>
  <c r="D660" i="6"/>
  <c r="B660" i="6"/>
  <c r="D659" i="6"/>
  <c r="B659" i="6"/>
  <c r="D658" i="6"/>
  <c r="B658" i="6"/>
  <c r="D657" i="6"/>
  <c r="B657" i="6"/>
  <c r="D656" i="6"/>
  <c r="B656" i="6"/>
  <c r="D655" i="6"/>
  <c r="B655" i="6"/>
  <c r="D654" i="6"/>
  <c r="B654" i="6"/>
  <c r="D653" i="6"/>
  <c r="B653" i="6"/>
  <c r="D652" i="6"/>
  <c r="B652" i="6"/>
  <c r="D651" i="6"/>
  <c r="B651" i="6"/>
  <c r="D650" i="6"/>
  <c r="B650" i="6"/>
  <c r="D649" i="6"/>
  <c r="B649" i="6"/>
  <c r="D648" i="6"/>
  <c r="B648" i="6"/>
  <c r="D647" i="6"/>
  <c r="B647" i="6"/>
  <c r="D646" i="6"/>
  <c r="B646" i="6"/>
  <c r="D645" i="6"/>
  <c r="B645" i="6"/>
  <c r="D644" i="6"/>
  <c r="B644" i="6"/>
  <c r="D643" i="6"/>
  <c r="B643" i="6"/>
  <c r="D642" i="6"/>
  <c r="B642" i="6"/>
  <c r="D641" i="6"/>
  <c r="B641" i="6"/>
  <c r="D640" i="6"/>
  <c r="B640" i="6"/>
  <c r="D639" i="6"/>
  <c r="B639" i="6"/>
  <c r="D638" i="6"/>
  <c r="B638" i="6"/>
  <c r="D637" i="6"/>
  <c r="B637" i="6"/>
  <c r="D636" i="6"/>
  <c r="B636" i="6"/>
  <c r="D635" i="6"/>
  <c r="B635" i="6"/>
  <c r="D634" i="6"/>
  <c r="B634" i="6"/>
  <c r="D633" i="6"/>
  <c r="B633" i="6"/>
  <c r="D632" i="6"/>
  <c r="B632" i="6"/>
  <c r="D631" i="6"/>
  <c r="B631" i="6"/>
  <c r="D630" i="6"/>
  <c r="B630" i="6"/>
  <c r="D629" i="6"/>
  <c r="B629" i="6"/>
  <c r="D628" i="6"/>
  <c r="B628" i="6"/>
  <c r="D627" i="6"/>
  <c r="B627" i="6"/>
  <c r="D626" i="6"/>
  <c r="B626" i="6"/>
  <c r="D625" i="6"/>
  <c r="B625" i="6"/>
  <c r="D624" i="6"/>
  <c r="B624" i="6"/>
  <c r="D623" i="6"/>
  <c r="B623" i="6"/>
  <c r="D622" i="6"/>
  <c r="B622" i="6"/>
  <c r="D621" i="6"/>
  <c r="B621" i="6"/>
  <c r="D620" i="6"/>
  <c r="B620" i="6"/>
  <c r="D619" i="6"/>
  <c r="B619" i="6"/>
  <c r="D618" i="6"/>
  <c r="B618" i="6"/>
  <c r="D617" i="6"/>
  <c r="B617" i="6"/>
  <c r="D616" i="6"/>
  <c r="B616" i="6"/>
  <c r="D615" i="6"/>
  <c r="B615" i="6"/>
  <c r="D614" i="6"/>
  <c r="B614" i="6"/>
  <c r="D613" i="6"/>
  <c r="B613" i="6"/>
  <c r="D612" i="6"/>
  <c r="B612" i="6"/>
  <c r="D611" i="6"/>
  <c r="B611" i="6"/>
  <c r="D610" i="6"/>
  <c r="B610" i="6"/>
  <c r="D609" i="6"/>
  <c r="B609" i="6"/>
  <c r="D608" i="6"/>
  <c r="B608" i="6"/>
  <c r="D607" i="6"/>
  <c r="B607" i="6"/>
  <c r="D606" i="6"/>
  <c r="B606" i="6"/>
  <c r="D605" i="6"/>
  <c r="B605" i="6"/>
  <c r="D604" i="6"/>
  <c r="B604" i="6"/>
  <c r="D603" i="6"/>
  <c r="B603" i="6"/>
  <c r="D602" i="6"/>
  <c r="B602" i="6"/>
  <c r="D601" i="6"/>
  <c r="B601" i="6"/>
  <c r="D600" i="6"/>
  <c r="B600" i="6"/>
  <c r="D599" i="6"/>
  <c r="B599" i="6"/>
  <c r="D598" i="6"/>
  <c r="B598" i="6"/>
  <c r="D597" i="6"/>
  <c r="B597" i="6"/>
  <c r="D596" i="6"/>
  <c r="B596" i="6"/>
  <c r="D595" i="6"/>
  <c r="B595" i="6"/>
  <c r="D594" i="6"/>
  <c r="B594" i="6"/>
  <c r="D593" i="6"/>
  <c r="B593" i="6"/>
  <c r="D592" i="6"/>
  <c r="B592" i="6"/>
  <c r="D591" i="6"/>
  <c r="B591" i="6"/>
  <c r="D590" i="6"/>
  <c r="B590" i="6"/>
  <c r="D589" i="6"/>
  <c r="B589" i="6"/>
  <c r="D588" i="6"/>
  <c r="B588" i="6"/>
  <c r="D587" i="6"/>
  <c r="B587" i="6"/>
  <c r="D586" i="6"/>
  <c r="B586" i="6"/>
  <c r="D585" i="6"/>
  <c r="B585" i="6"/>
  <c r="D584" i="6"/>
  <c r="B584" i="6"/>
  <c r="D583" i="6"/>
  <c r="B583" i="6"/>
  <c r="D582" i="6"/>
  <c r="B582" i="6"/>
  <c r="D581" i="6"/>
  <c r="B581" i="6"/>
  <c r="D580" i="6"/>
  <c r="B580" i="6"/>
  <c r="D579" i="6"/>
  <c r="B579" i="6"/>
  <c r="D578" i="6"/>
  <c r="B578" i="6"/>
  <c r="D577" i="6"/>
  <c r="B577" i="6"/>
  <c r="D576" i="6"/>
  <c r="B576" i="6"/>
  <c r="D575" i="6"/>
  <c r="B575" i="6"/>
  <c r="D574" i="6"/>
  <c r="B574" i="6"/>
  <c r="D573" i="6"/>
  <c r="B573" i="6"/>
  <c r="D572" i="6"/>
  <c r="B572" i="6"/>
  <c r="D571" i="6"/>
  <c r="B571" i="6"/>
  <c r="D570" i="6"/>
  <c r="B570" i="6"/>
  <c r="D569" i="6"/>
  <c r="B569" i="6"/>
  <c r="D568" i="6"/>
  <c r="B568" i="6"/>
  <c r="D567" i="6"/>
  <c r="B567" i="6"/>
  <c r="D566" i="6"/>
  <c r="B566" i="6"/>
  <c r="D565" i="6"/>
  <c r="B565" i="6"/>
  <c r="D564" i="6"/>
  <c r="B564" i="6"/>
  <c r="D563" i="6"/>
  <c r="B563" i="6"/>
  <c r="D562" i="6"/>
  <c r="B562" i="6"/>
  <c r="D561" i="6"/>
  <c r="B561" i="6"/>
  <c r="D560" i="6"/>
  <c r="B560" i="6"/>
  <c r="D559" i="6"/>
  <c r="B559" i="6"/>
  <c r="D558" i="6"/>
  <c r="B558" i="6"/>
  <c r="D557" i="6"/>
  <c r="B557" i="6"/>
  <c r="D556" i="6"/>
  <c r="B556" i="6"/>
  <c r="D555" i="6"/>
  <c r="B555" i="6"/>
  <c r="D554" i="6"/>
  <c r="B554" i="6"/>
  <c r="D553" i="6"/>
  <c r="B553" i="6"/>
  <c r="D552" i="6"/>
  <c r="B552" i="6"/>
  <c r="D551" i="6"/>
  <c r="B551" i="6"/>
  <c r="D550" i="6"/>
  <c r="B550" i="6"/>
  <c r="D549" i="6"/>
  <c r="B549" i="6"/>
  <c r="D548" i="6"/>
  <c r="B548" i="6"/>
  <c r="D547" i="6"/>
  <c r="B547" i="6"/>
  <c r="D546" i="6"/>
  <c r="B546" i="6"/>
  <c r="D545" i="6"/>
  <c r="B545" i="6"/>
  <c r="D544" i="6"/>
  <c r="B544" i="6"/>
  <c r="D543" i="6"/>
  <c r="B543" i="6"/>
  <c r="D542" i="6"/>
  <c r="B542" i="6"/>
  <c r="D541" i="6"/>
  <c r="B541" i="6"/>
  <c r="D540" i="6"/>
  <c r="B540" i="6"/>
  <c r="D539" i="6"/>
  <c r="B539" i="6"/>
  <c r="D538" i="6"/>
  <c r="B538" i="6"/>
  <c r="D537" i="6"/>
  <c r="B537" i="6"/>
  <c r="D536" i="6"/>
  <c r="B536" i="6"/>
  <c r="D535" i="6"/>
  <c r="B535" i="6"/>
  <c r="D534" i="6"/>
  <c r="B534" i="6"/>
  <c r="D533" i="6"/>
  <c r="B533" i="6"/>
  <c r="D532" i="6"/>
  <c r="B532" i="6"/>
  <c r="D531" i="6"/>
  <c r="B531" i="6"/>
  <c r="D530" i="6"/>
  <c r="B530" i="6"/>
  <c r="D529" i="6"/>
  <c r="B529" i="6"/>
  <c r="D528" i="6"/>
  <c r="B528" i="6"/>
  <c r="D527" i="6"/>
  <c r="B527" i="6"/>
  <c r="D526" i="6"/>
  <c r="B526" i="6"/>
  <c r="D525" i="6"/>
  <c r="B525" i="6"/>
  <c r="D524" i="6"/>
  <c r="B524" i="6"/>
  <c r="D523" i="6"/>
  <c r="B523" i="6"/>
  <c r="D522" i="6"/>
  <c r="B522" i="6"/>
  <c r="D521" i="6"/>
  <c r="B521" i="6"/>
  <c r="D520" i="6"/>
  <c r="B520" i="6"/>
  <c r="D519" i="6"/>
  <c r="B519" i="6"/>
  <c r="D518" i="6"/>
  <c r="B518" i="6"/>
  <c r="D517" i="6"/>
  <c r="B517" i="6"/>
  <c r="D516" i="6"/>
  <c r="B516" i="6"/>
  <c r="D515" i="6"/>
  <c r="B515" i="6"/>
  <c r="D514" i="6"/>
  <c r="B514" i="6"/>
  <c r="D513" i="6"/>
  <c r="B513" i="6"/>
  <c r="D512" i="6"/>
  <c r="B512" i="6"/>
  <c r="D511" i="6"/>
  <c r="B511" i="6"/>
  <c r="D510" i="6"/>
  <c r="B510" i="6"/>
  <c r="D509" i="6"/>
  <c r="B509" i="6"/>
  <c r="D508" i="6"/>
  <c r="B508" i="6"/>
  <c r="D507" i="6"/>
  <c r="B507" i="6"/>
  <c r="D506" i="6"/>
  <c r="B506" i="6"/>
  <c r="D505" i="6"/>
  <c r="B505" i="6"/>
  <c r="D504" i="6"/>
  <c r="B504" i="6"/>
  <c r="D503" i="6"/>
  <c r="B503" i="6"/>
  <c r="D502" i="6"/>
  <c r="B502" i="6"/>
  <c r="D501" i="6"/>
  <c r="B501" i="6"/>
  <c r="D500" i="6"/>
  <c r="B500" i="6"/>
  <c r="D499" i="6"/>
  <c r="B499" i="6"/>
  <c r="D498" i="6"/>
  <c r="B498" i="6"/>
  <c r="D497" i="6"/>
  <c r="B497" i="6"/>
  <c r="D496" i="6"/>
  <c r="B496" i="6"/>
  <c r="D495" i="6"/>
  <c r="B495" i="6"/>
  <c r="D494" i="6"/>
  <c r="B494" i="6"/>
  <c r="D493" i="6"/>
  <c r="B493" i="6"/>
  <c r="D492" i="6"/>
  <c r="B492" i="6"/>
  <c r="D491" i="6"/>
  <c r="B491" i="6"/>
  <c r="D490" i="6"/>
  <c r="B490" i="6"/>
  <c r="D489" i="6"/>
  <c r="B489" i="6"/>
  <c r="D488" i="6"/>
  <c r="B488" i="6"/>
  <c r="D487" i="6"/>
  <c r="B487" i="6"/>
  <c r="D486" i="6"/>
  <c r="B486" i="6"/>
  <c r="D485" i="6"/>
  <c r="B485" i="6"/>
  <c r="D484" i="6"/>
  <c r="B484" i="6"/>
  <c r="D483" i="6"/>
  <c r="B483" i="6"/>
  <c r="D482" i="6"/>
  <c r="B482" i="6"/>
  <c r="D481" i="6"/>
  <c r="B481" i="6"/>
  <c r="D480" i="6"/>
  <c r="B480" i="6"/>
  <c r="D479" i="6"/>
  <c r="B479" i="6"/>
  <c r="D478" i="6"/>
  <c r="B478" i="6"/>
  <c r="D477" i="6"/>
  <c r="B477" i="6"/>
  <c r="D476" i="6"/>
  <c r="B476" i="6"/>
  <c r="D475" i="6"/>
  <c r="B475" i="6"/>
  <c r="D474" i="6"/>
  <c r="B474" i="6"/>
  <c r="D473" i="6"/>
  <c r="B473" i="6"/>
  <c r="D472" i="6"/>
  <c r="B472" i="6"/>
  <c r="D471" i="6"/>
  <c r="B471" i="6"/>
  <c r="D470" i="6"/>
  <c r="B470" i="6"/>
  <c r="D469" i="6"/>
  <c r="B469" i="6"/>
  <c r="D468" i="6"/>
  <c r="B468" i="6"/>
  <c r="D467" i="6"/>
  <c r="B467" i="6"/>
  <c r="D466" i="6"/>
  <c r="B466" i="6"/>
  <c r="D465" i="6"/>
  <c r="B465" i="6"/>
  <c r="D464" i="6"/>
  <c r="B464" i="6"/>
  <c r="D463" i="6"/>
  <c r="B463" i="6"/>
  <c r="D462" i="6"/>
  <c r="B462" i="6"/>
  <c r="D461" i="6"/>
  <c r="B461" i="6"/>
  <c r="D460" i="6"/>
  <c r="B460" i="6"/>
  <c r="D459" i="6"/>
  <c r="B459" i="6"/>
  <c r="D458" i="6"/>
  <c r="B458" i="6"/>
  <c r="D457" i="6"/>
  <c r="B457" i="6"/>
  <c r="D456" i="6"/>
  <c r="B456" i="6"/>
  <c r="D455" i="6"/>
  <c r="B455" i="6"/>
  <c r="D454" i="6"/>
  <c r="B454" i="6"/>
  <c r="D453" i="6"/>
  <c r="B453" i="6"/>
  <c r="D452" i="6"/>
  <c r="B452" i="6"/>
  <c r="D451" i="6"/>
  <c r="B451" i="6"/>
  <c r="D450" i="6"/>
  <c r="B450" i="6"/>
  <c r="D449" i="6"/>
  <c r="B449" i="6"/>
  <c r="D448" i="6"/>
  <c r="B448" i="6"/>
  <c r="D447" i="6"/>
  <c r="B447" i="6"/>
  <c r="D446" i="6"/>
  <c r="B446" i="6"/>
  <c r="D445" i="6"/>
  <c r="B445" i="6"/>
  <c r="D444" i="6"/>
  <c r="B444" i="6"/>
  <c r="D443" i="6"/>
  <c r="B443" i="6"/>
  <c r="D442" i="6"/>
  <c r="B442" i="6"/>
  <c r="D441" i="6"/>
  <c r="B441" i="6"/>
  <c r="D440" i="6"/>
  <c r="B440" i="6"/>
  <c r="D439" i="6"/>
  <c r="B439" i="6"/>
  <c r="D438" i="6"/>
  <c r="B438" i="6"/>
  <c r="D437" i="6"/>
  <c r="B437" i="6"/>
  <c r="D436" i="6"/>
  <c r="B436" i="6"/>
  <c r="D435" i="6"/>
  <c r="B435" i="6"/>
  <c r="D434" i="6"/>
  <c r="B434" i="6"/>
  <c r="D433" i="6"/>
  <c r="B433" i="6"/>
  <c r="D432" i="6"/>
  <c r="B432" i="6"/>
  <c r="D431" i="6"/>
  <c r="B431" i="6"/>
  <c r="D430" i="6"/>
  <c r="B430" i="6"/>
  <c r="D429" i="6"/>
  <c r="B429" i="6"/>
  <c r="D428" i="6"/>
  <c r="B428" i="6"/>
  <c r="D427" i="6"/>
  <c r="B427" i="6"/>
  <c r="D426" i="6"/>
  <c r="B426" i="6"/>
  <c r="D425" i="6"/>
  <c r="B425" i="6"/>
  <c r="D424" i="6"/>
  <c r="B424" i="6"/>
  <c r="D423" i="6"/>
  <c r="B423" i="6"/>
  <c r="D422" i="6"/>
  <c r="B422" i="6"/>
  <c r="D421" i="6"/>
  <c r="B421" i="6"/>
  <c r="D420" i="6"/>
  <c r="B420" i="6"/>
  <c r="D419" i="6"/>
  <c r="B419" i="6"/>
  <c r="D418" i="6"/>
  <c r="B418" i="6"/>
  <c r="D417" i="6"/>
  <c r="B417" i="6"/>
  <c r="D416" i="6"/>
  <c r="B416" i="6"/>
  <c r="D415" i="6"/>
  <c r="B415" i="6"/>
  <c r="D414" i="6"/>
  <c r="B414" i="6"/>
  <c r="D413" i="6"/>
  <c r="B413" i="6"/>
  <c r="D412" i="6"/>
  <c r="B412" i="6"/>
  <c r="D411" i="6"/>
  <c r="B411" i="6"/>
  <c r="D410" i="6"/>
  <c r="B410" i="6"/>
  <c r="D409" i="6"/>
  <c r="B409" i="6"/>
  <c r="D408" i="6"/>
  <c r="B408" i="6"/>
  <c r="D407" i="6"/>
  <c r="B407" i="6"/>
  <c r="D406" i="6"/>
  <c r="B406" i="6"/>
  <c r="D405" i="6"/>
  <c r="B405" i="6"/>
  <c r="D404" i="6"/>
  <c r="B404" i="6"/>
  <c r="D403" i="6"/>
  <c r="B403" i="6"/>
  <c r="D402" i="6"/>
  <c r="B402" i="6"/>
  <c r="D401" i="6"/>
  <c r="B401" i="6"/>
  <c r="D400" i="6"/>
  <c r="B400" i="6"/>
  <c r="D399" i="6"/>
  <c r="B399" i="6"/>
  <c r="D398" i="6"/>
  <c r="B398" i="6"/>
  <c r="D397" i="6"/>
  <c r="B397" i="6"/>
  <c r="D396" i="6"/>
  <c r="B396" i="6"/>
  <c r="D395" i="6"/>
  <c r="B395" i="6"/>
  <c r="D394" i="6"/>
  <c r="B394" i="6"/>
  <c r="D393" i="6"/>
  <c r="B393" i="6"/>
  <c r="D392" i="6"/>
  <c r="B392" i="6"/>
  <c r="D391" i="6"/>
  <c r="B391" i="6"/>
  <c r="D390" i="6"/>
  <c r="B390" i="6"/>
  <c r="D389" i="6"/>
  <c r="B389" i="6"/>
  <c r="D388" i="6"/>
  <c r="B388" i="6"/>
  <c r="D387" i="6"/>
  <c r="B387" i="6"/>
  <c r="D386" i="6"/>
  <c r="B386" i="6"/>
  <c r="D385" i="6"/>
  <c r="B385" i="6"/>
  <c r="D384" i="6"/>
  <c r="B384" i="6"/>
  <c r="D383" i="6"/>
  <c r="B383" i="6"/>
  <c r="D382" i="6"/>
  <c r="B382" i="6"/>
  <c r="D381" i="6"/>
  <c r="B381" i="6"/>
  <c r="D380" i="6"/>
  <c r="B380" i="6"/>
  <c r="D379" i="6"/>
  <c r="B379" i="6"/>
  <c r="D378" i="6"/>
  <c r="B378" i="6"/>
  <c r="D377" i="6"/>
  <c r="B377" i="6"/>
  <c r="D376" i="6"/>
  <c r="B376" i="6"/>
  <c r="D375" i="6"/>
  <c r="B375" i="6"/>
  <c r="D374" i="6"/>
  <c r="B374" i="6"/>
  <c r="D373" i="6"/>
  <c r="B373" i="6"/>
  <c r="D372" i="6"/>
  <c r="B372" i="6"/>
  <c r="D371" i="6"/>
  <c r="B371" i="6"/>
  <c r="D370" i="6"/>
  <c r="B370" i="6"/>
  <c r="D369" i="6"/>
  <c r="B369" i="6"/>
  <c r="D368" i="6"/>
  <c r="B368" i="6"/>
  <c r="D367" i="6"/>
  <c r="B367" i="6"/>
  <c r="D366" i="6"/>
  <c r="B366" i="6"/>
  <c r="D365" i="6"/>
  <c r="B365" i="6"/>
  <c r="D364" i="6"/>
  <c r="B364" i="6"/>
  <c r="D363" i="6"/>
  <c r="B363" i="6"/>
  <c r="D362" i="6"/>
  <c r="B362" i="6"/>
  <c r="D361" i="6"/>
  <c r="B361" i="6"/>
  <c r="D360" i="6"/>
  <c r="B360" i="6"/>
  <c r="D359" i="6"/>
  <c r="B359" i="6"/>
  <c r="D358" i="6"/>
  <c r="B358" i="6"/>
  <c r="D357" i="6"/>
  <c r="B357" i="6"/>
  <c r="D356" i="6"/>
  <c r="B356" i="6"/>
  <c r="D355" i="6"/>
  <c r="B355" i="6"/>
  <c r="D354" i="6"/>
  <c r="B354" i="6"/>
  <c r="D353" i="6"/>
  <c r="B353" i="6"/>
  <c r="D352" i="6"/>
  <c r="B352" i="6"/>
  <c r="D351" i="6"/>
  <c r="B351" i="6"/>
  <c r="D350" i="6"/>
  <c r="B350" i="6"/>
  <c r="D349" i="6"/>
  <c r="B349" i="6"/>
  <c r="D348" i="6"/>
  <c r="B348" i="6"/>
  <c r="D347" i="6"/>
  <c r="B347" i="6"/>
  <c r="D346" i="6"/>
  <c r="B346" i="6"/>
  <c r="D345" i="6"/>
  <c r="B345" i="6"/>
  <c r="D344" i="6"/>
  <c r="B344" i="6"/>
  <c r="D343" i="6"/>
  <c r="B343" i="6"/>
  <c r="D342" i="6"/>
  <c r="B342" i="6"/>
  <c r="D341" i="6"/>
  <c r="B341" i="6"/>
  <c r="D340" i="6"/>
  <c r="B340" i="6"/>
  <c r="D339" i="6"/>
  <c r="B339" i="6"/>
  <c r="D338" i="6"/>
  <c r="B338" i="6"/>
  <c r="D337" i="6"/>
  <c r="B337" i="6"/>
  <c r="D336" i="6"/>
  <c r="B336" i="6"/>
  <c r="D335" i="6"/>
  <c r="B335" i="6"/>
  <c r="D334" i="6"/>
  <c r="B334" i="6"/>
  <c r="D333" i="6"/>
  <c r="B333" i="6"/>
  <c r="D332" i="6"/>
  <c r="B332" i="6"/>
  <c r="D331" i="6"/>
  <c r="B331" i="6"/>
  <c r="D330" i="6"/>
  <c r="B330" i="6"/>
  <c r="D329" i="6"/>
  <c r="B329" i="6"/>
  <c r="D328" i="6"/>
  <c r="B328" i="6"/>
  <c r="D327" i="6"/>
  <c r="B327" i="6"/>
  <c r="D326" i="6"/>
  <c r="B326" i="6"/>
  <c r="D325" i="6"/>
  <c r="B325" i="6"/>
  <c r="D324" i="6"/>
  <c r="B324" i="6"/>
  <c r="D323" i="6"/>
  <c r="B323" i="6"/>
  <c r="D322" i="6"/>
  <c r="B322" i="6"/>
  <c r="D321" i="6"/>
  <c r="B321" i="6"/>
  <c r="D320" i="6"/>
  <c r="B320" i="6"/>
  <c r="D319" i="6"/>
  <c r="B319" i="6"/>
  <c r="D318" i="6"/>
  <c r="B318" i="6"/>
  <c r="D317" i="6"/>
  <c r="B317" i="6"/>
  <c r="D316" i="6"/>
  <c r="B316" i="6"/>
  <c r="D315" i="6"/>
  <c r="B315" i="6"/>
  <c r="D314" i="6"/>
  <c r="B314" i="6"/>
  <c r="D313" i="6"/>
  <c r="B313" i="6"/>
  <c r="D312" i="6"/>
  <c r="B312" i="6"/>
  <c r="D311" i="6"/>
  <c r="B311" i="6"/>
  <c r="D310" i="6"/>
  <c r="B310" i="6"/>
  <c r="D309" i="6"/>
  <c r="B309" i="6"/>
  <c r="D308" i="6"/>
  <c r="B308" i="6"/>
  <c r="D307" i="6"/>
  <c r="B307" i="6"/>
  <c r="D306" i="6"/>
  <c r="B306" i="6"/>
  <c r="D305" i="6"/>
  <c r="B305" i="6"/>
  <c r="D304" i="6"/>
  <c r="B304" i="6"/>
  <c r="D303" i="6"/>
  <c r="B303" i="6"/>
  <c r="D302" i="6"/>
  <c r="B302" i="6"/>
  <c r="D301" i="6"/>
  <c r="B301" i="6"/>
  <c r="D300" i="6"/>
  <c r="B300" i="6"/>
  <c r="D299" i="6"/>
  <c r="B299" i="6"/>
  <c r="D298" i="6"/>
  <c r="B298" i="6"/>
  <c r="D297" i="6"/>
  <c r="B297" i="6"/>
  <c r="D296" i="6"/>
  <c r="B296" i="6"/>
  <c r="D295" i="6"/>
  <c r="B295" i="6"/>
  <c r="D294" i="6"/>
  <c r="B294" i="6"/>
  <c r="D293" i="6"/>
  <c r="B293" i="6"/>
  <c r="D292" i="6"/>
  <c r="B292" i="6"/>
  <c r="D291" i="6"/>
  <c r="B291" i="6"/>
  <c r="D290" i="6"/>
  <c r="B290" i="6"/>
  <c r="D289" i="6"/>
  <c r="B289" i="6"/>
  <c r="D288" i="6"/>
  <c r="B288" i="6"/>
  <c r="D287" i="6"/>
  <c r="B287" i="6"/>
  <c r="D286" i="6"/>
  <c r="B286" i="6"/>
  <c r="D285" i="6"/>
  <c r="B285" i="6"/>
  <c r="D284" i="6"/>
  <c r="B284" i="6"/>
  <c r="D283" i="6"/>
  <c r="B283" i="6"/>
  <c r="D282" i="6"/>
  <c r="B282" i="6"/>
  <c r="D281" i="6"/>
  <c r="B281" i="6"/>
  <c r="D280" i="6"/>
  <c r="B280" i="6"/>
  <c r="D279" i="6"/>
  <c r="B279" i="6"/>
  <c r="D278" i="6"/>
  <c r="B278" i="6"/>
  <c r="D277" i="6"/>
  <c r="B277" i="6"/>
  <c r="D276" i="6"/>
  <c r="B276" i="6"/>
  <c r="D275" i="6"/>
  <c r="B275" i="6"/>
  <c r="D274" i="6"/>
  <c r="B274" i="6"/>
  <c r="D273" i="6"/>
  <c r="B273" i="6"/>
  <c r="D272" i="6"/>
  <c r="B272" i="6"/>
  <c r="D271" i="6"/>
  <c r="B271" i="6"/>
  <c r="D270" i="6"/>
  <c r="B270" i="6"/>
  <c r="D269" i="6"/>
  <c r="B269" i="6"/>
  <c r="D268" i="6"/>
  <c r="B268" i="6"/>
  <c r="D267" i="6"/>
  <c r="B267" i="6"/>
  <c r="D266" i="6"/>
  <c r="B266" i="6"/>
  <c r="D265" i="6"/>
  <c r="B265" i="6"/>
  <c r="D264" i="6"/>
  <c r="B264" i="6"/>
  <c r="D263" i="6"/>
  <c r="B263" i="6"/>
  <c r="D262" i="6"/>
  <c r="B262" i="6"/>
  <c r="D261" i="6"/>
  <c r="B261" i="6"/>
  <c r="D260" i="6"/>
  <c r="B260" i="6"/>
  <c r="D259" i="6"/>
  <c r="B259" i="6"/>
  <c r="D258" i="6"/>
  <c r="B258" i="6"/>
  <c r="D257" i="6"/>
  <c r="B257" i="6"/>
  <c r="D256" i="6"/>
  <c r="B256" i="6"/>
  <c r="D255" i="6"/>
  <c r="B255" i="6"/>
  <c r="D254" i="6"/>
  <c r="B254" i="6"/>
  <c r="D253" i="6"/>
  <c r="B253" i="6"/>
  <c r="D252" i="6"/>
  <c r="B252" i="6"/>
  <c r="D251" i="6"/>
  <c r="B251" i="6"/>
  <c r="D250" i="6"/>
  <c r="B250" i="6"/>
  <c r="D249" i="6"/>
  <c r="B249" i="6"/>
  <c r="D248" i="6"/>
  <c r="B248" i="6"/>
  <c r="D247" i="6"/>
  <c r="B247" i="6"/>
  <c r="D246" i="6"/>
  <c r="B246" i="6"/>
  <c r="D245" i="6"/>
  <c r="B245" i="6"/>
  <c r="D244" i="6"/>
  <c r="B244" i="6"/>
  <c r="D243" i="6"/>
  <c r="B243" i="6"/>
  <c r="D242" i="6"/>
  <c r="B242" i="6"/>
  <c r="D241" i="6"/>
  <c r="B241" i="6"/>
  <c r="D240" i="6"/>
  <c r="B240" i="6"/>
  <c r="D239" i="6"/>
  <c r="B239" i="6"/>
  <c r="D238" i="6"/>
  <c r="B238" i="6"/>
  <c r="D237" i="6"/>
  <c r="B237" i="6"/>
  <c r="D236" i="6"/>
  <c r="B236" i="6"/>
  <c r="D235" i="6"/>
  <c r="B235" i="6"/>
  <c r="D234" i="6"/>
  <c r="B234" i="6"/>
  <c r="D233" i="6"/>
  <c r="B233" i="6"/>
  <c r="D232" i="6"/>
  <c r="B232" i="6"/>
  <c r="D231" i="6"/>
  <c r="B231" i="6"/>
  <c r="D230" i="6"/>
  <c r="B230" i="6"/>
  <c r="D229" i="6"/>
  <c r="B229" i="6"/>
  <c r="D228" i="6"/>
  <c r="B228" i="6"/>
  <c r="D227" i="6"/>
  <c r="B227" i="6"/>
  <c r="D226" i="6"/>
  <c r="B226" i="6"/>
  <c r="D225" i="6"/>
  <c r="B225" i="6"/>
  <c r="D224" i="6"/>
  <c r="B224" i="6"/>
  <c r="D223" i="6"/>
  <c r="B223" i="6"/>
  <c r="D222" i="6"/>
  <c r="B222" i="6"/>
  <c r="D221" i="6"/>
  <c r="B221" i="6"/>
  <c r="D220" i="6"/>
  <c r="B220" i="6"/>
  <c r="D219" i="6"/>
  <c r="B219" i="6"/>
  <c r="D218" i="6"/>
  <c r="B218" i="6"/>
  <c r="D217" i="6"/>
  <c r="B217" i="6"/>
  <c r="D216" i="6"/>
  <c r="B216" i="6"/>
  <c r="D215" i="6"/>
  <c r="B215" i="6"/>
  <c r="D214" i="6"/>
  <c r="B214" i="6"/>
  <c r="D213" i="6"/>
  <c r="B213" i="6"/>
  <c r="D212" i="6"/>
  <c r="B212" i="6"/>
  <c r="D211" i="6"/>
  <c r="B211" i="6"/>
  <c r="D210" i="6"/>
  <c r="B210" i="6"/>
  <c r="D209" i="6"/>
  <c r="B209" i="6"/>
  <c r="D208" i="6"/>
  <c r="B208" i="6"/>
  <c r="D207" i="6"/>
  <c r="B207" i="6"/>
  <c r="D206" i="6"/>
  <c r="B206" i="6"/>
  <c r="D205" i="6"/>
  <c r="B205" i="6"/>
  <c r="D204" i="6"/>
  <c r="B204" i="6"/>
  <c r="D203" i="6"/>
  <c r="B203" i="6"/>
  <c r="D202" i="6"/>
  <c r="B202" i="6"/>
  <c r="D201" i="6"/>
  <c r="B201" i="6"/>
  <c r="D200" i="6"/>
  <c r="B200" i="6"/>
  <c r="D199" i="6"/>
  <c r="B199" i="6"/>
  <c r="D198" i="6"/>
  <c r="B198" i="6"/>
  <c r="D197" i="6"/>
  <c r="B197" i="6"/>
  <c r="D196" i="6"/>
  <c r="B196" i="6"/>
  <c r="D195" i="6"/>
  <c r="B195" i="6"/>
  <c r="D194" i="6"/>
  <c r="B194" i="6"/>
  <c r="D193" i="6"/>
  <c r="B193" i="6"/>
  <c r="D192" i="6"/>
  <c r="B192" i="6"/>
  <c r="D191" i="6"/>
  <c r="B191" i="6"/>
  <c r="D190" i="6"/>
  <c r="B190" i="6"/>
  <c r="D189" i="6"/>
  <c r="B189" i="6"/>
  <c r="D188" i="6"/>
  <c r="B188" i="6"/>
  <c r="D187" i="6"/>
  <c r="B187" i="6"/>
  <c r="D186" i="6"/>
  <c r="B186" i="6"/>
  <c r="D185" i="6"/>
  <c r="B185" i="6"/>
  <c r="D184" i="6"/>
  <c r="B184" i="6"/>
  <c r="D183" i="6"/>
  <c r="B183" i="6"/>
  <c r="D182" i="6"/>
  <c r="B182" i="6"/>
  <c r="D181" i="6"/>
  <c r="B181" i="6"/>
  <c r="D180" i="6"/>
  <c r="B180" i="6"/>
  <c r="D179" i="6"/>
  <c r="B179" i="6"/>
  <c r="D178" i="6"/>
  <c r="B178" i="6"/>
  <c r="D177" i="6"/>
  <c r="B177" i="6"/>
  <c r="D176" i="6"/>
  <c r="B176" i="6"/>
  <c r="D175" i="6"/>
  <c r="B175" i="6"/>
  <c r="D174" i="6"/>
  <c r="B174" i="6"/>
  <c r="D173" i="6"/>
  <c r="B173" i="6"/>
  <c r="D172" i="6"/>
  <c r="B172" i="6"/>
  <c r="D171" i="6"/>
  <c r="B171" i="6"/>
  <c r="D170" i="6"/>
  <c r="B170" i="6"/>
  <c r="D169" i="6"/>
  <c r="B169" i="6"/>
  <c r="D168" i="6"/>
  <c r="B168" i="6"/>
  <c r="D167" i="6"/>
  <c r="B167" i="6"/>
  <c r="D166" i="6"/>
  <c r="B166" i="6"/>
  <c r="D165" i="6"/>
  <c r="B165" i="6"/>
  <c r="D164" i="6"/>
  <c r="B164" i="6"/>
  <c r="D163" i="6"/>
  <c r="B163" i="6"/>
  <c r="D162" i="6"/>
  <c r="B162" i="6"/>
  <c r="D161" i="6"/>
  <c r="B161" i="6"/>
  <c r="D160" i="6"/>
  <c r="B160" i="6"/>
  <c r="D159" i="6"/>
  <c r="B159" i="6"/>
  <c r="D158" i="6"/>
  <c r="B158" i="6"/>
  <c r="D157" i="6"/>
  <c r="B157" i="6"/>
  <c r="D156" i="6"/>
  <c r="B156" i="6"/>
  <c r="D155" i="6"/>
  <c r="B155" i="6"/>
  <c r="D154" i="6"/>
  <c r="B154" i="6"/>
  <c r="D153" i="6"/>
  <c r="B153" i="6"/>
  <c r="D152" i="6"/>
  <c r="B152" i="6"/>
  <c r="D151" i="6"/>
  <c r="B151" i="6"/>
  <c r="D150" i="6"/>
  <c r="B150" i="6"/>
  <c r="D149" i="6"/>
  <c r="B149" i="6"/>
  <c r="D148" i="6"/>
  <c r="B148" i="6"/>
  <c r="D147" i="6"/>
  <c r="B147" i="6"/>
  <c r="D146" i="6"/>
  <c r="B146" i="6"/>
  <c r="D145" i="6"/>
  <c r="B145" i="6"/>
  <c r="D144" i="6"/>
  <c r="B144" i="6"/>
  <c r="D143" i="6"/>
  <c r="B143" i="6"/>
  <c r="D142" i="6"/>
  <c r="B142" i="6"/>
  <c r="D141" i="6"/>
  <c r="B141" i="6"/>
  <c r="D140" i="6"/>
  <c r="B140" i="6"/>
  <c r="D139" i="6"/>
  <c r="B139" i="6"/>
  <c r="D138" i="6"/>
  <c r="B138" i="6"/>
  <c r="D137" i="6"/>
  <c r="B137" i="6"/>
  <c r="D136" i="6"/>
  <c r="B136" i="6"/>
  <c r="D135" i="6"/>
  <c r="B135" i="6"/>
  <c r="D134" i="6"/>
  <c r="B134" i="6"/>
  <c r="D133" i="6"/>
  <c r="B133" i="6"/>
  <c r="D132" i="6"/>
  <c r="B132" i="6"/>
  <c r="D131" i="6"/>
  <c r="B131" i="6"/>
  <c r="D130" i="6"/>
  <c r="B130" i="6"/>
  <c r="D129" i="6"/>
  <c r="B129" i="6"/>
  <c r="D128" i="6"/>
  <c r="B128" i="6"/>
  <c r="D127" i="6"/>
  <c r="B127" i="6"/>
  <c r="D126" i="6"/>
  <c r="B126" i="6"/>
  <c r="D125" i="6"/>
  <c r="B125" i="6"/>
  <c r="D124" i="6"/>
  <c r="B124" i="6"/>
  <c r="D123" i="6"/>
  <c r="B123" i="6"/>
  <c r="D122" i="6"/>
  <c r="B122" i="6"/>
  <c r="D121" i="6"/>
  <c r="B121" i="6"/>
  <c r="D120" i="6"/>
  <c r="B120" i="6"/>
  <c r="D119" i="6"/>
  <c r="B119" i="6"/>
  <c r="D118" i="6"/>
  <c r="B118" i="6"/>
  <c r="D117" i="6"/>
  <c r="B117" i="6"/>
  <c r="D116" i="6"/>
  <c r="B116" i="6"/>
  <c r="D115" i="6"/>
  <c r="B115" i="6"/>
  <c r="D114" i="6"/>
  <c r="B114" i="6"/>
  <c r="D113" i="6"/>
  <c r="B113" i="6"/>
  <c r="D112" i="6"/>
  <c r="B112" i="6"/>
  <c r="D111" i="6"/>
  <c r="B111" i="6"/>
  <c r="D110" i="6"/>
  <c r="B110" i="6"/>
  <c r="D109" i="6"/>
  <c r="B109" i="6"/>
  <c r="D108" i="6"/>
  <c r="B108" i="6"/>
  <c r="D107" i="6"/>
  <c r="B107" i="6"/>
  <c r="D106" i="6"/>
  <c r="B106" i="6"/>
  <c r="D105" i="6"/>
  <c r="B105" i="6"/>
  <c r="D104" i="6"/>
  <c r="B104" i="6"/>
  <c r="D103" i="6"/>
  <c r="B103" i="6"/>
  <c r="D102" i="6"/>
  <c r="B102" i="6"/>
  <c r="D101" i="6"/>
  <c r="B101" i="6"/>
  <c r="D100" i="6"/>
  <c r="B100" i="6"/>
  <c r="D99" i="6"/>
  <c r="B99" i="6"/>
  <c r="D98" i="6"/>
  <c r="B98" i="6"/>
  <c r="D97" i="6"/>
  <c r="B97" i="6"/>
  <c r="D96" i="6"/>
  <c r="B96" i="6"/>
  <c r="D95" i="6"/>
  <c r="B95" i="6"/>
  <c r="D94" i="6"/>
  <c r="B94" i="6"/>
  <c r="D93" i="6"/>
  <c r="B93" i="6"/>
  <c r="D92" i="6"/>
  <c r="B92" i="6"/>
  <c r="D91" i="6"/>
  <c r="B91" i="6"/>
  <c r="D90" i="6"/>
  <c r="B90" i="6"/>
  <c r="D89" i="6"/>
  <c r="B89" i="6"/>
  <c r="D88" i="6"/>
  <c r="B88" i="6"/>
  <c r="D87" i="6"/>
  <c r="B87" i="6"/>
  <c r="D86" i="6"/>
  <c r="B86" i="6"/>
  <c r="D85" i="6"/>
  <c r="B85" i="6"/>
  <c r="D84" i="6"/>
  <c r="B84" i="6"/>
  <c r="D83" i="6"/>
  <c r="B83" i="6"/>
  <c r="D82" i="6"/>
  <c r="B82" i="6"/>
  <c r="D81" i="6"/>
  <c r="B81" i="6"/>
  <c r="D80" i="6"/>
  <c r="B80" i="6"/>
  <c r="D79" i="6"/>
  <c r="B79" i="6"/>
  <c r="D78" i="6"/>
  <c r="B78" i="6"/>
  <c r="D77" i="6"/>
  <c r="B77" i="6"/>
  <c r="D76" i="6"/>
  <c r="B76" i="6"/>
  <c r="D75" i="6"/>
  <c r="B75" i="6"/>
  <c r="D74" i="6"/>
  <c r="B74" i="6"/>
  <c r="D73" i="6"/>
  <c r="B73" i="6"/>
  <c r="D72" i="6"/>
  <c r="B72" i="6"/>
  <c r="D71" i="6"/>
  <c r="B71" i="6"/>
  <c r="D70" i="6"/>
  <c r="B70" i="6"/>
  <c r="D69" i="6"/>
  <c r="B69" i="6"/>
  <c r="D68" i="6"/>
  <c r="B68" i="6"/>
  <c r="D67" i="6"/>
  <c r="B67" i="6"/>
  <c r="D66" i="6"/>
  <c r="B66" i="6"/>
  <c r="D65" i="6"/>
  <c r="B65" i="6"/>
  <c r="D64" i="6"/>
  <c r="B64" i="6"/>
  <c r="D63" i="6"/>
  <c r="B63" i="6"/>
  <c r="D62" i="6"/>
  <c r="B62" i="6"/>
  <c r="D61" i="6"/>
  <c r="B61" i="6"/>
  <c r="D60" i="6"/>
  <c r="B60" i="6"/>
  <c r="D59" i="6"/>
  <c r="B59" i="6"/>
  <c r="D58" i="6"/>
  <c r="B58" i="6"/>
  <c r="D57" i="6"/>
  <c r="B57" i="6"/>
  <c r="D56" i="6"/>
  <c r="B56" i="6"/>
  <c r="D55" i="6"/>
  <c r="B55" i="6"/>
  <c r="D54" i="6"/>
  <c r="B54" i="6"/>
  <c r="D53" i="6"/>
  <c r="B53" i="6"/>
  <c r="D52" i="6"/>
  <c r="B52" i="6"/>
  <c r="D51" i="6"/>
  <c r="B51" i="6"/>
  <c r="D50" i="6"/>
  <c r="B50" i="6"/>
  <c r="D49" i="6"/>
  <c r="B49" i="6"/>
  <c r="D48" i="6"/>
  <c r="B48" i="6"/>
  <c r="D47" i="6"/>
  <c r="B47" i="6"/>
  <c r="D46" i="6"/>
  <c r="B46" i="6"/>
  <c r="D45" i="6"/>
  <c r="B45" i="6"/>
  <c r="D44" i="6"/>
  <c r="B44" i="6"/>
  <c r="D43" i="6"/>
  <c r="B43" i="6"/>
  <c r="D42" i="6"/>
  <c r="B42" i="6"/>
  <c r="D41" i="6"/>
  <c r="B41" i="6"/>
  <c r="D40" i="6"/>
  <c r="B40" i="6"/>
  <c r="D39" i="6"/>
  <c r="B39" i="6"/>
  <c r="D38" i="6"/>
  <c r="B38" i="6"/>
  <c r="D37" i="6"/>
  <c r="B37" i="6"/>
  <c r="D36" i="6"/>
  <c r="B36" i="6"/>
  <c r="D35" i="6"/>
  <c r="B35" i="6"/>
  <c r="D34" i="6"/>
  <c r="B34" i="6"/>
  <c r="D33" i="6"/>
  <c r="B33" i="6"/>
  <c r="D32" i="6"/>
  <c r="B32" i="6"/>
  <c r="D31" i="6"/>
  <c r="B31" i="6"/>
  <c r="D30" i="6"/>
  <c r="B30" i="6"/>
  <c r="D29" i="6"/>
  <c r="B29" i="6"/>
  <c r="D28" i="6"/>
  <c r="B28" i="6"/>
  <c r="D27" i="6"/>
  <c r="B27" i="6"/>
  <c r="D26" i="6"/>
  <c r="B26" i="6"/>
  <c r="D25" i="6"/>
  <c r="B25" i="6"/>
  <c r="D24" i="6"/>
  <c r="B24" i="6"/>
  <c r="D23" i="6"/>
  <c r="B23" i="6"/>
  <c r="D22" i="6"/>
  <c r="B22" i="6"/>
  <c r="D21" i="6"/>
  <c r="B21" i="6"/>
  <c r="D20" i="6"/>
  <c r="B20" i="6"/>
  <c r="D19" i="6"/>
  <c r="B19" i="6"/>
  <c r="D18" i="6"/>
  <c r="B18" i="6"/>
  <c r="D17" i="6"/>
  <c r="B17" i="6"/>
  <c r="D16" i="6"/>
  <c r="B16" i="6"/>
  <c r="D15" i="6"/>
  <c r="B15" i="6"/>
  <c r="D14" i="6"/>
  <c r="B14" i="6"/>
  <c r="D13" i="6"/>
  <c r="B13" i="6"/>
  <c r="D12" i="6"/>
  <c r="B12" i="6"/>
  <c r="D11" i="6"/>
  <c r="B11" i="6"/>
  <c r="D10" i="6"/>
  <c r="B10" i="6"/>
  <c r="D9" i="6"/>
  <c r="B9" i="6"/>
  <c r="D8" i="6"/>
  <c r="B8" i="6"/>
  <c r="D7" i="6"/>
  <c r="B7" i="6"/>
  <c r="D6" i="6"/>
  <c r="B6" i="6"/>
  <c r="D5" i="6"/>
  <c r="B5" i="6"/>
  <c r="D4" i="6"/>
  <c r="B4" i="6"/>
  <c r="D3" i="6"/>
  <c r="B3" i="6"/>
  <c r="D2" i="6"/>
  <c r="B2" i="6"/>
  <c r="O1000" i="4"/>
  <c r="N1000" i="4"/>
  <c r="M1000" i="4"/>
  <c r="L1000" i="4"/>
  <c r="O999" i="4"/>
  <c r="N999" i="4"/>
  <c r="M999" i="4"/>
  <c r="L999" i="4"/>
  <c r="O998" i="4"/>
  <c r="N998" i="4"/>
  <c r="M998" i="4"/>
  <c r="L998" i="4"/>
  <c r="O997" i="4"/>
  <c r="N997" i="4"/>
  <c r="M997" i="4"/>
  <c r="L997" i="4"/>
  <c r="O996" i="4"/>
  <c r="N996" i="4"/>
  <c r="M996" i="4"/>
  <c r="L996" i="4"/>
  <c r="O995" i="4"/>
  <c r="N995" i="4"/>
  <c r="M995" i="4"/>
  <c r="L995" i="4"/>
  <c r="O994" i="4"/>
  <c r="N994" i="4"/>
  <c r="M994" i="4"/>
  <c r="L994" i="4"/>
  <c r="O993" i="4"/>
  <c r="N993" i="4"/>
  <c r="M993" i="4"/>
  <c r="L993" i="4"/>
  <c r="O992" i="4"/>
  <c r="N992" i="4"/>
  <c r="M992" i="4"/>
  <c r="L992" i="4"/>
  <c r="O991" i="4"/>
  <c r="N991" i="4"/>
  <c r="M991" i="4"/>
  <c r="L991" i="4"/>
  <c r="O990" i="4"/>
  <c r="N990" i="4"/>
  <c r="M990" i="4"/>
  <c r="L990" i="4"/>
  <c r="O989" i="4"/>
  <c r="N989" i="4"/>
  <c r="M989" i="4"/>
  <c r="L989" i="4"/>
  <c r="O988" i="4"/>
  <c r="N988" i="4"/>
  <c r="M988" i="4"/>
  <c r="L988" i="4"/>
  <c r="O987" i="4"/>
  <c r="N987" i="4"/>
  <c r="M987" i="4"/>
  <c r="L987" i="4"/>
  <c r="O986" i="4"/>
  <c r="N986" i="4"/>
  <c r="M986" i="4"/>
  <c r="L986" i="4"/>
  <c r="O985" i="4"/>
  <c r="N985" i="4"/>
  <c r="M985" i="4"/>
  <c r="L985" i="4"/>
  <c r="O984" i="4"/>
  <c r="N984" i="4"/>
  <c r="M984" i="4"/>
  <c r="L984" i="4"/>
  <c r="O983" i="4"/>
  <c r="N983" i="4"/>
  <c r="M983" i="4"/>
  <c r="L983" i="4"/>
  <c r="O982" i="4"/>
  <c r="N982" i="4"/>
  <c r="M982" i="4"/>
  <c r="L982" i="4"/>
  <c r="O981" i="4"/>
  <c r="N981" i="4"/>
  <c r="M981" i="4"/>
  <c r="L981" i="4"/>
  <c r="O980" i="4"/>
  <c r="N980" i="4"/>
  <c r="M980" i="4"/>
  <c r="L980" i="4"/>
  <c r="O979" i="4"/>
  <c r="N979" i="4"/>
  <c r="M979" i="4"/>
  <c r="L979" i="4"/>
  <c r="O978" i="4"/>
  <c r="N978" i="4"/>
  <c r="M978" i="4"/>
  <c r="L978" i="4"/>
  <c r="O977" i="4"/>
  <c r="N977" i="4"/>
  <c r="M977" i="4"/>
  <c r="L977" i="4"/>
  <c r="O976" i="4"/>
  <c r="N976" i="4"/>
  <c r="M976" i="4"/>
  <c r="L976" i="4"/>
  <c r="O975" i="4"/>
  <c r="N975" i="4"/>
  <c r="M975" i="4"/>
  <c r="L975" i="4"/>
  <c r="O974" i="4"/>
  <c r="N974" i="4"/>
  <c r="M974" i="4"/>
  <c r="L974" i="4"/>
  <c r="O973" i="4"/>
  <c r="N973" i="4"/>
  <c r="M973" i="4"/>
  <c r="L973" i="4"/>
  <c r="O972" i="4"/>
  <c r="N972" i="4"/>
  <c r="M972" i="4"/>
  <c r="L972" i="4"/>
  <c r="O971" i="4"/>
  <c r="N971" i="4"/>
  <c r="M971" i="4"/>
  <c r="L971" i="4"/>
  <c r="O970" i="4"/>
  <c r="N970" i="4"/>
  <c r="M970" i="4"/>
  <c r="L970" i="4"/>
  <c r="O969" i="4"/>
  <c r="N969" i="4"/>
  <c r="M969" i="4"/>
  <c r="L969" i="4"/>
  <c r="O968" i="4"/>
  <c r="N968" i="4"/>
  <c r="M968" i="4"/>
  <c r="L968" i="4"/>
  <c r="O967" i="4"/>
  <c r="N967" i="4"/>
  <c r="M967" i="4"/>
  <c r="L967" i="4"/>
  <c r="O966" i="4"/>
  <c r="N966" i="4"/>
  <c r="M966" i="4"/>
  <c r="L966" i="4"/>
  <c r="O965" i="4"/>
  <c r="N965" i="4"/>
  <c r="M965" i="4"/>
  <c r="L965" i="4"/>
  <c r="O964" i="4"/>
  <c r="N964" i="4"/>
  <c r="M964" i="4"/>
  <c r="L964" i="4"/>
  <c r="O963" i="4"/>
  <c r="N963" i="4"/>
  <c r="M963" i="4"/>
  <c r="L963" i="4"/>
  <c r="O962" i="4"/>
  <c r="N962" i="4"/>
  <c r="M962" i="4"/>
  <c r="L962" i="4"/>
  <c r="O961" i="4"/>
  <c r="N961" i="4"/>
  <c r="M961" i="4"/>
  <c r="L961" i="4"/>
  <c r="O960" i="4"/>
  <c r="N960" i="4"/>
  <c r="M960" i="4"/>
  <c r="L960" i="4"/>
  <c r="O959" i="4"/>
  <c r="N959" i="4"/>
  <c r="M959" i="4"/>
  <c r="L959" i="4"/>
  <c r="O958" i="4"/>
  <c r="N958" i="4"/>
  <c r="M958" i="4"/>
  <c r="L958" i="4"/>
  <c r="O957" i="4"/>
  <c r="N957" i="4"/>
  <c r="M957" i="4"/>
  <c r="L957" i="4"/>
  <c r="O956" i="4"/>
  <c r="N956" i="4"/>
  <c r="M956" i="4"/>
  <c r="L956" i="4"/>
  <c r="O955" i="4"/>
  <c r="N955" i="4"/>
  <c r="M955" i="4"/>
  <c r="L955" i="4"/>
  <c r="O954" i="4"/>
  <c r="N954" i="4"/>
  <c r="M954" i="4"/>
  <c r="L954" i="4"/>
  <c r="O953" i="4"/>
  <c r="N953" i="4"/>
  <c r="M953" i="4"/>
  <c r="L953" i="4"/>
  <c r="O952" i="4"/>
  <c r="N952" i="4"/>
  <c r="M952" i="4"/>
  <c r="L952" i="4"/>
  <c r="O951" i="4"/>
  <c r="N951" i="4"/>
  <c r="M951" i="4"/>
  <c r="L951" i="4"/>
  <c r="O950" i="4"/>
  <c r="N950" i="4"/>
  <c r="M950" i="4"/>
  <c r="L950" i="4"/>
  <c r="O949" i="4"/>
  <c r="N949" i="4"/>
  <c r="M949" i="4"/>
  <c r="L949" i="4"/>
  <c r="O948" i="4"/>
  <c r="N948" i="4"/>
  <c r="M948" i="4"/>
  <c r="L948" i="4"/>
  <c r="O947" i="4"/>
  <c r="N947" i="4"/>
  <c r="M947" i="4"/>
  <c r="L947" i="4"/>
  <c r="O946" i="4"/>
  <c r="N946" i="4"/>
  <c r="M946" i="4"/>
  <c r="L946" i="4"/>
  <c r="O945" i="4"/>
  <c r="N945" i="4"/>
  <c r="M945" i="4"/>
  <c r="L945" i="4"/>
  <c r="O944" i="4"/>
  <c r="N944" i="4"/>
  <c r="M944" i="4"/>
  <c r="L944" i="4"/>
  <c r="O943" i="4"/>
  <c r="N943" i="4"/>
  <c r="M943" i="4"/>
  <c r="L943" i="4"/>
  <c r="O942" i="4"/>
  <c r="N942" i="4"/>
  <c r="M942" i="4"/>
  <c r="L942" i="4"/>
  <c r="O941" i="4"/>
  <c r="N941" i="4"/>
  <c r="M941" i="4"/>
  <c r="L941" i="4"/>
  <c r="O940" i="4"/>
  <c r="N940" i="4"/>
  <c r="M940" i="4"/>
  <c r="L940" i="4"/>
  <c r="O939" i="4"/>
  <c r="N939" i="4"/>
  <c r="M939" i="4"/>
  <c r="L939" i="4"/>
  <c r="O938" i="4"/>
  <c r="N938" i="4"/>
  <c r="M938" i="4"/>
  <c r="L938" i="4"/>
  <c r="O937" i="4"/>
  <c r="N937" i="4"/>
  <c r="M937" i="4"/>
  <c r="L937" i="4"/>
  <c r="O936" i="4"/>
  <c r="N936" i="4"/>
  <c r="M936" i="4"/>
  <c r="L936" i="4"/>
  <c r="O935" i="4"/>
  <c r="N935" i="4"/>
  <c r="M935" i="4"/>
  <c r="L935" i="4"/>
  <c r="O934" i="4"/>
  <c r="N934" i="4"/>
  <c r="M934" i="4"/>
  <c r="L934" i="4"/>
  <c r="O933" i="4"/>
  <c r="N933" i="4"/>
  <c r="M933" i="4"/>
  <c r="L933" i="4"/>
  <c r="O932" i="4"/>
  <c r="N932" i="4"/>
  <c r="M932" i="4"/>
  <c r="L932" i="4"/>
  <c r="O931" i="4"/>
  <c r="N931" i="4"/>
  <c r="M931" i="4"/>
  <c r="L931" i="4"/>
  <c r="O930" i="4"/>
  <c r="N930" i="4"/>
  <c r="M930" i="4"/>
  <c r="L930" i="4"/>
  <c r="O929" i="4"/>
  <c r="N929" i="4"/>
  <c r="M929" i="4"/>
  <c r="L929" i="4"/>
  <c r="O928" i="4"/>
  <c r="N928" i="4"/>
  <c r="M928" i="4"/>
  <c r="L928" i="4"/>
  <c r="O927" i="4"/>
  <c r="N927" i="4"/>
  <c r="M927" i="4"/>
  <c r="L927" i="4"/>
  <c r="O926" i="4"/>
  <c r="N926" i="4"/>
  <c r="M926" i="4"/>
  <c r="L926" i="4"/>
  <c r="O925" i="4"/>
  <c r="N925" i="4"/>
  <c r="M925" i="4"/>
  <c r="L925" i="4"/>
  <c r="O924" i="4"/>
  <c r="N924" i="4"/>
  <c r="M924" i="4"/>
  <c r="L924" i="4"/>
  <c r="O923" i="4"/>
  <c r="N923" i="4"/>
  <c r="M923" i="4"/>
  <c r="L923" i="4"/>
  <c r="O922" i="4"/>
  <c r="N922" i="4"/>
  <c r="M922" i="4"/>
  <c r="L922" i="4"/>
  <c r="O921" i="4"/>
  <c r="N921" i="4"/>
  <c r="M921" i="4"/>
  <c r="L921" i="4"/>
  <c r="O920" i="4"/>
  <c r="N920" i="4"/>
  <c r="M920" i="4"/>
  <c r="L920" i="4"/>
  <c r="O919" i="4"/>
  <c r="N919" i="4"/>
  <c r="M919" i="4"/>
  <c r="L919" i="4"/>
  <c r="O918" i="4"/>
  <c r="N918" i="4"/>
  <c r="M918" i="4"/>
  <c r="L918" i="4"/>
  <c r="O917" i="4"/>
  <c r="N917" i="4"/>
  <c r="M917" i="4"/>
  <c r="L917" i="4"/>
  <c r="O916" i="4"/>
  <c r="N916" i="4"/>
  <c r="M916" i="4"/>
  <c r="L916" i="4"/>
  <c r="O915" i="4"/>
  <c r="N915" i="4"/>
  <c r="M915" i="4"/>
  <c r="L915" i="4"/>
  <c r="O914" i="4"/>
  <c r="N914" i="4"/>
  <c r="M914" i="4"/>
  <c r="L914" i="4"/>
  <c r="O913" i="4"/>
  <c r="N913" i="4"/>
  <c r="M913" i="4"/>
  <c r="L913" i="4"/>
  <c r="O912" i="4"/>
  <c r="N912" i="4"/>
  <c r="M912" i="4"/>
  <c r="L912" i="4"/>
  <c r="O911" i="4"/>
  <c r="N911" i="4"/>
  <c r="M911" i="4"/>
  <c r="L911" i="4"/>
  <c r="O910" i="4"/>
  <c r="N910" i="4"/>
  <c r="M910" i="4"/>
  <c r="L910" i="4"/>
  <c r="O909" i="4"/>
  <c r="N909" i="4"/>
  <c r="M909" i="4"/>
  <c r="L909" i="4"/>
  <c r="O908" i="4"/>
  <c r="N908" i="4"/>
  <c r="M908" i="4"/>
  <c r="L908" i="4"/>
  <c r="O907" i="4"/>
  <c r="N907" i="4"/>
  <c r="M907" i="4"/>
  <c r="L907" i="4"/>
  <c r="O906" i="4"/>
  <c r="N906" i="4"/>
  <c r="M906" i="4"/>
  <c r="L906" i="4"/>
  <c r="O905" i="4"/>
  <c r="N905" i="4"/>
  <c r="M905" i="4"/>
  <c r="L905" i="4"/>
  <c r="O904" i="4"/>
  <c r="N904" i="4"/>
  <c r="M904" i="4"/>
  <c r="L904" i="4"/>
  <c r="O903" i="4"/>
  <c r="N903" i="4"/>
  <c r="M903" i="4"/>
  <c r="L903" i="4"/>
  <c r="O902" i="4"/>
  <c r="N902" i="4"/>
  <c r="M902" i="4"/>
  <c r="L902" i="4"/>
  <c r="O901" i="4"/>
  <c r="N901" i="4"/>
  <c r="M901" i="4"/>
  <c r="L901" i="4"/>
  <c r="O900" i="4"/>
  <c r="N900" i="4"/>
  <c r="M900" i="4"/>
  <c r="L900" i="4"/>
  <c r="O899" i="4"/>
  <c r="N899" i="4"/>
  <c r="M899" i="4"/>
  <c r="L899" i="4"/>
  <c r="O898" i="4"/>
  <c r="N898" i="4"/>
  <c r="M898" i="4"/>
  <c r="L898" i="4"/>
  <c r="O897" i="4"/>
  <c r="N897" i="4"/>
  <c r="M897" i="4"/>
  <c r="L897" i="4"/>
  <c r="O896" i="4"/>
  <c r="N896" i="4"/>
  <c r="M896" i="4"/>
  <c r="L896" i="4"/>
  <c r="O895" i="4"/>
  <c r="N895" i="4"/>
  <c r="M895" i="4"/>
  <c r="L895" i="4"/>
  <c r="O894" i="4"/>
  <c r="N894" i="4"/>
  <c r="M894" i="4"/>
  <c r="L894" i="4"/>
  <c r="O893" i="4"/>
  <c r="N893" i="4"/>
  <c r="M893" i="4"/>
  <c r="L893" i="4"/>
  <c r="O892" i="4"/>
  <c r="N892" i="4"/>
  <c r="M892" i="4"/>
  <c r="L892" i="4"/>
  <c r="O891" i="4"/>
  <c r="N891" i="4"/>
  <c r="M891" i="4"/>
  <c r="L891" i="4"/>
  <c r="O890" i="4"/>
  <c r="N890" i="4"/>
  <c r="M890" i="4"/>
  <c r="L890" i="4"/>
  <c r="O889" i="4"/>
  <c r="N889" i="4"/>
  <c r="M889" i="4"/>
  <c r="L889" i="4"/>
  <c r="O888" i="4"/>
  <c r="N888" i="4"/>
  <c r="M888" i="4"/>
  <c r="L888" i="4"/>
  <c r="O887" i="4"/>
  <c r="N887" i="4"/>
  <c r="M887" i="4"/>
  <c r="L887" i="4"/>
  <c r="O886" i="4"/>
  <c r="N886" i="4"/>
  <c r="M886" i="4"/>
  <c r="L886" i="4"/>
  <c r="O885" i="4"/>
  <c r="N885" i="4"/>
  <c r="M885" i="4"/>
  <c r="L885" i="4"/>
  <c r="O884" i="4"/>
  <c r="N884" i="4"/>
  <c r="M884" i="4"/>
  <c r="L884" i="4"/>
  <c r="O883" i="4"/>
  <c r="N883" i="4"/>
  <c r="M883" i="4"/>
  <c r="L883" i="4"/>
  <c r="O882" i="4"/>
  <c r="N882" i="4"/>
  <c r="M882" i="4"/>
  <c r="L882" i="4"/>
  <c r="O881" i="4"/>
  <c r="N881" i="4"/>
  <c r="M881" i="4"/>
  <c r="L881" i="4"/>
  <c r="O880" i="4"/>
  <c r="N880" i="4"/>
  <c r="M880" i="4"/>
  <c r="L880" i="4"/>
  <c r="O879" i="4"/>
  <c r="N879" i="4"/>
  <c r="M879" i="4"/>
  <c r="L879" i="4"/>
  <c r="O878" i="4"/>
  <c r="N878" i="4"/>
  <c r="M878" i="4"/>
  <c r="L878" i="4"/>
  <c r="O877" i="4"/>
  <c r="N877" i="4"/>
  <c r="M877" i="4"/>
  <c r="L877" i="4"/>
  <c r="O876" i="4"/>
  <c r="N876" i="4"/>
  <c r="M876" i="4"/>
  <c r="L876" i="4"/>
  <c r="O875" i="4"/>
  <c r="N875" i="4"/>
  <c r="M875" i="4"/>
  <c r="L875" i="4"/>
  <c r="O874" i="4"/>
  <c r="N874" i="4"/>
  <c r="M874" i="4"/>
  <c r="L874" i="4"/>
  <c r="O873" i="4"/>
  <c r="N873" i="4"/>
  <c r="M873" i="4"/>
  <c r="L873" i="4"/>
  <c r="O872" i="4"/>
  <c r="N872" i="4"/>
  <c r="M872" i="4"/>
  <c r="L872" i="4"/>
  <c r="O871" i="4"/>
  <c r="N871" i="4"/>
  <c r="M871" i="4"/>
  <c r="L871" i="4"/>
  <c r="O870" i="4"/>
  <c r="N870" i="4"/>
  <c r="M870" i="4"/>
  <c r="L870" i="4"/>
  <c r="O869" i="4"/>
  <c r="N869" i="4"/>
  <c r="M869" i="4"/>
  <c r="L869" i="4"/>
  <c r="O868" i="4"/>
  <c r="N868" i="4"/>
  <c r="M868" i="4"/>
  <c r="L868" i="4"/>
  <c r="O867" i="4"/>
  <c r="N867" i="4"/>
  <c r="M867" i="4"/>
  <c r="L867" i="4"/>
  <c r="O866" i="4"/>
  <c r="N866" i="4"/>
  <c r="M866" i="4"/>
  <c r="L866" i="4"/>
  <c r="O865" i="4"/>
  <c r="N865" i="4"/>
  <c r="M865" i="4"/>
  <c r="L865" i="4"/>
  <c r="O864" i="4"/>
  <c r="N864" i="4"/>
  <c r="M864" i="4"/>
  <c r="L864" i="4"/>
  <c r="O863" i="4"/>
  <c r="N863" i="4"/>
  <c r="M863" i="4"/>
  <c r="L863" i="4"/>
  <c r="O862" i="4"/>
  <c r="N862" i="4"/>
  <c r="M862" i="4"/>
  <c r="L862" i="4"/>
  <c r="O861" i="4"/>
  <c r="N861" i="4"/>
  <c r="M861" i="4"/>
  <c r="L861" i="4"/>
  <c r="O860" i="4"/>
  <c r="N860" i="4"/>
  <c r="M860" i="4"/>
  <c r="L860" i="4"/>
  <c r="O859" i="4"/>
  <c r="N859" i="4"/>
  <c r="M859" i="4"/>
  <c r="L859" i="4"/>
  <c r="O858" i="4"/>
  <c r="N858" i="4"/>
  <c r="M858" i="4"/>
  <c r="L858" i="4"/>
  <c r="O857" i="4"/>
  <c r="N857" i="4"/>
  <c r="M857" i="4"/>
  <c r="L857" i="4"/>
  <c r="O856" i="4"/>
  <c r="N856" i="4"/>
  <c r="M856" i="4"/>
  <c r="L856" i="4"/>
  <c r="O855" i="4"/>
  <c r="N855" i="4"/>
  <c r="M855" i="4"/>
  <c r="L855" i="4"/>
  <c r="O854" i="4"/>
  <c r="N854" i="4"/>
  <c r="M854" i="4"/>
  <c r="L854" i="4"/>
  <c r="O853" i="4"/>
  <c r="N853" i="4"/>
  <c r="M853" i="4"/>
  <c r="L853" i="4"/>
  <c r="O852" i="4"/>
  <c r="N852" i="4"/>
  <c r="M852" i="4"/>
  <c r="L852" i="4"/>
  <c r="O851" i="4"/>
  <c r="N851" i="4"/>
  <c r="M851" i="4"/>
  <c r="L851" i="4"/>
  <c r="O850" i="4"/>
  <c r="N850" i="4"/>
  <c r="M850" i="4"/>
  <c r="L850" i="4"/>
  <c r="O849" i="4"/>
  <c r="N849" i="4"/>
  <c r="M849" i="4"/>
  <c r="L849" i="4"/>
  <c r="O848" i="4"/>
  <c r="N848" i="4"/>
  <c r="M848" i="4"/>
  <c r="L848" i="4"/>
  <c r="O847" i="4"/>
  <c r="N847" i="4"/>
  <c r="M847" i="4"/>
  <c r="L847" i="4"/>
  <c r="O846" i="4"/>
  <c r="N846" i="4"/>
  <c r="M846" i="4"/>
  <c r="L846" i="4"/>
  <c r="O845" i="4"/>
  <c r="N845" i="4"/>
  <c r="M845" i="4"/>
  <c r="L845" i="4"/>
  <c r="O844" i="4"/>
  <c r="N844" i="4"/>
  <c r="M844" i="4"/>
  <c r="L844" i="4"/>
  <c r="O843" i="4"/>
  <c r="N843" i="4"/>
  <c r="M843" i="4"/>
  <c r="L843" i="4"/>
  <c r="O842" i="4"/>
  <c r="N842" i="4"/>
  <c r="M842" i="4"/>
  <c r="L842" i="4"/>
  <c r="O841" i="4"/>
  <c r="N841" i="4"/>
  <c r="M841" i="4"/>
  <c r="L841" i="4"/>
  <c r="O840" i="4"/>
  <c r="N840" i="4"/>
  <c r="M840" i="4"/>
  <c r="L840" i="4"/>
  <c r="O839" i="4"/>
  <c r="N839" i="4"/>
  <c r="M839" i="4"/>
  <c r="L839" i="4"/>
  <c r="O838" i="4"/>
  <c r="N838" i="4"/>
  <c r="M838" i="4"/>
  <c r="L838" i="4"/>
  <c r="O837" i="4"/>
  <c r="N837" i="4"/>
  <c r="M837" i="4"/>
  <c r="L837" i="4"/>
  <c r="O836" i="4"/>
  <c r="N836" i="4"/>
  <c r="M836" i="4"/>
  <c r="L836" i="4"/>
  <c r="O835" i="4"/>
  <c r="N835" i="4"/>
  <c r="M835" i="4"/>
  <c r="L835" i="4"/>
  <c r="O834" i="4"/>
  <c r="N834" i="4"/>
  <c r="M834" i="4"/>
  <c r="L834" i="4"/>
  <c r="O833" i="4"/>
  <c r="N833" i="4"/>
  <c r="M833" i="4"/>
  <c r="L833" i="4"/>
  <c r="O832" i="4"/>
  <c r="N832" i="4"/>
  <c r="M832" i="4"/>
  <c r="L832" i="4"/>
  <c r="O831" i="4"/>
  <c r="N831" i="4"/>
  <c r="M831" i="4"/>
  <c r="L831" i="4"/>
  <c r="O830" i="4"/>
  <c r="N830" i="4"/>
  <c r="M830" i="4"/>
  <c r="L830" i="4"/>
  <c r="O829" i="4"/>
  <c r="N829" i="4"/>
  <c r="M829" i="4"/>
  <c r="L829" i="4"/>
  <c r="O828" i="4"/>
  <c r="N828" i="4"/>
  <c r="M828" i="4"/>
  <c r="L828" i="4"/>
  <c r="O827" i="4"/>
  <c r="N827" i="4"/>
  <c r="M827" i="4"/>
  <c r="L827" i="4"/>
  <c r="O826" i="4"/>
  <c r="N826" i="4"/>
  <c r="M826" i="4"/>
  <c r="L826" i="4"/>
  <c r="O825" i="4"/>
  <c r="N825" i="4"/>
  <c r="M825" i="4"/>
  <c r="L825" i="4"/>
  <c r="O824" i="4"/>
  <c r="N824" i="4"/>
  <c r="M824" i="4"/>
  <c r="L824" i="4"/>
  <c r="O823" i="4"/>
  <c r="N823" i="4"/>
  <c r="M823" i="4"/>
  <c r="L823" i="4"/>
  <c r="O822" i="4"/>
  <c r="N822" i="4"/>
  <c r="M822" i="4"/>
  <c r="L822" i="4"/>
  <c r="O821" i="4"/>
  <c r="N821" i="4"/>
  <c r="M821" i="4"/>
  <c r="L821" i="4"/>
  <c r="O820" i="4"/>
  <c r="N820" i="4"/>
  <c r="M820" i="4"/>
  <c r="L820" i="4"/>
  <c r="O819" i="4"/>
  <c r="N819" i="4"/>
  <c r="M819" i="4"/>
  <c r="L819" i="4"/>
  <c r="O818" i="4"/>
  <c r="N818" i="4"/>
  <c r="M818" i="4"/>
  <c r="L818" i="4"/>
  <c r="O817" i="4"/>
  <c r="N817" i="4"/>
  <c r="M817" i="4"/>
  <c r="L817" i="4"/>
  <c r="O816" i="4"/>
  <c r="N816" i="4"/>
  <c r="M816" i="4"/>
  <c r="L816" i="4"/>
  <c r="O815" i="4"/>
  <c r="N815" i="4"/>
  <c r="M815" i="4"/>
  <c r="L815" i="4"/>
  <c r="O814" i="4"/>
  <c r="N814" i="4"/>
  <c r="M814" i="4"/>
  <c r="L814" i="4"/>
  <c r="O813" i="4"/>
  <c r="N813" i="4"/>
  <c r="M813" i="4"/>
  <c r="L813" i="4"/>
  <c r="O812" i="4"/>
  <c r="N812" i="4"/>
  <c r="M812" i="4"/>
  <c r="L812" i="4"/>
  <c r="O811" i="4"/>
  <c r="N811" i="4"/>
  <c r="M811" i="4"/>
  <c r="L811" i="4"/>
  <c r="O810" i="4"/>
  <c r="N810" i="4"/>
  <c r="M810" i="4"/>
  <c r="L810" i="4"/>
  <c r="O809" i="4"/>
  <c r="N809" i="4"/>
  <c r="M809" i="4"/>
  <c r="L809" i="4"/>
  <c r="O808" i="4"/>
  <c r="N808" i="4"/>
  <c r="M808" i="4"/>
  <c r="L808" i="4"/>
  <c r="O807" i="4"/>
  <c r="N807" i="4"/>
  <c r="M807" i="4"/>
  <c r="L807" i="4"/>
  <c r="O806" i="4"/>
  <c r="N806" i="4"/>
  <c r="M806" i="4"/>
  <c r="L806" i="4"/>
  <c r="O805" i="4"/>
  <c r="N805" i="4"/>
  <c r="M805" i="4"/>
  <c r="L805" i="4"/>
  <c r="O804" i="4"/>
  <c r="N804" i="4"/>
  <c r="M804" i="4"/>
  <c r="L804" i="4"/>
  <c r="O803" i="4"/>
  <c r="N803" i="4"/>
  <c r="M803" i="4"/>
  <c r="L803" i="4"/>
  <c r="O802" i="4"/>
  <c r="N802" i="4"/>
  <c r="M802" i="4"/>
  <c r="L802" i="4"/>
  <c r="O801" i="4"/>
  <c r="N801" i="4"/>
  <c r="M801" i="4"/>
  <c r="L801" i="4"/>
  <c r="O800" i="4"/>
  <c r="N800" i="4"/>
  <c r="M800" i="4"/>
  <c r="L800" i="4"/>
  <c r="O799" i="4"/>
  <c r="N799" i="4"/>
  <c r="M799" i="4"/>
  <c r="L799" i="4"/>
  <c r="O798" i="4"/>
  <c r="N798" i="4"/>
  <c r="M798" i="4"/>
  <c r="L798" i="4"/>
  <c r="O797" i="4"/>
  <c r="N797" i="4"/>
  <c r="M797" i="4"/>
  <c r="L797" i="4"/>
  <c r="O796" i="4"/>
  <c r="N796" i="4"/>
  <c r="M796" i="4"/>
  <c r="L796" i="4"/>
  <c r="O795" i="4"/>
  <c r="N795" i="4"/>
  <c r="M795" i="4"/>
  <c r="L795" i="4"/>
  <c r="O794" i="4"/>
  <c r="N794" i="4"/>
  <c r="M794" i="4"/>
  <c r="L794" i="4"/>
  <c r="O793" i="4"/>
  <c r="N793" i="4"/>
  <c r="M793" i="4"/>
  <c r="L793" i="4"/>
  <c r="O792" i="4"/>
  <c r="N792" i="4"/>
  <c r="M792" i="4"/>
  <c r="L792" i="4"/>
  <c r="O791" i="4"/>
  <c r="N791" i="4"/>
  <c r="M791" i="4"/>
  <c r="L791" i="4"/>
  <c r="O790" i="4"/>
  <c r="N790" i="4"/>
  <c r="M790" i="4"/>
  <c r="L790" i="4"/>
  <c r="O789" i="4"/>
  <c r="N789" i="4"/>
  <c r="M789" i="4"/>
  <c r="L789" i="4"/>
  <c r="O788" i="4"/>
  <c r="N788" i="4"/>
  <c r="M788" i="4"/>
  <c r="L788" i="4"/>
  <c r="O787" i="4"/>
  <c r="N787" i="4"/>
  <c r="M787" i="4"/>
  <c r="L787" i="4"/>
  <c r="O786" i="4"/>
  <c r="N786" i="4"/>
  <c r="M786" i="4"/>
  <c r="L786" i="4"/>
  <c r="O785" i="4"/>
  <c r="N785" i="4"/>
  <c r="M785" i="4"/>
  <c r="L785" i="4"/>
  <c r="O784" i="4"/>
  <c r="N784" i="4"/>
  <c r="M784" i="4"/>
  <c r="L784" i="4"/>
  <c r="O783" i="4"/>
  <c r="N783" i="4"/>
  <c r="M783" i="4"/>
  <c r="L783" i="4"/>
  <c r="O782" i="4"/>
  <c r="N782" i="4"/>
  <c r="M782" i="4"/>
  <c r="L782" i="4"/>
  <c r="O781" i="4"/>
  <c r="N781" i="4"/>
  <c r="M781" i="4"/>
  <c r="L781" i="4"/>
  <c r="O780" i="4"/>
  <c r="N780" i="4"/>
  <c r="M780" i="4"/>
  <c r="L780" i="4"/>
  <c r="O779" i="4"/>
  <c r="N779" i="4"/>
  <c r="M779" i="4"/>
  <c r="L779" i="4"/>
  <c r="O778" i="4"/>
  <c r="N778" i="4"/>
  <c r="M778" i="4"/>
  <c r="L778" i="4"/>
  <c r="O777" i="4"/>
  <c r="N777" i="4"/>
  <c r="M777" i="4"/>
  <c r="L777" i="4"/>
  <c r="O776" i="4"/>
  <c r="N776" i="4"/>
  <c r="M776" i="4"/>
  <c r="L776" i="4"/>
  <c r="O775" i="4"/>
  <c r="N775" i="4"/>
  <c r="M775" i="4"/>
  <c r="L775" i="4"/>
  <c r="O774" i="4"/>
  <c r="N774" i="4"/>
  <c r="M774" i="4"/>
  <c r="L774" i="4"/>
  <c r="O773" i="4"/>
  <c r="N773" i="4"/>
  <c r="M773" i="4"/>
  <c r="L773" i="4"/>
  <c r="O772" i="4"/>
  <c r="N772" i="4"/>
  <c r="M772" i="4"/>
  <c r="L772" i="4"/>
  <c r="O771" i="4"/>
  <c r="N771" i="4"/>
  <c r="M771" i="4"/>
  <c r="L771" i="4"/>
  <c r="O770" i="4"/>
  <c r="N770" i="4"/>
  <c r="M770" i="4"/>
  <c r="L770" i="4"/>
  <c r="O769" i="4"/>
  <c r="N769" i="4"/>
  <c r="M769" i="4"/>
  <c r="L769" i="4"/>
  <c r="O768" i="4"/>
  <c r="N768" i="4"/>
  <c r="M768" i="4"/>
  <c r="L768" i="4"/>
  <c r="O767" i="4"/>
  <c r="N767" i="4"/>
  <c r="M767" i="4"/>
  <c r="L767" i="4"/>
  <c r="O766" i="4"/>
  <c r="N766" i="4"/>
  <c r="M766" i="4"/>
  <c r="L766" i="4"/>
  <c r="O765" i="4"/>
  <c r="N765" i="4"/>
  <c r="M765" i="4"/>
  <c r="L765" i="4"/>
  <c r="O764" i="4"/>
  <c r="N764" i="4"/>
  <c r="M764" i="4"/>
  <c r="L764" i="4"/>
  <c r="O763" i="4"/>
  <c r="N763" i="4"/>
  <c r="M763" i="4"/>
  <c r="L763" i="4"/>
  <c r="O762" i="4"/>
  <c r="N762" i="4"/>
  <c r="M762" i="4"/>
  <c r="L762" i="4"/>
  <c r="O761" i="4"/>
  <c r="N761" i="4"/>
  <c r="M761" i="4"/>
  <c r="L761" i="4"/>
  <c r="O760" i="4"/>
  <c r="N760" i="4"/>
  <c r="M760" i="4"/>
  <c r="L760" i="4"/>
  <c r="O759" i="4"/>
  <c r="N759" i="4"/>
  <c r="M759" i="4"/>
  <c r="L759" i="4"/>
  <c r="O758" i="4"/>
  <c r="N758" i="4"/>
  <c r="M758" i="4"/>
  <c r="L758" i="4"/>
  <c r="O757" i="4"/>
  <c r="N757" i="4"/>
  <c r="M757" i="4"/>
  <c r="L757" i="4"/>
  <c r="O756" i="4"/>
  <c r="N756" i="4"/>
  <c r="M756" i="4"/>
  <c r="L756" i="4"/>
  <c r="O755" i="4"/>
  <c r="N755" i="4"/>
  <c r="M755" i="4"/>
  <c r="L755" i="4"/>
  <c r="O754" i="4"/>
  <c r="N754" i="4"/>
  <c r="M754" i="4"/>
  <c r="L754" i="4"/>
  <c r="O753" i="4"/>
  <c r="N753" i="4"/>
  <c r="M753" i="4"/>
  <c r="L753" i="4"/>
  <c r="O752" i="4"/>
  <c r="N752" i="4"/>
  <c r="M752" i="4"/>
  <c r="L752" i="4"/>
  <c r="O751" i="4"/>
  <c r="N751" i="4"/>
  <c r="M751" i="4"/>
  <c r="L751" i="4"/>
  <c r="O750" i="4"/>
  <c r="N750" i="4"/>
  <c r="M750" i="4"/>
  <c r="L750" i="4"/>
  <c r="O749" i="4"/>
  <c r="N749" i="4"/>
  <c r="M749" i="4"/>
  <c r="L749" i="4"/>
  <c r="O748" i="4"/>
  <c r="N748" i="4"/>
  <c r="M748" i="4"/>
  <c r="L748" i="4"/>
  <c r="O747" i="4"/>
  <c r="N747" i="4"/>
  <c r="M747" i="4"/>
  <c r="L747" i="4"/>
  <c r="O746" i="4"/>
  <c r="N746" i="4"/>
  <c r="M746" i="4"/>
  <c r="L746" i="4"/>
  <c r="O745" i="4"/>
  <c r="N745" i="4"/>
  <c r="M745" i="4"/>
  <c r="L745" i="4"/>
  <c r="O744" i="4"/>
  <c r="N744" i="4"/>
  <c r="M744" i="4"/>
  <c r="L744" i="4"/>
  <c r="O743" i="4"/>
  <c r="N743" i="4"/>
  <c r="M743" i="4"/>
  <c r="L743" i="4"/>
  <c r="O742" i="4"/>
  <c r="N742" i="4"/>
  <c r="M742" i="4"/>
  <c r="L742" i="4"/>
  <c r="O741" i="4"/>
  <c r="N741" i="4"/>
  <c r="M741" i="4"/>
  <c r="L741" i="4"/>
  <c r="O740" i="4"/>
  <c r="N740" i="4"/>
  <c r="M740" i="4"/>
  <c r="L740" i="4"/>
  <c r="O739" i="4"/>
  <c r="N739" i="4"/>
  <c r="M739" i="4"/>
  <c r="L739" i="4"/>
  <c r="O738" i="4"/>
  <c r="N738" i="4"/>
  <c r="M738" i="4"/>
  <c r="L738" i="4"/>
  <c r="O737" i="4"/>
  <c r="N737" i="4"/>
  <c r="M737" i="4"/>
  <c r="L737" i="4"/>
  <c r="O736" i="4"/>
  <c r="N736" i="4"/>
  <c r="M736" i="4"/>
  <c r="L736" i="4"/>
  <c r="O735" i="4"/>
  <c r="N735" i="4"/>
  <c r="M735" i="4"/>
  <c r="L735" i="4"/>
  <c r="O734" i="4"/>
  <c r="N734" i="4"/>
  <c r="M734" i="4"/>
  <c r="L734" i="4"/>
  <c r="O733" i="4"/>
  <c r="N733" i="4"/>
  <c r="M733" i="4"/>
  <c r="L733" i="4"/>
  <c r="O732" i="4"/>
  <c r="N732" i="4"/>
  <c r="M732" i="4"/>
  <c r="L732" i="4"/>
  <c r="O731" i="4"/>
  <c r="N731" i="4"/>
  <c r="M731" i="4"/>
  <c r="L731" i="4"/>
  <c r="O730" i="4"/>
  <c r="N730" i="4"/>
  <c r="M730" i="4"/>
  <c r="L730" i="4"/>
  <c r="O729" i="4"/>
  <c r="N729" i="4"/>
  <c r="M729" i="4"/>
  <c r="L729" i="4"/>
  <c r="O728" i="4"/>
  <c r="N728" i="4"/>
  <c r="M728" i="4"/>
  <c r="L728" i="4"/>
  <c r="O727" i="4"/>
  <c r="N727" i="4"/>
  <c r="M727" i="4"/>
  <c r="L727" i="4"/>
  <c r="O726" i="4"/>
  <c r="N726" i="4"/>
  <c r="M726" i="4"/>
  <c r="L726" i="4"/>
  <c r="O725" i="4"/>
  <c r="N725" i="4"/>
  <c r="M725" i="4"/>
  <c r="L725" i="4"/>
  <c r="O724" i="4"/>
  <c r="N724" i="4"/>
  <c r="M724" i="4"/>
  <c r="L724" i="4"/>
  <c r="O723" i="4"/>
  <c r="N723" i="4"/>
  <c r="M723" i="4"/>
  <c r="L723" i="4"/>
  <c r="O722" i="4"/>
  <c r="N722" i="4"/>
  <c r="M722" i="4"/>
  <c r="L722" i="4"/>
  <c r="O721" i="4"/>
  <c r="N721" i="4"/>
  <c r="M721" i="4"/>
  <c r="L721" i="4"/>
  <c r="O720" i="4"/>
  <c r="N720" i="4"/>
  <c r="M720" i="4"/>
  <c r="L720" i="4"/>
  <c r="O719" i="4"/>
  <c r="N719" i="4"/>
  <c r="M719" i="4"/>
  <c r="L719" i="4"/>
  <c r="O718" i="4"/>
  <c r="N718" i="4"/>
  <c r="M718" i="4"/>
  <c r="L718" i="4"/>
  <c r="O717" i="4"/>
  <c r="N717" i="4"/>
  <c r="M717" i="4"/>
  <c r="L717" i="4"/>
  <c r="O716" i="4"/>
  <c r="N716" i="4"/>
  <c r="M716" i="4"/>
  <c r="L716" i="4"/>
  <c r="O715" i="4"/>
  <c r="N715" i="4"/>
  <c r="M715" i="4"/>
  <c r="L715" i="4"/>
  <c r="O714" i="4"/>
  <c r="N714" i="4"/>
  <c r="M714" i="4"/>
  <c r="L714" i="4"/>
  <c r="O713" i="4"/>
  <c r="N713" i="4"/>
  <c r="M713" i="4"/>
  <c r="L713" i="4"/>
  <c r="O712" i="4"/>
  <c r="N712" i="4"/>
  <c r="M712" i="4"/>
  <c r="L712" i="4"/>
  <c r="O711" i="4"/>
  <c r="N711" i="4"/>
  <c r="M711" i="4"/>
  <c r="L711" i="4"/>
  <c r="O710" i="4"/>
  <c r="N710" i="4"/>
  <c r="M710" i="4"/>
  <c r="L710" i="4"/>
  <c r="O709" i="4"/>
  <c r="N709" i="4"/>
  <c r="M709" i="4"/>
  <c r="L709" i="4"/>
  <c r="O708" i="4"/>
  <c r="N708" i="4"/>
  <c r="M708" i="4"/>
  <c r="L708" i="4"/>
  <c r="O707" i="4"/>
  <c r="N707" i="4"/>
  <c r="M707" i="4"/>
  <c r="L707" i="4"/>
  <c r="O706" i="4"/>
  <c r="N706" i="4"/>
  <c r="M706" i="4"/>
  <c r="L706" i="4"/>
  <c r="O705" i="4"/>
  <c r="N705" i="4"/>
  <c r="M705" i="4"/>
  <c r="L705" i="4"/>
  <c r="O704" i="4"/>
  <c r="N704" i="4"/>
  <c r="M704" i="4"/>
  <c r="L704" i="4"/>
  <c r="O703" i="4"/>
  <c r="N703" i="4"/>
  <c r="M703" i="4"/>
  <c r="L703" i="4"/>
  <c r="O702" i="4"/>
  <c r="N702" i="4"/>
  <c r="M702" i="4"/>
  <c r="L702" i="4"/>
  <c r="O701" i="4"/>
  <c r="N701" i="4"/>
  <c r="M701" i="4"/>
  <c r="L701" i="4"/>
  <c r="O700" i="4"/>
  <c r="N700" i="4"/>
  <c r="M700" i="4"/>
  <c r="L700" i="4"/>
  <c r="O699" i="4"/>
  <c r="N699" i="4"/>
  <c r="M699" i="4"/>
  <c r="L699" i="4"/>
  <c r="O698" i="4"/>
  <c r="N698" i="4"/>
  <c r="M698" i="4"/>
  <c r="L698" i="4"/>
  <c r="O697" i="4"/>
  <c r="N697" i="4"/>
  <c r="M697" i="4"/>
  <c r="L697" i="4"/>
  <c r="O696" i="4"/>
  <c r="N696" i="4"/>
  <c r="M696" i="4"/>
  <c r="L696" i="4"/>
  <c r="O695" i="4"/>
  <c r="N695" i="4"/>
  <c r="M695" i="4"/>
  <c r="L695" i="4"/>
  <c r="O694" i="4"/>
  <c r="N694" i="4"/>
  <c r="M694" i="4"/>
  <c r="L694" i="4"/>
  <c r="O693" i="4"/>
  <c r="N693" i="4"/>
  <c r="M693" i="4"/>
  <c r="L693" i="4"/>
  <c r="O692" i="4"/>
  <c r="N692" i="4"/>
  <c r="M692" i="4"/>
  <c r="L692" i="4"/>
  <c r="O691" i="4"/>
  <c r="N691" i="4"/>
  <c r="M691" i="4"/>
  <c r="L691" i="4"/>
  <c r="O690" i="4"/>
  <c r="N690" i="4"/>
  <c r="M690" i="4"/>
  <c r="L690" i="4"/>
  <c r="O689" i="4"/>
  <c r="N689" i="4"/>
  <c r="M689" i="4"/>
  <c r="L689" i="4"/>
  <c r="O688" i="4"/>
  <c r="N688" i="4"/>
  <c r="M688" i="4"/>
  <c r="L688" i="4"/>
  <c r="O687" i="4"/>
  <c r="N687" i="4"/>
  <c r="M687" i="4"/>
  <c r="L687" i="4"/>
  <c r="O686" i="4"/>
  <c r="N686" i="4"/>
  <c r="M686" i="4"/>
  <c r="L686" i="4"/>
  <c r="O685" i="4"/>
  <c r="N685" i="4"/>
  <c r="M685" i="4"/>
  <c r="L685" i="4"/>
  <c r="O684" i="4"/>
  <c r="N684" i="4"/>
  <c r="M684" i="4"/>
  <c r="L684" i="4"/>
  <c r="O683" i="4"/>
  <c r="N683" i="4"/>
  <c r="M683" i="4"/>
  <c r="L683" i="4"/>
  <c r="O682" i="4"/>
  <c r="N682" i="4"/>
  <c r="M682" i="4"/>
  <c r="L682" i="4"/>
  <c r="O681" i="4"/>
  <c r="N681" i="4"/>
  <c r="M681" i="4"/>
  <c r="L681" i="4"/>
  <c r="O680" i="4"/>
  <c r="N680" i="4"/>
  <c r="M680" i="4"/>
  <c r="L680" i="4"/>
  <c r="O679" i="4"/>
  <c r="N679" i="4"/>
  <c r="M679" i="4"/>
  <c r="L679" i="4"/>
  <c r="O678" i="4"/>
  <c r="N678" i="4"/>
  <c r="M678" i="4"/>
  <c r="L678" i="4"/>
  <c r="O677" i="4"/>
  <c r="N677" i="4"/>
  <c r="M677" i="4"/>
  <c r="L677" i="4"/>
  <c r="O676" i="4"/>
  <c r="N676" i="4"/>
  <c r="M676" i="4"/>
  <c r="L676" i="4"/>
  <c r="O675" i="4"/>
  <c r="N675" i="4"/>
  <c r="M675" i="4"/>
  <c r="L675" i="4"/>
  <c r="O674" i="4"/>
  <c r="N674" i="4"/>
  <c r="M674" i="4"/>
  <c r="L674" i="4"/>
  <c r="O673" i="4"/>
  <c r="N673" i="4"/>
  <c r="M673" i="4"/>
  <c r="L673" i="4"/>
  <c r="O672" i="4"/>
  <c r="N672" i="4"/>
  <c r="M672" i="4"/>
  <c r="L672" i="4"/>
  <c r="O671" i="4"/>
  <c r="N671" i="4"/>
  <c r="M671" i="4"/>
  <c r="L671" i="4"/>
  <c r="O670" i="4"/>
  <c r="N670" i="4"/>
  <c r="M670" i="4"/>
  <c r="L670" i="4"/>
  <c r="O669" i="4"/>
  <c r="N669" i="4"/>
  <c r="M669" i="4"/>
  <c r="L669" i="4"/>
  <c r="O668" i="4"/>
  <c r="N668" i="4"/>
  <c r="M668" i="4"/>
  <c r="L668" i="4"/>
  <c r="O667" i="4"/>
  <c r="N667" i="4"/>
  <c r="M667" i="4"/>
  <c r="L667" i="4"/>
  <c r="O666" i="4"/>
  <c r="N666" i="4"/>
  <c r="M666" i="4"/>
  <c r="L666" i="4"/>
  <c r="O665" i="4"/>
  <c r="N665" i="4"/>
  <c r="M665" i="4"/>
  <c r="L665" i="4"/>
  <c r="O664" i="4"/>
  <c r="N664" i="4"/>
  <c r="M664" i="4"/>
  <c r="L664" i="4"/>
  <c r="O663" i="4"/>
  <c r="N663" i="4"/>
  <c r="M663" i="4"/>
  <c r="L663" i="4"/>
  <c r="O662" i="4"/>
  <c r="N662" i="4"/>
  <c r="M662" i="4"/>
  <c r="L662" i="4"/>
  <c r="O661" i="4"/>
  <c r="N661" i="4"/>
  <c r="M661" i="4"/>
  <c r="L661" i="4"/>
  <c r="O660" i="4"/>
  <c r="N660" i="4"/>
  <c r="M660" i="4"/>
  <c r="L660" i="4"/>
  <c r="O659" i="4"/>
  <c r="N659" i="4"/>
  <c r="M659" i="4"/>
  <c r="L659" i="4"/>
  <c r="O658" i="4"/>
  <c r="N658" i="4"/>
  <c r="M658" i="4"/>
  <c r="L658" i="4"/>
  <c r="O657" i="4"/>
  <c r="N657" i="4"/>
  <c r="M657" i="4"/>
  <c r="L657" i="4"/>
  <c r="O656" i="4"/>
  <c r="N656" i="4"/>
  <c r="M656" i="4"/>
  <c r="L656" i="4"/>
  <c r="O655" i="4"/>
  <c r="N655" i="4"/>
  <c r="M655" i="4"/>
  <c r="L655" i="4"/>
  <c r="O654" i="4"/>
  <c r="N654" i="4"/>
  <c r="M654" i="4"/>
  <c r="L654" i="4"/>
  <c r="O653" i="4"/>
  <c r="N653" i="4"/>
  <c r="M653" i="4"/>
  <c r="L653" i="4"/>
  <c r="O652" i="4"/>
  <c r="N652" i="4"/>
  <c r="M652" i="4"/>
  <c r="L652" i="4"/>
  <c r="O651" i="4"/>
  <c r="N651" i="4"/>
  <c r="M651" i="4"/>
  <c r="L651" i="4"/>
  <c r="O650" i="4"/>
  <c r="N650" i="4"/>
  <c r="M650" i="4"/>
  <c r="L650" i="4"/>
  <c r="O649" i="4"/>
  <c r="N649" i="4"/>
  <c r="M649" i="4"/>
  <c r="L649" i="4"/>
  <c r="O648" i="4"/>
  <c r="N648" i="4"/>
  <c r="M648" i="4"/>
  <c r="L648" i="4"/>
  <c r="O647" i="4"/>
  <c r="N647" i="4"/>
  <c r="M647" i="4"/>
  <c r="L647" i="4"/>
  <c r="O646" i="4"/>
  <c r="N646" i="4"/>
  <c r="M646" i="4"/>
  <c r="L646" i="4"/>
  <c r="O645" i="4"/>
  <c r="N645" i="4"/>
  <c r="M645" i="4"/>
  <c r="L645" i="4"/>
  <c r="O644" i="4"/>
  <c r="N644" i="4"/>
  <c r="M644" i="4"/>
  <c r="L644" i="4"/>
  <c r="O643" i="4"/>
  <c r="N643" i="4"/>
  <c r="M643" i="4"/>
  <c r="L643" i="4"/>
  <c r="O642" i="4"/>
  <c r="N642" i="4"/>
  <c r="M642" i="4"/>
  <c r="L642" i="4"/>
  <c r="O641" i="4"/>
  <c r="N641" i="4"/>
  <c r="M641" i="4"/>
  <c r="L641" i="4"/>
  <c r="O640" i="4"/>
  <c r="N640" i="4"/>
  <c r="M640" i="4"/>
  <c r="L640" i="4"/>
  <c r="O639" i="4"/>
  <c r="N639" i="4"/>
  <c r="M639" i="4"/>
  <c r="L639" i="4"/>
  <c r="O638" i="4"/>
  <c r="N638" i="4"/>
  <c r="M638" i="4"/>
  <c r="L638" i="4"/>
  <c r="O637" i="4"/>
  <c r="N637" i="4"/>
  <c r="M637" i="4"/>
  <c r="L637" i="4"/>
  <c r="O636" i="4"/>
  <c r="N636" i="4"/>
  <c r="M636" i="4"/>
  <c r="L636" i="4"/>
  <c r="O635" i="4"/>
  <c r="N635" i="4"/>
  <c r="M635" i="4"/>
  <c r="L635" i="4"/>
  <c r="O634" i="4"/>
  <c r="N634" i="4"/>
  <c r="M634" i="4"/>
  <c r="L634" i="4"/>
  <c r="O633" i="4"/>
  <c r="N633" i="4"/>
  <c r="M633" i="4"/>
  <c r="L633" i="4"/>
  <c r="O632" i="4"/>
  <c r="N632" i="4"/>
  <c r="M632" i="4"/>
  <c r="L632" i="4"/>
  <c r="O631" i="4"/>
  <c r="N631" i="4"/>
  <c r="M631" i="4"/>
  <c r="L631" i="4"/>
  <c r="O630" i="4"/>
  <c r="N630" i="4"/>
  <c r="M630" i="4"/>
  <c r="L630" i="4"/>
  <c r="O629" i="4"/>
  <c r="N629" i="4"/>
  <c r="M629" i="4"/>
  <c r="L629" i="4"/>
  <c r="O628" i="4"/>
  <c r="N628" i="4"/>
  <c r="M628" i="4"/>
  <c r="L628" i="4"/>
  <c r="O627" i="4"/>
  <c r="N627" i="4"/>
  <c r="M627" i="4"/>
  <c r="L627" i="4"/>
  <c r="O626" i="4"/>
  <c r="N626" i="4"/>
  <c r="M626" i="4"/>
  <c r="L626" i="4"/>
  <c r="O625" i="4"/>
  <c r="N625" i="4"/>
  <c r="M625" i="4"/>
  <c r="L625" i="4"/>
  <c r="O624" i="4"/>
  <c r="N624" i="4"/>
  <c r="M624" i="4"/>
  <c r="L624" i="4"/>
  <c r="O623" i="4"/>
  <c r="N623" i="4"/>
  <c r="M623" i="4"/>
  <c r="L623" i="4"/>
  <c r="O622" i="4"/>
  <c r="N622" i="4"/>
  <c r="M622" i="4"/>
  <c r="L622" i="4"/>
  <c r="O621" i="4"/>
  <c r="N621" i="4"/>
  <c r="M621" i="4"/>
  <c r="L621" i="4"/>
  <c r="O620" i="4"/>
  <c r="N620" i="4"/>
  <c r="M620" i="4"/>
  <c r="L620" i="4"/>
  <c r="O619" i="4"/>
  <c r="N619" i="4"/>
  <c r="M619" i="4"/>
  <c r="L619" i="4"/>
  <c r="O618" i="4"/>
  <c r="N618" i="4"/>
  <c r="M618" i="4"/>
  <c r="L618" i="4"/>
  <c r="O617" i="4"/>
  <c r="N617" i="4"/>
  <c r="M617" i="4"/>
  <c r="L617" i="4"/>
  <c r="O616" i="4"/>
  <c r="N616" i="4"/>
  <c r="M616" i="4"/>
  <c r="L616" i="4"/>
  <c r="O615" i="4"/>
  <c r="N615" i="4"/>
  <c r="M615" i="4"/>
  <c r="L615" i="4"/>
  <c r="O614" i="4"/>
  <c r="N614" i="4"/>
  <c r="M614" i="4"/>
  <c r="L614" i="4"/>
  <c r="O613" i="4"/>
  <c r="N613" i="4"/>
  <c r="M613" i="4"/>
  <c r="L613" i="4"/>
  <c r="O612" i="4"/>
  <c r="N612" i="4"/>
  <c r="M612" i="4"/>
  <c r="L612" i="4"/>
  <c r="O611" i="4"/>
  <c r="N611" i="4"/>
  <c r="M611" i="4"/>
  <c r="L611" i="4"/>
  <c r="O610" i="4"/>
  <c r="N610" i="4"/>
  <c r="M610" i="4"/>
  <c r="L610" i="4"/>
  <c r="O609" i="4"/>
  <c r="N609" i="4"/>
  <c r="M609" i="4"/>
  <c r="L609" i="4"/>
  <c r="O608" i="4"/>
  <c r="N608" i="4"/>
  <c r="M608" i="4"/>
  <c r="L608" i="4"/>
  <c r="O607" i="4"/>
  <c r="N607" i="4"/>
  <c r="M607" i="4"/>
  <c r="L607" i="4"/>
  <c r="O606" i="4"/>
  <c r="N606" i="4"/>
  <c r="M606" i="4"/>
  <c r="L606" i="4"/>
  <c r="O605" i="4"/>
  <c r="N605" i="4"/>
  <c r="M605" i="4"/>
  <c r="L605" i="4"/>
  <c r="O604" i="4"/>
  <c r="N604" i="4"/>
  <c r="M604" i="4"/>
  <c r="L604" i="4"/>
  <c r="O603" i="4"/>
  <c r="N603" i="4"/>
  <c r="M603" i="4"/>
  <c r="L603" i="4"/>
  <c r="O602" i="4"/>
  <c r="N602" i="4"/>
  <c r="M602" i="4"/>
  <c r="L602" i="4"/>
  <c r="O601" i="4"/>
  <c r="N601" i="4"/>
  <c r="M601" i="4"/>
  <c r="L601" i="4"/>
  <c r="O600" i="4"/>
  <c r="N600" i="4"/>
  <c r="M600" i="4"/>
  <c r="L600" i="4"/>
  <c r="O599" i="4"/>
  <c r="N599" i="4"/>
  <c r="M599" i="4"/>
  <c r="L599" i="4"/>
  <c r="O598" i="4"/>
  <c r="N598" i="4"/>
  <c r="M598" i="4"/>
  <c r="L598" i="4"/>
  <c r="O597" i="4"/>
  <c r="N597" i="4"/>
  <c r="M597" i="4"/>
  <c r="L597" i="4"/>
  <c r="O596" i="4"/>
  <c r="N596" i="4"/>
  <c r="M596" i="4"/>
  <c r="L596" i="4"/>
  <c r="O595" i="4"/>
  <c r="N595" i="4"/>
  <c r="M595" i="4"/>
  <c r="L595" i="4"/>
  <c r="O594" i="4"/>
  <c r="N594" i="4"/>
  <c r="M594" i="4"/>
  <c r="L594" i="4"/>
  <c r="O593" i="4"/>
  <c r="N593" i="4"/>
  <c r="M593" i="4"/>
  <c r="L593" i="4"/>
  <c r="O592" i="4"/>
  <c r="N592" i="4"/>
  <c r="M592" i="4"/>
  <c r="L592" i="4"/>
  <c r="O591" i="4"/>
  <c r="N591" i="4"/>
  <c r="M591" i="4"/>
  <c r="L591" i="4"/>
  <c r="O590" i="4"/>
  <c r="N590" i="4"/>
  <c r="M590" i="4"/>
  <c r="L590" i="4"/>
  <c r="O589" i="4"/>
  <c r="N589" i="4"/>
  <c r="M589" i="4"/>
  <c r="L589" i="4"/>
  <c r="O588" i="4"/>
  <c r="N588" i="4"/>
  <c r="M588" i="4"/>
  <c r="L588" i="4"/>
  <c r="O587" i="4"/>
  <c r="N587" i="4"/>
  <c r="M587" i="4"/>
  <c r="L587" i="4"/>
  <c r="O586" i="4"/>
  <c r="N586" i="4"/>
  <c r="M586" i="4"/>
  <c r="L586" i="4"/>
  <c r="O585" i="4"/>
  <c r="N585" i="4"/>
  <c r="M585" i="4"/>
  <c r="L585" i="4"/>
  <c r="O584" i="4"/>
  <c r="N584" i="4"/>
  <c r="M584" i="4"/>
  <c r="L584" i="4"/>
  <c r="O583" i="4"/>
  <c r="N583" i="4"/>
  <c r="M583" i="4"/>
  <c r="L583" i="4"/>
  <c r="O582" i="4"/>
  <c r="N582" i="4"/>
  <c r="M582" i="4"/>
  <c r="L582" i="4"/>
  <c r="O581" i="4"/>
  <c r="N581" i="4"/>
  <c r="M581" i="4"/>
  <c r="L581" i="4"/>
  <c r="O580" i="4"/>
  <c r="N580" i="4"/>
  <c r="M580" i="4"/>
  <c r="L580" i="4"/>
  <c r="O579" i="4"/>
  <c r="N579" i="4"/>
  <c r="M579" i="4"/>
  <c r="L579" i="4"/>
  <c r="O578" i="4"/>
  <c r="N578" i="4"/>
  <c r="M578" i="4"/>
  <c r="L578" i="4"/>
  <c r="O577" i="4"/>
  <c r="N577" i="4"/>
  <c r="M577" i="4"/>
  <c r="L577" i="4"/>
  <c r="O576" i="4"/>
  <c r="N576" i="4"/>
  <c r="M576" i="4"/>
  <c r="L576" i="4"/>
  <c r="O575" i="4"/>
  <c r="N575" i="4"/>
  <c r="M575" i="4"/>
  <c r="L575" i="4"/>
  <c r="O574" i="4"/>
  <c r="N574" i="4"/>
  <c r="M574" i="4"/>
  <c r="L574" i="4"/>
  <c r="O573" i="4"/>
  <c r="N573" i="4"/>
  <c r="M573" i="4"/>
  <c r="L573" i="4"/>
  <c r="O572" i="4"/>
  <c r="N572" i="4"/>
  <c r="M572" i="4"/>
  <c r="L572" i="4"/>
  <c r="O571" i="4"/>
  <c r="N571" i="4"/>
  <c r="M571" i="4"/>
  <c r="L571" i="4"/>
  <c r="O570" i="4"/>
  <c r="N570" i="4"/>
  <c r="M570" i="4"/>
  <c r="L570" i="4"/>
  <c r="O569" i="4"/>
  <c r="N569" i="4"/>
  <c r="M569" i="4"/>
  <c r="L569" i="4"/>
  <c r="O568" i="4"/>
  <c r="N568" i="4"/>
  <c r="M568" i="4"/>
  <c r="L568" i="4"/>
  <c r="O567" i="4"/>
  <c r="N567" i="4"/>
  <c r="M567" i="4"/>
  <c r="L567" i="4"/>
  <c r="O566" i="4"/>
  <c r="N566" i="4"/>
  <c r="M566" i="4"/>
  <c r="L566" i="4"/>
  <c r="O565" i="4"/>
  <c r="N565" i="4"/>
  <c r="M565" i="4"/>
  <c r="L565" i="4"/>
  <c r="O564" i="4"/>
  <c r="N564" i="4"/>
  <c r="M564" i="4"/>
  <c r="L564" i="4"/>
  <c r="O563" i="4"/>
  <c r="N563" i="4"/>
  <c r="M563" i="4"/>
  <c r="L563" i="4"/>
  <c r="O562" i="4"/>
  <c r="N562" i="4"/>
  <c r="M562" i="4"/>
  <c r="L562" i="4"/>
  <c r="O561" i="4"/>
  <c r="N561" i="4"/>
  <c r="M561" i="4"/>
  <c r="L561" i="4"/>
  <c r="O560" i="4"/>
  <c r="N560" i="4"/>
  <c r="M560" i="4"/>
  <c r="L560" i="4"/>
  <c r="O559" i="4"/>
  <c r="N559" i="4"/>
  <c r="M559" i="4"/>
  <c r="L559" i="4"/>
  <c r="O558" i="4"/>
  <c r="N558" i="4"/>
  <c r="M558" i="4"/>
  <c r="L558" i="4"/>
  <c r="O557" i="4"/>
  <c r="N557" i="4"/>
  <c r="M557" i="4"/>
  <c r="L557" i="4"/>
  <c r="O556" i="4"/>
  <c r="N556" i="4"/>
  <c r="M556" i="4"/>
  <c r="L556" i="4"/>
  <c r="O555" i="4"/>
  <c r="N555" i="4"/>
  <c r="M555" i="4"/>
  <c r="L555" i="4"/>
  <c r="O554" i="4"/>
  <c r="N554" i="4"/>
  <c r="M554" i="4"/>
  <c r="L554" i="4"/>
  <c r="O553" i="4"/>
  <c r="N553" i="4"/>
  <c r="M553" i="4"/>
  <c r="L553" i="4"/>
  <c r="O552" i="4"/>
  <c r="N552" i="4"/>
  <c r="M552" i="4"/>
  <c r="L552" i="4"/>
  <c r="O551" i="4"/>
  <c r="N551" i="4"/>
  <c r="M551" i="4"/>
  <c r="L551" i="4"/>
  <c r="O550" i="4"/>
  <c r="N550" i="4"/>
  <c r="M550" i="4"/>
  <c r="L550" i="4"/>
  <c r="O549" i="4"/>
  <c r="N549" i="4"/>
  <c r="M549" i="4"/>
  <c r="L549" i="4"/>
  <c r="O548" i="4"/>
  <c r="N548" i="4"/>
  <c r="M548" i="4"/>
  <c r="L548" i="4"/>
  <c r="O547" i="4"/>
  <c r="N547" i="4"/>
  <c r="M547" i="4"/>
  <c r="L547" i="4"/>
  <c r="O546" i="4"/>
  <c r="N546" i="4"/>
  <c r="M546" i="4"/>
  <c r="L546" i="4"/>
  <c r="O545" i="4"/>
  <c r="N545" i="4"/>
  <c r="M545" i="4"/>
  <c r="L545" i="4"/>
  <c r="O544" i="4"/>
  <c r="N544" i="4"/>
  <c r="M544" i="4"/>
  <c r="L544" i="4"/>
  <c r="O543" i="4"/>
  <c r="N543" i="4"/>
  <c r="M543" i="4"/>
  <c r="L543" i="4"/>
  <c r="O542" i="4"/>
  <c r="N542" i="4"/>
  <c r="M542" i="4"/>
  <c r="L542" i="4"/>
  <c r="O541" i="4"/>
  <c r="N541" i="4"/>
  <c r="M541" i="4"/>
  <c r="L541" i="4"/>
  <c r="O540" i="4"/>
  <c r="N540" i="4"/>
  <c r="M540" i="4"/>
  <c r="L540" i="4"/>
  <c r="O539" i="4"/>
  <c r="N539" i="4"/>
  <c r="M539" i="4"/>
  <c r="L539" i="4"/>
  <c r="O538" i="4"/>
  <c r="N538" i="4"/>
  <c r="M538" i="4"/>
  <c r="L538" i="4"/>
  <c r="O537" i="4"/>
  <c r="N537" i="4"/>
  <c r="M537" i="4"/>
  <c r="L537" i="4"/>
  <c r="O536" i="4"/>
  <c r="N536" i="4"/>
  <c r="M536" i="4"/>
  <c r="L536" i="4"/>
  <c r="O535" i="4"/>
  <c r="N535" i="4"/>
  <c r="M535" i="4"/>
  <c r="L535" i="4"/>
  <c r="O534" i="4"/>
  <c r="N534" i="4"/>
  <c r="M534" i="4"/>
  <c r="L534" i="4"/>
  <c r="O533" i="4"/>
  <c r="N533" i="4"/>
  <c r="M533" i="4"/>
  <c r="L533" i="4"/>
  <c r="O532" i="4"/>
  <c r="N532" i="4"/>
  <c r="M532" i="4"/>
  <c r="L532" i="4"/>
  <c r="O531" i="4"/>
  <c r="N531" i="4"/>
  <c r="M531" i="4"/>
  <c r="L531" i="4"/>
  <c r="O530" i="4"/>
  <c r="N530" i="4"/>
  <c r="M530" i="4"/>
  <c r="L530" i="4"/>
  <c r="O529" i="4"/>
  <c r="N529" i="4"/>
  <c r="M529" i="4"/>
  <c r="L529" i="4"/>
  <c r="O528" i="4"/>
  <c r="N528" i="4"/>
  <c r="M528" i="4"/>
  <c r="L528" i="4"/>
  <c r="O527" i="4"/>
  <c r="N527" i="4"/>
  <c r="M527" i="4"/>
  <c r="L527" i="4"/>
  <c r="O526" i="4"/>
  <c r="N526" i="4"/>
  <c r="M526" i="4"/>
  <c r="L526" i="4"/>
  <c r="O525" i="4"/>
  <c r="N525" i="4"/>
  <c r="M525" i="4"/>
  <c r="L525" i="4"/>
  <c r="O524" i="4"/>
  <c r="N524" i="4"/>
  <c r="M524" i="4"/>
  <c r="L524" i="4"/>
  <c r="O523" i="4"/>
  <c r="N523" i="4"/>
  <c r="M523" i="4"/>
  <c r="L523" i="4"/>
  <c r="O522" i="4"/>
  <c r="N522" i="4"/>
  <c r="M522" i="4"/>
  <c r="L522" i="4"/>
  <c r="O521" i="4"/>
  <c r="N521" i="4"/>
  <c r="M521" i="4"/>
  <c r="L521" i="4"/>
  <c r="O520" i="4"/>
  <c r="N520" i="4"/>
  <c r="M520" i="4"/>
  <c r="L520" i="4"/>
  <c r="O519" i="4"/>
  <c r="N519" i="4"/>
  <c r="M519" i="4"/>
  <c r="L519" i="4"/>
  <c r="O518" i="4"/>
  <c r="N518" i="4"/>
  <c r="M518" i="4"/>
  <c r="L518" i="4"/>
  <c r="O517" i="4"/>
  <c r="N517" i="4"/>
  <c r="M517" i="4"/>
  <c r="L517" i="4"/>
  <c r="O516" i="4"/>
  <c r="N516" i="4"/>
  <c r="M516" i="4"/>
  <c r="L516" i="4"/>
  <c r="O515" i="4"/>
  <c r="N515" i="4"/>
  <c r="M515" i="4"/>
  <c r="L515" i="4"/>
  <c r="O514" i="4"/>
  <c r="N514" i="4"/>
  <c r="M514" i="4"/>
  <c r="L514" i="4"/>
  <c r="O513" i="4"/>
  <c r="N513" i="4"/>
  <c r="M513" i="4"/>
  <c r="L513" i="4"/>
  <c r="O512" i="4"/>
  <c r="N512" i="4"/>
  <c r="M512" i="4"/>
  <c r="L512" i="4"/>
  <c r="O511" i="4"/>
  <c r="N511" i="4"/>
  <c r="M511" i="4"/>
  <c r="L511" i="4"/>
  <c r="O510" i="4"/>
  <c r="N510" i="4"/>
  <c r="M510" i="4"/>
  <c r="L510" i="4"/>
  <c r="O509" i="4"/>
  <c r="N509" i="4"/>
  <c r="M509" i="4"/>
  <c r="L509" i="4"/>
  <c r="O508" i="4"/>
  <c r="N508" i="4"/>
  <c r="M508" i="4"/>
  <c r="L508" i="4"/>
  <c r="O507" i="4"/>
  <c r="N507" i="4"/>
  <c r="M507" i="4"/>
  <c r="L507" i="4"/>
  <c r="O506" i="4"/>
  <c r="N506" i="4"/>
  <c r="M506" i="4"/>
  <c r="L506" i="4"/>
  <c r="O505" i="4"/>
  <c r="N505" i="4"/>
  <c r="M505" i="4"/>
  <c r="L505" i="4"/>
  <c r="O504" i="4"/>
  <c r="N504" i="4"/>
  <c r="M504" i="4"/>
  <c r="L504" i="4"/>
  <c r="O503" i="4"/>
  <c r="N503" i="4"/>
  <c r="M503" i="4"/>
  <c r="L503" i="4"/>
  <c r="O502" i="4"/>
  <c r="N502" i="4"/>
  <c r="M502" i="4"/>
  <c r="L502" i="4"/>
  <c r="O501" i="4"/>
  <c r="N501" i="4"/>
  <c r="M501" i="4"/>
  <c r="L501" i="4"/>
  <c r="O500" i="4"/>
  <c r="N500" i="4"/>
  <c r="M500" i="4"/>
  <c r="L500" i="4"/>
  <c r="O499" i="4"/>
  <c r="N499" i="4"/>
  <c r="M499" i="4"/>
  <c r="L499" i="4"/>
  <c r="O498" i="4"/>
  <c r="N498" i="4"/>
  <c r="M498" i="4"/>
  <c r="L498" i="4"/>
  <c r="O497" i="4"/>
  <c r="N497" i="4"/>
  <c r="M497" i="4"/>
  <c r="L497" i="4"/>
  <c r="O496" i="4"/>
  <c r="N496" i="4"/>
  <c r="M496" i="4"/>
  <c r="L496" i="4"/>
  <c r="O495" i="4"/>
  <c r="N495" i="4"/>
  <c r="M495" i="4"/>
  <c r="L495" i="4"/>
  <c r="O494" i="4"/>
  <c r="N494" i="4"/>
  <c r="M494" i="4"/>
  <c r="L494" i="4"/>
  <c r="O493" i="4"/>
  <c r="N493" i="4"/>
  <c r="M493" i="4"/>
  <c r="L493" i="4"/>
  <c r="O492" i="4"/>
  <c r="N492" i="4"/>
  <c r="M492" i="4"/>
  <c r="L492" i="4"/>
  <c r="O491" i="4"/>
  <c r="N491" i="4"/>
  <c r="M491" i="4"/>
  <c r="L491" i="4"/>
  <c r="O490" i="4"/>
  <c r="N490" i="4"/>
  <c r="M490" i="4"/>
  <c r="L490" i="4"/>
  <c r="O489" i="4"/>
  <c r="N489" i="4"/>
  <c r="M489" i="4"/>
  <c r="L489" i="4"/>
  <c r="O488" i="4"/>
  <c r="N488" i="4"/>
  <c r="M488" i="4"/>
  <c r="L488" i="4"/>
  <c r="O487" i="4"/>
  <c r="N487" i="4"/>
  <c r="M487" i="4"/>
  <c r="L487" i="4"/>
  <c r="O486" i="4"/>
  <c r="N486" i="4"/>
  <c r="M486" i="4"/>
  <c r="L486" i="4"/>
  <c r="O485" i="4"/>
  <c r="N485" i="4"/>
  <c r="M485" i="4"/>
  <c r="L485" i="4"/>
  <c r="O484" i="4"/>
  <c r="N484" i="4"/>
  <c r="M484" i="4"/>
  <c r="L484" i="4"/>
  <c r="O483" i="4"/>
  <c r="N483" i="4"/>
  <c r="M483" i="4"/>
  <c r="L483" i="4"/>
  <c r="O482" i="4"/>
  <c r="N482" i="4"/>
  <c r="M482" i="4"/>
  <c r="L482" i="4"/>
  <c r="O481" i="4"/>
  <c r="N481" i="4"/>
  <c r="M481" i="4"/>
  <c r="L481" i="4"/>
  <c r="O480" i="4"/>
  <c r="N480" i="4"/>
  <c r="M480" i="4"/>
  <c r="L480" i="4"/>
  <c r="O479" i="4"/>
  <c r="N479" i="4"/>
  <c r="M479" i="4"/>
  <c r="L479" i="4"/>
  <c r="O478" i="4"/>
  <c r="N478" i="4"/>
  <c r="M478" i="4"/>
  <c r="L478" i="4"/>
  <c r="O477" i="4"/>
  <c r="N477" i="4"/>
  <c r="M477" i="4"/>
  <c r="L477" i="4"/>
  <c r="O476" i="4"/>
  <c r="N476" i="4"/>
  <c r="M476" i="4"/>
  <c r="L476" i="4"/>
  <c r="O475" i="4"/>
  <c r="N475" i="4"/>
  <c r="M475" i="4"/>
  <c r="L475" i="4"/>
  <c r="O474" i="4"/>
  <c r="N474" i="4"/>
  <c r="M474" i="4"/>
  <c r="L474" i="4"/>
  <c r="O473" i="4"/>
  <c r="N473" i="4"/>
  <c r="M473" i="4"/>
  <c r="L473" i="4"/>
  <c r="O472" i="4"/>
  <c r="N472" i="4"/>
  <c r="M472" i="4"/>
  <c r="L472" i="4"/>
  <c r="O471" i="4"/>
  <c r="N471" i="4"/>
  <c r="M471" i="4"/>
  <c r="L471" i="4"/>
  <c r="O470" i="4"/>
  <c r="N470" i="4"/>
  <c r="M470" i="4"/>
  <c r="L470" i="4"/>
  <c r="O469" i="4"/>
  <c r="N469" i="4"/>
  <c r="M469" i="4"/>
  <c r="L469" i="4"/>
  <c r="O468" i="4"/>
  <c r="N468" i="4"/>
  <c r="M468" i="4"/>
  <c r="L468" i="4"/>
  <c r="O467" i="4"/>
  <c r="N467" i="4"/>
  <c r="M467" i="4"/>
  <c r="L467" i="4"/>
  <c r="O466" i="4"/>
  <c r="N466" i="4"/>
  <c r="M466" i="4"/>
  <c r="L466" i="4"/>
  <c r="O465" i="4"/>
  <c r="N465" i="4"/>
  <c r="M465" i="4"/>
  <c r="L465" i="4"/>
  <c r="O464" i="4"/>
  <c r="N464" i="4"/>
  <c r="M464" i="4"/>
  <c r="L464" i="4"/>
  <c r="O463" i="4"/>
  <c r="N463" i="4"/>
  <c r="M463" i="4"/>
  <c r="L463" i="4"/>
  <c r="O462" i="4"/>
  <c r="N462" i="4"/>
  <c r="M462" i="4"/>
  <c r="L462" i="4"/>
  <c r="O461" i="4"/>
  <c r="N461" i="4"/>
  <c r="M461" i="4"/>
  <c r="L461" i="4"/>
  <c r="O460" i="4"/>
  <c r="N460" i="4"/>
  <c r="M460" i="4"/>
  <c r="L460" i="4"/>
  <c r="O459" i="4"/>
  <c r="N459" i="4"/>
  <c r="M459" i="4"/>
  <c r="L459" i="4"/>
  <c r="O458" i="4"/>
  <c r="N458" i="4"/>
  <c r="M458" i="4"/>
  <c r="L458" i="4"/>
  <c r="O457" i="4"/>
  <c r="N457" i="4"/>
  <c r="M457" i="4"/>
  <c r="L457" i="4"/>
  <c r="O456" i="4"/>
  <c r="N456" i="4"/>
  <c r="M456" i="4"/>
  <c r="L456" i="4"/>
  <c r="O455" i="4"/>
  <c r="N455" i="4"/>
  <c r="M455" i="4"/>
  <c r="L455" i="4"/>
  <c r="O454" i="4"/>
  <c r="N454" i="4"/>
  <c r="M454" i="4"/>
  <c r="L454" i="4"/>
  <c r="O453" i="4"/>
  <c r="N453" i="4"/>
  <c r="M453" i="4"/>
  <c r="L453" i="4"/>
  <c r="O452" i="4"/>
  <c r="N452" i="4"/>
  <c r="M452" i="4"/>
  <c r="L452" i="4"/>
  <c r="O451" i="4"/>
  <c r="N451" i="4"/>
  <c r="M451" i="4"/>
  <c r="L451" i="4"/>
  <c r="O450" i="4"/>
  <c r="N450" i="4"/>
  <c r="M450" i="4"/>
  <c r="L450" i="4"/>
  <c r="O449" i="4"/>
  <c r="N449" i="4"/>
  <c r="M449" i="4"/>
  <c r="L449" i="4"/>
  <c r="O448" i="4"/>
  <c r="N448" i="4"/>
  <c r="M448" i="4"/>
  <c r="L448" i="4"/>
  <c r="O447" i="4"/>
  <c r="N447" i="4"/>
  <c r="M447" i="4"/>
  <c r="L447" i="4"/>
  <c r="O446" i="4"/>
  <c r="N446" i="4"/>
  <c r="M446" i="4"/>
  <c r="L446" i="4"/>
  <c r="O445" i="4"/>
  <c r="N445" i="4"/>
  <c r="M445" i="4"/>
  <c r="L445" i="4"/>
  <c r="O444" i="4"/>
  <c r="N444" i="4"/>
  <c r="M444" i="4"/>
  <c r="L444" i="4"/>
  <c r="O443" i="4"/>
  <c r="N443" i="4"/>
  <c r="M443" i="4"/>
  <c r="L443" i="4"/>
  <c r="O442" i="4"/>
  <c r="N442" i="4"/>
  <c r="M442" i="4"/>
  <c r="L442" i="4"/>
  <c r="O441" i="4"/>
  <c r="N441" i="4"/>
  <c r="M441" i="4"/>
  <c r="L441" i="4"/>
  <c r="O440" i="4"/>
  <c r="N440" i="4"/>
  <c r="M440" i="4"/>
  <c r="L440" i="4"/>
  <c r="O439" i="4"/>
  <c r="N439" i="4"/>
  <c r="M439" i="4"/>
  <c r="L439" i="4"/>
  <c r="O438" i="4"/>
  <c r="N438" i="4"/>
  <c r="M438" i="4"/>
  <c r="L438" i="4"/>
  <c r="O437" i="4"/>
  <c r="N437" i="4"/>
  <c r="M437" i="4"/>
  <c r="L437" i="4"/>
  <c r="O436" i="4"/>
  <c r="N436" i="4"/>
  <c r="M436" i="4"/>
  <c r="L436" i="4"/>
  <c r="O435" i="4"/>
  <c r="N435" i="4"/>
  <c r="M435" i="4"/>
  <c r="L435" i="4"/>
  <c r="O434" i="4"/>
  <c r="N434" i="4"/>
  <c r="M434" i="4"/>
  <c r="L434" i="4"/>
  <c r="O433" i="4"/>
  <c r="N433" i="4"/>
  <c r="M433" i="4"/>
  <c r="L433" i="4"/>
  <c r="O432" i="4"/>
  <c r="N432" i="4"/>
  <c r="M432" i="4"/>
  <c r="L432" i="4"/>
  <c r="O431" i="4"/>
  <c r="N431" i="4"/>
  <c r="M431" i="4"/>
  <c r="L431" i="4"/>
  <c r="O430" i="4"/>
  <c r="N430" i="4"/>
  <c r="M430" i="4"/>
  <c r="L430" i="4"/>
  <c r="O429" i="4"/>
  <c r="N429" i="4"/>
  <c r="M429" i="4"/>
  <c r="L429" i="4"/>
  <c r="O428" i="4"/>
  <c r="N428" i="4"/>
  <c r="M428" i="4"/>
  <c r="L428" i="4"/>
  <c r="O427" i="4"/>
  <c r="N427" i="4"/>
  <c r="M427" i="4"/>
  <c r="L427" i="4"/>
  <c r="O426" i="4"/>
  <c r="N426" i="4"/>
  <c r="M426" i="4"/>
  <c r="L426" i="4"/>
  <c r="O425" i="4"/>
  <c r="N425" i="4"/>
  <c r="M425" i="4"/>
  <c r="L425" i="4"/>
  <c r="O424" i="4"/>
  <c r="N424" i="4"/>
  <c r="M424" i="4"/>
  <c r="L424" i="4"/>
  <c r="O423" i="4"/>
  <c r="N423" i="4"/>
  <c r="M423" i="4"/>
  <c r="L423" i="4"/>
  <c r="O422" i="4"/>
  <c r="N422" i="4"/>
  <c r="M422" i="4"/>
  <c r="L422" i="4"/>
  <c r="O421" i="4"/>
  <c r="N421" i="4"/>
  <c r="M421" i="4"/>
  <c r="L421" i="4"/>
  <c r="O420" i="4"/>
  <c r="N420" i="4"/>
  <c r="M420" i="4"/>
  <c r="L420" i="4"/>
  <c r="O419" i="4"/>
  <c r="N419" i="4"/>
  <c r="M419" i="4"/>
  <c r="L419" i="4"/>
  <c r="O418" i="4"/>
  <c r="N418" i="4"/>
  <c r="M418" i="4"/>
  <c r="L418" i="4"/>
  <c r="O417" i="4"/>
  <c r="N417" i="4"/>
  <c r="M417" i="4"/>
  <c r="L417" i="4"/>
  <c r="O416" i="4"/>
  <c r="N416" i="4"/>
  <c r="M416" i="4"/>
  <c r="L416" i="4"/>
  <c r="O415" i="4"/>
  <c r="N415" i="4"/>
  <c r="M415" i="4"/>
  <c r="L415" i="4"/>
  <c r="O414" i="4"/>
  <c r="N414" i="4"/>
  <c r="M414" i="4"/>
  <c r="L414" i="4"/>
  <c r="O413" i="4"/>
  <c r="N413" i="4"/>
  <c r="M413" i="4"/>
  <c r="L413" i="4"/>
  <c r="O412" i="4"/>
  <c r="N412" i="4"/>
  <c r="M412" i="4"/>
  <c r="L412" i="4"/>
  <c r="O411" i="4"/>
  <c r="N411" i="4"/>
  <c r="M411" i="4"/>
  <c r="L411" i="4"/>
  <c r="O410" i="4"/>
  <c r="N410" i="4"/>
  <c r="M410" i="4"/>
  <c r="L410" i="4"/>
  <c r="O409" i="4"/>
  <c r="N409" i="4"/>
  <c r="M409" i="4"/>
  <c r="L409" i="4"/>
  <c r="O408" i="4"/>
  <c r="N408" i="4"/>
  <c r="M408" i="4"/>
  <c r="L408" i="4"/>
  <c r="O407" i="4"/>
  <c r="N407" i="4"/>
  <c r="M407" i="4"/>
  <c r="L407" i="4"/>
  <c r="O406" i="4"/>
  <c r="N406" i="4"/>
  <c r="M406" i="4"/>
  <c r="L406" i="4"/>
  <c r="O405" i="4"/>
  <c r="N405" i="4"/>
  <c r="M405" i="4"/>
  <c r="L405" i="4"/>
  <c r="O404" i="4"/>
  <c r="N404" i="4"/>
  <c r="M404" i="4"/>
  <c r="L404" i="4"/>
  <c r="O403" i="4"/>
  <c r="N403" i="4"/>
  <c r="M403" i="4"/>
  <c r="L403" i="4"/>
  <c r="O402" i="4"/>
  <c r="N402" i="4"/>
  <c r="M402" i="4"/>
  <c r="L402" i="4"/>
  <c r="O401" i="4"/>
  <c r="N401" i="4"/>
  <c r="M401" i="4"/>
  <c r="L401" i="4"/>
  <c r="O400" i="4"/>
  <c r="N400" i="4"/>
  <c r="M400" i="4"/>
  <c r="L400" i="4"/>
  <c r="O399" i="4"/>
  <c r="N399" i="4"/>
  <c r="M399" i="4"/>
  <c r="L399" i="4"/>
  <c r="O398" i="4"/>
  <c r="N398" i="4"/>
  <c r="M398" i="4"/>
  <c r="L398" i="4"/>
  <c r="O397" i="4"/>
  <c r="N397" i="4"/>
  <c r="M397" i="4"/>
  <c r="L397" i="4"/>
  <c r="O396" i="4"/>
  <c r="N396" i="4"/>
  <c r="M396" i="4"/>
  <c r="L396" i="4"/>
  <c r="O395" i="4"/>
  <c r="N395" i="4"/>
  <c r="M395" i="4"/>
  <c r="L395" i="4"/>
  <c r="O394" i="4"/>
  <c r="N394" i="4"/>
  <c r="M394" i="4"/>
  <c r="L394" i="4"/>
  <c r="O393" i="4"/>
  <c r="N393" i="4"/>
  <c r="M393" i="4"/>
  <c r="L393" i="4"/>
  <c r="O392" i="4"/>
  <c r="N392" i="4"/>
  <c r="M392" i="4"/>
  <c r="L392" i="4"/>
  <c r="O391" i="4"/>
  <c r="N391" i="4"/>
  <c r="M391" i="4"/>
  <c r="L391" i="4"/>
  <c r="O390" i="4"/>
  <c r="N390" i="4"/>
  <c r="M390" i="4"/>
  <c r="L390" i="4"/>
  <c r="O389" i="4"/>
  <c r="N389" i="4"/>
  <c r="M389" i="4"/>
  <c r="L389" i="4"/>
  <c r="O388" i="4"/>
  <c r="N388" i="4"/>
  <c r="M388" i="4"/>
  <c r="L388" i="4"/>
  <c r="O387" i="4"/>
  <c r="N387" i="4"/>
  <c r="M387" i="4"/>
  <c r="L387" i="4"/>
  <c r="O386" i="4"/>
  <c r="N386" i="4"/>
  <c r="M386" i="4"/>
  <c r="L386" i="4"/>
  <c r="O385" i="4"/>
  <c r="N385" i="4"/>
  <c r="M385" i="4"/>
  <c r="L385" i="4"/>
  <c r="O384" i="4"/>
  <c r="N384" i="4"/>
  <c r="M384" i="4"/>
  <c r="L384" i="4"/>
  <c r="O383" i="4"/>
  <c r="N383" i="4"/>
  <c r="M383" i="4"/>
  <c r="L383" i="4"/>
  <c r="O382" i="4"/>
  <c r="N382" i="4"/>
  <c r="M382" i="4"/>
  <c r="L382" i="4"/>
  <c r="O381" i="4"/>
  <c r="N381" i="4"/>
  <c r="M381" i="4"/>
  <c r="L381" i="4"/>
  <c r="O380" i="4"/>
  <c r="N380" i="4"/>
  <c r="M380" i="4"/>
  <c r="L380" i="4"/>
  <c r="O379" i="4"/>
  <c r="N379" i="4"/>
  <c r="M379" i="4"/>
  <c r="L379" i="4"/>
  <c r="O378" i="4"/>
  <c r="N378" i="4"/>
  <c r="M378" i="4"/>
  <c r="L378" i="4"/>
  <c r="O377" i="4"/>
  <c r="N377" i="4"/>
  <c r="M377" i="4"/>
  <c r="L377" i="4"/>
  <c r="O376" i="4"/>
  <c r="N376" i="4"/>
  <c r="M376" i="4"/>
  <c r="L376" i="4"/>
  <c r="O375" i="4"/>
  <c r="N375" i="4"/>
  <c r="M375" i="4"/>
  <c r="L375" i="4"/>
  <c r="O374" i="4"/>
  <c r="N374" i="4"/>
  <c r="M374" i="4"/>
  <c r="L374" i="4"/>
  <c r="O373" i="4"/>
  <c r="N373" i="4"/>
  <c r="M373" i="4"/>
  <c r="L373" i="4"/>
  <c r="O372" i="4"/>
  <c r="N372" i="4"/>
  <c r="M372" i="4"/>
  <c r="L372" i="4"/>
  <c r="O371" i="4"/>
  <c r="N371" i="4"/>
  <c r="M371" i="4"/>
  <c r="L371" i="4"/>
  <c r="O370" i="4"/>
  <c r="N370" i="4"/>
  <c r="M370" i="4"/>
  <c r="L370" i="4"/>
  <c r="O369" i="4"/>
  <c r="N369" i="4"/>
  <c r="M369" i="4"/>
  <c r="L369" i="4"/>
  <c r="O368" i="4"/>
  <c r="N368" i="4"/>
  <c r="M368" i="4"/>
  <c r="L368" i="4"/>
  <c r="O367" i="4"/>
  <c r="N367" i="4"/>
  <c r="M367" i="4"/>
  <c r="L367" i="4"/>
  <c r="O366" i="4"/>
  <c r="N366" i="4"/>
  <c r="M366" i="4"/>
  <c r="L366" i="4"/>
  <c r="O365" i="4"/>
  <c r="N365" i="4"/>
  <c r="M365" i="4"/>
  <c r="L365" i="4"/>
  <c r="O364" i="4"/>
  <c r="N364" i="4"/>
  <c r="M364" i="4"/>
  <c r="L364" i="4"/>
  <c r="O363" i="4"/>
  <c r="N363" i="4"/>
  <c r="M363" i="4"/>
  <c r="L363" i="4"/>
  <c r="O362" i="4"/>
  <c r="N362" i="4"/>
  <c r="M362" i="4"/>
  <c r="L362" i="4"/>
  <c r="O361" i="4"/>
  <c r="N361" i="4"/>
  <c r="M361" i="4"/>
  <c r="L361" i="4"/>
  <c r="O360" i="4"/>
  <c r="N360" i="4"/>
  <c r="M360" i="4"/>
  <c r="L360" i="4"/>
  <c r="O359" i="4"/>
  <c r="N359" i="4"/>
  <c r="M359" i="4"/>
  <c r="L359" i="4"/>
  <c r="O358" i="4"/>
  <c r="N358" i="4"/>
  <c r="M358" i="4"/>
  <c r="L358" i="4"/>
  <c r="O357" i="4"/>
  <c r="N357" i="4"/>
  <c r="M357" i="4"/>
  <c r="L357" i="4"/>
  <c r="O356" i="4"/>
  <c r="N356" i="4"/>
  <c r="M356" i="4"/>
  <c r="L356" i="4"/>
  <c r="O355" i="4"/>
  <c r="N355" i="4"/>
  <c r="M355" i="4"/>
  <c r="L355" i="4"/>
  <c r="O354" i="4"/>
  <c r="N354" i="4"/>
  <c r="M354" i="4"/>
  <c r="L354" i="4"/>
  <c r="O353" i="4"/>
  <c r="N353" i="4"/>
  <c r="M353" i="4"/>
  <c r="L353" i="4"/>
  <c r="O352" i="4"/>
  <c r="N352" i="4"/>
  <c r="M352" i="4"/>
  <c r="L352" i="4"/>
  <c r="O351" i="4"/>
  <c r="N351" i="4"/>
  <c r="M351" i="4"/>
  <c r="L351" i="4"/>
  <c r="O350" i="4"/>
  <c r="N350" i="4"/>
  <c r="M350" i="4"/>
  <c r="L350" i="4"/>
  <c r="O349" i="4"/>
  <c r="N349" i="4"/>
  <c r="M349" i="4"/>
  <c r="L349" i="4"/>
  <c r="O348" i="4"/>
  <c r="N348" i="4"/>
  <c r="M348" i="4"/>
  <c r="L348" i="4"/>
  <c r="O347" i="4"/>
  <c r="N347" i="4"/>
  <c r="M347" i="4"/>
  <c r="L347" i="4"/>
  <c r="O346" i="4"/>
  <c r="N346" i="4"/>
  <c r="M346" i="4"/>
  <c r="L346" i="4"/>
  <c r="O345" i="4"/>
  <c r="N345" i="4"/>
  <c r="M345" i="4"/>
  <c r="L345" i="4"/>
  <c r="O344" i="4"/>
  <c r="N344" i="4"/>
  <c r="M344" i="4"/>
  <c r="L344" i="4"/>
  <c r="O343" i="4"/>
  <c r="N343" i="4"/>
  <c r="M343" i="4"/>
  <c r="L343" i="4"/>
  <c r="O342" i="4"/>
  <c r="N342" i="4"/>
  <c r="M342" i="4"/>
  <c r="L342" i="4"/>
  <c r="O341" i="4"/>
  <c r="N341" i="4"/>
  <c r="M341" i="4"/>
  <c r="L341" i="4"/>
  <c r="O340" i="4"/>
  <c r="N340" i="4"/>
  <c r="M340" i="4"/>
  <c r="L340" i="4"/>
  <c r="O339" i="4"/>
  <c r="N339" i="4"/>
  <c r="M339" i="4"/>
  <c r="L339" i="4"/>
  <c r="O338" i="4"/>
  <c r="N338" i="4"/>
  <c r="M338" i="4"/>
  <c r="L338" i="4"/>
  <c r="O337" i="4"/>
  <c r="N337" i="4"/>
  <c r="M337" i="4"/>
  <c r="L337" i="4"/>
  <c r="O336" i="4"/>
  <c r="N336" i="4"/>
  <c r="M336" i="4"/>
  <c r="L336" i="4"/>
  <c r="O335" i="4"/>
  <c r="N335" i="4"/>
  <c r="M335" i="4"/>
  <c r="L335" i="4"/>
  <c r="O334" i="4"/>
  <c r="N334" i="4"/>
  <c r="M334" i="4"/>
  <c r="L334" i="4"/>
  <c r="O333" i="4"/>
  <c r="N333" i="4"/>
  <c r="M333" i="4"/>
  <c r="L333" i="4"/>
  <c r="O332" i="4"/>
  <c r="N332" i="4"/>
  <c r="M332" i="4"/>
  <c r="L332" i="4"/>
  <c r="O331" i="4"/>
  <c r="N331" i="4"/>
  <c r="M331" i="4"/>
  <c r="L331" i="4"/>
  <c r="O330" i="4"/>
  <c r="N330" i="4"/>
  <c r="M330" i="4"/>
  <c r="L330" i="4"/>
  <c r="O329" i="4"/>
  <c r="N329" i="4"/>
  <c r="M329" i="4"/>
  <c r="L329" i="4"/>
  <c r="O328" i="4"/>
  <c r="N328" i="4"/>
  <c r="M328" i="4"/>
  <c r="L328" i="4"/>
  <c r="O327" i="4"/>
  <c r="N327" i="4"/>
  <c r="M327" i="4"/>
  <c r="L327" i="4"/>
  <c r="O326" i="4"/>
  <c r="N326" i="4"/>
  <c r="M326" i="4"/>
  <c r="L326" i="4"/>
  <c r="O325" i="4"/>
  <c r="N325" i="4"/>
  <c r="M325" i="4"/>
  <c r="L325" i="4"/>
  <c r="O324" i="4"/>
  <c r="N324" i="4"/>
  <c r="M324" i="4"/>
  <c r="L324" i="4"/>
  <c r="O323" i="4"/>
  <c r="N323" i="4"/>
  <c r="M323" i="4"/>
  <c r="L323" i="4"/>
  <c r="O322" i="4"/>
  <c r="N322" i="4"/>
  <c r="M322" i="4"/>
  <c r="L322" i="4"/>
  <c r="O321" i="4"/>
  <c r="N321" i="4"/>
  <c r="M321" i="4"/>
  <c r="L321" i="4"/>
  <c r="O320" i="4"/>
  <c r="N320" i="4"/>
  <c r="M320" i="4"/>
  <c r="L320" i="4"/>
  <c r="O319" i="4"/>
  <c r="N319" i="4"/>
  <c r="M319" i="4"/>
  <c r="L319" i="4"/>
  <c r="O318" i="4"/>
  <c r="N318" i="4"/>
  <c r="M318" i="4"/>
  <c r="L318" i="4"/>
  <c r="O317" i="4"/>
  <c r="N317" i="4"/>
  <c r="M317" i="4"/>
  <c r="L317" i="4"/>
  <c r="O316" i="4"/>
  <c r="N316" i="4"/>
  <c r="M316" i="4"/>
  <c r="L316" i="4"/>
  <c r="O315" i="4"/>
  <c r="N315" i="4"/>
  <c r="M315" i="4"/>
  <c r="L315" i="4"/>
  <c r="O314" i="4"/>
  <c r="N314" i="4"/>
  <c r="M314" i="4"/>
  <c r="L314" i="4"/>
  <c r="O313" i="4"/>
  <c r="N313" i="4"/>
  <c r="M313" i="4"/>
  <c r="L313" i="4"/>
  <c r="O312" i="4"/>
  <c r="N312" i="4"/>
  <c r="M312" i="4"/>
  <c r="L312" i="4"/>
  <c r="O311" i="4"/>
  <c r="N311" i="4"/>
  <c r="M311" i="4"/>
  <c r="L311" i="4"/>
  <c r="O310" i="4"/>
  <c r="N310" i="4"/>
  <c r="M310" i="4"/>
  <c r="L310" i="4"/>
  <c r="O309" i="4"/>
  <c r="N309" i="4"/>
  <c r="M309" i="4"/>
  <c r="L309" i="4"/>
  <c r="O308" i="4"/>
  <c r="N308" i="4"/>
  <c r="M308" i="4"/>
  <c r="L308" i="4"/>
  <c r="O307" i="4"/>
  <c r="N307" i="4"/>
  <c r="M307" i="4"/>
  <c r="L307" i="4"/>
  <c r="O306" i="4"/>
  <c r="N306" i="4"/>
  <c r="M306" i="4"/>
  <c r="L306" i="4"/>
  <c r="O305" i="4"/>
  <c r="N305" i="4"/>
  <c r="M305" i="4"/>
  <c r="L305" i="4"/>
  <c r="O304" i="4"/>
  <c r="N304" i="4"/>
  <c r="M304" i="4"/>
  <c r="L304" i="4"/>
  <c r="O303" i="4"/>
  <c r="N303" i="4"/>
  <c r="M303" i="4"/>
  <c r="L303" i="4"/>
  <c r="O302" i="4"/>
  <c r="N302" i="4"/>
  <c r="M302" i="4"/>
  <c r="L302" i="4"/>
  <c r="O301" i="4"/>
  <c r="N301" i="4"/>
  <c r="M301" i="4"/>
  <c r="L301" i="4"/>
  <c r="O300" i="4"/>
  <c r="N300" i="4"/>
  <c r="M300" i="4"/>
  <c r="L300" i="4"/>
  <c r="O299" i="4"/>
  <c r="N299" i="4"/>
  <c r="M299" i="4"/>
  <c r="L299" i="4"/>
  <c r="O298" i="4"/>
  <c r="N298" i="4"/>
  <c r="M298" i="4"/>
  <c r="L298" i="4"/>
  <c r="O297" i="4"/>
  <c r="N297" i="4"/>
  <c r="M297" i="4"/>
  <c r="L297" i="4"/>
  <c r="O296" i="4"/>
  <c r="N296" i="4"/>
  <c r="M296" i="4"/>
  <c r="L296" i="4"/>
  <c r="O295" i="4"/>
  <c r="N295" i="4"/>
  <c r="M295" i="4"/>
  <c r="L295" i="4"/>
  <c r="O294" i="4"/>
  <c r="N294" i="4"/>
  <c r="M294" i="4"/>
  <c r="L294" i="4"/>
  <c r="O293" i="4"/>
  <c r="N293" i="4"/>
  <c r="M293" i="4"/>
  <c r="L293" i="4"/>
  <c r="O292" i="4"/>
  <c r="N292" i="4"/>
  <c r="M292" i="4"/>
  <c r="L292" i="4"/>
  <c r="O291" i="4"/>
  <c r="N291" i="4"/>
  <c r="M291" i="4"/>
  <c r="L291" i="4"/>
  <c r="O290" i="4"/>
  <c r="N290" i="4"/>
  <c r="M290" i="4"/>
  <c r="L290" i="4"/>
  <c r="O289" i="4"/>
  <c r="N289" i="4"/>
  <c r="M289" i="4"/>
  <c r="L289" i="4"/>
  <c r="O288" i="4"/>
  <c r="N288" i="4"/>
  <c r="M288" i="4"/>
  <c r="L288" i="4"/>
  <c r="O287" i="4"/>
  <c r="N287" i="4"/>
  <c r="M287" i="4"/>
  <c r="L287" i="4"/>
  <c r="O286" i="4"/>
  <c r="N286" i="4"/>
  <c r="M286" i="4"/>
  <c r="L286" i="4"/>
  <c r="O285" i="4"/>
  <c r="N285" i="4"/>
  <c r="M285" i="4"/>
  <c r="L285" i="4"/>
  <c r="O284" i="4"/>
  <c r="N284" i="4"/>
  <c r="M284" i="4"/>
  <c r="L284" i="4"/>
  <c r="O283" i="4"/>
  <c r="N283" i="4"/>
  <c r="M283" i="4"/>
  <c r="L283" i="4"/>
  <c r="O282" i="4"/>
  <c r="N282" i="4"/>
  <c r="M282" i="4"/>
  <c r="L282" i="4"/>
  <c r="O281" i="4"/>
  <c r="N281" i="4"/>
  <c r="M281" i="4"/>
  <c r="L281" i="4"/>
  <c r="O280" i="4"/>
  <c r="N280" i="4"/>
  <c r="M280" i="4"/>
  <c r="L280" i="4"/>
  <c r="O279" i="4"/>
  <c r="N279" i="4"/>
  <c r="M279" i="4"/>
  <c r="L279" i="4"/>
  <c r="O278" i="4"/>
  <c r="N278" i="4"/>
  <c r="M278" i="4"/>
  <c r="L278" i="4"/>
  <c r="O277" i="4"/>
  <c r="N277" i="4"/>
  <c r="M277" i="4"/>
  <c r="L277" i="4"/>
  <c r="O276" i="4"/>
  <c r="N276" i="4"/>
  <c r="M276" i="4"/>
  <c r="L276" i="4"/>
  <c r="O275" i="4"/>
  <c r="N275" i="4"/>
  <c r="M275" i="4"/>
  <c r="L275" i="4"/>
  <c r="O274" i="4"/>
  <c r="N274" i="4"/>
  <c r="M274" i="4"/>
  <c r="L274" i="4"/>
  <c r="O273" i="4"/>
  <c r="N273" i="4"/>
  <c r="M273" i="4"/>
  <c r="L273" i="4"/>
  <c r="O272" i="4"/>
  <c r="N272" i="4"/>
  <c r="M272" i="4"/>
  <c r="L272" i="4"/>
  <c r="O271" i="4"/>
  <c r="N271" i="4"/>
  <c r="M271" i="4"/>
  <c r="L271" i="4"/>
  <c r="O270" i="4"/>
  <c r="N270" i="4"/>
  <c r="M270" i="4"/>
  <c r="L270" i="4"/>
  <c r="O269" i="4"/>
  <c r="N269" i="4"/>
  <c r="M269" i="4"/>
  <c r="L269" i="4"/>
  <c r="O268" i="4"/>
  <c r="N268" i="4"/>
  <c r="M268" i="4"/>
  <c r="L268" i="4"/>
  <c r="O267" i="4"/>
  <c r="N267" i="4"/>
  <c r="M267" i="4"/>
  <c r="L267" i="4"/>
  <c r="O266" i="4"/>
  <c r="N266" i="4"/>
  <c r="M266" i="4"/>
  <c r="L266" i="4"/>
  <c r="O265" i="4"/>
  <c r="N265" i="4"/>
  <c r="M265" i="4"/>
  <c r="L265" i="4"/>
  <c r="O264" i="4"/>
  <c r="N264" i="4"/>
  <c r="M264" i="4"/>
  <c r="L264" i="4"/>
  <c r="O263" i="4"/>
  <c r="N263" i="4"/>
  <c r="M263" i="4"/>
  <c r="L263" i="4"/>
  <c r="O262" i="4"/>
  <c r="N262" i="4"/>
  <c r="M262" i="4"/>
  <c r="L262" i="4"/>
  <c r="O261" i="4"/>
  <c r="N261" i="4"/>
  <c r="M261" i="4"/>
  <c r="L261" i="4"/>
  <c r="O260" i="4"/>
  <c r="N260" i="4"/>
  <c r="M260" i="4"/>
  <c r="L260" i="4"/>
  <c r="O259" i="4"/>
  <c r="N259" i="4"/>
  <c r="M259" i="4"/>
  <c r="L259" i="4"/>
  <c r="O258" i="4"/>
  <c r="N258" i="4"/>
  <c r="M258" i="4"/>
  <c r="L258" i="4"/>
  <c r="O257" i="4"/>
  <c r="N257" i="4"/>
  <c r="M257" i="4"/>
  <c r="L257" i="4"/>
  <c r="O256" i="4"/>
  <c r="N256" i="4"/>
  <c r="M256" i="4"/>
  <c r="L256" i="4"/>
  <c r="O255" i="4"/>
  <c r="N255" i="4"/>
  <c r="M255" i="4"/>
  <c r="L255" i="4"/>
  <c r="O254" i="4"/>
  <c r="N254" i="4"/>
  <c r="M254" i="4"/>
  <c r="L254" i="4"/>
  <c r="O253" i="4"/>
  <c r="N253" i="4"/>
  <c r="M253" i="4"/>
  <c r="L253" i="4"/>
  <c r="O252" i="4"/>
  <c r="N252" i="4"/>
  <c r="M252" i="4"/>
  <c r="L252" i="4"/>
  <c r="O251" i="4"/>
  <c r="N251" i="4"/>
  <c r="M251" i="4"/>
  <c r="L251" i="4"/>
  <c r="O250" i="4"/>
  <c r="N250" i="4"/>
  <c r="M250" i="4"/>
  <c r="L250" i="4"/>
  <c r="O249" i="4"/>
  <c r="N249" i="4"/>
  <c r="M249" i="4"/>
  <c r="L249" i="4"/>
  <c r="O248" i="4"/>
  <c r="N248" i="4"/>
  <c r="M248" i="4"/>
  <c r="L248" i="4"/>
  <c r="O247" i="4"/>
  <c r="N247" i="4"/>
  <c r="M247" i="4"/>
  <c r="L247" i="4"/>
  <c r="O246" i="4"/>
  <c r="N246" i="4"/>
  <c r="M246" i="4"/>
  <c r="L246" i="4"/>
  <c r="O245" i="4"/>
  <c r="N245" i="4"/>
  <c r="M245" i="4"/>
  <c r="L245" i="4"/>
  <c r="O244" i="4"/>
  <c r="N244" i="4"/>
  <c r="M244" i="4"/>
  <c r="L244" i="4"/>
  <c r="O243" i="4"/>
  <c r="N243" i="4"/>
  <c r="M243" i="4"/>
  <c r="L243" i="4"/>
  <c r="O242" i="4"/>
  <c r="N242" i="4"/>
  <c r="M242" i="4"/>
  <c r="L242" i="4"/>
  <c r="O241" i="4"/>
  <c r="N241" i="4"/>
  <c r="M241" i="4"/>
  <c r="L241" i="4"/>
  <c r="O240" i="4"/>
  <c r="N240" i="4"/>
  <c r="M240" i="4"/>
  <c r="L240" i="4"/>
  <c r="O239" i="4"/>
  <c r="N239" i="4"/>
  <c r="M239" i="4"/>
  <c r="L239" i="4"/>
  <c r="O238" i="4"/>
  <c r="N238" i="4"/>
  <c r="M238" i="4"/>
  <c r="L238" i="4"/>
  <c r="O237" i="4"/>
  <c r="N237" i="4"/>
  <c r="M237" i="4"/>
  <c r="L237" i="4"/>
  <c r="O236" i="4"/>
  <c r="N236" i="4"/>
  <c r="M236" i="4"/>
  <c r="L236" i="4"/>
  <c r="O235" i="4"/>
  <c r="N235" i="4"/>
  <c r="M235" i="4"/>
  <c r="L235" i="4"/>
  <c r="O234" i="4"/>
  <c r="N234" i="4"/>
  <c r="M234" i="4"/>
  <c r="L234" i="4"/>
  <c r="O233" i="4"/>
  <c r="N233" i="4"/>
  <c r="M233" i="4"/>
  <c r="L233" i="4"/>
  <c r="O232" i="4"/>
  <c r="N232" i="4"/>
  <c r="M232" i="4"/>
  <c r="L232" i="4"/>
  <c r="O231" i="4"/>
  <c r="N231" i="4"/>
  <c r="M231" i="4"/>
  <c r="L231" i="4"/>
  <c r="O230" i="4"/>
  <c r="N230" i="4"/>
  <c r="M230" i="4"/>
  <c r="L230" i="4"/>
  <c r="O229" i="4"/>
  <c r="N229" i="4"/>
  <c r="M229" i="4"/>
  <c r="L229" i="4"/>
  <c r="O228" i="4"/>
  <c r="N228" i="4"/>
  <c r="M228" i="4"/>
  <c r="L228" i="4"/>
  <c r="O227" i="4"/>
  <c r="N227" i="4"/>
  <c r="M227" i="4"/>
  <c r="L227" i="4"/>
  <c r="O226" i="4"/>
  <c r="N226" i="4"/>
  <c r="M226" i="4"/>
  <c r="L226" i="4"/>
  <c r="O225" i="4"/>
  <c r="N225" i="4"/>
  <c r="M225" i="4"/>
  <c r="L225" i="4"/>
  <c r="O224" i="4"/>
  <c r="N224" i="4"/>
  <c r="M224" i="4"/>
  <c r="L224" i="4"/>
  <c r="O223" i="4"/>
  <c r="N223" i="4"/>
  <c r="M223" i="4"/>
  <c r="L223" i="4"/>
  <c r="O222" i="4"/>
  <c r="N222" i="4"/>
  <c r="M222" i="4"/>
  <c r="L222" i="4"/>
  <c r="O221" i="4"/>
  <c r="N221" i="4"/>
  <c r="M221" i="4"/>
  <c r="L221" i="4"/>
  <c r="O220" i="4"/>
  <c r="N220" i="4"/>
  <c r="M220" i="4"/>
  <c r="L220" i="4"/>
  <c r="O219" i="4"/>
  <c r="N219" i="4"/>
  <c r="M219" i="4"/>
  <c r="L219" i="4"/>
  <c r="O218" i="4"/>
  <c r="N218" i="4"/>
  <c r="M218" i="4"/>
  <c r="L218" i="4"/>
  <c r="O217" i="4"/>
  <c r="N217" i="4"/>
  <c r="M217" i="4"/>
  <c r="L217" i="4"/>
  <c r="O216" i="4"/>
  <c r="N216" i="4"/>
  <c r="M216" i="4"/>
  <c r="L216" i="4"/>
  <c r="O215" i="4"/>
  <c r="N215" i="4"/>
  <c r="M215" i="4"/>
  <c r="L215" i="4"/>
  <c r="O214" i="4"/>
  <c r="N214" i="4"/>
  <c r="M214" i="4"/>
  <c r="L214" i="4"/>
  <c r="O213" i="4"/>
  <c r="N213" i="4"/>
  <c r="M213" i="4"/>
  <c r="L213" i="4"/>
  <c r="O212" i="4"/>
  <c r="N212" i="4"/>
  <c r="M212" i="4"/>
  <c r="L212" i="4"/>
  <c r="O211" i="4"/>
  <c r="N211" i="4"/>
  <c r="M211" i="4"/>
  <c r="L211" i="4"/>
  <c r="O210" i="4"/>
  <c r="N210" i="4"/>
  <c r="M210" i="4"/>
  <c r="L210" i="4"/>
  <c r="O209" i="4"/>
  <c r="N209" i="4"/>
  <c r="M209" i="4"/>
  <c r="L209" i="4"/>
  <c r="O208" i="4"/>
  <c r="N208" i="4"/>
  <c r="M208" i="4"/>
  <c r="L208" i="4"/>
  <c r="O207" i="4"/>
  <c r="N207" i="4"/>
  <c r="M207" i="4"/>
  <c r="L207" i="4"/>
  <c r="O206" i="4"/>
  <c r="N206" i="4"/>
  <c r="M206" i="4"/>
  <c r="L206" i="4"/>
  <c r="O205" i="4"/>
  <c r="N205" i="4"/>
  <c r="M205" i="4"/>
  <c r="L205" i="4"/>
  <c r="O204" i="4"/>
  <c r="N204" i="4"/>
  <c r="M204" i="4"/>
  <c r="L204" i="4"/>
  <c r="O203" i="4"/>
  <c r="N203" i="4"/>
  <c r="M203" i="4"/>
  <c r="L203" i="4"/>
  <c r="O202" i="4"/>
  <c r="N202" i="4"/>
  <c r="M202" i="4"/>
  <c r="L202" i="4"/>
  <c r="O201" i="4"/>
  <c r="N201" i="4"/>
  <c r="M201" i="4"/>
  <c r="L201" i="4"/>
  <c r="O200" i="4"/>
  <c r="N200" i="4"/>
  <c r="M200" i="4"/>
  <c r="L200" i="4"/>
  <c r="O199" i="4"/>
  <c r="N199" i="4"/>
  <c r="M199" i="4"/>
  <c r="L199" i="4"/>
  <c r="O198" i="4"/>
  <c r="N198" i="4"/>
  <c r="M198" i="4"/>
  <c r="L198" i="4"/>
  <c r="O197" i="4"/>
  <c r="N197" i="4"/>
  <c r="M197" i="4"/>
  <c r="L197" i="4"/>
  <c r="O196" i="4"/>
  <c r="N196" i="4"/>
  <c r="M196" i="4"/>
  <c r="L196" i="4"/>
  <c r="O195" i="4"/>
  <c r="N195" i="4"/>
  <c r="M195" i="4"/>
  <c r="L195" i="4"/>
  <c r="O194" i="4"/>
  <c r="N194" i="4"/>
  <c r="M194" i="4"/>
  <c r="L194" i="4"/>
  <c r="O193" i="4"/>
  <c r="N193" i="4"/>
  <c r="M193" i="4"/>
  <c r="L193" i="4"/>
  <c r="O192" i="4"/>
  <c r="N192" i="4"/>
  <c r="M192" i="4"/>
  <c r="L192" i="4"/>
  <c r="O191" i="4"/>
  <c r="N191" i="4"/>
  <c r="M191" i="4"/>
  <c r="L191" i="4"/>
  <c r="O190" i="4"/>
  <c r="N190" i="4"/>
  <c r="M190" i="4"/>
  <c r="L190" i="4"/>
  <c r="O189" i="4"/>
  <c r="N189" i="4"/>
  <c r="M189" i="4"/>
  <c r="L189" i="4"/>
  <c r="O188" i="4"/>
  <c r="N188" i="4"/>
  <c r="M188" i="4"/>
  <c r="L188" i="4"/>
  <c r="O187" i="4"/>
  <c r="N187" i="4"/>
  <c r="M187" i="4"/>
  <c r="L187" i="4"/>
  <c r="O186" i="4"/>
  <c r="N186" i="4"/>
  <c r="M186" i="4"/>
  <c r="L186" i="4"/>
  <c r="O185" i="4"/>
  <c r="N185" i="4"/>
  <c r="M185" i="4"/>
  <c r="L185" i="4"/>
  <c r="O184" i="4"/>
  <c r="N184" i="4"/>
  <c r="M184" i="4"/>
  <c r="L184" i="4"/>
  <c r="O183" i="4"/>
  <c r="N183" i="4"/>
  <c r="M183" i="4"/>
  <c r="L183" i="4"/>
  <c r="O182" i="4"/>
  <c r="N182" i="4"/>
  <c r="M182" i="4"/>
  <c r="L182" i="4"/>
  <c r="O181" i="4"/>
  <c r="N181" i="4"/>
  <c r="M181" i="4"/>
  <c r="L181" i="4"/>
  <c r="O180" i="4"/>
  <c r="N180" i="4"/>
  <c r="M180" i="4"/>
  <c r="L180" i="4"/>
  <c r="O179" i="4"/>
  <c r="N179" i="4"/>
  <c r="M179" i="4"/>
  <c r="L179" i="4"/>
  <c r="O178" i="4"/>
  <c r="N178" i="4"/>
  <c r="M178" i="4"/>
  <c r="L178" i="4"/>
  <c r="O177" i="4"/>
  <c r="N177" i="4"/>
  <c r="M177" i="4"/>
  <c r="L177" i="4"/>
  <c r="O176" i="4"/>
  <c r="N176" i="4"/>
  <c r="M176" i="4"/>
  <c r="L176" i="4"/>
  <c r="O175" i="4"/>
  <c r="N175" i="4"/>
  <c r="M175" i="4"/>
  <c r="L175" i="4"/>
  <c r="O174" i="4"/>
  <c r="N174" i="4"/>
  <c r="M174" i="4"/>
  <c r="L174" i="4"/>
  <c r="O173" i="4"/>
  <c r="N173" i="4"/>
  <c r="M173" i="4"/>
  <c r="L173" i="4"/>
  <c r="O172" i="4"/>
  <c r="N172" i="4"/>
  <c r="M172" i="4"/>
  <c r="L172" i="4"/>
  <c r="O171" i="4"/>
  <c r="N171" i="4"/>
  <c r="M171" i="4"/>
  <c r="L171" i="4"/>
  <c r="O170" i="4"/>
  <c r="N170" i="4"/>
  <c r="M170" i="4"/>
  <c r="L170" i="4"/>
  <c r="O169" i="4"/>
  <c r="N169" i="4"/>
  <c r="M169" i="4"/>
  <c r="L169" i="4"/>
  <c r="O168" i="4"/>
  <c r="N168" i="4"/>
  <c r="M168" i="4"/>
  <c r="L168" i="4"/>
  <c r="O167" i="4"/>
  <c r="N167" i="4"/>
  <c r="M167" i="4"/>
  <c r="L167" i="4"/>
  <c r="O166" i="4"/>
  <c r="N166" i="4"/>
  <c r="M166" i="4"/>
  <c r="L166" i="4"/>
  <c r="O165" i="4"/>
  <c r="N165" i="4"/>
  <c r="M165" i="4"/>
  <c r="L165" i="4"/>
  <c r="O164" i="4"/>
  <c r="N164" i="4"/>
  <c r="M164" i="4"/>
  <c r="L164" i="4"/>
  <c r="O163" i="4"/>
  <c r="N163" i="4"/>
  <c r="M163" i="4"/>
  <c r="L163" i="4"/>
  <c r="O162" i="4"/>
  <c r="N162" i="4"/>
  <c r="M162" i="4"/>
  <c r="L162" i="4"/>
  <c r="O161" i="4"/>
  <c r="N161" i="4"/>
  <c r="M161" i="4"/>
  <c r="L161" i="4"/>
  <c r="O160" i="4"/>
  <c r="N160" i="4"/>
  <c r="M160" i="4"/>
  <c r="L160" i="4"/>
  <c r="O159" i="4"/>
  <c r="N159" i="4"/>
  <c r="M159" i="4"/>
  <c r="L159" i="4"/>
  <c r="O158" i="4"/>
  <c r="N158" i="4"/>
  <c r="M158" i="4"/>
  <c r="L158" i="4"/>
  <c r="O157" i="4"/>
  <c r="N157" i="4"/>
  <c r="M157" i="4"/>
  <c r="L157" i="4"/>
  <c r="O156" i="4"/>
  <c r="N156" i="4"/>
  <c r="M156" i="4"/>
  <c r="L156" i="4"/>
  <c r="O155" i="4"/>
  <c r="N155" i="4"/>
  <c r="M155" i="4"/>
  <c r="L155" i="4"/>
  <c r="O154" i="4"/>
  <c r="N154" i="4"/>
  <c r="M154" i="4"/>
  <c r="L154" i="4"/>
  <c r="O153" i="4"/>
  <c r="N153" i="4"/>
  <c r="M153" i="4"/>
  <c r="L153" i="4"/>
  <c r="O152" i="4"/>
  <c r="N152" i="4"/>
  <c r="M152" i="4"/>
  <c r="L152" i="4"/>
  <c r="O151" i="4"/>
  <c r="N151" i="4"/>
  <c r="M151" i="4"/>
  <c r="L151" i="4"/>
  <c r="O150" i="4"/>
  <c r="N150" i="4"/>
  <c r="M150" i="4"/>
  <c r="L150" i="4"/>
  <c r="O149" i="4"/>
  <c r="N149" i="4"/>
  <c r="M149" i="4"/>
  <c r="L149" i="4"/>
  <c r="O148" i="4"/>
  <c r="N148" i="4"/>
  <c r="M148" i="4"/>
  <c r="L148" i="4"/>
  <c r="O147" i="4"/>
  <c r="N147" i="4"/>
  <c r="M147" i="4"/>
  <c r="L147" i="4"/>
  <c r="O146" i="4"/>
  <c r="N146" i="4"/>
  <c r="M146" i="4"/>
  <c r="L146" i="4"/>
  <c r="O145" i="4"/>
  <c r="N145" i="4"/>
  <c r="M145" i="4"/>
  <c r="L145" i="4"/>
  <c r="O144" i="4"/>
  <c r="N144" i="4"/>
  <c r="M144" i="4"/>
  <c r="L144" i="4"/>
  <c r="O143" i="4"/>
  <c r="N143" i="4"/>
  <c r="M143" i="4"/>
  <c r="L143" i="4"/>
  <c r="O142" i="4"/>
  <c r="N142" i="4"/>
  <c r="M142" i="4"/>
  <c r="L142" i="4"/>
  <c r="O141" i="4"/>
  <c r="N141" i="4"/>
  <c r="M141" i="4"/>
  <c r="L141" i="4"/>
  <c r="O140" i="4"/>
  <c r="N140" i="4"/>
  <c r="M140" i="4"/>
  <c r="L140" i="4"/>
  <c r="O139" i="4"/>
  <c r="N139" i="4"/>
  <c r="M139" i="4"/>
  <c r="L139" i="4"/>
  <c r="O138" i="4"/>
  <c r="N138" i="4"/>
  <c r="M138" i="4"/>
  <c r="L138" i="4"/>
  <c r="O137" i="4"/>
  <c r="N137" i="4"/>
  <c r="M137" i="4"/>
  <c r="L137" i="4"/>
  <c r="O136" i="4"/>
  <c r="N136" i="4"/>
  <c r="M136" i="4"/>
  <c r="L136" i="4"/>
  <c r="O135" i="4"/>
  <c r="N135" i="4"/>
  <c r="M135" i="4"/>
  <c r="L135" i="4"/>
  <c r="O134" i="4"/>
  <c r="N134" i="4"/>
  <c r="M134" i="4"/>
  <c r="L134" i="4"/>
  <c r="O133" i="4"/>
  <c r="N133" i="4"/>
  <c r="M133" i="4"/>
  <c r="L133" i="4"/>
  <c r="O132" i="4"/>
  <c r="N132" i="4"/>
  <c r="M132" i="4"/>
  <c r="L132" i="4"/>
  <c r="O131" i="4"/>
  <c r="N131" i="4"/>
  <c r="M131" i="4"/>
  <c r="L131" i="4"/>
  <c r="O130" i="4"/>
  <c r="N130" i="4"/>
  <c r="M130" i="4"/>
  <c r="L130" i="4"/>
  <c r="O129" i="4"/>
  <c r="N129" i="4"/>
  <c r="M129" i="4"/>
  <c r="L129" i="4"/>
  <c r="O128" i="4"/>
  <c r="N128" i="4"/>
  <c r="M128" i="4"/>
  <c r="L128" i="4"/>
  <c r="O127" i="4"/>
  <c r="N127" i="4"/>
  <c r="M127" i="4"/>
  <c r="L127" i="4"/>
  <c r="O126" i="4"/>
  <c r="N126" i="4"/>
  <c r="M126" i="4"/>
  <c r="L126" i="4"/>
  <c r="O125" i="4"/>
  <c r="N125" i="4"/>
  <c r="M125" i="4"/>
  <c r="L125" i="4"/>
  <c r="O124" i="4"/>
  <c r="N124" i="4"/>
  <c r="M124" i="4"/>
  <c r="L124" i="4"/>
  <c r="O123" i="4"/>
  <c r="N123" i="4"/>
  <c r="M123" i="4"/>
  <c r="L123" i="4"/>
  <c r="O122" i="4"/>
  <c r="N122" i="4"/>
  <c r="M122" i="4"/>
  <c r="L122" i="4"/>
  <c r="O121" i="4"/>
  <c r="N121" i="4"/>
  <c r="M121" i="4"/>
  <c r="L121" i="4"/>
  <c r="O120" i="4"/>
  <c r="N120" i="4"/>
  <c r="M120" i="4"/>
  <c r="L120" i="4"/>
  <c r="O119" i="4"/>
  <c r="N119" i="4"/>
  <c r="M119" i="4"/>
  <c r="L119" i="4"/>
  <c r="O118" i="4"/>
  <c r="N118" i="4"/>
  <c r="M118" i="4"/>
  <c r="L118" i="4"/>
  <c r="O117" i="4"/>
  <c r="N117" i="4"/>
  <c r="M117" i="4"/>
  <c r="L117" i="4"/>
  <c r="O116" i="4"/>
  <c r="N116" i="4"/>
  <c r="M116" i="4"/>
  <c r="L116" i="4"/>
  <c r="O115" i="4"/>
  <c r="N115" i="4"/>
  <c r="M115" i="4"/>
  <c r="L115" i="4"/>
  <c r="O114" i="4"/>
  <c r="N114" i="4"/>
  <c r="M114" i="4"/>
  <c r="L114" i="4"/>
  <c r="O113" i="4"/>
  <c r="N113" i="4"/>
  <c r="M113" i="4"/>
  <c r="L113" i="4"/>
  <c r="O112" i="4"/>
  <c r="N112" i="4"/>
  <c r="M112" i="4"/>
  <c r="L112" i="4"/>
  <c r="O111" i="4"/>
  <c r="N111" i="4"/>
  <c r="M111" i="4"/>
  <c r="L111" i="4"/>
  <c r="O110" i="4"/>
  <c r="N110" i="4"/>
  <c r="M110" i="4"/>
  <c r="L110" i="4"/>
  <c r="O109" i="4"/>
  <c r="N109" i="4"/>
  <c r="M109" i="4"/>
  <c r="L109" i="4"/>
  <c r="O108" i="4"/>
  <c r="N108" i="4"/>
  <c r="M108" i="4"/>
  <c r="L108" i="4"/>
  <c r="O107" i="4"/>
  <c r="N107" i="4"/>
  <c r="M107" i="4"/>
  <c r="L107" i="4"/>
  <c r="O106" i="4"/>
  <c r="N106" i="4"/>
  <c r="M106" i="4"/>
  <c r="L106" i="4"/>
  <c r="O105" i="4"/>
  <c r="N105" i="4"/>
  <c r="M105" i="4"/>
  <c r="L105" i="4"/>
  <c r="O104" i="4"/>
  <c r="N104" i="4"/>
  <c r="M104" i="4"/>
  <c r="L104" i="4"/>
  <c r="O103" i="4"/>
  <c r="N103" i="4"/>
  <c r="M103" i="4"/>
  <c r="L103" i="4"/>
  <c r="O102" i="4"/>
  <c r="N102" i="4"/>
  <c r="M102" i="4"/>
  <c r="L102" i="4"/>
  <c r="O101" i="4"/>
  <c r="N101" i="4"/>
  <c r="M101" i="4"/>
  <c r="L101" i="4"/>
  <c r="O100" i="4"/>
  <c r="N100" i="4"/>
  <c r="M100" i="4"/>
  <c r="L100" i="4"/>
  <c r="O99" i="4"/>
  <c r="N99" i="4"/>
  <c r="M99" i="4"/>
  <c r="L99" i="4"/>
  <c r="O98" i="4"/>
  <c r="N98" i="4"/>
  <c r="M98" i="4"/>
  <c r="L98" i="4"/>
  <c r="O97" i="4"/>
  <c r="N97" i="4"/>
  <c r="M97" i="4"/>
  <c r="L97" i="4"/>
  <c r="O96" i="4"/>
  <c r="N96" i="4"/>
  <c r="M96" i="4"/>
  <c r="L96" i="4"/>
  <c r="O95" i="4"/>
  <c r="N95" i="4"/>
  <c r="M95" i="4"/>
  <c r="L95" i="4"/>
  <c r="O94" i="4"/>
  <c r="N94" i="4"/>
  <c r="M94" i="4"/>
  <c r="L94" i="4"/>
  <c r="O93" i="4"/>
  <c r="N93" i="4"/>
  <c r="M93" i="4"/>
  <c r="L93" i="4"/>
  <c r="O92" i="4"/>
  <c r="N92" i="4"/>
  <c r="M92" i="4"/>
  <c r="L92" i="4"/>
  <c r="O91" i="4"/>
  <c r="N91" i="4"/>
  <c r="M91" i="4"/>
  <c r="L91" i="4"/>
  <c r="O90" i="4"/>
  <c r="N90" i="4"/>
  <c r="M90" i="4"/>
  <c r="L90" i="4"/>
  <c r="O89" i="4"/>
  <c r="N89" i="4"/>
  <c r="M89" i="4"/>
  <c r="L89" i="4"/>
  <c r="O88" i="4"/>
  <c r="N88" i="4"/>
  <c r="M88" i="4"/>
  <c r="L88" i="4"/>
  <c r="O87" i="4"/>
  <c r="N87" i="4"/>
  <c r="M87" i="4"/>
  <c r="L87" i="4"/>
  <c r="O86" i="4"/>
  <c r="N86" i="4"/>
  <c r="M86" i="4"/>
  <c r="L86" i="4"/>
  <c r="O85" i="4"/>
  <c r="N85" i="4"/>
  <c r="M85" i="4"/>
  <c r="L85" i="4"/>
  <c r="O84" i="4"/>
  <c r="N84" i="4"/>
  <c r="M84" i="4"/>
  <c r="L84" i="4"/>
  <c r="O83" i="4"/>
  <c r="N83" i="4"/>
  <c r="M83" i="4"/>
  <c r="L83" i="4"/>
  <c r="O82" i="4"/>
  <c r="N82" i="4"/>
  <c r="M82" i="4"/>
  <c r="L82" i="4"/>
  <c r="O81" i="4"/>
  <c r="N81" i="4"/>
  <c r="M81" i="4"/>
  <c r="L81" i="4"/>
  <c r="O80" i="4"/>
  <c r="N80" i="4"/>
  <c r="M80" i="4"/>
  <c r="L80" i="4"/>
  <c r="O79" i="4"/>
  <c r="N79" i="4"/>
  <c r="M79" i="4"/>
  <c r="L79" i="4"/>
  <c r="O78" i="4"/>
  <c r="N78" i="4"/>
  <c r="M78" i="4"/>
  <c r="L78" i="4"/>
  <c r="O77" i="4"/>
  <c r="N77" i="4"/>
  <c r="M77" i="4"/>
  <c r="L77" i="4"/>
  <c r="O76" i="4"/>
  <c r="N76" i="4"/>
  <c r="M76" i="4"/>
  <c r="L76" i="4"/>
  <c r="O75" i="4"/>
  <c r="N75" i="4"/>
  <c r="M75" i="4"/>
  <c r="L75" i="4"/>
  <c r="O74" i="4"/>
  <c r="N74" i="4"/>
  <c r="M74" i="4"/>
  <c r="L74" i="4"/>
  <c r="O73" i="4"/>
  <c r="N73" i="4"/>
  <c r="M73" i="4"/>
  <c r="L73" i="4"/>
  <c r="O72" i="4"/>
  <c r="N72" i="4"/>
  <c r="M72" i="4"/>
  <c r="L72" i="4"/>
  <c r="O71" i="4"/>
  <c r="N71" i="4"/>
  <c r="M71" i="4"/>
  <c r="L71" i="4"/>
  <c r="O70" i="4"/>
  <c r="N70" i="4"/>
  <c r="M70" i="4"/>
  <c r="L70" i="4"/>
  <c r="O69" i="4"/>
  <c r="N69" i="4"/>
  <c r="M69" i="4"/>
  <c r="L69" i="4"/>
  <c r="O68" i="4"/>
  <c r="N68" i="4"/>
  <c r="M68" i="4"/>
  <c r="L68" i="4"/>
  <c r="O67" i="4"/>
  <c r="N67" i="4"/>
  <c r="M67" i="4"/>
  <c r="L67" i="4"/>
  <c r="O66" i="4"/>
  <c r="N66" i="4"/>
  <c r="M66" i="4"/>
  <c r="L66" i="4"/>
  <c r="O65" i="4"/>
  <c r="N65" i="4"/>
  <c r="M65" i="4"/>
  <c r="L65" i="4"/>
  <c r="O64" i="4"/>
  <c r="N64" i="4"/>
  <c r="M64" i="4"/>
  <c r="L64" i="4"/>
  <c r="O63" i="4"/>
  <c r="N63" i="4"/>
  <c r="M63" i="4"/>
  <c r="L63" i="4"/>
  <c r="O62" i="4"/>
  <c r="N62" i="4"/>
  <c r="M62" i="4"/>
  <c r="L62" i="4"/>
  <c r="O61" i="4"/>
  <c r="M61" i="4"/>
  <c r="N61" i="4" s="1"/>
  <c r="L61" i="4"/>
  <c r="O60" i="4"/>
  <c r="M60" i="4"/>
  <c r="N60" i="4" s="1"/>
  <c r="L60" i="4"/>
  <c r="O59" i="4"/>
  <c r="M59" i="4"/>
  <c r="N59" i="4" s="1"/>
  <c r="L59" i="4"/>
  <c r="O58" i="4"/>
  <c r="M58" i="4"/>
  <c r="N58" i="4" s="1"/>
  <c r="L58" i="4"/>
  <c r="O57" i="4"/>
  <c r="M57" i="4"/>
  <c r="N57" i="4" s="1"/>
  <c r="L57" i="4"/>
  <c r="O56" i="4"/>
  <c r="M56" i="4"/>
  <c r="N56" i="4" s="1"/>
  <c r="L56" i="4"/>
  <c r="O55" i="4"/>
  <c r="M55" i="4"/>
  <c r="N55" i="4" s="1"/>
  <c r="L55" i="4"/>
  <c r="O54" i="4"/>
  <c r="M54" i="4"/>
  <c r="N54" i="4" s="1"/>
  <c r="L54" i="4"/>
  <c r="O53" i="4"/>
  <c r="M53" i="4"/>
  <c r="N53" i="4" s="1"/>
  <c r="L53" i="4"/>
  <c r="O52" i="4"/>
  <c r="M52" i="4"/>
  <c r="N52" i="4" s="1"/>
  <c r="L52" i="4"/>
  <c r="O51" i="4"/>
  <c r="L51" i="4"/>
  <c r="M51" i="4" s="1"/>
  <c r="N51" i="4" s="1"/>
  <c r="O50" i="4"/>
  <c r="M50" i="4"/>
  <c r="N50" i="4" s="1"/>
  <c r="L50" i="4"/>
  <c r="O49" i="4"/>
  <c r="L49" i="4"/>
  <c r="M49" i="4" s="1"/>
  <c r="N49" i="4" s="1"/>
  <c r="O48" i="4"/>
  <c r="M48" i="4"/>
  <c r="N48" i="4" s="1"/>
  <c r="L48" i="4"/>
  <c r="O47" i="4"/>
  <c r="L47" i="4"/>
  <c r="M47" i="4" s="1"/>
  <c r="N47" i="4" s="1"/>
  <c r="O46" i="4"/>
  <c r="M46" i="4"/>
  <c r="N46" i="4" s="1"/>
  <c r="L46" i="4"/>
  <c r="O45" i="4"/>
  <c r="L45" i="4"/>
  <c r="M45" i="4" s="1"/>
  <c r="N45" i="4" s="1"/>
  <c r="O44" i="4"/>
  <c r="M44" i="4"/>
  <c r="N44" i="4" s="1"/>
  <c r="L44" i="4"/>
  <c r="O43" i="4"/>
  <c r="L43" i="4"/>
  <c r="M43" i="4" s="1"/>
  <c r="N43" i="4" s="1"/>
  <c r="O42" i="4"/>
  <c r="M42" i="4"/>
  <c r="N42" i="4" s="1"/>
  <c r="L42" i="4"/>
  <c r="O41" i="4"/>
  <c r="L41" i="4"/>
  <c r="M41" i="4" s="1"/>
  <c r="N41" i="4" s="1"/>
  <c r="O40" i="4"/>
  <c r="M40" i="4"/>
  <c r="N40" i="4" s="1"/>
  <c r="L40" i="4"/>
  <c r="O39" i="4"/>
  <c r="L39" i="4"/>
  <c r="M39" i="4" s="1"/>
  <c r="N39" i="4" s="1"/>
  <c r="O38" i="4"/>
  <c r="M38" i="4"/>
  <c r="N38" i="4" s="1"/>
  <c r="L38" i="4"/>
  <c r="O37" i="4"/>
  <c r="L37" i="4"/>
  <c r="M37" i="4" s="1"/>
  <c r="N37" i="4" s="1"/>
  <c r="O36" i="4"/>
  <c r="M36" i="4"/>
  <c r="N36" i="4" s="1"/>
  <c r="L36" i="4"/>
  <c r="O35" i="4"/>
  <c r="L35" i="4"/>
  <c r="M35" i="4" s="1"/>
  <c r="N35" i="4" s="1"/>
  <c r="O34" i="4"/>
  <c r="M34" i="4"/>
  <c r="N34" i="4" s="1"/>
  <c r="L34" i="4"/>
  <c r="O33" i="4"/>
  <c r="L33" i="4"/>
  <c r="M33" i="4" s="1"/>
  <c r="N33" i="4" s="1"/>
  <c r="O32" i="4"/>
  <c r="M32" i="4"/>
  <c r="N32" i="4" s="1"/>
  <c r="L32" i="4"/>
  <c r="O31" i="4"/>
  <c r="L31" i="4"/>
  <c r="M31" i="4" s="1"/>
  <c r="N31" i="4" s="1"/>
  <c r="O30" i="4"/>
  <c r="M30" i="4"/>
  <c r="N30" i="4" s="1"/>
  <c r="L30" i="4"/>
  <c r="O29" i="4"/>
  <c r="L29" i="4"/>
  <c r="M29" i="4" s="1"/>
  <c r="N29" i="4" s="1"/>
  <c r="O28" i="4"/>
  <c r="M28" i="4"/>
  <c r="N28" i="4" s="1"/>
  <c r="L28" i="4"/>
  <c r="O27" i="4"/>
  <c r="L27" i="4"/>
  <c r="M27" i="4" s="1"/>
  <c r="N27" i="4" s="1"/>
  <c r="O26" i="4"/>
  <c r="M26" i="4"/>
  <c r="N26" i="4" s="1"/>
  <c r="L26" i="4"/>
  <c r="O25" i="4"/>
  <c r="L25" i="4"/>
  <c r="M25" i="4" s="1"/>
  <c r="N25" i="4" s="1"/>
  <c r="O24" i="4"/>
  <c r="M24" i="4"/>
  <c r="N24" i="4" s="1"/>
  <c r="L24" i="4"/>
  <c r="O23" i="4"/>
  <c r="L23" i="4"/>
  <c r="M23" i="4" s="1"/>
  <c r="N23" i="4" s="1"/>
  <c r="O22" i="4"/>
  <c r="M22" i="4"/>
  <c r="N22" i="4" s="1"/>
  <c r="L22" i="4"/>
  <c r="O21" i="4"/>
  <c r="L21" i="4"/>
  <c r="M21" i="4" s="1"/>
  <c r="N21" i="4" s="1"/>
  <c r="O20" i="4"/>
  <c r="M20" i="4"/>
  <c r="N20" i="4" s="1"/>
  <c r="L20" i="4"/>
  <c r="O19" i="4"/>
  <c r="L19" i="4"/>
  <c r="M19" i="4" s="1"/>
  <c r="N19" i="4" s="1"/>
  <c r="J22" i="3" s="1"/>
  <c r="O18" i="4"/>
  <c r="M18" i="4"/>
  <c r="N18" i="4" s="1"/>
  <c r="L18" i="4"/>
  <c r="O17" i="4"/>
  <c r="L17" i="4"/>
  <c r="M17" i="4" s="1"/>
  <c r="N17" i="4" s="1"/>
  <c r="O16" i="4"/>
  <c r="M16" i="4"/>
  <c r="N16" i="4" s="1"/>
  <c r="L16" i="4"/>
  <c r="O15" i="4"/>
  <c r="M15" i="4"/>
  <c r="N15" i="4" s="1"/>
  <c r="L15" i="4"/>
  <c r="O14" i="4"/>
  <c r="L14" i="4"/>
  <c r="M14" i="4" s="1"/>
  <c r="N14" i="4" s="1"/>
  <c r="J17" i="3" s="1"/>
  <c r="O13" i="4"/>
  <c r="L13" i="4"/>
  <c r="M13" i="4" s="1"/>
  <c r="N13" i="4" s="1"/>
  <c r="O12" i="4"/>
  <c r="M12" i="4"/>
  <c r="N12" i="4" s="1"/>
  <c r="L12" i="4"/>
  <c r="O11" i="4"/>
  <c r="L11" i="4"/>
  <c r="M11" i="4" s="1"/>
  <c r="N11" i="4" s="1"/>
  <c r="J14" i="3" s="1"/>
  <c r="O10" i="4"/>
  <c r="M10" i="4"/>
  <c r="N10" i="4" s="1"/>
  <c r="L10" i="4"/>
  <c r="O9" i="4"/>
  <c r="L9" i="4"/>
  <c r="M9" i="4" s="1"/>
  <c r="N9" i="4" s="1"/>
  <c r="O8" i="4"/>
  <c r="M8" i="4"/>
  <c r="N8" i="4" s="1"/>
  <c r="L8" i="4"/>
  <c r="O7" i="4"/>
  <c r="M7" i="4"/>
  <c r="N7" i="4" s="1"/>
  <c r="L7" i="4"/>
  <c r="O6" i="4"/>
  <c r="L6" i="4"/>
  <c r="M6" i="4" s="1"/>
  <c r="N6" i="4" s="1"/>
  <c r="J9" i="3" s="1"/>
  <c r="O5" i="4"/>
  <c r="L5" i="4"/>
  <c r="M5" i="4" s="1"/>
  <c r="N5" i="4" s="1"/>
  <c r="O4" i="4"/>
  <c r="M4" i="4"/>
  <c r="N4" i="4" s="1"/>
  <c r="L4" i="4"/>
  <c r="O3" i="4"/>
  <c r="L3" i="4"/>
  <c r="M3" i="4" s="1"/>
  <c r="N3" i="4" s="1"/>
  <c r="J6" i="3" s="1"/>
  <c r="O2" i="4"/>
  <c r="B26" i="11" s="1"/>
  <c r="M2" i="4"/>
  <c r="L2" i="4"/>
  <c r="B23" i="11" s="1"/>
  <c r="G1007" i="3"/>
  <c r="C1007" i="3"/>
  <c r="A1007" i="3"/>
  <c r="G1006" i="3"/>
  <c r="F1006" i="3"/>
  <c r="D1006" i="3"/>
  <c r="C1006" i="3"/>
  <c r="B1006" i="3"/>
  <c r="A1006" i="3"/>
  <c r="E1006" i="3" s="1"/>
  <c r="C1005" i="3"/>
  <c r="A1005" i="3"/>
  <c r="F1005" i="3" s="1"/>
  <c r="E1004" i="3"/>
  <c r="D1004" i="3"/>
  <c r="B1004" i="3"/>
  <c r="A1004" i="3"/>
  <c r="E1003" i="3"/>
  <c r="A1003" i="3"/>
  <c r="G1003" i="3" s="1"/>
  <c r="G1002" i="3"/>
  <c r="F1002" i="3"/>
  <c r="D1002" i="3"/>
  <c r="C1002" i="3"/>
  <c r="B1002" i="3"/>
  <c r="A1002" i="3"/>
  <c r="E1002" i="3" s="1"/>
  <c r="A1001" i="3"/>
  <c r="A1000" i="3"/>
  <c r="F1000" i="3" s="1"/>
  <c r="A999" i="3"/>
  <c r="G998" i="3"/>
  <c r="F998" i="3"/>
  <c r="D998" i="3"/>
  <c r="C998" i="3"/>
  <c r="B998" i="3"/>
  <c r="A998" i="3"/>
  <c r="E998" i="3" s="1"/>
  <c r="F997" i="3"/>
  <c r="B997" i="3"/>
  <c r="A997" i="3"/>
  <c r="E996" i="3"/>
  <c r="D996" i="3"/>
  <c r="B996" i="3"/>
  <c r="A996" i="3"/>
  <c r="G995" i="3"/>
  <c r="D995" i="3"/>
  <c r="A995" i="3"/>
  <c r="G994" i="3"/>
  <c r="F994" i="3"/>
  <c r="D994" i="3"/>
  <c r="C994" i="3"/>
  <c r="B994" i="3"/>
  <c r="A994" i="3"/>
  <c r="E994" i="3" s="1"/>
  <c r="F993" i="3"/>
  <c r="E993" i="3"/>
  <c r="C993" i="3"/>
  <c r="A993" i="3"/>
  <c r="F992" i="3"/>
  <c r="E992" i="3"/>
  <c r="B992" i="3"/>
  <c r="A992" i="3"/>
  <c r="G991" i="3"/>
  <c r="D991" i="3"/>
  <c r="C991" i="3"/>
  <c r="A991" i="3"/>
  <c r="G990" i="3"/>
  <c r="F990" i="3"/>
  <c r="D990" i="3"/>
  <c r="C990" i="3"/>
  <c r="B990" i="3"/>
  <c r="A990" i="3"/>
  <c r="E990" i="3" s="1"/>
  <c r="A989" i="3"/>
  <c r="F989" i="3" s="1"/>
  <c r="E988" i="3"/>
  <c r="D988" i="3"/>
  <c r="B988" i="3"/>
  <c r="A988" i="3"/>
  <c r="A987" i="3"/>
  <c r="G986" i="3"/>
  <c r="F986" i="3"/>
  <c r="D986" i="3"/>
  <c r="C986" i="3"/>
  <c r="B986" i="3"/>
  <c r="A986" i="3"/>
  <c r="E986" i="3" s="1"/>
  <c r="E985" i="3"/>
  <c r="A985" i="3"/>
  <c r="F985" i="3" s="1"/>
  <c r="E984" i="3"/>
  <c r="A984" i="3"/>
  <c r="F984" i="3" s="1"/>
  <c r="D983" i="3"/>
  <c r="A983" i="3"/>
  <c r="G983" i="3" s="1"/>
  <c r="G982" i="3"/>
  <c r="F982" i="3"/>
  <c r="D982" i="3"/>
  <c r="C982" i="3"/>
  <c r="B982" i="3"/>
  <c r="A982" i="3"/>
  <c r="E982" i="3" s="1"/>
  <c r="F981" i="3"/>
  <c r="C981" i="3"/>
  <c r="B981" i="3"/>
  <c r="A981" i="3"/>
  <c r="E980" i="3"/>
  <c r="D980" i="3"/>
  <c r="B980" i="3"/>
  <c r="A980" i="3"/>
  <c r="G979" i="3"/>
  <c r="E979" i="3"/>
  <c r="D979" i="3"/>
  <c r="A979" i="3"/>
  <c r="G978" i="3"/>
  <c r="F978" i="3"/>
  <c r="D978" i="3"/>
  <c r="C978" i="3"/>
  <c r="B978" i="3"/>
  <c r="A978" i="3"/>
  <c r="E978" i="3" s="1"/>
  <c r="F977" i="3"/>
  <c r="C977" i="3"/>
  <c r="A977" i="3"/>
  <c r="F976" i="3"/>
  <c r="B976" i="3"/>
  <c r="A976" i="3"/>
  <c r="G975" i="3"/>
  <c r="C975" i="3"/>
  <c r="A975" i="3"/>
  <c r="G974" i="3"/>
  <c r="F974" i="3"/>
  <c r="D974" i="3"/>
  <c r="C974" i="3"/>
  <c r="B974" i="3"/>
  <c r="A974" i="3"/>
  <c r="E974" i="3" s="1"/>
  <c r="C973" i="3"/>
  <c r="A973" i="3"/>
  <c r="F973" i="3" s="1"/>
  <c r="E972" i="3"/>
  <c r="D972" i="3"/>
  <c r="B972" i="3"/>
  <c r="A972" i="3"/>
  <c r="E971" i="3"/>
  <c r="A971" i="3"/>
  <c r="G971" i="3" s="1"/>
  <c r="G970" i="3"/>
  <c r="F970" i="3"/>
  <c r="D970" i="3"/>
  <c r="C970" i="3"/>
  <c r="B970" i="3"/>
  <c r="A970" i="3"/>
  <c r="E970" i="3" s="1"/>
  <c r="A969" i="3"/>
  <c r="A968" i="3"/>
  <c r="F968" i="3" s="1"/>
  <c r="A967" i="3"/>
  <c r="G966" i="3"/>
  <c r="F966" i="3"/>
  <c r="D966" i="3"/>
  <c r="C966" i="3"/>
  <c r="B966" i="3"/>
  <c r="A966" i="3"/>
  <c r="E966" i="3" s="1"/>
  <c r="F965" i="3"/>
  <c r="B965" i="3"/>
  <c r="A965" i="3"/>
  <c r="E964" i="3"/>
  <c r="D964" i="3"/>
  <c r="B964" i="3"/>
  <c r="A964" i="3"/>
  <c r="G963" i="3"/>
  <c r="D963" i="3"/>
  <c r="A963" i="3"/>
  <c r="G962" i="3"/>
  <c r="F962" i="3"/>
  <c r="D962" i="3"/>
  <c r="C962" i="3"/>
  <c r="B962" i="3"/>
  <c r="A962" i="3"/>
  <c r="E962" i="3" s="1"/>
  <c r="F961" i="3"/>
  <c r="E961" i="3"/>
  <c r="C961" i="3"/>
  <c r="A961" i="3"/>
  <c r="F960" i="3"/>
  <c r="E960" i="3"/>
  <c r="B960" i="3"/>
  <c r="A960" i="3"/>
  <c r="G959" i="3"/>
  <c r="D959" i="3"/>
  <c r="C959" i="3"/>
  <c r="A959" i="3"/>
  <c r="G958" i="3"/>
  <c r="F958" i="3"/>
  <c r="D958" i="3"/>
  <c r="C958" i="3"/>
  <c r="B958" i="3"/>
  <c r="A958" i="3"/>
  <c r="E958" i="3" s="1"/>
  <c r="A957" i="3"/>
  <c r="E956" i="3"/>
  <c r="D956" i="3"/>
  <c r="B956" i="3"/>
  <c r="A956" i="3"/>
  <c r="A955" i="3"/>
  <c r="G955" i="3" s="1"/>
  <c r="G954" i="3"/>
  <c r="F954" i="3"/>
  <c r="D954" i="3"/>
  <c r="C954" i="3"/>
  <c r="B954" i="3"/>
  <c r="A954" i="3"/>
  <c r="E954" i="3" s="1"/>
  <c r="E953" i="3"/>
  <c r="A953" i="3"/>
  <c r="F953" i="3" s="1"/>
  <c r="E952" i="3"/>
  <c r="A952" i="3"/>
  <c r="F952" i="3" s="1"/>
  <c r="D951" i="3"/>
  <c r="A951" i="3"/>
  <c r="G951" i="3" s="1"/>
  <c r="G950" i="3"/>
  <c r="F950" i="3"/>
  <c r="D950" i="3"/>
  <c r="C950" i="3"/>
  <c r="B950" i="3"/>
  <c r="A950" i="3"/>
  <c r="E950" i="3" s="1"/>
  <c r="F949" i="3"/>
  <c r="C949" i="3"/>
  <c r="B949" i="3"/>
  <c r="A949" i="3"/>
  <c r="E948" i="3"/>
  <c r="D948" i="3"/>
  <c r="B948" i="3"/>
  <c r="A948" i="3"/>
  <c r="G947" i="3"/>
  <c r="E947" i="3"/>
  <c r="D947" i="3"/>
  <c r="A947" i="3"/>
  <c r="G946" i="3"/>
  <c r="F946" i="3"/>
  <c r="D946" i="3"/>
  <c r="C946" i="3"/>
  <c r="B946" i="3"/>
  <c r="A946" i="3"/>
  <c r="E946" i="3" s="1"/>
  <c r="F945" i="3"/>
  <c r="C945" i="3"/>
  <c r="A945" i="3"/>
  <c r="F944" i="3"/>
  <c r="B944" i="3"/>
  <c r="A944" i="3"/>
  <c r="G943" i="3"/>
  <c r="C943" i="3"/>
  <c r="A943" i="3"/>
  <c r="G942" i="3"/>
  <c r="F942" i="3"/>
  <c r="D942" i="3"/>
  <c r="C942" i="3"/>
  <c r="B942" i="3"/>
  <c r="A942" i="3"/>
  <c r="E942" i="3" s="1"/>
  <c r="C941" i="3"/>
  <c r="A941" i="3"/>
  <c r="F941" i="3" s="1"/>
  <c r="E940" i="3"/>
  <c r="D940" i="3"/>
  <c r="B940" i="3"/>
  <c r="A940" i="3"/>
  <c r="E939" i="3"/>
  <c r="A939" i="3"/>
  <c r="G939" i="3" s="1"/>
  <c r="G938" i="3"/>
  <c r="F938" i="3"/>
  <c r="D938" i="3"/>
  <c r="C938" i="3"/>
  <c r="B938" i="3"/>
  <c r="A938" i="3"/>
  <c r="E938" i="3" s="1"/>
  <c r="A937" i="3"/>
  <c r="A936" i="3"/>
  <c r="F936" i="3" s="1"/>
  <c r="A935" i="3"/>
  <c r="G934" i="3"/>
  <c r="F934" i="3"/>
  <c r="D934" i="3"/>
  <c r="C934" i="3"/>
  <c r="B934" i="3"/>
  <c r="A934" i="3"/>
  <c r="E934" i="3" s="1"/>
  <c r="F933" i="3"/>
  <c r="B933" i="3"/>
  <c r="A933" i="3"/>
  <c r="E932" i="3"/>
  <c r="D932" i="3"/>
  <c r="B932" i="3"/>
  <c r="A932" i="3"/>
  <c r="G931" i="3"/>
  <c r="D931" i="3"/>
  <c r="A931" i="3"/>
  <c r="G930" i="3"/>
  <c r="F930" i="3"/>
  <c r="D930" i="3"/>
  <c r="C930" i="3"/>
  <c r="B930" i="3"/>
  <c r="A930" i="3"/>
  <c r="E930" i="3" s="1"/>
  <c r="F929" i="3"/>
  <c r="E929" i="3"/>
  <c r="C929" i="3"/>
  <c r="A929" i="3"/>
  <c r="F928" i="3"/>
  <c r="E928" i="3"/>
  <c r="B928" i="3"/>
  <c r="A928" i="3"/>
  <c r="G927" i="3"/>
  <c r="D927" i="3"/>
  <c r="C927" i="3"/>
  <c r="A927" i="3"/>
  <c r="G926" i="3"/>
  <c r="F926" i="3"/>
  <c r="D926" i="3"/>
  <c r="C926" i="3"/>
  <c r="B926" i="3"/>
  <c r="A926" i="3"/>
  <c r="E926" i="3" s="1"/>
  <c r="A925" i="3"/>
  <c r="F925" i="3" s="1"/>
  <c r="E924" i="3"/>
  <c r="D924" i="3"/>
  <c r="B924" i="3"/>
  <c r="A924" i="3"/>
  <c r="A923" i="3"/>
  <c r="G922" i="3"/>
  <c r="F922" i="3"/>
  <c r="D922" i="3"/>
  <c r="C922" i="3"/>
  <c r="B922" i="3"/>
  <c r="A922" i="3"/>
  <c r="E922" i="3" s="1"/>
  <c r="E921" i="3"/>
  <c r="A921" i="3"/>
  <c r="F921" i="3" s="1"/>
  <c r="E920" i="3"/>
  <c r="A920" i="3"/>
  <c r="F920" i="3" s="1"/>
  <c r="D919" i="3"/>
  <c r="A919" i="3"/>
  <c r="G919" i="3" s="1"/>
  <c r="G918" i="3"/>
  <c r="F918" i="3"/>
  <c r="D918" i="3"/>
  <c r="C918" i="3"/>
  <c r="B918" i="3"/>
  <c r="A918" i="3"/>
  <c r="E918" i="3" s="1"/>
  <c r="F917" i="3"/>
  <c r="C917" i="3"/>
  <c r="B917" i="3"/>
  <c r="A917" i="3"/>
  <c r="E916" i="3"/>
  <c r="D916" i="3"/>
  <c r="B916" i="3"/>
  <c r="A916" i="3"/>
  <c r="G915" i="3"/>
  <c r="E915" i="3"/>
  <c r="D915" i="3"/>
  <c r="A915" i="3"/>
  <c r="G914" i="3"/>
  <c r="F914" i="3"/>
  <c r="D914" i="3"/>
  <c r="C914" i="3"/>
  <c r="B914" i="3"/>
  <c r="A914" i="3"/>
  <c r="E914" i="3" s="1"/>
  <c r="F913" i="3"/>
  <c r="C913" i="3"/>
  <c r="A913" i="3"/>
  <c r="F912" i="3"/>
  <c r="B912" i="3"/>
  <c r="A912" i="3"/>
  <c r="G911" i="3"/>
  <c r="C911" i="3"/>
  <c r="A911" i="3"/>
  <c r="G910" i="3"/>
  <c r="F910" i="3"/>
  <c r="D910" i="3"/>
  <c r="C910" i="3"/>
  <c r="B910" i="3"/>
  <c r="A910" i="3"/>
  <c r="E910" i="3" s="1"/>
  <c r="C909" i="3"/>
  <c r="A909" i="3"/>
  <c r="F909" i="3" s="1"/>
  <c r="E908" i="3"/>
  <c r="D908" i="3"/>
  <c r="B908" i="3"/>
  <c r="A908" i="3"/>
  <c r="E907" i="3"/>
  <c r="A907" i="3"/>
  <c r="G907" i="3" s="1"/>
  <c r="G906" i="3"/>
  <c r="F906" i="3"/>
  <c r="D906" i="3"/>
  <c r="C906" i="3"/>
  <c r="B906" i="3"/>
  <c r="A906" i="3"/>
  <c r="E906" i="3" s="1"/>
  <c r="A905" i="3"/>
  <c r="A904" i="3"/>
  <c r="F904" i="3" s="1"/>
  <c r="A903" i="3"/>
  <c r="G902" i="3"/>
  <c r="F902" i="3"/>
  <c r="D902" i="3"/>
  <c r="C902" i="3"/>
  <c r="B902" i="3"/>
  <c r="A902" i="3"/>
  <c r="E902" i="3" s="1"/>
  <c r="F901" i="3"/>
  <c r="B901" i="3"/>
  <c r="A901" i="3"/>
  <c r="E900" i="3"/>
  <c r="D900" i="3"/>
  <c r="B900" i="3"/>
  <c r="A900" i="3"/>
  <c r="G899" i="3"/>
  <c r="D899" i="3"/>
  <c r="A899" i="3"/>
  <c r="G898" i="3"/>
  <c r="F898" i="3"/>
  <c r="D898" i="3"/>
  <c r="C898" i="3"/>
  <c r="B898" i="3"/>
  <c r="A898" i="3"/>
  <c r="E898" i="3" s="1"/>
  <c r="F897" i="3"/>
  <c r="E897" i="3"/>
  <c r="C897" i="3"/>
  <c r="A897" i="3"/>
  <c r="F896" i="3"/>
  <c r="E896" i="3"/>
  <c r="B896" i="3"/>
  <c r="A896" i="3"/>
  <c r="G895" i="3"/>
  <c r="D895" i="3"/>
  <c r="C895" i="3"/>
  <c r="A895" i="3"/>
  <c r="G894" i="3"/>
  <c r="F894" i="3"/>
  <c r="D894" i="3"/>
  <c r="C894" i="3"/>
  <c r="B894" i="3"/>
  <c r="A894" i="3"/>
  <c r="E894" i="3" s="1"/>
  <c r="A893" i="3"/>
  <c r="E892" i="3"/>
  <c r="D892" i="3"/>
  <c r="B892" i="3"/>
  <c r="A892" i="3"/>
  <c r="A891" i="3"/>
  <c r="G891" i="3" s="1"/>
  <c r="G890" i="3"/>
  <c r="F890" i="3"/>
  <c r="D890" i="3"/>
  <c r="C890" i="3"/>
  <c r="B890" i="3"/>
  <c r="A890" i="3"/>
  <c r="E890" i="3" s="1"/>
  <c r="E889" i="3"/>
  <c r="A889" i="3"/>
  <c r="F889" i="3" s="1"/>
  <c r="E888" i="3"/>
  <c r="A888" i="3"/>
  <c r="F888" i="3" s="1"/>
  <c r="D887" i="3"/>
  <c r="A887" i="3"/>
  <c r="G887" i="3" s="1"/>
  <c r="G886" i="3"/>
  <c r="F886" i="3"/>
  <c r="D886" i="3"/>
  <c r="C886" i="3"/>
  <c r="B886" i="3"/>
  <c r="A886" i="3"/>
  <c r="E886" i="3" s="1"/>
  <c r="F885" i="3"/>
  <c r="C885" i="3"/>
  <c r="B885" i="3"/>
  <c r="A885" i="3"/>
  <c r="E884" i="3"/>
  <c r="D884" i="3"/>
  <c r="B884" i="3"/>
  <c r="A884" i="3"/>
  <c r="G883" i="3"/>
  <c r="E883" i="3"/>
  <c r="D883" i="3"/>
  <c r="A883" i="3"/>
  <c r="G882" i="3"/>
  <c r="F882" i="3"/>
  <c r="D882" i="3"/>
  <c r="C882" i="3"/>
  <c r="B882" i="3"/>
  <c r="A882" i="3"/>
  <c r="E882" i="3" s="1"/>
  <c r="F881" i="3"/>
  <c r="C881" i="3"/>
  <c r="A881" i="3"/>
  <c r="F880" i="3"/>
  <c r="B880" i="3"/>
  <c r="A880" i="3"/>
  <c r="G879" i="3"/>
  <c r="C879" i="3"/>
  <c r="A879" i="3"/>
  <c r="G878" i="3"/>
  <c r="F878" i="3"/>
  <c r="D878" i="3"/>
  <c r="C878" i="3"/>
  <c r="B878" i="3"/>
  <c r="A878" i="3"/>
  <c r="E878" i="3" s="1"/>
  <c r="C877" i="3"/>
  <c r="A877" i="3"/>
  <c r="F877" i="3" s="1"/>
  <c r="E876" i="3"/>
  <c r="D876" i="3"/>
  <c r="B876" i="3"/>
  <c r="A876" i="3"/>
  <c r="E875" i="3"/>
  <c r="A875" i="3"/>
  <c r="G875" i="3" s="1"/>
  <c r="G874" i="3"/>
  <c r="F874" i="3"/>
  <c r="D874" i="3"/>
  <c r="C874" i="3"/>
  <c r="B874" i="3"/>
  <c r="A874" i="3"/>
  <c r="E874" i="3" s="1"/>
  <c r="A873" i="3"/>
  <c r="F873" i="3" s="1"/>
  <c r="A872" i="3"/>
  <c r="A871" i="3"/>
  <c r="G871" i="3" s="1"/>
  <c r="G870" i="3"/>
  <c r="F870" i="3"/>
  <c r="D870" i="3"/>
  <c r="C870" i="3"/>
  <c r="B870" i="3"/>
  <c r="A870" i="3"/>
  <c r="E870" i="3" s="1"/>
  <c r="F869" i="3"/>
  <c r="B869" i="3"/>
  <c r="A869" i="3"/>
  <c r="E868" i="3"/>
  <c r="D868" i="3"/>
  <c r="B868" i="3"/>
  <c r="A868" i="3"/>
  <c r="G867" i="3"/>
  <c r="D867" i="3"/>
  <c r="A867" i="3"/>
  <c r="G866" i="3"/>
  <c r="F866" i="3"/>
  <c r="D866" i="3"/>
  <c r="C866" i="3"/>
  <c r="B866" i="3"/>
  <c r="A866" i="3"/>
  <c r="E866" i="3" s="1"/>
  <c r="F865" i="3"/>
  <c r="E865" i="3"/>
  <c r="C865" i="3"/>
  <c r="A865" i="3"/>
  <c r="F864" i="3"/>
  <c r="E864" i="3"/>
  <c r="B864" i="3"/>
  <c r="A864" i="3"/>
  <c r="G863" i="3"/>
  <c r="D863" i="3"/>
  <c r="C863" i="3"/>
  <c r="A863" i="3"/>
  <c r="G862" i="3"/>
  <c r="F862" i="3"/>
  <c r="D862" i="3"/>
  <c r="C862" i="3"/>
  <c r="B862" i="3"/>
  <c r="A862" i="3"/>
  <c r="E862" i="3" s="1"/>
  <c r="A861" i="3"/>
  <c r="F861" i="3" s="1"/>
  <c r="E860" i="3"/>
  <c r="D860" i="3"/>
  <c r="B860" i="3"/>
  <c r="A860" i="3"/>
  <c r="A859" i="3"/>
  <c r="G858" i="3"/>
  <c r="F858" i="3"/>
  <c r="D858" i="3"/>
  <c r="C858" i="3"/>
  <c r="B858" i="3"/>
  <c r="A858" i="3"/>
  <c r="E858" i="3" s="1"/>
  <c r="E857" i="3"/>
  <c r="A857" i="3"/>
  <c r="F857" i="3" s="1"/>
  <c r="E856" i="3"/>
  <c r="A856" i="3"/>
  <c r="F856" i="3" s="1"/>
  <c r="D855" i="3"/>
  <c r="A855" i="3"/>
  <c r="G855" i="3" s="1"/>
  <c r="G854" i="3"/>
  <c r="F854" i="3"/>
  <c r="D854" i="3"/>
  <c r="C854" i="3"/>
  <c r="B854" i="3"/>
  <c r="A854" i="3"/>
  <c r="E854" i="3" s="1"/>
  <c r="F853" i="3"/>
  <c r="C853" i="3"/>
  <c r="B853" i="3"/>
  <c r="A853" i="3"/>
  <c r="E852" i="3"/>
  <c r="D852" i="3"/>
  <c r="B852" i="3"/>
  <c r="A852" i="3"/>
  <c r="G851" i="3"/>
  <c r="E851" i="3"/>
  <c r="D851" i="3"/>
  <c r="A851" i="3"/>
  <c r="G850" i="3"/>
  <c r="F850" i="3"/>
  <c r="D850" i="3"/>
  <c r="C850" i="3"/>
  <c r="B850" i="3"/>
  <c r="A850" i="3"/>
  <c r="E850" i="3" s="1"/>
  <c r="F849" i="3"/>
  <c r="C849" i="3"/>
  <c r="A849" i="3"/>
  <c r="F848" i="3"/>
  <c r="B848" i="3"/>
  <c r="A848" i="3"/>
  <c r="G847" i="3"/>
  <c r="C847" i="3"/>
  <c r="A847" i="3"/>
  <c r="G846" i="3"/>
  <c r="F846" i="3"/>
  <c r="D846" i="3"/>
  <c r="C846" i="3"/>
  <c r="B846" i="3"/>
  <c r="A846" i="3"/>
  <c r="E846" i="3" s="1"/>
  <c r="C845" i="3"/>
  <c r="A845" i="3"/>
  <c r="F845" i="3" s="1"/>
  <c r="E844" i="3"/>
  <c r="D844" i="3"/>
  <c r="B844" i="3"/>
  <c r="A844" i="3"/>
  <c r="E843" i="3"/>
  <c r="A843" i="3"/>
  <c r="G843" i="3" s="1"/>
  <c r="G842" i="3"/>
  <c r="F842" i="3"/>
  <c r="D842" i="3"/>
  <c r="C842" i="3"/>
  <c r="B842" i="3"/>
  <c r="A842" i="3"/>
  <c r="E842" i="3" s="1"/>
  <c r="A841" i="3"/>
  <c r="C841" i="3" s="1"/>
  <c r="A840" i="3"/>
  <c r="A839" i="3"/>
  <c r="G839" i="3" s="1"/>
  <c r="G838" i="3"/>
  <c r="F838" i="3"/>
  <c r="D838" i="3"/>
  <c r="C838" i="3"/>
  <c r="B838" i="3"/>
  <c r="A838" i="3"/>
  <c r="E838" i="3" s="1"/>
  <c r="F837" i="3"/>
  <c r="B837" i="3"/>
  <c r="A837" i="3"/>
  <c r="E836" i="3"/>
  <c r="D836" i="3"/>
  <c r="B836" i="3"/>
  <c r="A836" i="3"/>
  <c r="G835" i="3"/>
  <c r="D835" i="3"/>
  <c r="A835" i="3"/>
  <c r="G834" i="3"/>
  <c r="F834" i="3"/>
  <c r="D834" i="3"/>
  <c r="C834" i="3"/>
  <c r="B834" i="3"/>
  <c r="A834" i="3"/>
  <c r="E834" i="3" s="1"/>
  <c r="F833" i="3"/>
  <c r="E833" i="3"/>
  <c r="C833" i="3"/>
  <c r="A833" i="3"/>
  <c r="F832" i="3"/>
  <c r="E832" i="3"/>
  <c r="B832" i="3"/>
  <c r="A832" i="3"/>
  <c r="G831" i="3"/>
  <c r="D831" i="3"/>
  <c r="C831" i="3"/>
  <c r="A831" i="3"/>
  <c r="G830" i="3"/>
  <c r="F830" i="3"/>
  <c r="D830" i="3"/>
  <c r="C830" i="3"/>
  <c r="B830" i="3"/>
  <c r="A830" i="3"/>
  <c r="E830" i="3" s="1"/>
  <c r="A829" i="3"/>
  <c r="E828" i="3"/>
  <c r="D828" i="3"/>
  <c r="B828" i="3"/>
  <c r="A828" i="3"/>
  <c r="A827" i="3"/>
  <c r="D827" i="3" s="1"/>
  <c r="G826" i="3"/>
  <c r="F826" i="3"/>
  <c r="D826" i="3"/>
  <c r="C826" i="3"/>
  <c r="B826" i="3"/>
  <c r="A826" i="3"/>
  <c r="E826" i="3" s="1"/>
  <c r="E825" i="3"/>
  <c r="A825" i="3"/>
  <c r="F825" i="3" s="1"/>
  <c r="E824" i="3"/>
  <c r="A824" i="3"/>
  <c r="F824" i="3" s="1"/>
  <c r="D823" i="3"/>
  <c r="A823" i="3"/>
  <c r="G823" i="3" s="1"/>
  <c r="G822" i="3"/>
  <c r="F822" i="3"/>
  <c r="D822" i="3"/>
  <c r="C822" i="3"/>
  <c r="B822" i="3"/>
  <c r="A822" i="3"/>
  <c r="E822" i="3" s="1"/>
  <c r="F821" i="3"/>
  <c r="C821" i="3"/>
  <c r="B821" i="3"/>
  <c r="A821" i="3"/>
  <c r="E820" i="3"/>
  <c r="D820" i="3"/>
  <c r="B820" i="3"/>
  <c r="A820" i="3"/>
  <c r="G819" i="3"/>
  <c r="E819" i="3"/>
  <c r="D819" i="3"/>
  <c r="A819" i="3"/>
  <c r="G818" i="3"/>
  <c r="F818" i="3"/>
  <c r="D818" i="3"/>
  <c r="C818" i="3"/>
  <c r="B818" i="3"/>
  <c r="A818" i="3"/>
  <c r="E818" i="3" s="1"/>
  <c r="F817" i="3"/>
  <c r="C817" i="3"/>
  <c r="A817" i="3"/>
  <c r="F816" i="3"/>
  <c r="B816" i="3"/>
  <c r="A816" i="3"/>
  <c r="G815" i="3"/>
  <c r="C815" i="3"/>
  <c r="A815" i="3"/>
  <c r="G814" i="3"/>
  <c r="F814" i="3"/>
  <c r="D814" i="3"/>
  <c r="C814" i="3"/>
  <c r="B814" i="3"/>
  <c r="A814" i="3"/>
  <c r="E814" i="3" s="1"/>
  <c r="C813" i="3"/>
  <c r="A813" i="3"/>
  <c r="F813" i="3" s="1"/>
  <c r="E812" i="3"/>
  <c r="D812" i="3"/>
  <c r="B812" i="3"/>
  <c r="A812" i="3"/>
  <c r="E811" i="3"/>
  <c r="A811" i="3"/>
  <c r="G811" i="3" s="1"/>
  <c r="G810" i="3"/>
  <c r="F810" i="3"/>
  <c r="D810" i="3"/>
  <c r="C810" i="3"/>
  <c r="B810" i="3"/>
  <c r="A810" i="3"/>
  <c r="E810" i="3" s="1"/>
  <c r="A809" i="3"/>
  <c r="A808" i="3"/>
  <c r="F808" i="3" s="1"/>
  <c r="A807" i="3"/>
  <c r="C807" i="3" s="1"/>
  <c r="G806" i="3"/>
  <c r="F806" i="3"/>
  <c r="D806" i="3"/>
  <c r="C806" i="3"/>
  <c r="B806" i="3"/>
  <c r="A806" i="3"/>
  <c r="E806" i="3" s="1"/>
  <c r="F805" i="3"/>
  <c r="B805" i="3"/>
  <c r="A805" i="3"/>
  <c r="E804" i="3"/>
  <c r="D804" i="3"/>
  <c r="B804" i="3"/>
  <c r="A804" i="3"/>
  <c r="G803" i="3"/>
  <c r="D803" i="3"/>
  <c r="A803" i="3"/>
  <c r="G802" i="3"/>
  <c r="F802" i="3"/>
  <c r="D802" i="3"/>
  <c r="C802" i="3"/>
  <c r="B802" i="3"/>
  <c r="A802" i="3"/>
  <c r="E802" i="3" s="1"/>
  <c r="F801" i="3"/>
  <c r="E801" i="3"/>
  <c r="C801" i="3"/>
  <c r="A801" i="3"/>
  <c r="F800" i="3"/>
  <c r="E800" i="3"/>
  <c r="B800" i="3"/>
  <c r="A800" i="3"/>
  <c r="G799" i="3"/>
  <c r="D799" i="3"/>
  <c r="C799" i="3"/>
  <c r="A799" i="3"/>
  <c r="G798" i="3"/>
  <c r="F798" i="3"/>
  <c r="D798" i="3"/>
  <c r="C798" i="3"/>
  <c r="B798" i="3"/>
  <c r="A798" i="3"/>
  <c r="E798" i="3" s="1"/>
  <c r="A797" i="3"/>
  <c r="E796" i="3"/>
  <c r="D796" i="3"/>
  <c r="B796" i="3"/>
  <c r="A796" i="3"/>
  <c r="A795" i="3"/>
  <c r="D795" i="3" s="1"/>
  <c r="G794" i="3"/>
  <c r="F794" i="3"/>
  <c r="D794" i="3"/>
  <c r="C794" i="3"/>
  <c r="B794" i="3"/>
  <c r="A794" i="3"/>
  <c r="E794" i="3" s="1"/>
  <c r="E793" i="3"/>
  <c r="A793" i="3"/>
  <c r="F793" i="3" s="1"/>
  <c r="E792" i="3"/>
  <c r="A792" i="3"/>
  <c r="F792" i="3" s="1"/>
  <c r="D791" i="3"/>
  <c r="A791" i="3"/>
  <c r="G791" i="3" s="1"/>
  <c r="G790" i="3"/>
  <c r="F790" i="3"/>
  <c r="D790" i="3"/>
  <c r="C790" i="3"/>
  <c r="B790" i="3"/>
  <c r="A790" i="3"/>
  <c r="E790" i="3" s="1"/>
  <c r="F789" i="3"/>
  <c r="C789" i="3"/>
  <c r="B789" i="3"/>
  <c r="A789" i="3"/>
  <c r="E788" i="3"/>
  <c r="D788" i="3"/>
  <c r="B788" i="3"/>
  <c r="A788" i="3"/>
  <c r="G787" i="3"/>
  <c r="E787" i="3"/>
  <c r="D787" i="3"/>
  <c r="A787" i="3"/>
  <c r="G786" i="3"/>
  <c r="F786" i="3"/>
  <c r="D786" i="3"/>
  <c r="C786" i="3"/>
  <c r="B786" i="3"/>
  <c r="A786" i="3"/>
  <c r="E786" i="3" s="1"/>
  <c r="F785" i="3"/>
  <c r="C785" i="3"/>
  <c r="A785" i="3"/>
  <c r="F784" i="3"/>
  <c r="B784" i="3"/>
  <c r="A784" i="3"/>
  <c r="G783" i="3"/>
  <c r="C783" i="3"/>
  <c r="A783" i="3"/>
  <c r="G782" i="3"/>
  <c r="F782" i="3"/>
  <c r="D782" i="3"/>
  <c r="C782" i="3"/>
  <c r="B782" i="3"/>
  <c r="A782" i="3"/>
  <c r="E782" i="3" s="1"/>
  <c r="C781" i="3"/>
  <c r="A781" i="3"/>
  <c r="F781" i="3" s="1"/>
  <c r="E780" i="3"/>
  <c r="D780" i="3"/>
  <c r="B780" i="3"/>
  <c r="A780" i="3"/>
  <c r="E779" i="3"/>
  <c r="A779" i="3"/>
  <c r="G779" i="3" s="1"/>
  <c r="G778" i="3"/>
  <c r="F778" i="3"/>
  <c r="D778" i="3"/>
  <c r="C778" i="3"/>
  <c r="B778" i="3"/>
  <c r="A778" i="3"/>
  <c r="E778" i="3" s="1"/>
  <c r="A777" i="3"/>
  <c r="C777" i="3" s="1"/>
  <c r="A776" i="3"/>
  <c r="B776" i="3" s="1"/>
  <c r="A775" i="3"/>
  <c r="G774" i="3"/>
  <c r="F774" i="3"/>
  <c r="D774" i="3"/>
  <c r="C774" i="3"/>
  <c r="B774" i="3"/>
  <c r="A774" i="3"/>
  <c r="E774" i="3" s="1"/>
  <c r="F773" i="3"/>
  <c r="B773" i="3"/>
  <c r="A773" i="3"/>
  <c r="E772" i="3"/>
  <c r="D772" i="3"/>
  <c r="B772" i="3"/>
  <c r="A772" i="3"/>
  <c r="G771" i="3"/>
  <c r="D771" i="3"/>
  <c r="A771" i="3"/>
  <c r="G770" i="3"/>
  <c r="F770" i="3"/>
  <c r="D770" i="3"/>
  <c r="C770" i="3"/>
  <c r="B770" i="3"/>
  <c r="A770" i="3"/>
  <c r="E770" i="3" s="1"/>
  <c r="F769" i="3"/>
  <c r="E769" i="3"/>
  <c r="C769" i="3"/>
  <c r="A769" i="3"/>
  <c r="F768" i="3"/>
  <c r="E768" i="3"/>
  <c r="B768" i="3"/>
  <c r="A768" i="3"/>
  <c r="G767" i="3"/>
  <c r="D767" i="3"/>
  <c r="C767" i="3"/>
  <c r="A767" i="3"/>
  <c r="G766" i="3"/>
  <c r="F766" i="3"/>
  <c r="D766" i="3"/>
  <c r="C766" i="3"/>
  <c r="B766" i="3"/>
  <c r="A766" i="3"/>
  <c r="E766" i="3" s="1"/>
  <c r="A765" i="3"/>
  <c r="E764" i="3"/>
  <c r="D764" i="3"/>
  <c r="B764" i="3"/>
  <c r="A764" i="3"/>
  <c r="A763" i="3"/>
  <c r="D763" i="3" s="1"/>
  <c r="G762" i="3"/>
  <c r="F762" i="3"/>
  <c r="D762" i="3"/>
  <c r="C762" i="3"/>
  <c r="B762" i="3"/>
  <c r="A762" i="3"/>
  <c r="E762" i="3" s="1"/>
  <c r="E761" i="3"/>
  <c r="A761" i="3"/>
  <c r="F761" i="3" s="1"/>
  <c r="E760" i="3"/>
  <c r="A760" i="3"/>
  <c r="F760" i="3" s="1"/>
  <c r="D759" i="3"/>
  <c r="A759" i="3"/>
  <c r="G759" i="3" s="1"/>
  <c r="G758" i="3"/>
  <c r="F758" i="3"/>
  <c r="D758" i="3"/>
  <c r="C758" i="3"/>
  <c r="B758" i="3"/>
  <c r="A758" i="3"/>
  <c r="E758" i="3" s="1"/>
  <c r="F757" i="3"/>
  <c r="C757" i="3"/>
  <c r="B757" i="3"/>
  <c r="A757" i="3"/>
  <c r="E756" i="3"/>
  <c r="D756" i="3"/>
  <c r="B756" i="3"/>
  <c r="A756" i="3"/>
  <c r="G755" i="3"/>
  <c r="E755" i="3"/>
  <c r="D755" i="3"/>
  <c r="A755" i="3"/>
  <c r="G754" i="3"/>
  <c r="F754" i="3"/>
  <c r="D754" i="3"/>
  <c r="C754" i="3"/>
  <c r="B754" i="3"/>
  <c r="A754" i="3"/>
  <c r="E754" i="3" s="1"/>
  <c r="F753" i="3"/>
  <c r="C753" i="3"/>
  <c r="A753" i="3"/>
  <c r="F752" i="3"/>
  <c r="B752" i="3"/>
  <c r="A752" i="3"/>
  <c r="G751" i="3"/>
  <c r="C751" i="3"/>
  <c r="A751" i="3"/>
  <c r="G750" i="3"/>
  <c r="F750" i="3"/>
  <c r="D750" i="3"/>
  <c r="C750" i="3"/>
  <c r="B750" i="3"/>
  <c r="A750" i="3"/>
  <c r="E750" i="3" s="1"/>
  <c r="C749" i="3"/>
  <c r="A749" i="3"/>
  <c r="F749" i="3" s="1"/>
  <c r="E748" i="3"/>
  <c r="D748" i="3"/>
  <c r="B748" i="3"/>
  <c r="A748" i="3"/>
  <c r="E747" i="3"/>
  <c r="A747" i="3"/>
  <c r="G747" i="3" s="1"/>
  <c r="G746" i="3"/>
  <c r="F746" i="3"/>
  <c r="D746" i="3"/>
  <c r="C746" i="3"/>
  <c r="B746" i="3"/>
  <c r="A746" i="3"/>
  <c r="E746" i="3" s="1"/>
  <c r="A745" i="3"/>
  <c r="F745" i="3" s="1"/>
  <c r="A744" i="3"/>
  <c r="B744" i="3" s="1"/>
  <c r="A743" i="3"/>
  <c r="G742" i="3"/>
  <c r="F742" i="3"/>
  <c r="D742" i="3"/>
  <c r="C742" i="3"/>
  <c r="B742" i="3"/>
  <c r="A742" i="3"/>
  <c r="E742" i="3" s="1"/>
  <c r="F741" i="3"/>
  <c r="B741" i="3"/>
  <c r="A741" i="3"/>
  <c r="E740" i="3"/>
  <c r="D740" i="3"/>
  <c r="B740" i="3"/>
  <c r="A740" i="3"/>
  <c r="G739" i="3"/>
  <c r="D739" i="3"/>
  <c r="A739" i="3"/>
  <c r="G738" i="3"/>
  <c r="F738" i="3"/>
  <c r="D738" i="3"/>
  <c r="C738" i="3"/>
  <c r="B738" i="3"/>
  <c r="A738" i="3"/>
  <c r="E738" i="3" s="1"/>
  <c r="F737" i="3"/>
  <c r="E737" i="3"/>
  <c r="C737" i="3"/>
  <c r="A737" i="3"/>
  <c r="F736" i="3"/>
  <c r="E736" i="3"/>
  <c r="B736" i="3"/>
  <c r="A736" i="3"/>
  <c r="G735" i="3"/>
  <c r="D735" i="3"/>
  <c r="C735" i="3"/>
  <c r="A735" i="3"/>
  <c r="G734" i="3"/>
  <c r="F734" i="3"/>
  <c r="D734" i="3"/>
  <c r="C734" i="3"/>
  <c r="B734" i="3"/>
  <c r="A734" i="3"/>
  <c r="E734" i="3" s="1"/>
  <c r="A733" i="3"/>
  <c r="B733" i="3" s="1"/>
  <c r="E732" i="3"/>
  <c r="D732" i="3"/>
  <c r="B732" i="3"/>
  <c r="A732" i="3"/>
  <c r="A731" i="3"/>
  <c r="G730" i="3"/>
  <c r="F730" i="3"/>
  <c r="D730" i="3"/>
  <c r="C730" i="3"/>
  <c r="B730" i="3"/>
  <c r="A730" i="3"/>
  <c r="E730" i="3" s="1"/>
  <c r="E729" i="3"/>
  <c r="A729" i="3"/>
  <c r="F729" i="3" s="1"/>
  <c r="E728" i="3"/>
  <c r="A728" i="3"/>
  <c r="F728" i="3" s="1"/>
  <c r="D727" i="3"/>
  <c r="A727" i="3"/>
  <c r="G727" i="3" s="1"/>
  <c r="G726" i="3"/>
  <c r="F726" i="3"/>
  <c r="D726" i="3"/>
  <c r="C726" i="3"/>
  <c r="B726" i="3"/>
  <c r="A726" i="3"/>
  <c r="E726" i="3" s="1"/>
  <c r="F725" i="3"/>
  <c r="C725" i="3"/>
  <c r="B725" i="3"/>
  <c r="A725" i="3"/>
  <c r="E724" i="3"/>
  <c r="D724" i="3"/>
  <c r="B724" i="3"/>
  <c r="A724" i="3"/>
  <c r="G723" i="3"/>
  <c r="E723" i="3"/>
  <c r="D723" i="3"/>
  <c r="A723" i="3"/>
  <c r="G722" i="3"/>
  <c r="F722" i="3"/>
  <c r="D722" i="3"/>
  <c r="C722" i="3"/>
  <c r="B722" i="3"/>
  <c r="A722" i="3"/>
  <c r="E722" i="3" s="1"/>
  <c r="F721" i="3"/>
  <c r="C721" i="3"/>
  <c r="A721" i="3"/>
  <c r="F720" i="3"/>
  <c r="B720" i="3"/>
  <c r="A720" i="3"/>
  <c r="G719" i="3"/>
  <c r="C719" i="3"/>
  <c r="A719" i="3"/>
  <c r="G718" i="3"/>
  <c r="F718" i="3"/>
  <c r="D718" i="3"/>
  <c r="C718" i="3"/>
  <c r="B718" i="3"/>
  <c r="A718" i="3"/>
  <c r="E718" i="3" s="1"/>
  <c r="C717" i="3"/>
  <c r="A717" i="3"/>
  <c r="F717" i="3" s="1"/>
  <c r="E716" i="3"/>
  <c r="D716" i="3"/>
  <c r="B716" i="3"/>
  <c r="A716" i="3"/>
  <c r="E715" i="3"/>
  <c r="A715" i="3"/>
  <c r="G715" i="3" s="1"/>
  <c r="G714" i="3"/>
  <c r="F714" i="3"/>
  <c r="D714" i="3"/>
  <c r="C714" i="3"/>
  <c r="B714" i="3"/>
  <c r="A714" i="3"/>
  <c r="E714" i="3" s="1"/>
  <c r="A713" i="3"/>
  <c r="F713" i="3" s="1"/>
  <c r="A712" i="3"/>
  <c r="A711" i="3"/>
  <c r="C711" i="3" s="1"/>
  <c r="G710" i="3"/>
  <c r="F710" i="3"/>
  <c r="D710" i="3"/>
  <c r="C710" i="3"/>
  <c r="B710" i="3"/>
  <c r="A710" i="3"/>
  <c r="E710" i="3" s="1"/>
  <c r="F709" i="3"/>
  <c r="B709" i="3"/>
  <c r="A709" i="3"/>
  <c r="E708" i="3"/>
  <c r="D708" i="3"/>
  <c r="B708" i="3"/>
  <c r="A708" i="3"/>
  <c r="G707" i="3"/>
  <c r="D707" i="3"/>
  <c r="A707" i="3"/>
  <c r="G706" i="3"/>
  <c r="F706" i="3"/>
  <c r="D706" i="3"/>
  <c r="C706" i="3"/>
  <c r="B706" i="3"/>
  <c r="A706" i="3"/>
  <c r="E706" i="3" s="1"/>
  <c r="F705" i="3"/>
  <c r="E705" i="3"/>
  <c r="C705" i="3"/>
  <c r="A705" i="3"/>
  <c r="F704" i="3"/>
  <c r="E704" i="3"/>
  <c r="B704" i="3"/>
  <c r="A704" i="3"/>
  <c r="G703" i="3"/>
  <c r="D703" i="3"/>
  <c r="C703" i="3"/>
  <c r="A703" i="3"/>
  <c r="G702" i="3"/>
  <c r="F702" i="3"/>
  <c r="D702" i="3"/>
  <c r="C702" i="3"/>
  <c r="B702" i="3"/>
  <c r="A702" i="3"/>
  <c r="E702" i="3" s="1"/>
  <c r="A701" i="3"/>
  <c r="E700" i="3"/>
  <c r="D700" i="3"/>
  <c r="B700" i="3"/>
  <c r="A700" i="3"/>
  <c r="A699" i="3"/>
  <c r="D699" i="3" s="1"/>
  <c r="G698" i="3"/>
  <c r="F698" i="3"/>
  <c r="D698" i="3"/>
  <c r="C698" i="3"/>
  <c r="B698" i="3"/>
  <c r="A698" i="3"/>
  <c r="E698" i="3" s="1"/>
  <c r="E697" i="3"/>
  <c r="A697" i="3"/>
  <c r="F697" i="3" s="1"/>
  <c r="E696" i="3"/>
  <c r="A696" i="3"/>
  <c r="F696" i="3" s="1"/>
  <c r="D695" i="3"/>
  <c r="A695" i="3"/>
  <c r="G695" i="3" s="1"/>
  <c r="G694" i="3"/>
  <c r="F694" i="3"/>
  <c r="D694" i="3"/>
  <c r="C694" i="3"/>
  <c r="B694" i="3"/>
  <c r="A694" i="3"/>
  <c r="E694" i="3" s="1"/>
  <c r="F693" i="3"/>
  <c r="C693" i="3"/>
  <c r="B693" i="3"/>
  <c r="A693" i="3"/>
  <c r="E692" i="3"/>
  <c r="D692" i="3"/>
  <c r="B692" i="3"/>
  <c r="A692" i="3"/>
  <c r="G691" i="3"/>
  <c r="E691" i="3"/>
  <c r="D691" i="3"/>
  <c r="A691" i="3"/>
  <c r="G690" i="3"/>
  <c r="F690" i="3"/>
  <c r="D690" i="3"/>
  <c r="C690" i="3"/>
  <c r="B690" i="3"/>
  <c r="A690" i="3"/>
  <c r="E690" i="3" s="1"/>
  <c r="F689" i="3"/>
  <c r="C689" i="3"/>
  <c r="A689" i="3"/>
  <c r="F688" i="3"/>
  <c r="B688" i="3"/>
  <c r="A688" i="3"/>
  <c r="G687" i="3"/>
  <c r="C687" i="3"/>
  <c r="A687" i="3"/>
  <c r="G686" i="3"/>
  <c r="F686" i="3"/>
  <c r="D686" i="3"/>
  <c r="C686" i="3"/>
  <c r="B686" i="3"/>
  <c r="A686" i="3"/>
  <c r="E686" i="3" s="1"/>
  <c r="C685" i="3"/>
  <c r="A685" i="3"/>
  <c r="F685" i="3" s="1"/>
  <c r="E684" i="3"/>
  <c r="D684" i="3"/>
  <c r="B684" i="3"/>
  <c r="A684" i="3"/>
  <c r="E683" i="3"/>
  <c r="A683" i="3"/>
  <c r="G683" i="3" s="1"/>
  <c r="G682" i="3"/>
  <c r="F682" i="3"/>
  <c r="D682" i="3"/>
  <c r="C682" i="3"/>
  <c r="B682" i="3"/>
  <c r="A682" i="3"/>
  <c r="E682" i="3" s="1"/>
  <c r="A681" i="3"/>
  <c r="C681" i="3" s="1"/>
  <c r="A680" i="3"/>
  <c r="A679" i="3"/>
  <c r="G679" i="3" s="1"/>
  <c r="G678" i="3"/>
  <c r="F678" i="3"/>
  <c r="D678" i="3"/>
  <c r="C678" i="3"/>
  <c r="B678" i="3"/>
  <c r="A678" i="3"/>
  <c r="E678" i="3" s="1"/>
  <c r="F677" i="3"/>
  <c r="B677" i="3"/>
  <c r="A677" i="3"/>
  <c r="E676" i="3"/>
  <c r="D676" i="3"/>
  <c r="B676" i="3"/>
  <c r="A676" i="3"/>
  <c r="G675" i="3"/>
  <c r="D675" i="3"/>
  <c r="A675" i="3"/>
  <c r="G674" i="3"/>
  <c r="F674" i="3"/>
  <c r="D674" i="3"/>
  <c r="C674" i="3"/>
  <c r="B674" i="3"/>
  <c r="A674" i="3"/>
  <c r="E674" i="3" s="1"/>
  <c r="F673" i="3"/>
  <c r="E673" i="3"/>
  <c r="C673" i="3"/>
  <c r="A673" i="3"/>
  <c r="F672" i="3"/>
  <c r="E672" i="3"/>
  <c r="B672" i="3"/>
  <c r="A672" i="3"/>
  <c r="G671" i="3"/>
  <c r="D671" i="3"/>
  <c r="C671" i="3"/>
  <c r="A671" i="3"/>
  <c r="G670" i="3"/>
  <c r="F670" i="3"/>
  <c r="D670" i="3"/>
  <c r="C670" i="3"/>
  <c r="B670" i="3"/>
  <c r="A670" i="3"/>
  <c r="E670" i="3" s="1"/>
  <c r="A669" i="3"/>
  <c r="B669" i="3" s="1"/>
  <c r="E668" i="3"/>
  <c r="D668" i="3"/>
  <c r="B668" i="3"/>
  <c r="A668" i="3"/>
  <c r="A667" i="3"/>
  <c r="G667" i="3" s="1"/>
  <c r="G666" i="3"/>
  <c r="F666" i="3"/>
  <c r="D666" i="3"/>
  <c r="C666" i="3"/>
  <c r="B666" i="3"/>
  <c r="A666" i="3"/>
  <c r="E666" i="3" s="1"/>
  <c r="E665" i="3"/>
  <c r="A665" i="3"/>
  <c r="F665" i="3" s="1"/>
  <c r="E664" i="3"/>
  <c r="A664" i="3"/>
  <c r="F664" i="3" s="1"/>
  <c r="D663" i="3"/>
  <c r="A663" i="3"/>
  <c r="G663" i="3" s="1"/>
  <c r="G662" i="3"/>
  <c r="F662" i="3"/>
  <c r="D662" i="3"/>
  <c r="C662" i="3"/>
  <c r="B662" i="3"/>
  <c r="A662" i="3"/>
  <c r="E662" i="3" s="1"/>
  <c r="F661" i="3"/>
  <c r="C661" i="3"/>
  <c r="B661" i="3"/>
  <c r="A661" i="3"/>
  <c r="E660" i="3"/>
  <c r="D660" i="3"/>
  <c r="B660" i="3"/>
  <c r="A660" i="3"/>
  <c r="G659" i="3"/>
  <c r="E659" i="3"/>
  <c r="D659" i="3"/>
  <c r="A659" i="3"/>
  <c r="G658" i="3"/>
  <c r="F658" i="3"/>
  <c r="D658" i="3"/>
  <c r="C658" i="3"/>
  <c r="B658" i="3"/>
  <c r="A658" i="3"/>
  <c r="E658" i="3" s="1"/>
  <c r="F657" i="3"/>
  <c r="C657" i="3"/>
  <c r="A657" i="3"/>
  <c r="F656" i="3"/>
  <c r="B656" i="3"/>
  <c r="A656" i="3"/>
  <c r="G655" i="3"/>
  <c r="C655" i="3"/>
  <c r="A655" i="3"/>
  <c r="G654" i="3"/>
  <c r="F654" i="3"/>
  <c r="D654" i="3"/>
  <c r="C654" i="3"/>
  <c r="B654" i="3"/>
  <c r="A654" i="3"/>
  <c r="E654" i="3" s="1"/>
  <c r="C653" i="3"/>
  <c r="A653" i="3"/>
  <c r="F653" i="3" s="1"/>
  <c r="E652" i="3"/>
  <c r="D652" i="3"/>
  <c r="B652" i="3"/>
  <c r="A652" i="3"/>
  <c r="E651" i="3"/>
  <c r="A651" i="3"/>
  <c r="G651" i="3" s="1"/>
  <c r="G650" i="3"/>
  <c r="F650" i="3"/>
  <c r="D650" i="3"/>
  <c r="C650" i="3"/>
  <c r="B650" i="3"/>
  <c r="A650" i="3"/>
  <c r="E650" i="3" s="1"/>
  <c r="A649" i="3"/>
  <c r="C649" i="3" s="1"/>
  <c r="A648" i="3"/>
  <c r="A647" i="3"/>
  <c r="C647" i="3" s="1"/>
  <c r="G646" i="3"/>
  <c r="F646" i="3"/>
  <c r="D646" i="3"/>
  <c r="C646" i="3"/>
  <c r="B646" i="3"/>
  <c r="A646" i="3"/>
  <c r="E646" i="3" s="1"/>
  <c r="F645" i="3"/>
  <c r="B645" i="3"/>
  <c r="A645" i="3"/>
  <c r="E644" i="3"/>
  <c r="D644" i="3"/>
  <c r="B644" i="3"/>
  <c r="A644" i="3"/>
  <c r="G643" i="3"/>
  <c r="D643" i="3"/>
  <c r="A643" i="3"/>
  <c r="G642" i="3"/>
  <c r="F642" i="3"/>
  <c r="D642" i="3"/>
  <c r="C642" i="3"/>
  <c r="B642" i="3"/>
  <c r="A642" i="3"/>
  <c r="E642" i="3" s="1"/>
  <c r="F641" i="3"/>
  <c r="E641" i="3"/>
  <c r="C641" i="3"/>
  <c r="A641" i="3"/>
  <c r="F640" i="3"/>
  <c r="E640" i="3"/>
  <c r="B640" i="3"/>
  <c r="A640" i="3"/>
  <c r="G639" i="3"/>
  <c r="D639" i="3"/>
  <c r="C639" i="3"/>
  <c r="A639" i="3"/>
  <c r="G638" i="3"/>
  <c r="F638" i="3"/>
  <c r="D638" i="3"/>
  <c r="C638" i="3"/>
  <c r="B638" i="3"/>
  <c r="A638" i="3"/>
  <c r="E638" i="3" s="1"/>
  <c r="A637" i="3"/>
  <c r="B637" i="3" s="1"/>
  <c r="E636" i="3"/>
  <c r="D636" i="3"/>
  <c r="B636" i="3"/>
  <c r="A636" i="3"/>
  <c r="A635" i="3"/>
  <c r="D635" i="3" s="1"/>
  <c r="G634" i="3"/>
  <c r="F634" i="3"/>
  <c r="D634" i="3"/>
  <c r="C634" i="3"/>
  <c r="B634" i="3"/>
  <c r="A634" i="3"/>
  <c r="E634" i="3" s="1"/>
  <c r="E633" i="3"/>
  <c r="A633" i="3"/>
  <c r="F633" i="3" s="1"/>
  <c r="E632" i="3"/>
  <c r="A632" i="3"/>
  <c r="F632" i="3" s="1"/>
  <c r="D631" i="3"/>
  <c r="A631" i="3"/>
  <c r="G631" i="3" s="1"/>
  <c r="G630" i="3"/>
  <c r="F630" i="3"/>
  <c r="D630" i="3"/>
  <c r="C630" i="3"/>
  <c r="B630" i="3"/>
  <c r="A630" i="3"/>
  <c r="E630" i="3" s="1"/>
  <c r="F629" i="3"/>
  <c r="C629" i="3"/>
  <c r="B629" i="3"/>
  <c r="A629" i="3"/>
  <c r="E628" i="3"/>
  <c r="D628" i="3"/>
  <c r="B628" i="3"/>
  <c r="A628" i="3"/>
  <c r="G627" i="3"/>
  <c r="E627" i="3"/>
  <c r="D627" i="3"/>
  <c r="A627" i="3"/>
  <c r="G626" i="3"/>
  <c r="F626" i="3"/>
  <c r="D626" i="3"/>
  <c r="C626" i="3"/>
  <c r="B626" i="3"/>
  <c r="A626" i="3"/>
  <c r="E626" i="3" s="1"/>
  <c r="F625" i="3"/>
  <c r="C625" i="3"/>
  <c r="A625" i="3"/>
  <c r="F624" i="3"/>
  <c r="B624" i="3"/>
  <c r="A624" i="3"/>
  <c r="G623" i="3"/>
  <c r="C623" i="3"/>
  <c r="A623" i="3"/>
  <c r="G622" i="3"/>
  <c r="F622" i="3"/>
  <c r="D622" i="3"/>
  <c r="C622" i="3"/>
  <c r="B622" i="3"/>
  <c r="A622" i="3"/>
  <c r="E622" i="3" s="1"/>
  <c r="C621" i="3"/>
  <c r="A621" i="3"/>
  <c r="F621" i="3" s="1"/>
  <c r="E620" i="3"/>
  <c r="D620" i="3"/>
  <c r="B620" i="3"/>
  <c r="A620" i="3"/>
  <c r="E619" i="3"/>
  <c r="A619" i="3"/>
  <c r="G619" i="3" s="1"/>
  <c r="G618" i="3"/>
  <c r="F618" i="3"/>
  <c r="D618" i="3"/>
  <c r="C618" i="3"/>
  <c r="B618" i="3"/>
  <c r="A618" i="3"/>
  <c r="E618" i="3" s="1"/>
  <c r="A617" i="3"/>
  <c r="A616" i="3"/>
  <c r="B616" i="3" s="1"/>
  <c r="A615" i="3"/>
  <c r="D615" i="3" s="1"/>
  <c r="G614" i="3"/>
  <c r="F614" i="3"/>
  <c r="D614" i="3"/>
  <c r="C614" i="3"/>
  <c r="B614" i="3"/>
  <c r="A614" i="3"/>
  <c r="E614" i="3" s="1"/>
  <c r="F613" i="3"/>
  <c r="B613" i="3"/>
  <c r="A613" i="3"/>
  <c r="E612" i="3"/>
  <c r="D612" i="3"/>
  <c r="B612" i="3"/>
  <c r="A612" i="3"/>
  <c r="G611" i="3"/>
  <c r="D611" i="3"/>
  <c r="A611" i="3"/>
  <c r="G610" i="3"/>
  <c r="F610" i="3"/>
  <c r="D610" i="3"/>
  <c r="C610" i="3"/>
  <c r="B610" i="3"/>
  <c r="A610" i="3"/>
  <c r="E610" i="3" s="1"/>
  <c r="F609" i="3"/>
  <c r="E609" i="3"/>
  <c r="C609" i="3"/>
  <c r="A609" i="3"/>
  <c r="F608" i="3"/>
  <c r="E608" i="3"/>
  <c r="B608" i="3"/>
  <c r="A608" i="3"/>
  <c r="G607" i="3"/>
  <c r="D607" i="3"/>
  <c r="C607" i="3"/>
  <c r="A607" i="3"/>
  <c r="G606" i="3"/>
  <c r="F606" i="3"/>
  <c r="D606" i="3"/>
  <c r="C606" i="3"/>
  <c r="B606" i="3"/>
  <c r="A606" i="3"/>
  <c r="E606" i="3" s="1"/>
  <c r="A605" i="3"/>
  <c r="B605" i="3" s="1"/>
  <c r="E604" i="3"/>
  <c r="D604" i="3"/>
  <c r="B604" i="3"/>
  <c r="A604" i="3"/>
  <c r="A603" i="3"/>
  <c r="D603" i="3" s="1"/>
  <c r="G602" i="3"/>
  <c r="F602" i="3"/>
  <c r="D602" i="3"/>
  <c r="C602" i="3"/>
  <c r="B602" i="3"/>
  <c r="A602" i="3"/>
  <c r="E602" i="3" s="1"/>
  <c r="E601" i="3"/>
  <c r="A601" i="3"/>
  <c r="F601" i="3" s="1"/>
  <c r="E600" i="3"/>
  <c r="A600" i="3"/>
  <c r="F600" i="3" s="1"/>
  <c r="D599" i="3"/>
  <c r="A599" i="3"/>
  <c r="G599" i="3" s="1"/>
  <c r="G598" i="3"/>
  <c r="F598" i="3"/>
  <c r="D598" i="3"/>
  <c r="C598" i="3"/>
  <c r="B598" i="3"/>
  <c r="A598" i="3"/>
  <c r="E598" i="3" s="1"/>
  <c r="F597" i="3"/>
  <c r="C597" i="3"/>
  <c r="B597" i="3"/>
  <c r="A597" i="3"/>
  <c r="E596" i="3"/>
  <c r="D596" i="3"/>
  <c r="B596" i="3"/>
  <c r="A596" i="3"/>
  <c r="G595" i="3"/>
  <c r="E595" i="3"/>
  <c r="D595" i="3"/>
  <c r="A595" i="3"/>
  <c r="G594" i="3"/>
  <c r="F594" i="3"/>
  <c r="D594" i="3"/>
  <c r="C594" i="3"/>
  <c r="B594" i="3"/>
  <c r="A594" i="3"/>
  <c r="E594" i="3" s="1"/>
  <c r="F593" i="3"/>
  <c r="C593" i="3"/>
  <c r="A593" i="3"/>
  <c r="F592" i="3"/>
  <c r="B592" i="3"/>
  <c r="A592" i="3"/>
  <c r="G591" i="3"/>
  <c r="C591" i="3"/>
  <c r="A591" i="3"/>
  <c r="G590" i="3"/>
  <c r="F590" i="3"/>
  <c r="D590" i="3"/>
  <c r="C590" i="3"/>
  <c r="B590" i="3"/>
  <c r="A590" i="3"/>
  <c r="E590" i="3" s="1"/>
  <c r="C589" i="3"/>
  <c r="A589" i="3"/>
  <c r="F589" i="3" s="1"/>
  <c r="E588" i="3"/>
  <c r="D588" i="3"/>
  <c r="B588" i="3"/>
  <c r="A588" i="3"/>
  <c r="E587" i="3"/>
  <c r="A587" i="3"/>
  <c r="G587" i="3" s="1"/>
  <c r="G586" i="3"/>
  <c r="F586" i="3"/>
  <c r="D586" i="3"/>
  <c r="C586" i="3"/>
  <c r="B586" i="3"/>
  <c r="A586" i="3"/>
  <c r="E586" i="3" s="1"/>
  <c r="A585" i="3"/>
  <c r="A584" i="3"/>
  <c r="B584" i="3" s="1"/>
  <c r="A583" i="3"/>
  <c r="G583" i="3" s="1"/>
  <c r="G582" i="3"/>
  <c r="F582" i="3"/>
  <c r="D582" i="3"/>
  <c r="C582" i="3"/>
  <c r="B582" i="3"/>
  <c r="A582" i="3"/>
  <c r="E582" i="3" s="1"/>
  <c r="F581" i="3"/>
  <c r="B581" i="3"/>
  <c r="A581" i="3"/>
  <c r="E580" i="3"/>
  <c r="D580" i="3"/>
  <c r="B580" i="3"/>
  <c r="A580" i="3"/>
  <c r="G579" i="3"/>
  <c r="D579" i="3"/>
  <c r="A579" i="3"/>
  <c r="G578" i="3"/>
  <c r="F578" i="3"/>
  <c r="D578" i="3"/>
  <c r="C578" i="3"/>
  <c r="B578" i="3"/>
  <c r="A578" i="3"/>
  <c r="E578" i="3" s="1"/>
  <c r="F577" i="3"/>
  <c r="E577" i="3"/>
  <c r="C577" i="3"/>
  <c r="A577" i="3"/>
  <c r="F576" i="3"/>
  <c r="E576" i="3"/>
  <c r="B576" i="3"/>
  <c r="A576" i="3"/>
  <c r="G575" i="3"/>
  <c r="D575" i="3"/>
  <c r="C575" i="3"/>
  <c r="A575" i="3"/>
  <c r="G574" i="3"/>
  <c r="F574" i="3"/>
  <c r="D574" i="3"/>
  <c r="C574" i="3"/>
  <c r="B574" i="3"/>
  <c r="A574" i="3"/>
  <c r="E574" i="3" s="1"/>
  <c r="A573" i="3"/>
  <c r="F573" i="3" s="1"/>
  <c r="E572" i="3"/>
  <c r="D572" i="3"/>
  <c r="B572" i="3"/>
  <c r="A572" i="3"/>
  <c r="A571" i="3"/>
  <c r="E571" i="3" s="1"/>
  <c r="G570" i="3"/>
  <c r="F570" i="3"/>
  <c r="D570" i="3"/>
  <c r="C570" i="3"/>
  <c r="B570" i="3"/>
  <c r="A570" i="3"/>
  <c r="E570" i="3" s="1"/>
  <c r="E569" i="3"/>
  <c r="A569" i="3"/>
  <c r="F569" i="3" s="1"/>
  <c r="E568" i="3"/>
  <c r="A568" i="3"/>
  <c r="F568" i="3" s="1"/>
  <c r="D567" i="3"/>
  <c r="A567" i="3"/>
  <c r="G567" i="3" s="1"/>
  <c r="G566" i="3"/>
  <c r="F566" i="3"/>
  <c r="D566" i="3"/>
  <c r="C566" i="3"/>
  <c r="B566" i="3"/>
  <c r="A566" i="3"/>
  <c r="E566" i="3" s="1"/>
  <c r="F565" i="3"/>
  <c r="C565" i="3"/>
  <c r="B565" i="3"/>
  <c r="A565" i="3"/>
  <c r="E564" i="3"/>
  <c r="D564" i="3"/>
  <c r="B564" i="3"/>
  <c r="A564" i="3"/>
  <c r="G563" i="3"/>
  <c r="E563" i="3"/>
  <c r="D563" i="3"/>
  <c r="A563" i="3"/>
  <c r="G562" i="3"/>
  <c r="F562" i="3"/>
  <c r="D562" i="3"/>
  <c r="C562" i="3"/>
  <c r="B562" i="3"/>
  <c r="A562" i="3"/>
  <c r="E562" i="3" s="1"/>
  <c r="F561" i="3"/>
  <c r="C561" i="3"/>
  <c r="A561" i="3"/>
  <c r="F560" i="3"/>
  <c r="B560" i="3"/>
  <c r="A560" i="3"/>
  <c r="G559" i="3"/>
  <c r="C559" i="3"/>
  <c r="A559" i="3"/>
  <c r="G558" i="3"/>
  <c r="F558" i="3"/>
  <c r="D558" i="3"/>
  <c r="C558" i="3"/>
  <c r="B558" i="3"/>
  <c r="A558" i="3"/>
  <c r="E558" i="3" s="1"/>
  <c r="C557" i="3"/>
  <c r="A557" i="3"/>
  <c r="F557" i="3" s="1"/>
  <c r="E556" i="3"/>
  <c r="D556" i="3"/>
  <c r="B556" i="3"/>
  <c r="A556" i="3"/>
  <c r="E555" i="3"/>
  <c r="A555" i="3"/>
  <c r="G555" i="3" s="1"/>
  <c r="G554" i="3"/>
  <c r="F554" i="3"/>
  <c r="D554" i="3"/>
  <c r="C554" i="3"/>
  <c r="B554" i="3"/>
  <c r="A554" i="3"/>
  <c r="E554" i="3" s="1"/>
  <c r="A553" i="3"/>
  <c r="A552" i="3"/>
  <c r="E552" i="3" s="1"/>
  <c r="A551" i="3"/>
  <c r="C551" i="3" s="1"/>
  <c r="G550" i="3"/>
  <c r="F550" i="3"/>
  <c r="D550" i="3"/>
  <c r="C550" i="3"/>
  <c r="B550" i="3"/>
  <c r="A550" i="3"/>
  <c r="E550" i="3" s="1"/>
  <c r="F549" i="3"/>
  <c r="B549" i="3"/>
  <c r="A549" i="3"/>
  <c r="E548" i="3"/>
  <c r="D548" i="3"/>
  <c r="B548" i="3"/>
  <c r="A548" i="3"/>
  <c r="G547" i="3"/>
  <c r="D547" i="3"/>
  <c r="A547" i="3"/>
  <c r="G546" i="3"/>
  <c r="F546" i="3"/>
  <c r="D546" i="3"/>
  <c r="C546" i="3"/>
  <c r="B546" i="3"/>
  <c r="A546" i="3"/>
  <c r="E546" i="3" s="1"/>
  <c r="F545" i="3"/>
  <c r="E545" i="3"/>
  <c r="C545" i="3"/>
  <c r="A545" i="3"/>
  <c r="F544" i="3"/>
  <c r="E544" i="3"/>
  <c r="B544" i="3"/>
  <c r="A544" i="3"/>
  <c r="G543" i="3"/>
  <c r="D543" i="3"/>
  <c r="C543" i="3"/>
  <c r="A543" i="3"/>
  <c r="G542" i="3"/>
  <c r="F542" i="3"/>
  <c r="D542" i="3"/>
  <c r="C542" i="3"/>
  <c r="B542" i="3"/>
  <c r="A542" i="3"/>
  <c r="E542" i="3" s="1"/>
  <c r="A541" i="3"/>
  <c r="F541" i="3" s="1"/>
  <c r="E540" i="3"/>
  <c r="D540" i="3"/>
  <c r="B540" i="3"/>
  <c r="A540" i="3"/>
  <c r="A539" i="3"/>
  <c r="G538" i="3"/>
  <c r="F538" i="3"/>
  <c r="D538" i="3"/>
  <c r="C538" i="3"/>
  <c r="B538" i="3"/>
  <c r="A538" i="3"/>
  <c r="E538" i="3" s="1"/>
  <c r="E537" i="3"/>
  <c r="A537" i="3"/>
  <c r="F537" i="3" s="1"/>
  <c r="E536" i="3"/>
  <c r="A536" i="3"/>
  <c r="F536" i="3" s="1"/>
  <c r="D535" i="3"/>
  <c r="A535" i="3"/>
  <c r="G535" i="3" s="1"/>
  <c r="G534" i="3"/>
  <c r="F534" i="3"/>
  <c r="D534" i="3"/>
  <c r="C534" i="3"/>
  <c r="B534" i="3"/>
  <c r="A534" i="3"/>
  <c r="E534" i="3" s="1"/>
  <c r="F533" i="3"/>
  <c r="C533" i="3"/>
  <c r="B533" i="3"/>
  <c r="A533" i="3"/>
  <c r="E532" i="3"/>
  <c r="D532" i="3"/>
  <c r="B532" i="3"/>
  <c r="A532" i="3"/>
  <c r="G531" i="3"/>
  <c r="E531" i="3"/>
  <c r="D531" i="3"/>
  <c r="A531" i="3"/>
  <c r="G530" i="3"/>
  <c r="F530" i="3"/>
  <c r="D530" i="3"/>
  <c r="C530" i="3"/>
  <c r="B530" i="3"/>
  <c r="A530" i="3"/>
  <c r="E530" i="3" s="1"/>
  <c r="F529" i="3"/>
  <c r="C529" i="3"/>
  <c r="A529" i="3"/>
  <c r="F528" i="3"/>
  <c r="B528" i="3"/>
  <c r="A528" i="3"/>
  <c r="G527" i="3"/>
  <c r="C527" i="3"/>
  <c r="A527" i="3"/>
  <c r="G526" i="3"/>
  <c r="F526" i="3"/>
  <c r="D526" i="3"/>
  <c r="C526" i="3"/>
  <c r="B526" i="3"/>
  <c r="A526" i="3"/>
  <c r="E526" i="3" s="1"/>
  <c r="C525" i="3"/>
  <c r="A525" i="3"/>
  <c r="G525" i="3" s="1"/>
  <c r="E524" i="3"/>
  <c r="D524" i="3"/>
  <c r="B524" i="3"/>
  <c r="A524" i="3"/>
  <c r="E523" i="3"/>
  <c r="A523" i="3"/>
  <c r="G523" i="3" s="1"/>
  <c r="G522" i="3"/>
  <c r="F522" i="3"/>
  <c r="D522" i="3"/>
  <c r="C522" i="3"/>
  <c r="B522" i="3"/>
  <c r="A522" i="3"/>
  <c r="E522" i="3" s="1"/>
  <c r="A521" i="3"/>
  <c r="F521" i="3" s="1"/>
  <c r="A520" i="3"/>
  <c r="E520" i="3" s="1"/>
  <c r="A519" i="3"/>
  <c r="G518" i="3"/>
  <c r="F518" i="3"/>
  <c r="D518" i="3"/>
  <c r="C518" i="3"/>
  <c r="B518" i="3"/>
  <c r="A518" i="3"/>
  <c r="E518" i="3" s="1"/>
  <c r="F517" i="3"/>
  <c r="B517" i="3"/>
  <c r="A517" i="3"/>
  <c r="E516" i="3"/>
  <c r="D516" i="3"/>
  <c r="B516" i="3"/>
  <c r="A516" i="3"/>
  <c r="G515" i="3"/>
  <c r="D515" i="3"/>
  <c r="A515" i="3"/>
  <c r="G514" i="3"/>
  <c r="F514" i="3"/>
  <c r="D514" i="3"/>
  <c r="C514" i="3"/>
  <c r="B514" i="3"/>
  <c r="A514" i="3"/>
  <c r="E514" i="3" s="1"/>
  <c r="F513" i="3"/>
  <c r="E513" i="3"/>
  <c r="C513" i="3"/>
  <c r="A513" i="3"/>
  <c r="F512" i="3"/>
  <c r="E512" i="3"/>
  <c r="B512" i="3"/>
  <c r="A512" i="3"/>
  <c r="G511" i="3"/>
  <c r="D511" i="3"/>
  <c r="C511" i="3"/>
  <c r="A511" i="3"/>
  <c r="G510" i="3"/>
  <c r="F510" i="3"/>
  <c r="D510" i="3"/>
  <c r="C510" i="3"/>
  <c r="B510" i="3"/>
  <c r="A510" i="3"/>
  <c r="E510" i="3" s="1"/>
  <c r="A509" i="3"/>
  <c r="F509" i="3" s="1"/>
  <c r="E508" i="3"/>
  <c r="D508" i="3"/>
  <c r="B508" i="3"/>
  <c r="A508" i="3"/>
  <c r="J504" i="3"/>
  <c r="H504" i="3"/>
  <c r="G504" i="3"/>
  <c r="F504" i="3"/>
  <c r="D504" i="3"/>
  <c r="C504" i="3"/>
  <c r="B504" i="3"/>
  <c r="A504" i="3"/>
  <c r="I504" i="3" s="1"/>
  <c r="J503" i="3"/>
  <c r="I503" i="3"/>
  <c r="H503" i="3"/>
  <c r="E503" i="3"/>
  <c r="D503" i="3"/>
  <c r="B503" i="3"/>
  <c r="A503" i="3"/>
  <c r="J502" i="3"/>
  <c r="H502" i="3"/>
  <c r="G502" i="3"/>
  <c r="F502" i="3"/>
  <c r="D502" i="3"/>
  <c r="C502" i="3"/>
  <c r="B502" i="3"/>
  <c r="A502" i="3"/>
  <c r="I502" i="3" s="1"/>
  <c r="J501" i="3"/>
  <c r="I501" i="3"/>
  <c r="H501" i="3"/>
  <c r="E501" i="3"/>
  <c r="D501" i="3"/>
  <c r="B501" i="3"/>
  <c r="A501" i="3"/>
  <c r="J500" i="3"/>
  <c r="H500" i="3"/>
  <c r="G500" i="3"/>
  <c r="F500" i="3"/>
  <c r="D500" i="3"/>
  <c r="C500" i="3"/>
  <c r="B500" i="3"/>
  <c r="A500" i="3"/>
  <c r="I500" i="3" s="1"/>
  <c r="J499" i="3"/>
  <c r="I499" i="3"/>
  <c r="H499" i="3"/>
  <c r="E499" i="3"/>
  <c r="D499" i="3"/>
  <c r="B499" i="3"/>
  <c r="A499" i="3"/>
  <c r="J498" i="3"/>
  <c r="H498" i="3"/>
  <c r="G498" i="3"/>
  <c r="F498" i="3"/>
  <c r="D498" i="3"/>
  <c r="C498" i="3"/>
  <c r="B498" i="3"/>
  <c r="A498" i="3"/>
  <c r="I498" i="3" s="1"/>
  <c r="J497" i="3"/>
  <c r="I497" i="3"/>
  <c r="H497" i="3"/>
  <c r="E497" i="3"/>
  <c r="D497" i="3"/>
  <c r="B497" i="3"/>
  <c r="A497" i="3"/>
  <c r="J496" i="3"/>
  <c r="H496" i="3"/>
  <c r="G496" i="3"/>
  <c r="F496" i="3"/>
  <c r="D496" i="3"/>
  <c r="C496" i="3"/>
  <c r="B496" i="3"/>
  <c r="A496" i="3"/>
  <c r="I496" i="3" s="1"/>
  <c r="J495" i="3"/>
  <c r="I495" i="3"/>
  <c r="H495" i="3"/>
  <c r="E495" i="3"/>
  <c r="D495" i="3"/>
  <c r="B495" i="3"/>
  <c r="A495" i="3"/>
  <c r="J494" i="3"/>
  <c r="H494" i="3"/>
  <c r="G494" i="3"/>
  <c r="F494" i="3"/>
  <c r="D494" i="3"/>
  <c r="C494" i="3"/>
  <c r="B494" i="3"/>
  <c r="A494" i="3"/>
  <c r="I494" i="3" s="1"/>
  <c r="J493" i="3"/>
  <c r="I493" i="3"/>
  <c r="H493" i="3"/>
  <c r="E493" i="3"/>
  <c r="D493" i="3"/>
  <c r="B493" i="3"/>
  <c r="A493" i="3"/>
  <c r="J492" i="3"/>
  <c r="H492" i="3"/>
  <c r="G492" i="3"/>
  <c r="F492" i="3"/>
  <c r="D492" i="3"/>
  <c r="C492" i="3"/>
  <c r="B492" i="3"/>
  <c r="A492" i="3"/>
  <c r="I492" i="3" s="1"/>
  <c r="J491" i="3"/>
  <c r="I491" i="3"/>
  <c r="H491" i="3"/>
  <c r="E491" i="3"/>
  <c r="D491" i="3"/>
  <c r="B491" i="3"/>
  <c r="A491" i="3"/>
  <c r="J490" i="3"/>
  <c r="H490" i="3"/>
  <c r="G490" i="3"/>
  <c r="F490" i="3"/>
  <c r="D490" i="3"/>
  <c r="C490" i="3"/>
  <c r="B490" i="3"/>
  <c r="A490" i="3"/>
  <c r="I490" i="3" s="1"/>
  <c r="J489" i="3"/>
  <c r="I489" i="3"/>
  <c r="H489" i="3"/>
  <c r="E489" i="3"/>
  <c r="D489" i="3"/>
  <c r="B489" i="3"/>
  <c r="A489" i="3"/>
  <c r="J488" i="3"/>
  <c r="H488" i="3"/>
  <c r="G488" i="3"/>
  <c r="F488" i="3"/>
  <c r="D488" i="3"/>
  <c r="C488" i="3"/>
  <c r="B488" i="3"/>
  <c r="A488" i="3"/>
  <c r="I488" i="3" s="1"/>
  <c r="J487" i="3"/>
  <c r="I487" i="3"/>
  <c r="H487" i="3"/>
  <c r="E487" i="3"/>
  <c r="D487" i="3"/>
  <c r="B487" i="3"/>
  <c r="A487" i="3"/>
  <c r="J486" i="3"/>
  <c r="H486" i="3"/>
  <c r="G486" i="3"/>
  <c r="F486" i="3"/>
  <c r="D486" i="3"/>
  <c r="C486" i="3"/>
  <c r="B486" i="3"/>
  <c r="A486" i="3"/>
  <c r="I486" i="3" s="1"/>
  <c r="J485" i="3"/>
  <c r="I485" i="3"/>
  <c r="H485" i="3"/>
  <c r="E485" i="3"/>
  <c r="D485" i="3"/>
  <c r="B485" i="3"/>
  <c r="A485" i="3"/>
  <c r="J484" i="3"/>
  <c r="H484" i="3"/>
  <c r="G484" i="3"/>
  <c r="F484" i="3"/>
  <c r="D484" i="3"/>
  <c r="C484" i="3"/>
  <c r="B484" i="3"/>
  <c r="A484" i="3"/>
  <c r="I484" i="3" s="1"/>
  <c r="J483" i="3"/>
  <c r="I483" i="3"/>
  <c r="H483" i="3"/>
  <c r="E483" i="3"/>
  <c r="D483" i="3"/>
  <c r="B483" i="3"/>
  <c r="A483" i="3"/>
  <c r="J482" i="3"/>
  <c r="H482" i="3"/>
  <c r="G482" i="3"/>
  <c r="F482" i="3"/>
  <c r="D482" i="3"/>
  <c r="C482" i="3"/>
  <c r="B482" i="3"/>
  <c r="A482" i="3"/>
  <c r="I482" i="3" s="1"/>
  <c r="J481" i="3"/>
  <c r="I481" i="3"/>
  <c r="H481" i="3"/>
  <c r="E481" i="3"/>
  <c r="D481" i="3"/>
  <c r="B481" i="3"/>
  <c r="A481" i="3"/>
  <c r="J480" i="3"/>
  <c r="H480" i="3"/>
  <c r="G480" i="3"/>
  <c r="F480" i="3"/>
  <c r="D480" i="3"/>
  <c r="C480" i="3"/>
  <c r="B480" i="3"/>
  <c r="A480" i="3"/>
  <c r="I480" i="3" s="1"/>
  <c r="J479" i="3"/>
  <c r="I479" i="3"/>
  <c r="H479" i="3"/>
  <c r="E479" i="3"/>
  <c r="D479" i="3"/>
  <c r="B479" i="3"/>
  <c r="A479" i="3"/>
  <c r="J478" i="3"/>
  <c r="H478" i="3"/>
  <c r="G478" i="3"/>
  <c r="F478" i="3"/>
  <c r="D478" i="3"/>
  <c r="C478" i="3"/>
  <c r="B478" i="3"/>
  <c r="A478" i="3"/>
  <c r="I478" i="3" s="1"/>
  <c r="J477" i="3"/>
  <c r="I477" i="3"/>
  <c r="H477" i="3"/>
  <c r="E477" i="3"/>
  <c r="D477" i="3"/>
  <c r="B477" i="3"/>
  <c r="A477" i="3"/>
  <c r="J476" i="3"/>
  <c r="H476" i="3"/>
  <c r="G476" i="3"/>
  <c r="F476" i="3"/>
  <c r="D476" i="3"/>
  <c r="C476" i="3"/>
  <c r="B476" i="3"/>
  <c r="A476" i="3"/>
  <c r="I476" i="3" s="1"/>
  <c r="J475" i="3"/>
  <c r="I475" i="3"/>
  <c r="H475" i="3"/>
  <c r="E475" i="3"/>
  <c r="D475" i="3"/>
  <c r="B475" i="3"/>
  <c r="A475" i="3"/>
  <c r="J474" i="3"/>
  <c r="H474" i="3"/>
  <c r="G474" i="3"/>
  <c r="F474" i="3"/>
  <c r="D474" i="3"/>
  <c r="C474" i="3"/>
  <c r="B474" i="3"/>
  <c r="A474" i="3"/>
  <c r="I474" i="3" s="1"/>
  <c r="J473" i="3"/>
  <c r="I473" i="3"/>
  <c r="H473" i="3"/>
  <c r="E473" i="3"/>
  <c r="D473" i="3"/>
  <c r="B473" i="3"/>
  <c r="A473" i="3"/>
  <c r="J472" i="3"/>
  <c r="H472" i="3"/>
  <c r="G472" i="3"/>
  <c r="F472" i="3"/>
  <c r="D472" i="3"/>
  <c r="C472" i="3"/>
  <c r="B472" i="3"/>
  <c r="A472" i="3"/>
  <c r="I472" i="3" s="1"/>
  <c r="J471" i="3"/>
  <c r="I471" i="3"/>
  <c r="H471" i="3"/>
  <c r="E471" i="3"/>
  <c r="D471" i="3"/>
  <c r="B471" i="3"/>
  <c r="A471" i="3"/>
  <c r="J470" i="3"/>
  <c r="H470" i="3"/>
  <c r="G470" i="3"/>
  <c r="F470" i="3"/>
  <c r="D470" i="3"/>
  <c r="C470" i="3"/>
  <c r="B470" i="3"/>
  <c r="A470" i="3"/>
  <c r="I470" i="3" s="1"/>
  <c r="J469" i="3"/>
  <c r="I469" i="3"/>
  <c r="H469" i="3"/>
  <c r="E469" i="3"/>
  <c r="D469" i="3"/>
  <c r="B469" i="3"/>
  <c r="A469" i="3"/>
  <c r="J468" i="3"/>
  <c r="H468" i="3"/>
  <c r="G468" i="3"/>
  <c r="F468" i="3"/>
  <c r="D468" i="3"/>
  <c r="C468" i="3"/>
  <c r="B468" i="3"/>
  <c r="A468" i="3"/>
  <c r="I468" i="3" s="1"/>
  <c r="J467" i="3"/>
  <c r="I467" i="3"/>
  <c r="H467" i="3"/>
  <c r="E467" i="3"/>
  <c r="D467" i="3"/>
  <c r="B467" i="3"/>
  <c r="A467" i="3"/>
  <c r="J466" i="3"/>
  <c r="H466" i="3"/>
  <c r="G466" i="3"/>
  <c r="F466" i="3"/>
  <c r="D466" i="3"/>
  <c r="C466" i="3"/>
  <c r="B466" i="3"/>
  <c r="A466" i="3"/>
  <c r="I466" i="3" s="1"/>
  <c r="J465" i="3"/>
  <c r="I465" i="3"/>
  <c r="H465" i="3"/>
  <c r="E465" i="3"/>
  <c r="D465" i="3"/>
  <c r="B465" i="3"/>
  <c r="A465" i="3"/>
  <c r="J464" i="3"/>
  <c r="H464" i="3"/>
  <c r="G464" i="3"/>
  <c r="F464" i="3"/>
  <c r="D464" i="3"/>
  <c r="C464" i="3"/>
  <c r="B464" i="3"/>
  <c r="A464" i="3"/>
  <c r="I464" i="3" s="1"/>
  <c r="J463" i="3"/>
  <c r="I463" i="3"/>
  <c r="H463" i="3"/>
  <c r="E463" i="3"/>
  <c r="D463" i="3"/>
  <c r="B463" i="3"/>
  <c r="A463" i="3"/>
  <c r="J462" i="3"/>
  <c r="H462" i="3"/>
  <c r="G462" i="3"/>
  <c r="F462" i="3"/>
  <c r="D462" i="3"/>
  <c r="C462" i="3"/>
  <c r="B462" i="3"/>
  <c r="A462" i="3"/>
  <c r="I462" i="3" s="1"/>
  <c r="J461" i="3"/>
  <c r="I461" i="3"/>
  <c r="H461" i="3"/>
  <c r="E461" i="3"/>
  <c r="D461" i="3"/>
  <c r="B461" i="3"/>
  <c r="A461" i="3"/>
  <c r="J460" i="3"/>
  <c r="H460" i="3"/>
  <c r="G460" i="3"/>
  <c r="F460" i="3"/>
  <c r="D460" i="3"/>
  <c r="C460" i="3"/>
  <c r="B460" i="3"/>
  <c r="A460" i="3"/>
  <c r="I460" i="3" s="1"/>
  <c r="J459" i="3"/>
  <c r="I459" i="3"/>
  <c r="H459" i="3"/>
  <c r="E459" i="3"/>
  <c r="D459" i="3"/>
  <c r="B459" i="3"/>
  <c r="A459" i="3"/>
  <c r="J458" i="3"/>
  <c r="H458" i="3"/>
  <c r="G458" i="3"/>
  <c r="F458" i="3"/>
  <c r="D458" i="3"/>
  <c r="C458" i="3"/>
  <c r="B458" i="3"/>
  <c r="A458" i="3"/>
  <c r="I458" i="3" s="1"/>
  <c r="J457" i="3"/>
  <c r="I457" i="3"/>
  <c r="H457" i="3"/>
  <c r="E457" i="3"/>
  <c r="D457" i="3"/>
  <c r="B457" i="3"/>
  <c r="A457" i="3"/>
  <c r="J456" i="3"/>
  <c r="H456" i="3"/>
  <c r="G456" i="3"/>
  <c r="F456" i="3"/>
  <c r="D456" i="3"/>
  <c r="C456" i="3"/>
  <c r="B456" i="3"/>
  <c r="A456" i="3"/>
  <c r="I456" i="3" s="1"/>
  <c r="J455" i="3"/>
  <c r="I455" i="3"/>
  <c r="H455" i="3"/>
  <c r="E455" i="3"/>
  <c r="D455" i="3"/>
  <c r="B455" i="3"/>
  <c r="A455" i="3"/>
  <c r="J454" i="3"/>
  <c r="H454" i="3"/>
  <c r="G454" i="3"/>
  <c r="F454" i="3"/>
  <c r="D454" i="3"/>
  <c r="C454" i="3"/>
  <c r="B454" i="3"/>
  <c r="A454" i="3"/>
  <c r="I454" i="3" s="1"/>
  <c r="J453" i="3"/>
  <c r="I453" i="3"/>
  <c r="H453" i="3"/>
  <c r="E453" i="3"/>
  <c r="D453" i="3"/>
  <c r="B453" i="3"/>
  <c r="A453" i="3"/>
  <c r="J452" i="3"/>
  <c r="H452" i="3"/>
  <c r="G452" i="3"/>
  <c r="F452" i="3"/>
  <c r="D452" i="3"/>
  <c r="C452" i="3"/>
  <c r="B452" i="3"/>
  <c r="A452" i="3"/>
  <c r="I452" i="3" s="1"/>
  <c r="J451" i="3"/>
  <c r="I451" i="3"/>
  <c r="H451" i="3"/>
  <c r="E451" i="3"/>
  <c r="D451" i="3"/>
  <c r="B451" i="3"/>
  <c r="A451" i="3"/>
  <c r="J450" i="3"/>
  <c r="H450" i="3"/>
  <c r="G450" i="3"/>
  <c r="F450" i="3"/>
  <c r="D450" i="3"/>
  <c r="C450" i="3"/>
  <c r="B450" i="3"/>
  <c r="A450" i="3"/>
  <c r="I450" i="3" s="1"/>
  <c r="J449" i="3"/>
  <c r="I449" i="3"/>
  <c r="H449" i="3"/>
  <c r="E449" i="3"/>
  <c r="D449" i="3"/>
  <c r="B449" i="3"/>
  <c r="A449" i="3"/>
  <c r="J448" i="3"/>
  <c r="H448" i="3"/>
  <c r="G448" i="3"/>
  <c r="F448" i="3"/>
  <c r="D448" i="3"/>
  <c r="C448" i="3"/>
  <c r="B448" i="3"/>
  <c r="A448" i="3"/>
  <c r="I448" i="3" s="1"/>
  <c r="J447" i="3"/>
  <c r="I447" i="3"/>
  <c r="H447" i="3"/>
  <c r="E447" i="3"/>
  <c r="D447" i="3"/>
  <c r="B447" i="3"/>
  <c r="A447" i="3"/>
  <c r="J446" i="3"/>
  <c r="H446" i="3"/>
  <c r="G446" i="3"/>
  <c r="F446" i="3"/>
  <c r="D446" i="3"/>
  <c r="C446" i="3"/>
  <c r="B446" i="3"/>
  <c r="A446" i="3"/>
  <c r="I446" i="3" s="1"/>
  <c r="J445" i="3"/>
  <c r="I445" i="3"/>
  <c r="H445" i="3"/>
  <c r="E445" i="3"/>
  <c r="D445" i="3"/>
  <c r="B445" i="3"/>
  <c r="A445" i="3"/>
  <c r="J444" i="3"/>
  <c r="H444" i="3"/>
  <c r="G444" i="3"/>
  <c r="F444" i="3"/>
  <c r="D444" i="3"/>
  <c r="C444" i="3"/>
  <c r="B444" i="3"/>
  <c r="A444" i="3"/>
  <c r="I444" i="3" s="1"/>
  <c r="J443" i="3"/>
  <c r="I443" i="3"/>
  <c r="H443" i="3"/>
  <c r="E443" i="3"/>
  <c r="D443" i="3"/>
  <c r="B443" i="3"/>
  <c r="A443" i="3"/>
  <c r="J442" i="3"/>
  <c r="H442" i="3"/>
  <c r="G442" i="3"/>
  <c r="F442" i="3"/>
  <c r="D442" i="3"/>
  <c r="C442" i="3"/>
  <c r="B442" i="3"/>
  <c r="A442" i="3"/>
  <c r="I442" i="3" s="1"/>
  <c r="J441" i="3"/>
  <c r="I441" i="3"/>
  <c r="H441" i="3"/>
  <c r="E441" i="3"/>
  <c r="D441" i="3"/>
  <c r="B441" i="3"/>
  <c r="A441" i="3"/>
  <c r="J440" i="3"/>
  <c r="H440" i="3"/>
  <c r="G440" i="3"/>
  <c r="F440" i="3"/>
  <c r="D440" i="3"/>
  <c r="C440" i="3"/>
  <c r="B440" i="3"/>
  <c r="A440" i="3"/>
  <c r="I440" i="3" s="1"/>
  <c r="J439" i="3"/>
  <c r="I439" i="3"/>
  <c r="H439" i="3"/>
  <c r="E439" i="3"/>
  <c r="D439" i="3"/>
  <c r="B439" i="3"/>
  <c r="A439" i="3"/>
  <c r="J438" i="3"/>
  <c r="H438" i="3"/>
  <c r="G438" i="3"/>
  <c r="F438" i="3"/>
  <c r="D438" i="3"/>
  <c r="C438" i="3"/>
  <c r="B438" i="3"/>
  <c r="A438" i="3"/>
  <c r="I438" i="3" s="1"/>
  <c r="J437" i="3"/>
  <c r="I437" i="3"/>
  <c r="H437" i="3"/>
  <c r="E437" i="3"/>
  <c r="D437" i="3"/>
  <c r="B437" i="3"/>
  <c r="A437" i="3"/>
  <c r="J436" i="3"/>
  <c r="H436" i="3"/>
  <c r="G436" i="3"/>
  <c r="F436" i="3"/>
  <c r="D436" i="3"/>
  <c r="C436" i="3"/>
  <c r="B436" i="3"/>
  <c r="A436" i="3"/>
  <c r="I436" i="3" s="1"/>
  <c r="J435" i="3"/>
  <c r="I435" i="3"/>
  <c r="H435" i="3"/>
  <c r="E435" i="3"/>
  <c r="D435" i="3"/>
  <c r="B435" i="3"/>
  <c r="A435" i="3"/>
  <c r="J434" i="3"/>
  <c r="H434" i="3"/>
  <c r="G434" i="3"/>
  <c r="F434" i="3"/>
  <c r="D434" i="3"/>
  <c r="C434" i="3"/>
  <c r="B434" i="3"/>
  <c r="A434" i="3"/>
  <c r="I434" i="3" s="1"/>
  <c r="J433" i="3"/>
  <c r="I433" i="3"/>
  <c r="H433" i="3"/>
  <c r="E433" i="3"/>
  <c r="D433" i="3"/>
  <c r="B433" i="3"/>
  <c r="A433" i="3"/>
  <c r="J432" i="3"/>
  <c r="H432" i="3"/>
  <c r="G432" i="3"/>
  <c r="F432" i="3"/>
  <c r="D432" i="3"/>
  <c r="C432" i="3"/>
  <c r="B432" i="3"/>
  <c r="A432" i="3"/>
  <c r="I432" i="3" s="1"/>
  <c r="J431" i="3"/>
  <c r="I431" i="3"/>
  <c r="H431" i="3"/>
  <c r="E431" i="3"/>
  <c r="D431" i="3"/>
  <c r="B431" i="3"/>
  <c r="A431" i="3"/>
  <c r="J430" i="3"/>
  <c r="H430" i="3"/>
  <c r="G430" i="3"/>
  <c r="F430" i="3"/>
  <c r="D430" i="3"/>
  <c r="C430" i="3"/>
  <c r="B430" i="3"/>
  <c r="A430" i="3"/>
  <c r="I430" i="3" s="1"/>
  <c r="J429" i="3"/>
  <c r="I429" i="3"/>
  <c r="H429" i="3"/>
  <c r="E429" i="3"/>
  <c r="D429" i="3"/>
  <c r="B429" i="3"/>
  <c r="A429" i="3"/>
  <c r="J428" i="3"/>
  <c r="H428" i="3"/>
  <c r="G428" i="3"/>
  <c r="F428" i="3"/>
  <c r="D428" i="3"/>
  <c r="C428" i="3"/>
  <c r="B428" i="3"/>
  <c r="A428" i="3"/>
  <c r="I428" i="3" s="1"/>
  <c r="J427" i="3"/>
  <c r="I427" i="3"/>
  <c r="H427" i="3"/>
  <c r="E427" i="3"/>
  <c r="D427" i="3"/>
  <c r="B427" i="3"/>
  <c r="A427" i="3"/>
  <c r="J426" i="3"/>
  <c r="I426" i="3"/>
  <c r="H426" i="3"/>
  <c r="E426" i="3"/>
  <c r="D426" i="3"/>
  <c r="B426" i="3"/>
  <c r="A426" i="3"/>
  <c r="J425" i="3"/>
  <c r="H425" i="3"/>
  <c r="G425" i="3"/>
  <c r="F425" i="3"/>
  <c r="D425" i="3"/>
  <c r="C425" i="3"/>
  <c r="B425" i="3"/>
  <c r="A425" i="3"/>
  <c r="I425" i="3" s="1"/>
  <c r="J424" i="3"/>
  <c r="I424" i="3"/>
  <c r="H424" i="3"/>
  <c r="E424" i="3"/>
  <c r="D424" i="3"/>
  <c r="B424" i="3"/>
  <c r="A424" i="3"/>
  <c r="J423" i="3"/>
  <c r="H423" i="3"/>
  <c r="G423" i="3"/>
  <c r="F423" i="3"/>
  <c r="D423" i="3"/>
  <c r="C423" i="3"/>
  <c r="B423" i="3"/>
  <c r="A423" i="3"/>
  <c r="I423" i="3" s="1"/>
  <c r="J422" i="3"/>
  <c r="I422" i="3"/>
  <c r="H422" i="3"/>
  <c r="E422" i="3"/>
  <c r="D422" i="3"/>
  <c r="B422" i="3"/>
  <c r="A422" i="3"/>
  <c r="J421" i="3"/>
  <c r="H421" i="3"/>
  <c r="G421" i="3"/>
  <c r="F421" i="3"/>
  <c r="D421" i="3"/>
  <c r="C421" i="3"/>
  <c r="B421" i="3"/>
  <c r="A421" i="3"/>
  <c r="I421" i="3" s="1"/>
  <c r="J420" i="3"/>
  <c r="I420" i="3"/>
  <c r="H420" i="3"/>
  <c r="E420" i="3"/>
  <c r="D420" i="3"/>
  <c r="B420" i="3"/>
  <c r="A420" i="3"/>
  <c r="J419" i="3"/>
  <c r="H419" i="3"/>
  <c r="G419" i="3"/>
  <c r="F419" i="3"/>
  <c r="D419" i="3"/>
  <c r="C419" i="3"/>
  <c r="B419" i="3"/>
  <c r="A419" i="3"/>
  <c r="I419" i="3" s="1"/>
  <c r="J418" i="3"/>
  <c r="I418" i="3"/>
  <c r="H418" i="3"/>
  <c r="E418" i="3"/>
  <c r="D418" i="3"/>
  <c r="B418" i="3"/>
  <c r="A418" i="3"/>
  <c r="J417" i="3"/>
  <c r="H417" i="3"/>
  <c r="G417" i="3"/>
  <c r="F417" i="3"/>
  <c r="D417" i="3"/>
  <c r="C417" i="3"/>
  <c r="B417" i="3"/>
  <c r="A417" i="3"/>
  <c r="I417" i="3" s="1"/>
  <c r="J416" i="3"/>
  <c r="I416" i="3"/>
  <c r="H416" i="3"/>
  <c r="E416" i="3"/>
  <c r="D416" i="3"/>
  <c r="B416" i="3"/>
  <c r="A416" i="3"/>
  <c r="J415" i="3"/>
  <c r="H415" i="3"/>
  <c r="G415" i="3"/>
  <c r="F415" i="3"/>
  <c r="D415" i="3"/>
  <c r="C415" i="3"/>
  <c r="B415" i="3"/>
  <c r="A415" i="3"/>
  <c r="I415" i="3" s="1"/>
  <c r="J414" i="3"/>
  <c r="I414" i="3"/>
  <c r="H414" i="3"/>
  <c r="E414" i="3"/>
  <c r="D414" i="3"/>
  <c r="B414" i="3"/>
  <c r="A414" i="3"/>
  <c r="J413" i="3"/>
  <c r="H413" i="3"/>
  <c r="G413" i="3"/>
  <c r="F413" i="3"/>
  <c r="D413" i="3"/>
  <c r="C413" i="3"/>
  <c r="B413" i="3"/>
  <c r="A413" i="3"/>
  <c r="I413" i="3" s="1"/>
  <c r="J412" i="3"/>
  <c r="I412" i="3"/>
  <c r="H412" i="3"/>
  <c r="E412" i="3"/>
  <c r="D412" i="3"/>
  <c r="B412" i="3"/>
  <c r="A412" i="3"/>
  <c r="J411" i="3"/>
  <c r="H411" i="3"/>
  <c r="G411" i="3"/>
  <c r="F411" i="3"/>
  <c r="D411" i="3"/>
  <c r="C411" i="3"/>
  <c r="B411" i="3"/>
  <c r="A411" i="3"/>
  <c r="I411" i="3" s="1"/>
  <c r="J410" i="3"/>
  <c r="I410" i="3"/>
  <c r="H410" i="3"/>
  <c r="E410" i="3"/>
  <c r="D410" i="3"/>
  <c r="B410" i="3"/>
  <c r="A410" i="3"/>
  <c r="J409" i="3"/>
  <c r="H409" i="3"/>
  <c r="G409" i="3"/>
  <c r="F409" i="3"/>
  <c r="D409" i="3"/>
  <c r="C409" i="3"/>
  <c r="B409" i="3"/>
  <c r="A409" i="3"/>
  <c r="I409" i="3" s="1"/>
  <c r="J408" i="3"/>
  <c r="I408" i="3"/>
  <c r="H408" i="3"/>
  <c r="E408" i="3"/>
  <c r="D408" i="3"/>
  <c r="B408" i="3"/>
  <c r="A408" i="3"/>
  <c r="J407" i="3"/>
  <c r="H407" i="3"/>
  <c r="G407" i="3"/>
  <c r="F407" i="3"/>
  <c r="D407" i="3"/>
  <c r="C407" i="3"/>
  <c r="B407" i="3"/>
  <c r="A407" i="3"/>
  <c r="I407" i="3" s="1"/>
  <c r="J406" i="3"/>
  <c r="I406" i="3"/>
  <c r="H406" i="3"/>
  <c r="E406" i="3"/>
  <c r="D406" i="3"/>
  <c r="B406" i="3"/>
  <c r="A406" i="3"/>
  <c r="J405" i="3"/>
  <c r="H405" i="3"/>
  <c r="G405" i="3"/>
  <c r="F405" i="3"/>
  <c r="D405" i="3"/>
  <c r="C405" i="3"/>
  <c r="B405" i="3"/>
  <c r="A405" i="3"/>
  <c r="I405" i="3" s="1"/>
  <c r="J404" i="3"/>
  <c r="I404" i="3"/>
  <c r="H404" i="3"/>
  <c r="E404" i="3"/>
  <c r="D404" i="3"/>
  <c r="B404" i="3"/>
  <c r="A404" i="3"/>
  <c r="J403" i="3"/>
  <c r="H403" i="3"/>
  <c r="G403" i="3"/>
  <c r="F403" i="3"/>
  <c r="D403" i="3"/>
  <c r="C403" i="3"/>
  <c r="B403" i="3"/>
  <c r="A403" i="3"/>
  <c r="I403" i="3" s="1"/>
  <c r="J402" i="3"/>
  <c r="I402" i="3"/>
  <c r="H402" i="3"/>
  <c r="E402" i="3"/>
  <c r="D402" i="3"/>
  <c r="B402" i="3"/>
  <c r="A402" i="3"/>
  <c r="J401" i="3"/>
  <c r="H401" i="3"/>
  <c r="G401" i="3"/>
  <c r="F401" i="3"/>
  <c r="D401" i="3"/>
  <c r="C401" i="3"/>
  <c r="B401" i="3"/>
  <c r="A401" i="3"/>
  <c r="I401" i="3" s="1"/>
  <c r="J400" i="3"/>
  <c r="I400" i="3"/>
  <c r="H400" i="3"/>
  <c r="E400" i="3"/>
  <c r="D400" i="3"/>
  <c r="B400" i="3"/>
  <c r="A400" i="3"/>
  <c r="J399" i="3"/>
  <c r="H399" i="3"/>
  <c r="G399" i="3"/>
  <c r="F399" i="3"/>
  <c r="D399" i="3"/>
  <c r="C399" i="3"/>
  <c r="B399" i="3"/>
  <c r="A399" i="3"/>
  <c r="I399" i="3" s="1"/>
  <c r="J398" i="3"/>
  <c r="I398" i="3"/>
  <c r="H398" i="3"/>
  <c r="E398" i="3"/>
  <c r="D398" i="3"/>
  <c r="B398" i="3"/>
  <c r="A398" i="3"/>
  <c r="J397" i="3"/>
  <c r="H397" i="3"/>
  <c r="G397" i="3"/>
  <c r="F397" i="3"/>
  <c r="D397" i="3"/>
  <c r="C397" i="3"/>
  <c r="B397" i="3"/>
  <c r="A397" i="3"/>
  <c r="I397" i="3" s="1"/>
  <c r="J396" i="3"/>
  <c r="I396" i="3"/>
  <c r="H396" i="3"/>
  <c r="E396" i="3"/>
  <c r="D396" i="3"/>
  <c r="B396" i="3"/>
  <c r="A396" i="3"/>
  <c r="J395" i="3"/>
  <c r="H395" i="3"/>
  <c r="G395" i="3"/>
  <c r="F395" i="3"/>
  <c r="D395" i="3"/>
  <c r="C395" i="3"/>
  <c r="B395" i="3"/>
  <c r="A395" i="3"/>
  <c r="I395" i="3" s="1"/>
  <c r="J394" i="3"/>
  <c r="I394" i="3"/>
  <c r="H394" i="3"/>
  <c r="E394" i="3"/>
  <c r="D394" i="3"/>
  <c r="B394" i="3"/>
  <c r="A394" i="3"/>
  <c r="J393" i="3"/>
  <c r="H393" i="3"/>
  <c r="G393" i="3"/>
  <c r="F393" i="3"/>
  <c r="D393" i="3"/>
  <c r="C393" i="3"/>
  <c r="B393" i="3"/>
  <c r="A393" i="3"/>
  <c r="I393" i="3" s="1"/>
  <c r="J392" i="3"/>
  <c r="I392" i="3"/>
  <c r="H392" i="3"/>
  <c r="E392" i="3"/>
  <c r="D392" i="3"/>
  <c r="B392" i="3"/>
  <c r="A392" i="3"/>
  <c r="J391" i="3"/>
  <c r="H391" i="3"/>
  <c r="G391" i="3"/>
  <c r="F391" i="3"/>
  <c r="D391" i="3"/>
  <c r="C391" i="3"/>
  <c r="B391" i="3"/>
  <c r="A391" i="3"/>
  <c r="I391" i="3" s="1"/>
  <c r="J390" i="3"/>
  <c r="I390" i="3"/>
  <c r="H390" i="3"/>
  <c r="E390" i="3"/>
  <c r="D390" i="3"/>
  <c r="B390" i="3"/>
  <c r="A390" i="3"/>
  <c r="J389" i="3"/>
  <c r="H389" i="3"/>
  <c r="G389" i="3"/>
  <c r="F389" i="3"/>
  <c r="D389" i="3"/>
  <c r="C389" i="3"/>
  <c r="B389" i="3"/>
  <c r="A389" i="3"/>
  <c r="I389" i="3" s="1"/>
  <c r="J388" i="3"/>
  <c r="I388" i="3"/>
  <c r="H388" i="3"/>
  <c r="E388" i="3"/>
  <c r="D388" i="3"/>
  <c r="B388" i="3"/>
  <c r="A388" i="3"/>
  <c r="J387" i="3"/>
  <c r="H387" i="3"/>
  <c r="G387" i="3"/>
  <c r="F387" i="3"/>
  <c r="D387" i="3"/>
  <c r="C387" i="3"/>
  <c r="B387" i="3"/>
  <c r="A387" i="3"/>
  <c r="I387" i="3" s="1"/>
  <c r="J386" i="3"/>
  <c r="I386" i="3"/>
  <c r="H386" i="3"/>
  <c r="E386" i="3"/>
  <c r="D386" i="3"/>
  <c r="B386" i="3"/>
  <c r="A386" i="3"/>
  <c r="J385" i="3"/>
  <c r="H385" i="3"/>
  <c r="G385" i="3"/>
  <c r="F385" i="3"/>
  <c r="D385" i="3"/>
  <c r="C385" i="3"/>
  <c r="B385" i="3"/>
  <c r="A385" i="3"/>
  <c r="I385" i="3" s="1"/>
  <c r="J384" i="3"/>
  <c r="I384" i="3"/>
  <c r="H384" i="3"/>
  <c r="E384" i="3"/>
  <c r="D384" i="3"/>
  <c r="B384" i="3"/>
  <c r="A384" i="3"/>
  <c r="J383" i="3"/>
  <c r="H383" i="3"/>
  <c r="G383" i="3"/>
  <c r="F383" i="3"/>
  <c r="D383" i="3"/>
  <c r="C383" i="3"/>
  <c r="B383" i="3"/>
  <c r="A383" i="3"/>
  <c r="I383" i="3" s="1"/>
  <c r="J382" i="3"/>
  <c r="I382" i="3"/>
  <c r="H382" i="3"/>
  <c r="E382" i="3"/>
  <c r="D382" i="3"/>
  <c r="B382" i="3"/>
  <c r="A382" i="3"/>
  <c r="J381" i="3"/>
  <c r="H381" i="3"/>
  <c r="G381" i="3"/>
  <c r="F381" i="3"/>
  <c r="D381" i="3"/>
  <c r="C381" i="3"/>
  <c r="B381" i="3"/>
  <c r="A381" i="3"/>
  <c r="I381" i="3" s="1"/>
  <c r="J380" i="3"/>
  <c r="I380" i="3"/>
  <c r="H380" i="3"/>
  <c r="E380" i="3"/>
  <c r="D380" i="3"/>
  <c r="B380" i="3"/>
  <c r="A380" i="3"/>
  <c r="J379" i="3"/>
  <c r="H379" i="3"/>
  <c r="G379" i="3"/>
  <c r="F379" i="3"/>
  <c r="D379" i="3"/>
  <c r="C379" i="3"/>
  <c r="B379" i="3"/>
  <c r="A379" i="3"/>
  <c r="I379" i="3" s="1"/>
  <c r="J378" i="3"/>
  <c r="I378" i="3"/>
  <c r="H378" i="3"/>
  <c r="E378" i="3"/>
  <c r="D378" i="3"/>
  <c r="B378" i="3"/>
  <c r="A378" i="3"/>
  <c r="J377" i="3"/>
  <c r="H377" i="3"/>
  <c r="G377" i="3"/>
  <c r="F377" i="3"/>
  <c r="D377" i="3"/>
  <c r="C377" i="3"/>
  <c r="B377" i="3"/>
  <c r="A377" i="3"/>
  <c r="I377" i="3" s="1"/>
  <c r="J376" i="3"/>
  <c r="I376" i="3"/>
  <c r="H376" i="3"/>
  <c r="E376" i="3"/>
  <c r="D376" i="3"/>
  <c r="B376" i="3"/>
  <c r="A376" i="3"/>
  <c r="J375" i="3"/>
  <c r="H375" i="3"/>
  <c r="G375" i="3"/>
  <c r="F375" i="3"/>
  <c r="D375" i="3"/>
  <c r="C375" i="3"/>
  <c r="B375" i="3"/>
  <c r="A375" i="3"/>
  <c r="I375" i="3" s="1"/>
  <c r="J374" i="3"/>
  <c r="I374" i="3"/>
  <c r="H374" i="3"/>
  <c r="E374" i="3"/>
  <c r="D374" i="3"/>
  <c r="B374" i="3"/>
  <c r="A374" i="3"/>
  <c r="J373" i="3"/>
  <c r="H373" i="3"/>
  <c r="G373" i="3"/>
  <c r="F373" i="3"/>
  <c r="D373" i="3"/>
  <c r="C373" i="3"/>
  <c r="B373" i="3"/>
  <c r="A373" i="3"/>
  <c r="I373" i="3" s="1"/>
  <c r="J372" i="3"/>
  <c r="I372" i="3"/>
  <c r="H372" i="3"/>
  <c r="E372" i="3"/>
  <c r="D372" i="3"/>
  <c r="B372" i="3"/>
  <c r="A372" i="3"/>
  <c r="J371" i="3"/>
  <c r="H371" i="3"/>
  <c r="G371" i="3"/>
  <c r="F371" i="3"/>
  <c r="D371" i="3"/>
  <c r="C371" i="3"/>
  <c r="B371" i="3"/>
  <c r="A371" i="3"/>
  <c r="I371" i="3" s="1"/>
  <c r="J370" i="3"/>
  <c r="I370" i="3"/>
  <c r="H370" i="3"/>
  <c r="E370" i="3"/>
  <c r="D370" i="3"/>
  <c r="B370" i="3"/>
  <c r="A370" i="3"/>
  <c r="J369" i="3"/>
  <c r="H369" i="3"/>
  <c r="G369" i="3"/>
  <c r="F369" i="3"/>
  <c r="D369" i="3"/>
  <c r="C369" i="3"/>
  <c r="B369" i="3"/>
  <c r="A369" i="3"/>
  <c r="I369" i="3" s="1"/>
  <c r="J368" i="3"/>
  <c r="I368" i="3"/>
  <c r="H368" i="3"/>
  <c r="E368" i="3"/>
  <c r="D368" i="3"/>
  <c r="B368" i="3"/>
  <c r="A368" i="3"/>
  <c r="J367" i="3"/>
  <c r="H367" i="3"/>
  <c r="G367" i="3"/>
  <c r="F367" i="3"/>
  <c r="D367" i="3"/>
  <c r="C367" i="3"/>
  <c r="B367" i="3"/>
  <c r="A367" i="3"/>
  <c r="I367" i="3" s="1"/>
  <c r="J366" i="3"/>
  <c r="I366" i="3"/>
  <c r="H366" i="3"/>
  <c r="E366" i="3"/>
  <c r="D366" i="3"/>
  <c r="B366" i="3"/>
  <c r="A366" i="3"/>
  <c r="J365" i="3"/>
  <c r="H365" i="3"/>
  <c r="G365" i="3"/>
  <c r="F365" i="3"/>
  <c r="D365" i="3"/>
  <c r="C365" i="3"/>
  <c r="B365" i="3"/>
  <c r="A365" i="3"/>
  <c r="I365" i="3" s="1"/>
  <c r="J364" i="3"/>
  <c r="I364" i="3"/>
  <c r="H364" i="3"/>
  <c r="E364" i="3"/>
  <c r="D364" i="3"/>
  <c r="B364" i="3"/>
  <c r="A364" i="3"/>
  <c r="J363" i="3"/>
  <c r="H363" i="3"/>
  <c r="G363" i="3"/>
  <c r="F363" i="3"/>
  <c r="D363" i="3"/>
  <c r="C363" i="3"/>
  <c r="B363" i="3"/>
  <c r="A363" i="3"/>
  <c r="I363" i="3" s="1"/>
  <c r="J362" i="3"/>
  <c r="I362" i="3"/>
  <c r="H362" i="3"/>
  <c r="E362" i="3"/>
  <c r="D362" i="3"/>
  <c r="B362" i="3"/>
  <c r="A362" i="3"/>
  <c r="J361" i="3"/>
  <c r="H361" i="3"/>
  <c r="G361" i="3"/>
  <c r="F361" i="3"/>
  <c r="D361" i="3"/>
  <c r="C361" i="3"/>
  <c r="B361" i="3"/>
  <c r="A361" i="3"/>
  <c r="I361" i="3" s="1"/>
  <c r="J360" i="3"/>
  <c r="I360" i="3"/>
  <c r="H360" i="3"/>
  <c r="E360" i="3"/>
  <c r="D360" i="3"/>
  <c r="B360" i="3"/>
  <c r="A360" i="3"/>
  <c r="J359" i="3"/>
  <c r="H359" i="3"/>
  <c r="G359" i="3"/>
  <c r="F359" i="3"/>
  <c r="D359" i="3"/>
  <c r="C359" i="3"/>
  <c r="B359" i="3"/>
  <c r="A359" i="3"/>
  <c r="I359" i="3" s="1"/>
  <c r="J358" i="3"/>
  <c r="I358" i="3"/>
  <c r="H358" i="3"/>
  <c r="E358" i="3"/>
  <c r="D358" i="3"/>
  <c r="B358" i="3"/>
  <c r="A358" i="3"/>
  <c r="J357" i="3"/>
  <c r="H357" i="3"/>
  <c r="G357" i="3"/>
  <c r="F357" i="3"/>
  <c r="D357" i="3"/>
  <c r="C357" i="3"/>
  <c r="B357" i="3"/>
  <c r="A357" i="3"/>
  <c r="I357" i="3" s="1"/>
  <c r="J356" i="3"/>
  <c r="I356" i="3"/>
  <c r="H356" i="3"/>
  <c r="E356" i="3"/>
  <c r="D356" i="3"/>
  <c r="B356" i="3"/>
  <c r="A356" i="3"/>
  <c r="J355" i="3"/>
  <c r="H355" i="3"/>
  <c r="G355" i="3"/>
  <c r="F355" i="3"/>
  <c r="D355" i="3"/>
  <c r="C355" i="3"/>
  <c r="B355" i="3"/>
  <c r="A355" i="3"/>
  <c r="I355" i="3" s="1"/>
  <c r="J354" i="3"/>
  <c r="I354" i="3"/>
  <c r="H354" i="3"/>
  <c r="E354" i="3"/>
  <c r="D354" i="3"/>
  <c r="B354" i="3"/>
  <c r="A354" i="3"/>
  <c r="J353" i="3"/>
  <c r="H353" i="3"/>
  <c r="G353" i="3"/>
  <c r="F353" i="3"/>
  <c r="D353" i="3"/>
  <c r="C353" i="3"/>
  <c r="B353" i="3"/>
  <c r="A353" i="3"/>
  <c r="I353" i="3" s="1"/>
  <c r="J352" i="3"/>
  <c r="I352" i="3"/>
  <c r="H352" i="3"/>
  <c r="E352" i="3"/>
  <c r="D352" i="3"/>
  <c r="B352" i="3"/>
  <c r="A352" i="3"/>
  <c r="J351" i="3"/>
  <c r="H351" i="3"/>
  <c r="G351" i="3"/>
  <c r="F351" i="3"/>
  <c r="D351" i="3"/>
  <c r="C351" i="3"/>
  <c r="B351" i="3"/>
  <c r="A351" i="3"/>
  <c r="I351" i="3" s="1"/>
  <c r="J350" i="3"/>
  <c r="I350" i="3"/>
  <c r="H350" i="3"/>
  <c r="E350" i="3"/>
  <c r="D350" i="3"/>
  <c r="B350" i="3"/>
  <c r="A350" i="3"/>
  <c r="J349" i="3"/>
  <c r="H349" i="3"/>
  <c r="G349" i="3"/>
  <c r="F349" i="3"/>
  <c r="D349" i="3"/>
  <c r="C349" i="3"/>
  <c r="B349" i="3"/>
  <c r="A349" i="3"/>
  <c r="I349" i="3" s="1"/>
  <c r="J348" i="3"/>
  <c r="I348" i="3"/>
  <c r="H348" i="3"/>
  <c r="E348" i="3"/>
  <c r="D348" i="3"/>
  <c r="B348" i="3"/>
  <c r="A348" i="3"/>
  <c r="J347" i="3"/>
  <c r="H347" i="3"/>
  <c r="G347" i="3"/>
  <c r="F347" i="3"/>
  <c r="D347" i="3"/>
  <c r="C347" i="3"/>
  <c r="B347" i="3"/>
  <c r="A347" i="3"/>
  <c r="I347" i="3" s="1"/>
  <c r="J346" i="3"/>
  <c r="I346" i="3"/>
  <c r="H346" i="3"/>
  <c r="E346" i="3"/>
  <c r="D346" i="3"/>
  <c r="B346" i="3"/>
  <c r="A346" i="3"/>
  <c r="J345" i="3"/>
  <c r="H345" i="3"/>
  <c r="G345" i="3"/>
  <c r="F345" i="3"/>
  <c r="D345" i="3"/>
  <c r="C345" i="3"/>
  <c r="B345" i="3"/>
  <c r="A345" i="3"/>
  <c r="I345" i="3" s="1"/>
  <c r="J344" i="3"/>
  <c r="I344" i="3"/>
  <c r="H344" i="3"/>
  <c r="E344" i="3"/>
  <c r="D344" i="3"/>
  <c r="B344" i="3"/>
  <c r="A344" i="3"/>
  <c r="J343" i="3"/>
  <c r="H343" i="3"/>
  <c r="G343" i="3"/>
  <c r="F343" i="3"/>
  <c r="D343" i="3"/>
  <c r="C343" i="3"/>
  <c r="B343" i="3"/>
  <c r="A343" i="3"/>
  <c r="I343" i="3" s="1"/>
  <c r="J342" i="3"/>
  <c r="I342" i="3"/>
  <c r="H342" i="3"/>
  <c r="E342" i="3"/>
  <c r="D342" i="3"/>
  <c r="B342" i="3"/>
  <c r="A342" i="3"/>
  <c r="J341" i="3"/>
  <c r="H341" i="3"/>
  <c r="G341" i="3"/>
  <c r="F341" i="3"/>
  <c r="D341" i="3"/>
  <c r="C341" i="3"/>
  <c r="B341" i="3"/>
  <c r="A341" i="3"/>
  <c r="I341" i="3" s="1"/>
  <c r="J340" i="3"/>
  <c r="I340" i="3"/>
  <c r="H340" i="3"/>
  <c r="E340" i="3"/>
  <c r="D340" i="3"/>
  <c r="B340" i="3"/>
  <c r="A340" i="3"/>
  <c r="J339" i="3"/>
  <c r="H339" i="3"/>
  <c r="G339" i="3"/>
  <c r="F339" i="3"/>
  <c r="D339" i="3"/>
  <c r="C339" i="3"/>
  <c r="B339" i="3"/>
  <c r="A339" i="3"/>
  <c r="I339" i="3" s="1"/>
  <c r="J338" i="3"/>
  <c r="I338" i="3"/>
  <c r="H338" i="3"/>
  <c r="E338" i="3"/>
  <c r="D338" i="3"/>
  <c r="B338" i="3"/>
  <c r="A338" i="3"/>
  <c r="J337" i="3"/>
  <c r="H337" i="3"/>
  <c r="G337" i="3"/>
  <c r="F337" i="3"/>
  <c r="D337" i="3"/>
  <c r="C337" i="3"/>
  <c r="B337" i="3"/>
  <c r="A337" i="3"/>
  <c r="I337" i="3" s="1"/>
  <c r="J336" i="3"/>
  <c r="I336" i="3"/>
  <c r="H336" i="3"/>
  <c r="E336" i="3"/>
  <c r="D336" i="3"/>
  <c r="B336" i="3"/>
  <c r="A336" i="3"/>
  <c r="J335" i="3"/>
  <c r="H335" i="3"/>
  <c r="G335" i="3"/>
  <c r="F335" i="3"/>
  <c r="D335" i="3"/>
  <c r="C335" i="3"/>
  <c r="B335" i="3"/>
  <c r="A335" i="3"/>
  <c r="I335" i="3" s="1"/>
  <c r="J334" i="3"/>
  <c r="I334" i="3"/>
  <c r="H334" i="3"/>
  <c r="E334" i="3"/>
  <c r="D334" i="3"/>
  <c r="B334" i="3"/>
  <c r="A334" i="3"/>
  <c r="J333" i="3"/>
  <c r="H333" i="3"/>
  <c r="G333" i="3"/>
  <c r="F333" i="3"/>
  <c r="D333" i="3"/>
  <c r="C333" i="3"/>
  <c r="B333" i="3"/>
  <c r="A333" i="3"/>
  <c r="I333" i="3" s="1"/>
  <c r="J332" i="3"/>
  <c r="I332" i="3"/>
  <c r="H332" i="3"/>
  <c r="E332" i="3"/>
  <c r="D332" i="3"/>
  <c r="B332" i="3"/>
  <c r="A332" i="3"/>
  <c r="J331" i="3"/>
  <c r="H331" i="3"/>
  <c r="G331" i="3"/>
  <c r="F331" i="3"/>
  <c r="D331" i="3"/>
  <c r="C331" i="3"/>
  <c r="B331" i="3"/>
  <c r="A331" i="3"/>
  <c r="I331" i="3" s="1"/>
  <c r="J330" i="3"/>
  <c r="I330" i="3"/>
  <c r="H330" i="3"/>
  <c r="E330" i="3"/>
  <c r="D330" i="3"/>
  <c r="B330" i="3"/>
  <c r="A330" i="3"/>
  <c r="J329" i="3"/>
  <c r="H329" i="3"/>
  <c r="G329" i="3"/>
  <c r="F329" i="3"/>
  <c r="D329" i="3"/>
  <c r="C329" i="3"/>
  <c r="B329" i="3"/>
  <c r="A329" i="3"/>
  <c r="I329" i="3" s="1"/>
  <c r="J328" i="3"/>
  <c r="I328" i="3"/>
  <c r="H328" i="3"/>
  <c r="E328" i="3"/>
  <c r="D328" i="3"/>
  <c r="B328" i="3"/>
  <c r="A328" i="3"/>
  <c r="J327" i="3"/>
  <c r="H327" i="3"/>
  <c r="G327" i="3"/>
  <c r="F327" i="3"/>
  <c r="D327" i="3"/>
  <c r="C327" i="3"/>
  <c r="B327" i="3"/>
  <c r="A327" i="3"/>
  <c r="I327" i="3" s="1"/>
  <c r="J326" i="3"/>
  <c r="I326" i="3"/>
  <c r="H326" i="3"/>
  <c r="E326" i="3"/>
  <c r="D326" i="3"/>
  <c r="B326" i="3"/>
  <c r="A326" i="3"/>
  <c r="J325" i="3"/>
  <c r="H325" i="3"/>
  <c r="G325" i="3"/>
  <c r="F325" i="3"/>
  <c r="D325" i="3"/>
  <c r="C325" i="3"/>
  <c r="B325" i="3"/>
  <c r="A325" i="3"/>
  <c r="I325" i="3" s="1"/>
  <c r="J324" i="3"/>
  <c r="I324" i="3"/>
  <c r="H324" i="3"/>
  <c r="E324" i="3"/>
  <c r="D324" i="3"/>
  <c r="B324" i="3"/>
  <c r="A324" i="3"/>
  <c r="J323" i="3"/>
  <c r="H323" i="3"/>
  <c r="G323" i="3"/>
  <c r="F323" i="3"/>
  <c r="D323" i="3"/>
  <c r="C323" i="3"/>
  <c r="B323" i="3"/>
  <c r="A323" i="3"/>
  <c r="I323" i="3" s="1"/>
  <c r="J322" i="3"/>
  <c r="I322" i="3"/>
  <c r="H322" i="3"/>
  <c r="E322" i="3"/>
  <c r="D322" i="3"/>
  <c r="B322" i="3"/>
  <c r="A322" i="3"/>
  <c r="J321" i="3"/>
  <c r="H321" i="3"/>
  <c r="G321" i="3"/>
  <c r="F321" i="3"/>
  <c r="D321" i="3"/>
  <c r="C321" i="3"/>
  <c r="B321" i="3"/>
  <c r="A321" i="3"/>
  <c r="I321" i="3" s="1"/>
  <c r="J320" i="3"/>
  <c r="I320" i="3"/>
  <c r="H320" i="3"/>
  <c r="E320" i="3"/>
  <c r="D320" i="3"/>
  <c r="B320" i="3"/>
  <c r="A320" i="3"/>
  <c r="J319" i="3"/>
  <c r="H319" i="3"/>
  <c r="G319" i="3"/>
  <c r="F319" i="3"/>
  <c r="D319" i="3"/>
  <c r="C319" i="3"/>
  <c r="B319" i="3"/>
  <c r="A319" i="3"/>
  <c r="I319" i="3" s="1"/>
  <c r="J318" i="3"/>
  <c r="I318" i="3"/>
  <c r="H318" i="3"/>
  <c r="E318" i="3"/>
  <c r="D318" i="3"/>
  <c r="B318" i="3"/>
  <c r="A318" i="3"/>
  <c r="J317" i="3"/>
  <c r="H317" i="3"/>
  <c r="G317" i="3"/>
  <c r="F317" i="3"/>
  <c r="D317" i="3"/>
  <c r="C317" i="3"/>
  <c r="B317" i="3"/>
  <c r="A317" i="3"/>
  <c r="I317" i="3" s="1"/>
  <c r="J316" i="3"/>
  <c r="I316" i="3"/>
  <c r="H316" i="3"/>
  <c r="E316" i="3"/>
  <c r="D316" i="3"/>
  <c r="B316" i="3"/>
  <c r="A316" i="3"/>
  <c r="J315" i="3"/>
  <c r="H315" i="3"/>
  <c r="G315" i="3"/>
  <c r="F315" i="3"/>
  <c r="D315" i="3"/>
  <c r="C315" i="3"/>
  <c r="B315" i="3"/>
  <c r="A315" i="3"/>
  <c r="I315" i="3" s="1"/>
  <c r="J314" i="3"/>
  <c r="I314" i="3"/>
  <c r="H314" i="3"/>
  <c r="E314" i="3"/>
  <c r="D314" i="3"/>
  <c r="B314" i="3"/>
  <c r="A314" i="3"/>
  <c r="J313" i="3"/>
  <c r="H313" i="3"/>
  <c r="G313" i="3"/>
  <c r="F313" i="3"/>
  <c r="D313" i="3"/>
  <c r="C313" i="3"/>
  <c r="B313" i="3"/>
  <c r="A313" i="3"/>
  <c r="I313" i="3" s="1"/>
  <c r="J312" i="3"/>
  <c r="I312" i="3"/>
  <c r="H312" i="3"/>
  <c r="E312" i="3"/>
  <c r="D312" i="3"/>
  <c r="B312" i="3"/>
  <c r="A312" i="3"/>
  <c r="J311" i="3"/>
  <c r="H311" i="3"/>
  <c r="G311" i="3"/>
  <c r="F311" i="3"/>
  <c r="D311" i="3"/>
  <c r="C311" i="3"/>
  <c r="B311" i="3"/>
  <c r="A311" i="3"/>
  <c r="I311" i="3" s="1"/>
  <c r="J310" i="3"/>
  <c r="I310" i="3"/>
  <c r="H310" i="3"/>
  <c r="E310" i="3"/>
  <c r="D310" i="3"/>
  <c r="B310" i="3"/>
  <c r="A310" i="3"/>
  <c r="J309" i="3"/>
  <c r="H309" i="3"/>
  <c r="G309" i="3"/>
  <c r="F309" i="3"/>
  <c r="D309" i="3"/>
  <c r="C309" i="3"/>
  <c r="B309" i="3"/>
  <c r="A309" i="3"/>
  <c r="I309" i="3" s="1"/>
  <c r="J308" i="3"/>
  <c r="I308" i="3"/>
  <c r="H308" i="3"/>
  <c r="E308" i="3"/>
  <c r="D308" i="3"/>
  <c r="B308" i="3"/>
  <c r="A308" i="3"/>
  <c r="J307" i="3"/>
  <c r="H307" i="3"/>
  <c r="G307" i="3"/>
  <c r="F307" i="3"/>
  <c r="D307" i="3"/>
  <c r="C307" i="3"/>
  <c r="B307" i="3"/>
  <c r="A307" i="3"/>
  <c r="I307" i="3" s="1"/>
  <c r="J306" i="3"/>
  <c r="I306" i="3"/>
  <c r="H306" i="3"/>
  <c r="E306" i="3"/>
  <c r="D306" i="3"/>
  <c r="B306" i="3"/>
  <c r="A306" i="3"/>
  <c r="J305" i="3"/>
  <c r="H305" i="3"/>
  <c r="G305" i="3"/>
  <c r="F305" i="3"/>
  <c r="D305" i="3"/>
  <c r="C305" i="3"/>
  <c r="B305" i="3"/>
  <c r="A305" i="3"/>
  <c r="I305" i="3" s="1"/>
  <c r="J304" i="3"/>
  <c r="I304" i="3"/>
  <c r="H304" i="3"/>
  <c r="E304" i="3"/>
  <c r="D304" i="3"/>
  <c r="B304" i="3"/>
  <c r="A304" i="3"/>
  <c r="J303" i="3"/>
  <c r="H303" i="3"/>
  <c r="G303" i="3"/>
  <c r="F303" i="3"/>
  <c r="D303" i="3"/>
  <c r="C303" i="3"/>
  <c r="B303" i="3"/>
  <c r="A303" i="3"/>
  <c r="I303" i="3" s="1"/>
  <c r="J302" i="3"/>
  <c r="I302" i="3"/>
  <c r="H302" i="3"/>
  <c r="E302" i="3"/>
  <c r="D302" i="3"/>
  <c r="B302" i="3"/>
  <c r="A302" i="3"/>
  <c r="J301" i="3"/>
  <c r="H301" i="3"/>
  <c r="G301" i="3"/>
  <c r="F301" i="3"/>
  <c r="D301" i="3"/>
  <c r="C301" i="3"/>
  <c r="B301" i="3"/>
  <c r="A301" i="3"/>
  <c r="I301" i="3" s="1"/>
  <c r="J300" i="3"/>
  <c r="I300" i="3"/>
  <c r="H300" i="3"/>
  <c r="E300" i="3"/>
  <c r="D300" i="3"/>
  <c r="B300" i="3"/>
  <c r="A300" i="3"/>
  <c r="J299" i="3"/>
  <c r="H299" i="3"/>
  <c r="G299" i="3"/>
  <c r="F299" i="3"/>
  <c r="D299" i="3"/>
  <c r="C299" i="3"/>
  <c r="B299" i="3"/>
  <c r="A299" i="3"/>
  <c r="I299" i="3" s="1"/>
  <c r="J298" i="3"/>
  <c r="I298" i="3"/>
  <c r="H298" i="3"/>
  <c r="E298" i="3"/>
  <c r="D298" i="3"/>
  <c r="B298" i="3"/>
  <c r="A298" i="3"/>
  <c r="J297" i="3"/>
  <c r="H297" i="3"/>
  <c r="G297" i="3"/>
  <c r="F297" i="3"/>
  <c r="D297" i="3"/>
  <c r="C297" i="3"/>
  <c r="B297" i="3"/>
  <c r="A297" i="3"/>
  <c r="I297" i="3" s="1"/>
  <c r="J296" i="3"/>
  <c r="I296" i="3"/>
  <c r="H296" i="3"/>
  <c r="E296" i="3"/>
  <c r="D296" i="3"/>
  <c r="B296" i="3"/>
  <c r="A296" i="3"/>
  <c r="J295" i="3"/>
  <c r="H295" i="3"/>
  <c r="G295" i="3"/>
  <c r="F295" i="3"/>
  <c r="D295" i="3"/>
  <c r="C295" i="3"/>
  <c r="B295" i="3"/>
  <c r="A295" i="3"/>
  <c r="I295" i="3" s="1"/>
  <c r="J294" i="3"/>
  <c r="I294" i="3"/>
  <c r="H294" i="3"/>
  <c r="E294" i="3"/>
  <c r="D294" i="3"/>
  <c r="B294" i="3"/>
  <c r="A294" i="3"/>
  <c r="J293" i="3"/>
  <c r="H293" i="3"/>
  <c r="G293" i="3"/>
  <c r="F293" i="3"/>
  <c r="D293" i="3"/>
  <c r="C293" i="3"/>
  <c r="B293" i="3"/>
  <c r="A293" i="3"/>
  <c r="I293" i="3" s="1"/>
  <c r="J292" i="3"/>
  <c r="I292" i="3"/>
  <c r="H292" i="3"/>
  <c r="E292" i="3"/>
  <c r="D292" i="3"/>
  <c r="B292" i="3"/>
  <c r="A292" i="3"/>
  <c r="J291" i="3"/>
  <c r="H291" i="3"/>
  <c r="G291" i="3"/>
  <c r="F291" i="3"/>
  <c r="D291" i="3"/>
  <c r="C291" i="3"/>
  <c r="B291" i="3"/>
  <c r="A291" i="3"/>
  <c r="I291" i="3" s="1"/>
  <c r="J290" i="3"/>
  <c r="I290" i="3"/>
  <c r="H290" i="3"/>
  <c r="E290" i="3"/>
  <c r="D290" i="3"/>
  <c r="B290" i="3"/>
  <c r="A290" i="3"/>
  <c r="J289" i="3"/>
  <c r="H289" i="3"/>
  <c r="G289" i="3"/>
  <c r="F289" i="3"/>
  <c r="D289" i="3"/>
  <c r="C289" i="3"/>
  <c r="B289" i="3"/>
  <c r="A289" i="3"/>
  <c r="I289" i="3" s="1"/>
  <c r="J288" i="3"/>
  <c r="I288" i="3"/>
  <c r="H288" i="3"/>
  <c r="E288" i="3"/>
  <c r="D288" i="3"/>
  <c r="B288" i="3"/>
  <c r="A288" i="3"/>
  <c r="J287" i="3"/>
  <c r="H287" i="3"/>
  <c r="G287" i="3"/>
  <c r="F287" i="3"/>
  <c r="D287" i="3"/>
  <c r="C287" i="3"/>
  <c r="B287" i="3"/>
  <c r="A287" i="3"/>
  <c r="I287" i="3" s="1"/>
  <c r="J286" i="3"/>
  <c r="I286" i="3"/>
  <c r="H286" i="3"/>
  <c r="E286" i="3"/>
  <c r="D286" i="3"/>
  <c r="B286" i="3"/>
  <c r="A286" i="3"/>
  <c r="J285" i="3"/>
  <c r="H285" i="3"/>
  <c r="G285" i="3"/>
  <c r="F285" i="3"/>
  <c r="D285" i="3"/>
  <c r="C285" i="3"/>
  <c r="B285" i="3"/>
  <c r="A285" i="3"/>
  <c r="I285" i="3" s="1"/>
  <c r="J284" i="3"/>
  <c r="I284" i="3"/>
  <c r="H284" i="3"/>
  <c r="E284" i="3"/>
  <c r="D284" i="3"/>
  <c r="B284" i="3"/>
  <c r="A284" i="3"/>
  <c r="J283" i="3"/>
  <c r="H283" i="3"/>
  <c r="G283" i="3"/>
  <c r="F283" i="3"/>
  <c r="D283" i="3"/>
  <c r="C283" i="3"/>
  <c r="B283" i="3"/>
  <c r="A283" i="3"/>
  <c r="I283" i="3" s="1"/>
  <c r="J282" i="3"/>
  <c r="I282" i="3"/>
  <c r="H282" i="3"/>
  <c r="E282" i="3"/>
  <c r="D282" i="3"/>
  <c r="B282" i="3"/>
  <c r="A282" i="3"/>
  <c r="J281" i="3"/>
  <c r="H281" i="3"/>
  <c r="G281" i="3"/>
  <c r="F281" i="3"/>
  <c r="D281" i="3"/>
  <c r="C281" i="3"/>
  <c r="B281" i="3"/>
  <c r="A281" i="3"/>
  <c r="I281" i="3" s="1"/>
  <c r="J280" i="3"/>
  <c r="I280" i="3"/>
  <c r="H280" i="3"/>
  <c r="E280" i="3"/>
  <c r="D280" i="3"/>
  <c r="B280" i="3"/>
  <c r="A280" i="3"/>
  <c r="J279" i="3"/>
  <c r="H279" i="3"/>
  <c r="G279" i="3"/>
  <c r="F279" i="3"/>
  <c r="D279" i="3"/>
  <c r="C279" i="3"/>
  <c r="B279" i="3"/>
  <c r="A279" i="3"/>
  <c r="I279" i="3" s="1"/>
  <c r="J278" i="3"/>
  <c r="I278" i="3"/>
  <c r="H278" i="3"/>
  <c r="E278" i="3"/>
  <c r="D278" i="3"/>
  <c r="B278" i="3"/>
  <c r="A278" i="3"/>
  <c r="J277" i="3"/>
  <c r="H277" i="3"/>
  <c r="G277" i="3"/>
  <c r="F277" i="3"/>
  <c r="D277" i="3"/>
  <c r="C277" i="3"/>
  <c r="B277" i="3"/>
  <c r="A277" i="3"/>
  <c r="I277" i="3" s="1"/>
  <c r="J276" i="3"/>
  <c r="I276" i="3"/>
  <c r="H276" i="3"/>
  <c r="E276" i="3"/>
  <c r="D276" i="3"/>
  <c r="B276" i="3"/>
  <c r="A276" i="3"/>
  <c r="J275" i="3"/>
  <c r="H275" i="3"/>
  <c r="G275" i="3"/>
  <c r="F275" i="3"/>
  <c r="D275" i="3"/>
  <c r="C275" i="3"/>
  <c r="B275" i="3"/>
  <c r="A275" i="3"/>
  <c r="I275" i="3" s="1"/>
  <c r="J274" i="3"/>
  <c r="I274" i="3"/>
  <c r="H274" i="3"/>
  <c r="E274" i="3"/>
  <c r="D274" i="3"/>
  <c r="B274" i="3"/>
  <c r="A274" i="3"/>
  <c r="J273" i="3"/>
  <c r="H273" i="3"/>
  <c r="G273" i="3"/>
  <c r="F273" i="3"/>
  <c r="D273" i="3"/>
  <c r="C273" i="3"/>
  <c r="B273" i="3"/>
  <c r="A273" i="3"/>
  <c r="I273" i="3" s="1"/>
  <c r="J272" i="3"/>
  <c r="I272" i="3"/>
  <c r="H272" i="3"/>
  <c r="E272" i="3"/>
  <c r="D272" i="3"/>
  <c r="B272" i="3"/>
  <c r="A272" i="3"/>
  <c r="J271" i="3"/>
  <c r="H271" i="3"/>
  <c r="G271" i="3"/>
  <c r="F271" i="3"/>
  <c r="D271" i="3"/>
  <c r="C271" i="3"/>
  <c r="B271" i="3"/>
  <c r="A271" i="3"/>
  <c r="I271" i="3" s="1"/>
  <c r="J270" i="3"/>
  <c r="I270" i="3"/>
  <c r="H270" i="3"/>
  <c r="E270" i="3"/>
  <c r="D270" i="3"/>
  <c r="B270" i="3"/>
  <c r="A270" i="3"/>
  <c r="J269" i="3"/>
  <c r="H269" i="3"/>
  <c r="G269" i="3"/>
  <c r="F269" i="3"/>
  <c r="D269" i="3"/>
  <c r="C269" i="3"/>
  <c r="B269" i="3"/>
  <c r="A269" i="3"/>
  <c r="I269" i="3" s="1"/>
  <c r="J268" i="3"/>
  <c r="I268" i="3"/>
  <c r="H268" i="3"/>
  <c r="E268" i="3"/>
  <c r="D268" i="3"/>
  <c r="B268" i="3"/>
  <c r="A268" i="3"/>
  <c r="J267" i="3"/>
  <c r="H267" i="3"/>
  <c r="G267" i="3"/>
  <c r="F267" i="3"/>
  <c r="D267" i="3"/>
  <c r="C267" i="3"/>
  <c r="B267" i="3"/>
  <c r="A267" i="3"/>
  <c r="I267" i="3" s="1"/>
  <c r="J266" i="3"/>
  <c r="I266" i="3"/>
  <c r="H266" i="3"/>
  <c r="E266" i="3"/>
  <c r="D266" i="3"/>
  <c r="B266" i="3"/>
  <c r="A266" i="3"/>
  <c r="J265" i="3"/>
  <c r="H265" i="3"/>
  <c r="G265" i="3"/>
  <c r="F265" i="3"/>
  <c r="D265" i="3"/>
  <c r="C265" i="3"/>
  <c r="B265" i="3"/>
  <c r="A265" i="3"/>
  <c r="I265" i="3" s="1"/>
  <c r="J264" i="3"/>
  <c r="I264" i="3"/>
  <c r="H264" i="3"/>
  <c r="E264" i="3"/>
  <c r="D264" i="3"/>
  <c r="B264" i="3"/>
  <c r="A264" i="3"/>
  <c r="J263" i="3"/>
  <c r="H263" i="3"/>
  <c r="G263" i="3"/>
  <c r="F263" i="3"/>
  <c r="D263" i="3"/>
  <c r="C263" i="3"/>
  <c r="B263" i="3"/>
  <c r="A263" i="3"/>
  <c r="I263" i="3" s="1"/>
  <c r="J262" i="3"/>
  <c r="I262" i="3"/>
  <c r="H262" i="3"/>
  <c r="E262" i="3"/>
  <c r="D262" i="3"/>
  <c r="B262" i="3"/>
  <c r="A262" i="3"/>
  <c r="J261" i="3"/>
  <c r="H261" i="3"/>
  <c r="G261" i="3"/>
  <c r="F261" i="3"/>
  <c r="D261" i="3"/>
  <c r="C261" i="3"/>
  <c r="B261" i="3"/>
  <c r="A261" i="3"/>
  <c r="I261" i="3" s="1"/>
  <c r="J260" i="3"/>
  <c r="I260" i="3"/>
  <c r="H260" i="3"/>
  <c r="E260" i="3"/>
  <c r="D260" i="3"/>
  <c r="B260" i="3"/>
  <c r="A260" i="3"/>
  <c r="J259" i="3"/>
  <c r="H259" i="3"/>
  <c r="G259" i="3"/>
  <c r="F259" i="3"/>
  <c r="D259" i="3"/>
  <c r="C259" i="3"/>
  <c r="B259" i="3"/>
  <c r="A259" i="3"/>
  <c r="I259" i="3" s="1"/>
  <c r="J258" i="3"/>
  <c r="I258" i="3"/>
  <c r="H258" i="3"/>
  <c r="E258" i="3"/>
  <c r="D258" i="3"/>
  <c r="B258" i="3"/>
  <c r="A258" i="3"/>
  <c r="J257" i="3"/>
  <c r="H257" i="3"/>
  <c r="G257" i="3"/>
  <c r="F257" i="3"/>
  <c r="D257" i="3"/>
  <c r="C257" i="3"/>
  <c r="B257" i="3"/>
  <c r="A257" i="3"/>
  <c r="I257" i="3" s="1"/>
  <c r="J256" i="3"/>
  <c r="I256" i="3"/>
  <c r="H256" i="3"/>
  <c r="E256" i="3"/>
  <c r="D256" i="3"/>
  <c r="B256" i="3"/>
  <c r="A256" i="3"/>
  <c r="J255" i="3"/>
  <c r="H255" i="3"/>
  <c r="G255" i="3"/>
  <c r="F255" i="3"/>
  <c r="D255" i="3"/>
  <c r="C255" i="3"/>
  <c r="B255" i="3"/>
  <c r="A255" i="3"/>
  <c r="I255" i="3" s="1"/>
  <c r="J254" i="3"/>
  <c r="I254" i="3"/>
  <c r="H254" i="3"/>
  <c r="E254" i="3"/>
  <c r="D254" i="3"/>
  <c r="B254" i="3"/>
  <c r="A254" i="3"/>
  <c r="J253" i="3"/>
  <c r="H253" i="3"/>
  <c r="G253" i="3"/>
  <c r="F253" i="3"/>
  <c r="D253" i="3"/>
  <c r="C253" i="3"/>
  <c r="B253" i="3"/>
  <c r="A253" i="3"/>
  <c r="I253" i="3" s="1"/>
  <c r="J252" i="3"/>
  <c r="I252" i="3"/>
  <c r="H252" i="3"/>
  <c r="E252" i="3"/>
  <c r="D252" i="3"/>
  <c r="B252" i="3"/>
  <c r="A252" i="3"/>
  <c r="J251" i="3"/>
  <c r="H251" i="3"/>
  <c r="G251" i="3"/>
  <c r="F251" i="3"/>
  <c r="D251" i="3"/>
  <c r="C251" i="3"/>
  <c r="B251" i="3"/>
  <c r="A251" i="3"/>
  <c r="I251" i="3" s="1"/>
  <c r="J250" i="3"/>
  <c r="I250" i="3"/>
  <c r="H250" i="3"/>
  <c r="E250" i="3"/>
  <c r="D250" i="3"/>
  <c r="B250" i="3"/>
  <c r="A250" i="3"/>
  <c r="J249" i="3"/>
  <c r="H249" i="3"/>
  <c r="G249" i="3"/>
  <c r="F249" i="3"/>
  <c r="D249" i="3"/>
  <c r="C249" i="3"/>
  <c r="B249" i="3"/>
  <c r="A249" i="3"/>
  <c r="I249" i="3" s="1"/>
  <c r="J248" i="3"/>
  <c r="I248" i="3"/>
  <c r="H248" i="3"/>
  <c r="E248" i="3"/>
  <c r="D248" i="3"/>
  <c r="B248" i="3"/>
  <c r="A248" i="3"/>
  <c r="J247" i="3"/>
  <c r="H247" i="3"/>
  <c r="G247" i="3"/>
  <c r="F247" i="3"/>
  <c r="D247" i="3"/>
  <c r="C247" i="3"/>
  <c r="B247" i="3"/>
  <c r="A247" i="3"/>
  <c r="I247" i="3" s="1"/>
  <c r="J246" i="3"/>
  <c r="I246" i="3"/>
  <c r="H246" i="3"/>
  <c r="E246" i="3"/>
  <c r="D246" i="3"/>
  <c r="B246" i="3"/>
  <c r="A246" i="3"/>
  <c r="J245" i="3"/>
  <c r="H245" i="3"/>
  <c r="G245" i="3"/>
  <c r="F245" i="3"/>
  <c r="D245" i="3"/>
  <c r="C245" i="3"/>
  <c r="B245" i="3"/>
  <c r="A245" i="3"/>
  <c r="I245" i="3" s="1"/>
  <c r="J244" i="3"/>
  <c r="I244" i="3"/>
  <c r="H244" i="3"/>
  <c r="E244" i="3"/>
  <c r="D244" i="3"/>
  <c r="B244" i="3"/>
  <c r="A244" i="3"/>
  <c r="J243" i="3"/>
  <c r="H243" i="3"/>
  <c r="G243" i="3"/>
  <c r="F243" i="3"/>
  <c r="D243" i="3"/>
  <c r="C243" i="3"/>
  <c r="B243" i="3"/>
  <c r="A243" i="3"/>
  <c r="I243" i="3" s="1"/>
  <c r="J242" i="3"/>
  <c r="I242" i="3"/>
  <c r="H242" i="3"/>
  <c r="E242" i="3"/>
  <c r="D242" i="3"/>
  <c r="B242" i="3"/>
  <c r="A242" i="3"/>
  <c r="J241" i="3"/>
  <c r="H241" i="3"/>
  <c r="G241" i="3"/>
  <c r="F241" i="3"/>
  <c r="D241" i="3"/>
  <c r="C241" i="3"/>
  <c r="B241" i="3"/>
  <c r="A241" i="3"/>
  <c r="I241" i="3" s="1"/>
  <c r="J240" i="3"/>
  <c r="I240" i="3"/>
  <c r="H240" i="3"/>
  <c r="E240" i="3"/>
  <c r="D240" i="3"/>
  <c r="B240" i="3"/>
  <c r="A240" i="3"/>
  <c r="J239" i="3"/>
  <c r="H239" i="3"/>
  <c r="G239" i="3"/>
  <c r="F239" i="3"/>
  <c r="D239" i="3"/>
  <c r="C239" i="3"/>
  <c r="B239" i="3"/>
  <c r="A239" i="3"/>
  <c r="I239" i="3" s="1"/>
  <c r="J238" i="3"/>
  <c r="I238" i="3"/>
  <c r="H238" i="3"/>
  <c r="E238" i="3"/>
  <c r="D238" i="3"/>
  <c r="B238" i="3"/>
  <c r="A238" i="3"/>
  <c r="J237" i="3"/>
  <c r="H237" i="3"/>
  <c r="G237" i="3"/>
  <c r="F237" i="3"/>
  <c r="D237" i="3"/>
  <c r="C237" i="3"/>
  <c r="B237" i="3"/>
  <c r="A237" i="3"/>
  <c r="I237" i="3" s="1"/>
  <c r="J236" i="3"/>
  <c r="I236" i="3"/>
  <c r="H236" i="3"/>
  <c r="E236" i="3"/>
  <c r="D236" i="3"/>
  <c r="B236" i="3"/>
  <c r="A236" i="3"/>
  <c r="J235" i="3"/>
  <c r="H235" i="3"/>
  <c r="G235" i="3"/>
  <c r="F235" i="3"/>
  <c r="D235" i="3"/>
  <c r="C235" i="3"/>
  <c r="B235" i="3"/>
  <c r="A235" i="3"/>
  <c r="I235" i="3" s="1"/>
  <c r="J234" i="3"/>
  <c r="I234" i="3"/>
  <c r="H234" i="3"/>
  <c r="E234" i="3"/>
  <c r="D234" i="3"/>
  <c r="B234" i="3"/>
  <c r="A234" i="3"/>
  <c r="J233" i="3"/>
  <c r="H233" i="3"/>
  <c r="G233" i="3"/>
  <c r="F233" i="3"/>
  <c r="D233" i="3"/>
  <c r="C233" i="3"/>
  <c r="B233" i="3"/>
  <c r="A233" i="3"/>
  <c r="I233" i="3" s="1"/>
  <c r="J232" i="3"/>
  <c r="I232" i="3"/>
  <c r="H232" i="3"/>
  <c r="E232" i="3"/>
  <c r="D232" i="3"/>
  <c r="B232" i="3"/>
  <c r="A232" i="3"/>
  <c r="J231" i="3"/>
  <c r="H231" i="3"/>
  <c r="G231" i="3"/>
  <c r="F231" i="3"/>
  <c r="D231" i="3"/>
  <c r="C231" i="3"/>
  <c r="B231" i="3"/>
  <c r="A231" i="3"/>
  <c r="I231" i="3" s="1"/>
  <c r="J230" i="3"/>
  <c r="I230" i="3"/>
  <c r="H230" i="3"/>
  <c r="E230" i="3"/>
  <c r="D230" i="3"/>
  <c r="B230" i="3"/>
  <c r="A230" i="3"/>
  <c r="J229" i="3"/>
  <c r="H229" i="3"/>
  <c r="G229" i="3"/>
  <c r="F229" i="3"/>
  <c r="D229" i="3"/>
  <c r="C229" i="3"/>
  <c r="B229" i="3"/>
  <c r="A229" i="3"/>
  <c r="I229" i="3" s="1"/>
  <c r="J228" i="3"/>
  <c r="I228" i="3"/>
  <c r="H228" i="3"/>
  <c r="E228" i="3"/>
  <c r="D228" i="3"/>
  <c r="B228" i="3"/>
  <c r="A228" i="3"/>
  <c r="J227" i="3"/>
  <c r="H227" i="3"/>
  <c r="G227" i="3"/>
  <c r="F227" i="3"/>
  <c r="D227" i="3"/>
  <c r="C227" i="3"/>
  <c r="B227" i="3"/>
  <c r="A227" i="3"/>
  <c r="I227" i="3" s="1"/>
  <c r="J226" i="3"/>
  <c r="I226" i="3"/>
  <c r="H226" i="3"/>
  <c r="E226" i="3"/>
  <c r="D226" i="3"/>
  <c r="B226" i="3"/>
  <c r="A226" i="3"/>
  <c r="J225" i="3"/>
  <c r="H225" i="3"/>
  <c r="G225" i="3"/>
  <c r="F225" i="3"/>
  <c r="D225" i="3"/>
  <c r="C225" i="3"/>
  <c r="B225" i="3"/>
  <c r="A225" i="3"/>
  <c r="I225" i="3" s="1"/>
  <c r="J224" i="3"/>
  <c r="I224" i="3"/>
  <c r="H224" i="3"/>
  <c r="E224" i="3"/>
  <c r="D224" i="3"/>
  <c r="B224" i="3"/>
  <c r="A224" i="3"/>
  <c r="J223" i="3"/>
  <c r="H223" i="3"/>
  <c r="G223" i="3"/>
  <c r="F223" i="3"/>
  <c r="D223" i="3"/>
  <c r="C223" i="3"/>
  <c r="B223" i="3"/>
  <c r="A223" i="3"/>
  <c r="I223" i="3" s="1"/>
  <c r="J222" i="3"/>
  <c r="I222" i="3"/>
  <c r="H222" i="3"/>
  <c r="E222" i="3"/>
  <c r="D222" i="3"/>
  <c r="B222" i="3"/>
  <c r="A222" i="3"/>
  <c r="J221" i="3"/>
  <c r="H221" i="3"/>
  <c r="G221" i="3"/>
  <c r="F221" i="3"/>
  <c r="D221" i="3"/>
  <c r="C221" i="3"/>
  <c r="B221" i="3"/>
  <c r="A221" i="3"/>
  <c r="I221" i="3" s="1"/>
  <c r="J220" i="3"/>
  <c r="I220" i="3"/>
  <c r="H220" i="3"/>
  <c r="E220" i="3"/>
  <c r="D220" i="3"/>
  <c r="B220" i="3"/>
  <c r="A220" i="3"/>
  <c r="J219" i="3"/>
  <c r="H219" i="3"/>
  <c r="G219" i="3"/>
  <c r="F219" i="3"/>
  <c r="D219" i="3"/>
  <c r="C219" i="3"/>
  <c r="B219" i="3"/>
  <c r="A219" i="3"/>
  <c r="I219" i="3" s="1"/>
  <c r="J218" i="3"/>
  <c r="I218" i="3"/>
  <c r="H218" i="3"/>
  <c r="E218" i="3"/>
  <c r="D218" i="3"/>
  <c r="B218" i="3"/>
  <c r="A218" i="3"/>
  <c r="J217" i="3"/>
  <c r="H217" i="3"/>
  <c r="G217" i="3"/>
  <c r="F217" i="3"/>
  <c r="D217" i="3"/>
  <c r="C217" i="3"/>
  <c r="B217" i="3"/>
  <c r="A217" i="3"/>
  <c r="I217" i="3" s="1"/>
  <c r="J216" i="3"/>
  <c r="I216" i="3"/>
  <c r="H216" i="3"/>
  <c r="E216" i="3"/>
  <c r="D216" i="3"/>
  <c r="B216" i="3"/>
  <c r="A216" i="3"/>
  <c r="J215" i="3"/>
  <c r="H215" i="3"/>
  <c r="G215" i="3"/>
  <c r="F215" i="3"/>
  <c r="D215" i="3"/>
  <c r="C215" i="3"/>
  <c r="B215" i="3"/>
  <c r="A215" i="3"/>
  <c r="I215" i="3" s="1"/>
  <c r="J214" i="3"/>
  <c r="I214" i="3"/>
  <c r="H214" i="3"/>
  <c r="E214" i="3"/>
  <c r="D214" i="3"/>
  <c r="B214" i="3"/>
  <c r="A214" i="3"/>
  <c r="J213" i="3"/>
  <c r="H213" i="3"/>
  <c r="G213" i="3"/>
  <c r="F213" i="3"/>
  <c r="D213" i="3"/>
  <c r="C213" i="3"/>
  <c r="B213" i="3"/>
  <c r="A213" i="3"/>
  <c r="I213" i="3" s="1"/>
  <c r="J212" i="3"/>
  <c r="I212" i="3"/>
  <c r="H212" i="3"/>
  <c r="E212" i="3"/>
  <c r="D212" i="3"/>
  <c r="B212" i="3"/>
  <c r="A212" i="3"/>
  <c r="J211" i="3"/>
  <c r="H211" i="3"/>
  <c r="G211" i="3"/>
  <c r="F211" i="3"/>
  <c r="D211" i="3"/>
  <c r="C211" i="3"/>
  <c r="B211" i="3"/>
  <c r="A211" i="3"/>
  <c r="I211" i="3" s="1"/>
  <c r="J210" i="3"/>
  <c r="I210" i="3"/>
  <c r="H210" i="3"/>
  <c r="E210" i="3"/>
  <c r="D210" i="3"/>
  <c r="B210" i="3"/>
  <c r="A210" i="3"/>
  <c r="J209" i="3"/>
  <c r="H209" i="3"/>
  <c r="G209" i="3"/>
  <c r="F209" i="3"/>
  <c r="D209" i="3"/>
  <c r="C209" i="3"/>
  <c r="B209" i="3"/>
  <c r="A209" i="3"/>
  <c r="I209" i="3" s="1"/>
  <c r="J208" i="3"/>
  <c r="I208" i="3"/>
  <c r="H208" i="3"/>
  <c r="E208" i="3"/>
  <c r="D208" i="3"/>
  <c r="B208" i="3"/>
  <c r="A208" i="3"/>
  <c r="J207" i="3"/>
  <c r="H207" i="3"/>
  <c r="G207" i="3"/>
  <c r="F207" i="3"/>
  <c r="D207" i="3"/>
  <c r="C207" i="3"/>
  <c r="B207" i="3"/>
  <c r="A207" i="3"/>
  <c r="I207" i="3" s="1"/>
  <c r="J206" i="3"/>
  <c r="I206" i="3"/>
  <c r="H206" i="3"/>
  <c r="E206" i="3"/>
  <c r="D206" i="3"/>
  <c r="B206" i="3"/>
  <c r="A206" i="3"/>
  <c r="J205" i="3"/>
  <c r="H205" i="3"/>
  <c r="G205" i="3"/>
  <c r="F205" i="3"/>
  <c r="D205" i="3"/>
  <c r="C205" i="3"/>
  <c r="B205" i="3"/>
  <c r="A205" i="3"/>
  <c r="I205" i="3" s="1"/>
  <c r="J204" i="3"/>
  <c r="I204" i="3"/>
  <c r="H204" i="3"/>
  <c r="E204" i="3"/>
  <c r="D204" i="3"/>
  <c r="B204" i="3"/>
  <c r="A204" i="3"/>
  <c r="J203" i="3"/>
  <c r="H203" i="3"/>
  <c r="G203" i="3"/>
  <c r="F203" i="3"/>
  <c r="D203" i="3"/>
  <c r="C203" i="3"/>
  <c r="B203" i="3"/>
  <c r="A203" i="3"/>
  <c r="I203" i="3" s="1"/>
  <c r="J202" i="3"/>
  <c r="I202" i="3"/>
  <c r="H202" i="3"/>
  <c r="E202" i="3"/>
  <c r="D202" i="3"/>
  <c r="B202" i="3"/>
  <c r="A202" i="3"/>
  <c r="J201" i="3"/>
  <c r="H201" i="3"/>
  <c r="G201" i="3"/>
  <c r="F201" i="3"/>
  <c r="D201" i="3"/>
  <c r="C201" i="3"/>
  <c r="B201" i="3"/>
  <c r="A201" i="3"/>
  <c r="I201" i="3" s="1"/>
  <c r="J200" i="3"/>
  <c r="I200" i="3"/>
  <c r="H200" i="3"/>
  <c r="E200" i="3"/>
  <c r="D200" i="3"/>
  <c r="B200" i="3"/>
  <c r="A200" i="3"/>
  <c r="J199" i="3"/>
  <c r="H199" i="3"/>
  <c r="G199" i="3"/>
  <c r="F199" i="3"/>
  <c r="D199" i="3"/>
  <c r="C199" i="3"/>
  <c r="B199" i="3"/>
  <c r="A199" i="3"/>
  <c r="I199" i="3" s="1"/>
  <c r="J198" i="3"/>
  <c r="I198" i="3"/>
  <c r="H198" i="3"/>
  <c r="E198" i="3"/>
  <c r="D198" i="3"/>
  <c r="B198" i="3"/>
  <c r="A198" i="3"/>
  <c r="J197" i="3"/>
  <c r="H197" i="3"/>
  <c r="G197" i="3"/>
  <c r="F197" i="3"/>
  <c r="D197" i="3"/>
  <c r="C197" i="3"/>
  <c r="B197" i="3"/>
  <c r="A197" i="3"/>
  <c r="I197" i="3" s="1"/>
  <c r="J196" i="3"/>
  <c r="I196" i="3"/>
  <c r="H196" i="3"/>
  <c r="E196" i="3"/>
  <c r="D196" i="3"/>
  <c r="B196" i="3"/>
  <c r="A196" i="3"/>
  <c r="J195" i="3"/>
  <c r="H195" i="3"/>
  <c r="G195" i="3"/>
  <c r="F195" i="3"/>
  <c r="D195" i="3"/>
  <c r="C195" i="3"/>
  <c r="B195" i="3"/>
  <c r="A195" i="3"/>
  <c r="I195" i="3" s="1"/>
  <c r="J194" i="3"/>
  <c r="I194" i="3"/>
  <c r="H194" i="3"/>
  <c r="E194" i="3"/>
  <c r="D194" i="3"/>
  <c r="B194" i="3"/>
  <c r="A194" i="3"/>
  <c r="J193" i="3"/>
  <c r="H193" i="3"/>
  <c r="G193" i="3"/>
  <c r="F193" i="3"/>
  <c r="D193" i="3"/>
  <c r="C193" i="3"/>
  <c r="B193" i="3"/>
  <c r="A193" i="3"/>
  <c r="I193" i="3" s="1"/>
  <c r="J192" i="3"/>
  <c r="I192" i="3"/>
  <c r="H192" i="3"/>
  <c r="E192" i="3"/>
  <c r="D192" i="3"/>
  <c r="B192" i="3"/>
  <c r="A192" i="3"/>
  <c r="J191" i="3"/>
  <c r="H191" i="3"/>
  <c r="G191" i="3"/>
  <c r="F191" i="3"/>
  <c r="D191" i="3"/>
  <c r="C191" i="3"/>
  <c r="B191" i="3"/>
  <c r="A191" i="3"/>
  <c r="I191" i="3" s="1"/>
  <c r="J190" i="3"/>
  <c r="I190" i="3"/>
  <c r="H190" i="3"/>
  <c r="E190" i="3"/>
  <c r="D190" i="3"/>
  <c r="B190" i="3"/>
  <c r="A190" i="3"/>
  <c r="J189" i="3"/>
  <c r="H189" i="3"/>
  <c r="G189" i="3"/>
  <c r="F189" i="3"/>
  <c r="D189" i="3"/>
  <c r="C189" i="3"/>
  <c r="B189" i="3"/>
  <c r="A189" i="3"/>
  <c r="I189" i="3" s="1"/>
  <c r="J188" i="3"/>
  <c r="I188" i="3"/>
  <c r="H188" i="3"/>
  <c r="E188" i="3"/>
  <c r="D188" i="3"/>
  <c r="B188" i="3"/>
  <c r="A188" i="3"/>
  <c r="J187" i="3"/>
  <c r="H187" i="3"/>
  <c r="G187" i="3"/>
  <c r="F187" i="3"/>
  <c r="D187" i="3"/>
  <c r="C187" i="3"/>
  <c r="B187" i="3"/>
  <c r="A187" i="3"/>
  <c r="I187" i="3" s="1"/>
  <c r="J186" i="3"/>
  <c r="I186" i="3"/>
  <c r="H186" i="3"/>
  <c r="E186" i="3"/>
  <c r="D186" i="3"/>
  <c r="B186" i="3"/>
  <c r="A186" i="3"/>
  <c r="J185" i="3"/>
  <c r="H185" i="3"/>
  <c r="G185" i="3"/>
  <c r="F185" i="3"/>
  <c r="D185" i="3"/>
  <c r="C185" i="3"/>
  <c r="B185" i="3"/>
  <c r="A185" i="3"/>
  <c r="I185" i="3" s="1"/>
  <c r="J184" i="3"/>
  <c r="I184" i="3"/>
  <c r="H184" i="3"/>
  <c r="E184" i="3"/>
  <c r="D184" i="3"/>
  <c r="B184" i="3"/>
  <c r="A184" i="3"/>
  <c r="J183" i="3"/>
  <c r="H183" i="3"/>
  <c r="G183" i="3"/>
  <c r="F183" i="3"/>
  <c r="D183" i="3"/>
  <c r="C183" i="3"/>
  <c r="B183" i="3"/>
  <c r="A183" i="3"/>
  <c r="I183" i="3" s="1"/>
  <c r="J182" i="3"/>
  <c r="I182" i="3"/>
  <c r="H182" i="3"/>
  <c r="E182" i="3"/>
  <c r="D182" i="3"/>
  <c r="B182" i="3"/>
  <c r="A182" i="3"/>
  <c r="J181" i="3"/>
  <c r="H181" i="3"/>
  <c r="G181" i="3"/>
  <c r="F181" i="3"/>
  <c r="D181" i="3"/>
  <c r="C181" i="3"/>
  <c r="B181" i="3"/>
  <c r="A181" i="3"/>
  <c r="I181" i="3" s="1"/>
  <c r="J180" i="3"/>
  <c r="I180" i="3"/>
  <c r="H180" i="3"/>
  <c r="E180" i="3"/>
  <c r="D180" i="3"/>
  <c r="B180" i="3"/>
  <c r="A180" i="3"/>
  <c r="J179" i="3"/>
  <c r="H179" i="3"/>
  <c r="G179" i="3"/>
  <c r="F179" i="3"/>
  <c r="D179" i="3"/>
  <c r="C179" i="3"/>
  <c r="B179" i="3"/>
  <c r="A179" i="3"/>
  <c r="I179" i="3" s="1"/>
  <c r="J178" i="3"/>
  <c r="I178" i="3"/>
  <c r="H178" i="3"/>
  <c r="E178" i="3"/>
  <c r="D178" i="3"/>
  <c r="B178" i="3"/>
  <c r="A178" i="3"/>
  <c r="J177" i="3"/>
  <c r="H177" i="3"/>
  <c r="G177" i="3"/>
  <c r="F177" i="3"/>
  <c r="D177" i="3"/>
  <c r="C177" i="3"/>
  <c r="B177" i="3"/>
  <c r="A177" i="3"/>
  <c r="I177" i="3" s="1"/>
  <c r="J176" i="3"/>
  <c r="I176" i="3"/>
  <c r="H176" i="3"/>
  <c r="E176" i="3"/>
  <c r="D176" i="3"/>
  <c r="B176" i="3"/>
  <c r="A176" i="3"/>
  <c r="J175" i="3"/>
  <c r="H175" i="3"/>
  <c r="G175" i="3"/>
  <c r="F175" i="3"/>
  <c r="D175" i="3"/>
  <c r="C175" i="3"/>
  <c r="B175" i="3"/>
  <c r="A175" i="3"/>
  <c r="I175" i="3" s="1"/>
  <c r="J174" i="3"/>
  <c r="I174" i="3"/>
  <c r="H174" i="3"/>
  <c r="E174" i="3"/>
  <c r="D174" i="3"/>
  <c r="B174" i="3"/>
  <c r="A174" i="3"/>
  <c r="J173" i="3"/>
  <c r="H173" i="3"/>
  <c r="G173" i="3"/>
  <c r="F173" i="3"/>
  <c r="D173" i="3"/>
  <c r="C173" i="3"/>
  <c r="B173" i="3"/>
  <c r="A173" i="3"/>
  <c r="I173" i="3" s="1"/>
  <c r="J172" i="3"/>
  <c r="I172" i="3"/>
  <c r="H172" i="3"/>
  <c r="E172" i="3"/>
  <c r="D172" i="3"/>
  <c r="B172" i="3"/>
  <c r="A172" i="3"/>
  <c r="J171" i="3"/>
  <c r="H171" i="3"/>
  <c r="G171" i="3"/>
  <c r="F171" i="3"/>
  <c r="D171" i="3"/>
  <c r="C171" i="3"/>
  <c r="B171" i="3"/>
  <c r="A171" i="3"/>
  <c r="I171" i="3" s="1"/>
  <c r="J170" i="3"/>
  <c r="I170" i="3"/>
  <c r="H170" i="3"/>
  <c r="E170" i="3"/>
  <c r="D170" i="3"/>
  <c r="B170" i="3"/>
  <c r="A170" i="3"/>
  <c r="J169" i="3"/>
  <c r="H169" i="3"/>
  <c r="G169" i="3"/>
  <c r="F169" i="3"/>
  <c r="D169" i="3"/>
  <c r="C169" i="3"/>
  <c r="B169" i="3"/>
  <c r="A169" i="3"/>
  <c r="I169" i="3" s="1"/>
  <c r="J168" i="3"/>
  <c r="I168" i="3"/>
  <c r="H168" i="3"/>
  <c r="E168" i="3"/>
  <c r="D168" i="3"/>
  <c r="B168" i="3"/>
  <c r="A168" i="3"/>
  <c r="J167" i="3"/>
  <c r="H167" i="3"/>
  <c r="G167" i="3"/>
  <c r="F167" i="3"/>
  <c r="D167" i="3"/>
  <c r="C167" i="3"/>
  <c r="B167" i="3"/>
  <c r="A167" i="3"/>
  <c r="I167" i="3" s="1"/>
  <c r="J166" i="3"/>
  <c r="I166" i="3"/>
  <c r="H166" i="3"/>
  <c r="E166" i="3"/>
  <c r="D166" i="3"/>
  <c r="B166" i="3"/>
  <c r="A166" i="3"/>
  <c r="J165" i="3"/>
  <c r="H165" i="3"/>
  <c r="G165" i="3"/>
  <c r="F165" i="3"/>
  <c r="D165" i="3"/>
  <c r="C165" i="3"/>
  <c r="B165" i="3"/>
  <c r="A165" i="3"/>
  <c r="I165" i="3" s="1"/>
  <c r="J164" i="3"/>
  <c r="I164" i="3"/>
  <c r="H164" i="3"/>
  <c r="E164" i="3"/>
  <c r="D164" i="3"/>
  <c r="B164" i="3"/>
  <c r="A164" i="3"/>
  <c r="J163" i="3"/>
  <c r="H163" i="3"/>
  <c r="G163" i="3"/>
  <c r="F163" i="3"/>
  <c r="D163" i="3"/>
  <c r="C163" i="3"/>
  <c r="B163" i="3"/>
  <c r="A163" i="3"/>
  <c r="I163" i="3" s="1"/>
  <c r="J162" i="3"/>
  <c r="I162" i="3"/>
  <c r="H162" i="3"/>
  <c r="E162" i="3"/>
  <c r="D162" i="3"/>
  <c r="B162" i="3"/>
  <c r="A162" i="3"/>
  <c r="J161" i="3"/>
  <c r="H161" i="3"/>
  <c r="G161" i="3"/>
  <c r="F161" i="3"/>
  <c r="D161" i="3"/>
  <c r="C161" i="3"/>
  <c r="B161" i="3"/>
  <c r="A161" i="3"/>
  <c r="I161" i="3" s="1"/>
  <c r="J160" i="3"/>
  <c r="I160" i="3"/>
  <c r="H160" i="3"/>
  <c r="E160" i="3"/>
  <c r="D160" i="3"/>
  <c r="B160" i="3"/>
  <c r="A160" i="3"/>
  <c r="J159" i="3"/>
  <c r="H159" i="3"/>
  <c r="G159" i="3"/>
  <c r="F159" i="3"/>
  <c r="D159" i="3"/>
  <c r="C159" i="3"/>
  <c r="B159" i="3"/>
  <c r="A159" i="3"/>
  <c r="I159" i="3" s="1"/>
  <c r="J158" i="3"/>
  <c r="I158" i="3"/>
  <c r="H158" i="3"/>
  <c r="E158" i="3"/>
  <c r="D158" i="3"/>
  <c r="B158" i="3"/>
  <c r="A158" i="3"/>
  <c r="J157" i="3"/>
  <c r="H157" i="3"/>
  <c r="G157" i="3"/>
  <c r="F157" i="3"/>
  <c r="D157" i="3"/>
  <c r="C157" i="3"/>
  <c r="B157" i="3"/>
  <c r="A157" i="3"/>
  <c r="I157" i="3" s="1"/>
  <c r="J156" i="3"/>
  <c r="I156" i="3"/>
  <c r="H156" i="3"/>
  <c r="E156" i="3"/>
  <c r="D156" i="3"/>
  <c r="B156" i="3"/>
  <c r="A156" i="3"/>
  <c r="J155" i="3"/>
  <c r="H155" i="3"/>
  <c r="G155" i="3"/>
  <c r="F155" i="3"/>
  <c r="D155" i="3"/>
  <c r="C155" i="3"/>
  <c r="B155" i="3"/>
  <c r="A155" i="3"/>
  <c r="I155" i="3" s="1"/>
  <c r="J154" i="3"/>
  <c r="I154" i="3"/>
  <c r="H154" i="3"/>
  <c r="E154" i="3"/>
  <c r="D154" i="3"/>
  <c r="B154" i="3"/>
  <c r="A154" i="3"/>
  <c r="J153" i="3"/>
  <c r="H153" i="3"/>
  <c r="G153" i="3"/>
  <c r="F153" i="3"/>
  <c r="D153" i="3"/>
  <c r="C153" i="3"/>
  <c r="B153" i="3"/>
  <c r="A153" i="3"/>
  <c r="I153" i="3" s="1"/>
  <c r="J152" i="3"/>
  <c r="I152" i="3"/>
  <c r="H152" i="3"/>
  <c r="E152" i="3"/>
  <c r="D152" i="3"/>
  <c r="B152" i="3"/>
  <c r="A152" i="3"/>
  <c r="J151" i="3"/>
  <c r="H151" i="3"/>
  <c r="G151" i="3"/>
  <c r="F151" i="3"/>
  <c r="D151" i="3"/>
  <c r="C151" i="3"/>
  <c r="B151" i="3"/>
  <c r="A151" i="3"/>
  <c r="I151" i="3" s="1"/>
  <c r="J150" i="3"/>
  <c r="I150" i="3"/>
  <c r="H150" i="3"/>
  <c r="E150" i="3"/>
  <c r="D150" i="3"/>
  <c r="B150" i="3"/>
  <c r="A150" i="3"/>
  <c r="J149" i="3"/>
  <c r="H149" i="3"/>
  <c r="G149" i="3"/>
  <c r="F149" i="3"/>
  <c r="D149" i="3"/>
  <c r="C149" i="3"/>
  <c r="B149" i="3"/>
  <c r="A149" i="3"/>
  <c r="I149" i="3" s="1"/>
  <c r="J148" i="3"/>
  <c r="I148" i="3"/>
  <c r="H148" i="3"/>
  <c r="E148" i="3"/>
  <c r="D148" i="3"/>
  <c r="B148" i="3"/>
  <c r="A148" i="3"/>
  <c r="J147" i="3"/>
  <c r="H147" i="3"/>
  <c r="G147" i="3"/>
  <c r="F147" i="3"/>
  <c r="D147" i="3"/>
  <c r="C147" i="3"/>
  <c r="B147" i="3"/>
  <c r="A147" i="3"/>
  <c r="I147" i="3" s="1"/>
  <c r="J146" i="3"/>
  <c r="I146" i="3"/>
  <c r="H146" i="3"/>
  <c r="E146" i="3"/>
  <c r="D146" i="3"/>
  <c r="B146" i="3"/>
  <c r="A146" i="3"/>
  <c r="J145" i="3"/>
  <c r="H145" i="3"/>
  <c r="G145" i="3"/>
  <c r="F145" i="3"/>
  <c r="D145" i="3"/>
  <c r="C145" i="3"/>
  <c r="B145" i="3"/>
  <c r="A145" i="3"/>
  <c r="I145" i="3" s="1"/>
  <c r="J144" i="3"/>
  <c r="I144" i="3"/>
  <c r="H144" i="3"/>
  <c r="E144" i="3"/>
  <c r="D144" i="3"/>
  <c r="B144" i="3"/>
  <c r="A144" i="3"/>
  <c r="J143" i="3"/>
  <c r="H143" i="3"/>
  <c r="G143" i="3"/>
  <c r="F143" i="3"/>
  <c r="D143" i="3"/>
  <c r="C143" i="3"/>
  <c r="B143" i="3"/>
  <c r="A143" i="3"/>
  <c r="I143" i="3" s="1"/>
  <c r="J142" i="3"/>
  <c r="I142" i="3"/>
  <c r="H142" i="3"/>
  <c r="E142" i="3"/>
  <c r="D142" i="3"/>
  <c r="B142" i="3"/>
  <c r="A142" i="3"/>
  <c r="J141" i="3"/>
  <c r="H141" i="3"/>
  <c r="G141" i="3"/>
  <c r="F141" i="3"/>
  <c r="D141" i="3"/>
  <c r="C141" i="3"/>
  <c r="B141" i="3"/>
  <c r="A141" i="3"/>
  <c r="I141" i="3" s="1"/>
  <c r="J140" i="3"/>
  <c r="I140" i="3"/>
  <c r="H140" i="3"/>
  <c r="E140" i="3"/>
  <c r="D140" i="3"/>
  <c r="B140" i="3"/>
  <c r="A140" i="3"/>
  <c r="J139" i="3"/>
  <c r="H139" i="3"/>
  <c r="G139" i="3"/>
  <c r="F139" i="3"/>
  <c r="D139" i="3"/>
  <c r="C139" i="3"/>
  <c r="B139" i="3"/>
  <c r="A139" i="3"/>
  <c r="I139" i="3" s="1"/>
  <c r="J138" i="3"/>
  <c r="I138" i="3"/>
  <c r="H138" i="3"/>
  <c r="E138" i="3"/>
  <c r="D138" i="3"/>
  <c r="B138" i="3"/>
  <c r="A138" i="3"/>
  <c r="J137" i="3"/>
  <c r="H137" i="3"/>
  <c r="G137" i="3"/>
  <c r="F137" i="3"/>
  <c r="D137" i="3"/>
  <c r="C137" i="3"/>
  <c r="B137" i="3"/>
  <c r="A137" i="3"/>
  <c r="I137" i="3" s="1"/>
  <c r="J136" i="3"/>
  <c r="I136" i="3"/>
  <c r="H136" i="3"/>
  <c r="E136" i="3"/>
  <c r="D136" i="3"/>
  <c r="B136" i="3"/>
  <c r="A136" i="3"/>
  <c r="J135" i="3"/>
  <c r="H135" i="3"/>
  <c r="G135" i="3"/>
  <c r="F135" i="3"/>
  <c r="D135" i="3"/>
  <c r="C135" i="3"/>
  <c r="B135" i="3"/>
  <c r="A135" i="3"/>
  <c r="I135" i="3" s="1"/>
  <c r="J134" i="3"/>
  <c r="I134" i="3"/>
  <c r="H134" i="3"/>
  <c r="E134" i="3"/>
  <c r="D134" i="3"/>
  <c r="B134" i="3"/>
  <c r="A134" i="3"/>
  <c r="J133" i="3"/>
  <c r="H133" i="3"/>
  <c r="G133" i="3"/>
  <c r="F133" i="3"/>
  <c r="D133" i="3"/>
  <c r="C133" i="3"/>
  <c r="B133" i="3"/>
  <c r="A133" i="3"/>
  <c r="I133" i="3" s="1"/>
  <c r="J132" i="3"/>
  <c r="I132" i="3"/>
  <c r="H132" i="3"/>
  <c r="E132" i="3"/>
  <c r="D132" i="3"/>
  <c r="B132" i="3"/>
  <c r="A132" i="3"/>
  <c r="J131" i="3"/>
  <c r="H131" i="3"/>
  <c r="G131" i="3"/>
  <c r="F131" i="3"/>
  <c r="D131" i="3"/>
  <c r="C131" i="3"/>
  <c r="B131" i="3"/>
  <c r="A131" i="3"/>
  <c r="I131" i="3" s="1"/>
  <c r="J130" i="3"/>
  <c r="I130" i="3"/>
  <c r="H130" i="3"/>
  <c r="E130" i="3"/>
  <c r="D130" i="3"/>
  <c r="B130" i="3"/>
  <c r="A130" i="3"/>
  <c r="J129" i="3"/>
  <c r="H129" i="3"/>
  <c r="G129" i="3"/>
  <c r="F129" i="3"/>
  <c r="D129" i="3"/>
  <c r="C129" i="3"/>
  <c r="B129" i="3"/>
  <c r="A129" i="3"/>
  <c r="I129" i="3" s="1"/>
  <c r="J128" i="3"/>
  <c r="I128" i="3"/>
  <c r="H128" i="3"/>
  <c r="E128" i="3"/>
  <c r="D128" i="3"/>
  <c r="B128" i="3"/>
  <c r="A128" i="3"/>
  <c r="J127" i="3"/>
  <c r="H127" i="3"/>
  <c r="G127" i="3"/>
  <c r="F127" i="3"/>
  <c r="D127" i="3"/>
  <c r="C127" i="3"/>
  <c r="B127" i="3"/>
  <c r="A127" i="3"/>
  <c r="I127" i="3" s="1"/>
  <c r="J126" i="3"/>
  <c r="I126" i="3"/>
  <c r="H126" i="3"/>
  <c r="E126" i="3"/>
  <c r="D126" i="3"/>
  <c r="B126" i="3"/>
  <c r="A126" i="3"/>
  <c r="J125" i="3"/>
  <c r="H125" i="3"/>
  <c r="G125" i="3"/>
  <c r="F125" i="3"/>
  <c r="D125" i="3"/>
  <c r="C125" i="3"/>
  <c r="B125" i="3"/>
  <c r="A125" i="3"/>
  <c r="I125" i="3" s="1"/>
  <c r="J124" i="3"/>
  <c r="I124" i="3"/>
  <c r="H124" i="3"/>
  <c r="E124" i="3"/>
  <c r="D124" i="3"/>
  <c r="B124" i="3"/>
  <c r="A124" i="3"/>
  <c r="J123" i="3"/>
  <c r="H123" i="3"/>
  <c r="G123" i="3"/>
  <c r="F123" i="3"/>
  <c r="D123" i="3"/>
  <c r="C123" i="3"/>
  <c r="B123" i="3"/>
  <c r="A123" i="3"/>
  <c r="I123" i="3" s="1"/>
  <c r="J122" i="3"/>
  <c r="I122" i="3"/>
  <c r="H122" i="3"/>
  <c r="E122" i="3"/>
  <c r="D122" i="3"/>
  <c r="B122" i="3"/>
  <c r="A122" i="3"/>
  <c r="J121" i="3"/>
  <c r="H121" i="3"/>
  <c r="G121" i="3"/>
  <c r="F121" i="3"/>
  <c r="D121" i="3"/>
  <c r="C121" i="3"/>
  <c r="B121" i="3"/>
  <c r="A121" i="3"/>
  <c r="I121" i="3" s="1"/>
  <c r="J120" i="3"/>
  <c r="I120" i="3"/>
  <c r="H120" i="3"/>
  <c r="E120" i="3"/>
  <c r="D120" i="3"/>
  <c r="B120" i="3"/>
  <c r="A120" i="3"/>
  <c r="J119" i="3"/>
  <c r="H119" i="3"/>
  <c r="G119" i="3"/>
  <c r="F119" i="3"/>
  <c r="D119" i="3"/>
  <c r="C119" i="3"/>
  <c r="B119" i="3"/>
  <c r="A119" i="3"/>
  <c r="I119" i="3" s="1"/>
  <c r="J118" i="3"/>
  <c r="I118" i="3"/>
  <c r="H118" i="3"/>
  <c r="E118" i="3"/>
  <c r="D118" i="3"/>
  <c r="B118" i="3"/>
  <c r="A118" i="3"/>
  <c r="J117" i="3"/>
  <c r="H117" i="3"/>
  <c r="G117" i="3"/>
  <c r="F117" i="3"/>
  <c r="D117" i="3"/>
  <c r="C117" i="3"/>
  <c r="B117" i="3"/>
  <c r="A117" i="3"/>
  <c r="I117" i="3" s="1"/>
  <c r="J116" i="3"/>
  <c r="I116" i="3"/>
  <c r="H116" i="3"/>
  <c r="E116" i="3"/>
  <c r="D116" i="3"/>
  <c r="B116" i="3"/>
  <c r="A116" i="3"/>
  <c r="J115" i="3"/>
  <c r="H115" i="3"/>
  <c r="G115" i="3"/>
  <c r="F115" i="3"/>
  <c r="D115" i="3"/>
  <c r="C115" i="3"/>
  <c r="B115" i="3"/>
  <c r="A115" i="3"/>
  <c r="I115" i="3" s="1"/>
  <c r="J114" i="3"/>
  <c r="I114" i="3"/>
  <c r="H114" i="3"/>
  <c r="E114" i="3"/>
  <c r="D114" i="3"/>
  <c r="B114" i="3"/>
  <c r="A114" i="3"/>
  <c r="J113" i="3"/>
  <c r="H113" i="3"/>
  <c r="G113" i="3"/>
  <c r="F113" i="3"/>
  <c r="D113" i="3"/>
  <c r="C113" i="3"/>
  <c r="B113" i="3"/>
  <c r="A113" i="3"/>
  <c r="I113" i="3" s="1"/>
  <c r="J112" i="3"/>
  <c r="I112" i="3"/>
  <c r="H112" i="3"/>
  <c r="E112" i="3"/>
  <c r="D112" i="3"/>
  <c r="B112" i="3"/>
  <c r="A112" i="3"/>
  <c r="J111" i="3"/>
  <c r="H111" i="3"/>
  <c r="G111" i="3"/>
  <c r="F111" i="3"/>
  <c r="D111" i="3"/>
  <c r="C111" i="3"/>
  <c r="B111" i="3"/>
  <c r="A111" i="3"/>
  <c r="I111" i="3" s="1"/>
  <c r="J110" i="3"/>
  <c r="I110" i="3"/>
  <c r="H110" i="3"/>
  <c r="E110" i="3"/>
  <c r="D110" i="3"/>
  <c r="B110" i="3"/>
  <c r="A110" i="3"/>
  <c r="J109" i="3"/>
  <c r="H109" i="3"/>
  <c r="G109" i="3"/>
  <c r="F109" i="3"/>
  <c r="D109" i="3"/>
  <c r="C109" i="3"/>
  <c r="B109" i="3"/>
  <c r="A109" i="3"/>
  <c r="I109" i="3" s="1"/>
  <c r="J108" i="3"/>
  <c r="I108" i="3"/>
  <c r="H108" i="3"/>
  <c r="E108" i="3"/>
  <c r="D108" i="3"/>
  <c r="B108" i="3"/>
  <c r="A108" i="3"/>
  <c r="J107" i="3"/>
  <c r="H107" i="3"/>
  <c r="G107" i="3"/>
  <c r="F107" i="3"/>
  <c r="D107" i="3"/>
  <c r="C107" i="3"/>
  <c r="B107" i="3"/>
  <c r="A107" i="3"/>
  <c r="I107" i="3" s="1"/>
  <c r="J106" i="3"/>
  <c r="I106" i="3"/>
  <c r="H106" i="3"/>
  <c r="E106" i="3"/>
  <c r="D106" i="3"/>
  <c r="B106" i="3"/>
  <c r="A106" i="3"/>
  <c r="J105" i="3"/>
  <c r="H105" i="3"/>
  <c r="G105" i="3"/>
  <c r="F105" i="3"/>
  <c r="D105" i="3"/>
  <c r="C105" i="3"/>
  <c r="B105" i="3"/>
  <c r="A105" i="3"/>
  <c r="I105" i="3" s="1"/>
  <c r="J104" i="3"/>
  <c r="I104" i="3"/>
  <c r="H104" i="3"/>
  <c r="E104" i="3"/>
  <c r="D104" i="3"/>
  <c r="B104" i="3"/>
  <c r="A104" i="3"/>
  <c r="J103" i="3"/>
  <c r="H103" i="3"/>
  <c r="G103" i="3"/>
  <c r="F103" i="3"/>
  <c r="D103" i="3"/>
  <c r="C103" i="3"/>
  <c r="B103" i="3"/>
  <c r="A103" i="3"/>
  <c r="I103" i="3" s="1"/>
  <c r="J102" i="3"/>
  <c r="I102" i="3"/>
  <c r="H102" i="3"/>
  <c r="E102" i="3"/>
  <c r="D102" i="3"/>
  <c r="B102" i="3"/>
  <c r="A102" i="3"/>
  <c r="J101" i="3"/>
  <c r="H101" i="3"/>
  <c r="G101" i="3"/>
  <c r="F101" i="3"/>
  <c r="D101" i="3"/>
  <c r="C101" i="3"/>
  <c r="B101" i="3"/>
  <c r="A101" i="3"/>
  <c r="I101" i="3" s="1"/>
  <c r="J100" i="3"/>
  <c r="I100" i="3"/>
  <c r="H100" i="3"/>
  <c r="E100" i="3"/>
  <c r="D100" i="3"/>
  <c r="B100" i="3"/>
  <c r="A100" i="3"/>
  <c r="J99" i="3"/>
  <c r="H99" i="3"/>
  <c r="G99" i="3"/>
  <c r="F99" i="3"/>
  <c r="D99" i="3"/>
  <c r="C99" i="3"/>
  <c r="B99" i="3"/>
  <c r="A99" i="3"/>
  <c r="I99" i="3" s="1"/>
  <c r="J98" i="3"/>
  <c r="I98" i="3"/>
  <c r="H98" i="3"/>
  <c r="E98" i="3"/>
  <c r="D98" i="3"/>
  <c r="B98" i="3"/>
  <c r="A98" i="3"/>
  <c r="J97" i="3"/>
  <c r="H97" i="3"/>
  <c r="G97" i="3"/>
  <c r="F97" i="3"/>
  <c r="D97" i="3"/>
  <c r="C97" i="3"/>
  <c r="B97" i="3"/>
  <c r="A97" i="3"/>
  <c r="I97" i="3" s="1"/>
  <c r="J96" i="3"/>
  <c r="I96" i="3"/>
  <c r="H96" i="3"/>
  <c r="E96" i="3"/>
  <c r="D96" i="3"/>
  <c r="B96" i="3"/>
  <c r="A96" i="3"/>
  <c r="J95" i="3"/>
  <c r="H95" i="3"/>
  <c r="G95" i="3"/>
  <c r="F95" i="3"/>
  <c r="D95" i="3"/>
  <c r="C95" i="3"/>
  <c r="B95" i="3"/>
  <c r="A95" i="3"/>
  <c r="I95" i="3" s="1"/>
  <c r="J94" i="3"/>
  <c r="I94" i="3"/>
  <c r="H94" i="3"/>
  <c r="E94" i="3"/>
  <c r="D94" i="3"/>
  <c r="B94" i="3"/>
  <c r="A94" i="3"/>
  <c r="J93" i="3"/>
  <c r="H93" i="3"/>
  <c r="G93" i="3"/>
  <c r="F93" i="3"/>
  <c r="D93" i="3"/>
  <c r="C93" i="3"/>
  <c r="B93" i="3"/>
  <c r="A93" i="3"/>
  <c r="I93" i="3" s="1"/>
  <c r="J92" i="3"/>
  <c r="I92" i="3"/>
  <c r="H92" i="3"/>
  <c r="E92" i="3"/>
  <c r="D92" i="3"/>
  <c r="B92" i="3"/>
  <c r="A92" i="3"/>
  <c r="J91" i="3"/>
  <c r="H91" i="3"/>
  <c r="G91" i="3"/>
  <c r="F91" i="3"/>
  <c r="D91" i="3"/>
  <c r="C91" i="3"/>
  <c r="B91" i="3"/>
  <c r="A91" i="3"/>
  <c r="I91" i="3" s="1"/>
  <c r="J90" i="3"/>
  <c r="I90" i="3"/>
  <c r="H90" i="3"/>
  <c r="E90" i="3"/>
  <c r="D90" i="3"/>
  <c r="B90" i="3"/>
  <c r="A90" i="3"/>
  <c r="J89" i="3"/>
  <c r="H89" i="3"/>
  <c r="G89" i="3"/>
  <c r="F89" i="3"/>
  <c r="D89" i="3"/>
  <c r="C89" i="3"/>
  <c r="B89" i="3"/>
  <c r="A89" i="3"/>
  <c r="I89" i="3" s="1"/>
  <c r="J88" i="3"/>
  <c r="I88" i="3"/>
  <c r="H88" i="3"/>
  <c r="E88" i="3"/>
  <c r="D88" i="3"/>
  <c r="B88" i="3"/>
  <c r="A88" i="3"/>
  <c r="J87" i="3"/>
  <c r="H87" i="3"/>
  <c r="G87" i="3"/>
  <c r="F87" i="3"/>
  <c r="D87" i="3"/>
  <c r="C87" i="3"/>
  <c r="B87" i="3"/>
  <c r="A87" i="3"/>
  <c r="I87" i="3" s="1"/>
  <c r="J86" i="3"/>
  <c r="I86" i="3"/>
  <c r="H86" i="3"/>
  <c r="E86" i="3"/>
  <c r="D86" i="3"/>
  <c r="B86" i="3"/>
  <c r="A86" i="3"/>
  <c r="J85" i="3"/>
  <c r="H85" i="3"/>
  <c r="G85" i="3"/>
  <c r="F85" i="3"/>
  <c r="D85" i="3"/>
  <c r="C85" i="3"/>
  <c r="B85" i="3"/>
  <c r="A85" i="3"/>
  <c r="I85" i="3" s="1"/>
  <c r="J84" i="3"/>
  <c r="I84" i="3"/>
  <c r="H84" i="3"/>
  <c r="E84" i="3"/>
  <c r="D84" i="3"/>
  <c r="B84" i="3"/>
  <c r="A84" i="3"/>
  <c r="J83" i="3"/>
  <c r="H83" i="3"/>
  <c r="G83" i="3"/>
  <c r="F83" i="3"/>
  <c r="D83" i="3"/>
  <c r="C83" i="3"/>
  <c r="B83" i="3"/>
  <c r="A83" i="3"/>
  <c r="I83" i="3" s="1"/>
  <c r="J82" i="3"/>
  <c r="I82" i="3"/>
  <c r="H82" i="3"/>
  <c r="E82" i="3"/>
  <c r="D82" i="3"/>
  <c r="B82" i="3"/>
  <c r="A82" i="3"/>
  <c r="J81" i="3"/>
  <c r="H81" i="3"/>
  <c r="G81" i="3"/>
  <c r="F81" i="3"/>
  <c r="D81" i="3"/>
  <c r="C81" i="3"/>
  <c r="B81" i="3"/>
  <c r="A81" i="3"/>
  <c r="I81" i="3" s="1"/>
  <c r="J80" i="3"/>
  <c r="I80" i="3"/>
  <c r="H80" i="3"/>
  <c r="E80" i="3"/>
  <c r="D80" i="3"/>
  <c r="B80" i="3"/>
  <c r="A80" i="3"/>
  <c r="J79" i="3"/>
  <c r="H79" i="3"/>
  <c r="G79" i="3"/>
  <c r="F79" i="3"/>
  <c r="D79" i="3"/>
  <c r="C79" i="3"/>
  <c r="B79" i="3"/>
  <c r="A79" i="3"/>
  <c r="I79" i="3" s="1"/>
  <c r="J78" i="3"/>
  <c r="I78" i="3"/>
  <c r="H78" i="3"/>
  <c r="E78" i="3"/>
  <c r="D78" i="3"/>
  <c r="B78" i="3"/>
  <c r="A78" i="3"/>
  <c r="J77" i="3"/>
  <c r="H77" i="3"/>
  <c r="G77" i="3"/>
  <c r="F77" i="3"/>
  <c r="D77" i="3"/>
  <c r="C77" i="3"/>
  <c r="B77" i="3"/>
  <c r="A77" i="3"/>
  <c r="I77" i="3" s="1"/>
  <c r="J76" i="3"/>
  <c r="I76" i="3"/>
  <c r="H76" i="3"/>
  <c r="E76" i="3"/>
  <c r="D76" i="3"/>
  <c r="B76" i="3"/>
  <c r="A76" i="3"/>
  <c r="J75" i="3"/>
  <c r="H75" i="3"/>
  <c r="G75" i="3"/>
  <c r="F75" i="3"/>
  <c r="D75" i="3"/>
  <c r="C75" i="3"/>
  <c r="B75" i="3"/>
  <c r="A75" i="3"/>
  <c r="I75" i="3" s="1"/>
  <c r="J74" i="3"/>
  <c r="I74" i="3"/>
  <c r="H74" i="3"/>
  <c r="E74" i="3"/>
  <c r="D74" i="3"/>
  <c r="B74" i="3"/>
  <c r="A74" i="3"/>
  <c r="J73" i="3"/>
  <c r="H73" i="3"/>
  <c r="G73" i="3"/>
  <c r="F73" i="3"/>
  <c r="D73" i="3"/>
  <c r="C73" i="3"/>
  <c r="B73" i="3"/>
  <c r="A73" i="3"/>
  <c r="I73" i="3" s="1"/>
  <c r="J72" i="3"/>
  <c r="I72" i="3"/>
  <c r="H72" i="3"/>
  <c r="E72" i="3"/>
  <c r="D72" i="3"/>
  <c r="B72" i="3"/>
  <c r="A72" i="3"/>
  <c r="J71" i="3"/>
  <c r="H71" i="3"/>
  <c r="G71" i="3"/>
  <c r="F71" i="3"/>
  <c r="D71" i="3"/>
  <c r="C71" i="3"/>
  <c r="B71" i="3"/>
  <c r="A71" i="3"/>
  <c r="I71" i="3" s="1"/>
  <c r="J70" i="3"/>
  <c r="I70" i="3"/>
  <c r="H70" i="3"/>
  <c r="E70" i="3"/>
  <c r="D70" i="3"/>
  <c r="B70" i="3"/>
  <c r="A70" i="3"/>
  <c r="J69" i="3"/>
  <c r="H69" i="3"/>
  <c r="G69" i="3"/>
  <c r="F69" i="3"/>
  <c r="D69" i="3"/>
  <c r="C69" i="3"/>
  <c r="B69" i="3"/>
  <c r="A69" i="3"/>
  <c r="I69" i="3" s="1"/>
  <c r="J68" i="3"/>
  <c r="I68" i="3"/>
  <c r="H68" i="3"/>
  <c r="E68" i="3"/>
  <c r="D68" i="3"/>
  <c r="B68" i="3"/>
  <c r="A68" i="3"/>
  <c r="J67" i="3"/>
  <c r="H67" i="3"/>
  <c r="G67" i="3"/>
  <c r="F67" i="3"/>
  <c r="D67" i="3"/>
  <c r="C67" i="3"/>
  <c r="B67" i="3"/>
  <c r="A67" i="3"/>
  <c r="I67" i="3" s="1"/>
  <c r="J66" i="3"/>
  <c r="I66" i="3"/>
  <c r="H66" i="3"/>
  <c r="E66" i="3"/>
  <c r="D66" i="3"/>
  <c r="B66" i="3"/>
  <c r="A66" i="3"/>
  <c r="J65" i="3"/>
  <c r="H65" i="3"/>
  <c r="G65" i="3"/>
  <c r="F65" i="3"/>
  <c r="D65" i="3"/>
  <c r="C65" i="3"/>
  <c r="B65" i="3"/>
  <c r="A65" i="3"/>
  <c r="I65" i="3" s="1"/>
  <c r="J64" i="3"/>
  <c r="I64" i="3"/>
  <c r="H64" i="3"/>
  <c r="E64" i="3"/>
  <c r="D64" i="3"/>
  <c r="B64" i="3"/>
  <c r="A64" i="3"/>
  <c r="J63" i="3"/>
  <c r="H63" i="3"/>
  <c r="G63" i="3"/>
  <c r="F63" i="3"/>
  <c r="D63" i="3"/>
  <c r="C63" i="3"/>
  <c r="B63" i="3"/>
  <c r="A63" i="3"/>
  <c r="J62" i="3"/>
  <c r="I62" i="3"/>
  <c r="H62" i="3"/>
  <c r="E62" i="3"/>
  <c r="D62" i="3"/>
  <c r="B62" i="3"/>
  <c r="A62" i="3"/>
  <c r="J61" i="3"/>
  <c r="H61" i="3"/>
  <c r="G61" i="3"/>
  <c r="F61" i="3"/>
  <c r="D61" i="3"/>
  <c r="C61" i="3"/>
  <c r="B61" i="3"/>
  <c r="A61" i="3"/>
  <c r="J60" i="3"/>
  <c r="I60" i="3"/>
  <c r="H60" i="3"/>
  <c r="E60" i="3"/>
  <c r="D60" i="3"/>
  <c r="B60" i="3"/>
  <c r="A60" i="3"/>
  <c r="J59" i="3"/>
  <c r="H59" i="3"/>
  <c r="G59" i="3"/>
  <c r="F59" i="3"/>
  <c r="D59" i="3"/>
  <c r="C59" i="3"/>
  <c r="B59" i="3"/>
  <c r="A59" i="3"/>
  <c r="J58" i="3"/>
  <c r="I58" i="3"/>
  <c r="H58" i="3"/>
  <c r="E58" i="3"/>
  <c r="D58" i="3"/>
  <c r="B58" i="3"/>
  <c r="A58" i="3"/>
  <c r="J57" i="3"/>
  <c r="H57" i="3"/>
  <c r="G57" i="3"/>
  <c r="F57" i="3"/>
  <c r="D57" i="3"/>
  <c r="C57" i="3"/>
  <c r="B57" i="3"/>
  <c r="A57" i="3"/>
  <c r="J56" i="3"/>
  <c r="I56" i="3"/>
  <c r="H56" i="3"/>
  <c r="E56" i="3"/>
  <c r="D56" i="3"/>
  <c r="B56" i="3"/>
  <c r="A56" i="3"/>
  <c r="J55" i="3"/>
  <c r="H55" i="3"/>
  <c r="G55" i="3"/>
  <c r="F55" i="3"/>
  <c r="D55" i="3"/>
  <c r="C55" i="3"/>
  <c r="B55" i="3"/>
  <c r="A55" i="3"/>
  <c r="J54" i="3"/>
  <c r="I54" i="3"/>
  <c r="H54" i="3"/>
  <c r="E54" i="3"/>
  <c r="D54" i="3"/>
  <c r="B54" i="3"/>
  <c r="A54" i="3"/>
  <c r="J53" i="3"/>
  <c r="H53" i="3"/>
  <c r="G53" i="3"/>
  <c r="F53" i="3"/>
  <c r="D53" i="3"/>
  <c r="C53" i="3"/>
  <c r="B53" i="3"/>
  <c r="A53" i="3"/>
  <c r="I53" i="3" s="1"/>
  <c r="J52" i="3"/>
  <c r="H52" i="3"/>
  <c r="E52" i="3"/>
  <c r="D52" i="3"/>
  <c r="B52" i="3"/>
  <c r="A52" i="3"/>
  <c r="J51" i="3"/>
  <c r="H51" i="3"/>
  <c r="G51" i="3"/>
  <c r="F51" i="3"/>
  <c r="D51" i="3"/>
  <c r="C51" i="3"/>
  <c r="B51" i="3"/>
  <c r="A51" i="3"/>
  <c r="J50" i="3"/>
  <c r="I50" i="3"/>
  <c r="H50" i="3"/>
  <c r="E50" i="3"/>
  <c r="D50" i="3"/>
  <c r="B50" i="3"/>
  <c r="A50" i="3"/>
  <c r="J49" i="3"/>
  <c r="H49" i="3"/>
  <c r="G49" i="3"/>
  <c r="F49" i="3"/>
  <c r="D49" i="3"/>
  <c r="C49" i="3"/>
  <c r="B49" i="3"/>
  <c r="A49" i="3"/>
  <c r="I49" i="3" s="1"/>
  <c r="J48" i="3"/>
  <c r="H48" i="3"/>
  <c r="E48" i="3"/>
  <c r="D48" i="3"/>
  <c r="B48" i="3"/>
  <c r="A48" i="3"/>
  <c r="J47" i="3"/>
  <c r="H47" i="3"/>
  <c r="G47" i="3"/>
  <c r="F47" i="3"/>
  <c r="D47" i="3"/>
  <c r="C47" i="3"/>
  <c r="B47" i="3"/>
  <c r="A47" i="3"/>
  <c r="J46" i="3"/>
  <c r="I46" i="3"/>
  <c r="H46" i="3"/>
  <c r="E46" i="3"/>
  <c r="D46" i="3"/>
  <c r="B46" i="3"/>
  <c r="A46" i="3"/>
  <c r="J45" i="3"/>
  <c r="H45" i="3"/>
  <c r="G45" i="3"/>
  <c r="F45" i="3"/>
  <c r="D45" i="3"/>
  <c r="C45" i="3"/>
  <c r="B45" i="3"/>
  <c r="A45" i="3"/>
  <c r="I45" i="3" s="1"/>
  <c r="J44" i="3"/>
  <c r="H44" i="3"/>
  <c r="E44" i="3"/>
  <c r="D44" i="3"/>
  <c r="B44" i="3"/>
  <c r="A44" i="3"/>
  <c r="J43" i="3"/>
  <c r="H43" i="3"/>
  <c r="G43" i="3"/>
  <c r="F43" i="3"/>
  <c r="D43" i="3"/>
  <c r="C43" i="3"/>
  <c r="B43" i="3"/>
  <c r="A43" i="3"/>
  <c r="J42" i="3"/>
  <c r="I42" i="3"/>
  <c r="H42" i="3"/>
  <c r="E42" i="3"/>
  <c r="D42" i="3"/>
  <c r="B42" i="3"/>
  <c r="A42" i="3"/>
  <c r="J41" i="3"/>
  <c r="H41" i="3"/>
  <c r="G41" i="3"/>
  <c r="F41" i="3"/>
  <c r="D41" i="3"/>
  <c r="C41" i="3"/>
  <c r="B41" i="3"/>
  <c r="A41" i="3"/>
  <c r="I41" i="3" s="1"/>
  <c r="J40" i="3"/>
  <c r="H40" i="3"/>
  <c r="E40" i="3"/>
  <c r="D40" i="3"/>
  <c r="B40" i="3"/>
  <c r="A40" i="3"/>
  <c r="J39" i="3"/>
  <c r="H39" i="3"/>
  <c r="G39" i="3"/>
  <c r="F39" i="3"/>
  <c r="D39" i="3"/>
  <c r="C39" i="3"/>
  <c r="B39" i="3"/>
  <c r="A39" i="3"/>
  <c r="J38" i="3"/>
  <c r="I38" i="3"/>
  <c r="H38" i="3"/>
  <c r="E38" i="3"/>
  <c r="D38" i="3"/>
  <c r="B38" i="3"/>
  <c r="A38" i="3"/>
  <c r="J37" i="3"/>
  <c r="H37" i="3"/>
  <c r="G37" i="3"/>
  <c r="F37" i="3"/>
  <c r="D37" i="3"/>
  <c r="C37" i="3"/>
  <c r="B37" i="3"/>
  <c r="A37" i="3"/>
  <c r="I37" i="3" s="1"/>
  <c r="J36" i="3"/>
  <c r="H36" i="3"/>
  <c r="E36" i="3"/>
  <c r="D36" i="3"/>
  <c r="B36" i="3"/>
  <c r="A36" i="3"/>
  <c r="J35" i="3"/>
  <c r="H35" i="3"/>
  <c r="G35" i="3"/>
  <c r="D35" i="3"/>
  <c r="C35" i="3"/>
  <c r="B35" i="3"/>
  <c r="A35" i="3"/>
  <c r="J34" i="3"/>
  <c r="H34" i="3"/>
  <c r="F34" i="3"/>
  <c r="D34" i="3"/>
  <c r="B34" i="3"/>
  <c r="A34" i="3"/>
  <c r="G34" i="3" s="1"/>
  <c r="J33" i="3"/>
  <c r="H33" i="3"/>
  <c r="G33" i="3"/>
  <c r="F33" i="3"/>
  <c r="D33" i="3"/>
  <c r="C33" i="3"/>
  <c r="B33" i="3"/>
  <c r="A33" i="3"/>
  <c r="I33" i="3" s="1"/>
  <c r="J32" i="3"/>
  <c r="H32" i="3"/>
  <c r="F32" i="3"/>
  <c r="D32" i="3"/>
  <c r="B32" i="3"/>
  <c r="A32" i="3"/>
  <c r="G32" i="3" s="1"/>
  <c r="J31" i="3"/>
  <c r="H31" i="3"/>
  <c r="G31" i="3"/>
  <c r="F31" i="3"/>
  <c r="D31" i="3"/>
  <c r="C31" i="3"/>
  <c r="B31" i="3"/>
  <c r="A31" i="3"/>
  <c r="I31" i="3" s="1"/>
  <c r="J30" i="3"/>
  <c r="H30" i="3"/>
  <c r="F30" i="3"/>
  <c r="D30" i="3"/>
  <c r="B30" i="3"/>
  <c r="A30" i="3"/>
  <c r="G30" i="3" s="1"/>
  <c r="J29" i="3"/>
  <c r="H29" i="3"/>
  <c r="G29" i="3"/>
  <c r="F29" i="3"/>
  <c r="D29" i="3"/>
  <c r="C29" i="3"/>
  <c r="B29" i="3"/>
  <c r="A29" i="3"/>
  <c r="I29" i="3" s="1"/>
  <c r="J28" i="3"/>
  <c r="H28" i="3"/>
  <c r="F28" i="3"/>
  <c r="D28" i="3"/>
  <c r="B28" i="3"/>
  <c r="A28" i="3"/>
  <c r="G28" i="3" s="1"/>
  <c r="J27" i="3"/>
  <c r="H27" i="3"/>
  <c r="G27" i="3"/>
  <c r="F27" i="3"/>
  <c r="D27" i="3"/>
  <c r="C27" i="3"/>
  <c r="B27" i="3"/>
  <c r="A27" i="3"/>
  <c r="I27" i="3" s="1"/>
  <c r="J26" i="3"/>
  <c r="H26" i="3"/>
  <c r="F26" i="3"/>
  <c r="D26" i="3"/>
  <c r="B26" i="3"/>
  <c r="A26" i="3"/>
  <c r="G26" i="3" s="1"/>
  <c r="J25" i="3"/>
  <c r="H25" i="3"/>
  <c r="G25" i="3"/>
  <c r="F25" i="3"/>
  <c r="D25" i="3"/>
  <c r="C25" i="3"/>
  <c r="B25" i="3"/>
  <c r="A25" i="3"/>
  <c r="I25" i="3" s="1"/>
  <c r="J24" i="3"/>
  <c r="H24" i="3"/>
  <c r="F24" i="3"/>
  <c r="D24" i="3"/>
  <c r="B24" i="3"/>
  <c r="A24" i="3"/>
  <c r="G24" i="3" s="1"/>
  <c r="J23" i="3"/>
  <c r="H23" i="3"/>
  <c r="G23" i="3"/>
  <c r="F23" i="3"/>
  <c r="D23" i="3"/>
  <c r="C23" i="3"/>
  <c r="B23" i="3"/>
  <c r="A23" i="3"/>
  <c r="I23" i="3" s="1"/>
  <c r="H22" i="3"/>
  <c r="F22" i="3"/>
  <c r="D22" i="3"/>
  <c r="B22" i="3"/>
  <c r="A22" i="3"/>
  <c r="G22" i="3" s="1"/>
  <c r="J21" i="3"/>
  <c r="H21" i="3"/>
  <c r="G21" i="3"/>
  <c r="F21" i="3"/>
  <c r="D21" i="3"/>
  <c r="C21" i="3"/>
  <c r="B21" i="3"/>
  <c r="A21" i="3"/>
  <c r="I21" i="3" s="1"/>
  <c r="J20" i="3"/>
  <c r="H20" i="3"/>
  <c r="F20" i="3"/>
  <c r="D20" i="3"/>
  <c r="B20" i="3"/>
  <c r="A20" i="3"/>
  <c r="G20" i="3" s="1"/>
  <c r="J19" i="3"/>
  <c r="H19" i="3"/>
  <c r="G19" i="3"/>
  <c r="F19" i="3"/>
  <c r="D19" i="3"/>
  <c r="C19" i="3"/>
  <c r="B19" i="3"/>
  <c r="A19" i="3"/>
  <c r="I19" i="3" s="1"/>
  <c r="J18" i="3"/>
  <c r="H18" i="3"/>
  <c r="F18" i="3"/>
  <c r="D18" i="3"/>
  <c r="B18" i="3"/>
  <c r="A18" i="3"/>
  <c r="G18" i="3" s="1"/>
  <c r="H17" i="3"/>
  <c r="G17" i="3"/>
  <c r="F17" i="3"/>
  <c r="D17" i="3"/>
  <c r="C17" i="3"/>
  <c r="B17" i="3"/>
  <c r="A17" i="3"/>
  <c r="I17" i="3" s="1"/>
  <c r="J16" i="3"/>
  <c r="H16" i="3"/>
  <c r="F16" i="3"/>
  <c r="D16" i="3"/>
  <c r="B16" i="3"/>
  <c r="A16" i="3"/>
  <c r="G16" i="3" s="1"/>
  <c r="J15" i="3"/>
  <c r="H15" i="3"/>
  <c r="G15" i="3"/>
  <c r="F15" i="3"/>
  <c r="D15" i="3"/>
  <c r="C15" i="3"/>
  <c r="B15" i="3"/>
  <c r="A15" i="3"/>
  <c r="I15" i="3" s="1"/>
  <c r="H14" i="3"/>
  <c r="F14" i="3"/>
  <c r="D14" i="3"/>
  <c r="B14" i="3"/>
  <c r="A14" i="3"/>
  <c r="G14" i="3" s="1"/>
  <c r="J13" i="3"/>
  <c r="H13" i="3"/>
  <c r="G13" i="3"/>
  <c r="F13" i="3"/>
  <c r="D13" i="3"/>
  <c r="C13" i="3"/>
  <c r="B13" i="3"/>
  <c r="A13" i="3"/>
  <c r="I13" i="3" s="1"/>
  <c r="J12" i="3"/>
  <c r="H12" i="3"/>
  <c r="F12" i="3"/>
  <c r="D12" i="3"/>
  <c r="B12" i="3"/>
  <c r="A12" i="3"/>
  <c r="G12" i="3" s="1"/>
  <c r="J11" i="3"/>
  <c r="H11" i="3"/>
  <c r="G11" i="3"/>
  <c r="F11" i="3"/>
  <c r="D11" i="3"/>
  <c r="C11" i="3"/>
  <c r="B11" i="3"/>
  <c r="A11" i="3"/>
  <c r="I11" i="3" s="1"/>
  <c r="J10" i="3"/>
  <c r="H10" i="3"/>
  <c r="F10" i="3"/>
  <c r="D10" i="3"/>
  <c r="B10" i="3"/>
  <c r="A10" i="3"/>
  <c r="G10" i="3" s="1"/>
  <c r="H9" i="3"/>
  <c r="G9" i="3"/>
  <c r="F9" i="3"/>
  <c r="D9" i="3"/>
  <c r="C9" i="3"/>
  <c r="B9" i="3"/>
  <c r="A9" i="3"/>
  <c r="I9" i="3" s="1"/>
  <c r="J8" i="3"/>
  <c r="H8" i="3"/>
  <c r="F8" i="3"/>
  <c r="D8" i="3"/>
  <c r="B8" i="3"/>
  <c r="A8" i="3"/>
  <c r="G8" i="3" s="1"/>
  <c r="J7" i="3"/>
  <c r="H7" i="3"/>
  <c r="G7" i="3"/>
  <c r="F7" i="3"/>
  <c r="D7" i="3"/>
  <c r="C7" i="3"/>
  <c r="B7" i="3"/>
  <c r="A7" i="3"/>
  <c r="I7" i="3" s="1"/>
  <c r="H6" i="3"/>
  <c r="F6" i="3"/>
  <c r="D6" i="3"/>
  <c r="B6" i="3"/>
  <c r="A6" i="3"/>
  <c r="G6" i="3" s="1"/>
  <c r="H5" i="3"/>
  <c r="G5" i="3"/>
  <c r="F5" i="3"/>
  <c r="D5" i="3"/>
  <c r="C5" i="3"/>
  <c r="B5" i="3"/>
  <c r="A5" i="3"/>
  <c r="I5" i="3" s="1"/>
  <c r="E11" i="2"/>
  <c r="E8" i="2"/>
  <c r="A8" i="2"/>
  <c r="E5" i="2"/>
  <c r="A5" i="2"/>
  <c r="F519" i="3" l="1"/>
  <c r="B519" i="3"/>
  <c r="E519" i="3"/>
  <c r="F539" i="3"/>
  <c r="B539" i="3"/>
  <c r="C539" i="3"/>
  <c r="G541" i="3"/>
  <c r="D553" i="3"/>
  <c r="G553" i="3"/>
  <c r="B553" i="3"/>
  <c r="G573" i="3"/>
  <c r="D585" i="3"/>
  <c r="G585" i="3"/>
  <c r="B585" i="3"/>
  <c r="D617" i="3"/>
  <c r="G617" i="3"/>
  <c r="B617" i="3"/>
  <c r="G637" i="3"/>
  <c r="G648" i="3"/>
  <c r="C648" i="3"/>
  <c r="D648" i="3"/>
  <c r="G680" i="3"/>
  <c r="C680" i="3"/>
  <c r="D680" i="3"/>
  <c r="D701" i="3"/>
  <c r="E701" i="3"/>
  <c r="G712" i="3"/>
  <c r="C712" i="3"/>
  <c r="D712" i="3"/>
  <c r="F731" i="3"/>
  <c r="B731" i="3"/>
  <c r="C731" i="3"/>
  <c r="G733" i="3"/>
  <c r="F743" i="3"/>
  <c r="B743" i="3"/>
  <c r="E743" i="3"/>
  <c r="D765" i="3"/>
  <c r="E765" i="3"/>
  <c r="F775" i="3"/>
  <c r="B775" i="3"/>
  <c r="E775" i="3"/>
  <c r="D797" i="3"/>
  <c r="E797" i="3"/>
  <c r="D809" i="3"/>
  <c r="G809" i="3"/>
  <c r="B809" i="3"/>
  <c r="D829" i="3"/>
  <c r="E829" i="3"/>
  <c r="G840" i="3"/>
  <c r="C840" i="3"/>
  <c r="D840" i="3"/>
  <c r="F859" i="3"/>
  <c r="B859" i="3"/>
  <c r="C859" i="3"/>
  <c r="G861" i="3"/>
  <c r="G872" i="3"/>
  <c r="C872" i="3"/>
  <c r="D872" i="3"/>
  <c r="D893" i="3"/>
  <c r="E893" i="3"/>
  <c r="F903" i="3"/>
  <c r="B903" i="3"/>
  <c r="E903" i="3"/>
  <c r="D905" i="3"/>
  <c r="G905" i="3"/>
  <c r="B905" i="3"/>
  <c r="F923" i="3"/>
  <c r="B923" i="3"/>
  <c r="C923" i="3"/>
  <c r="G925" i="3"/>
  <c r="F935" i="3"/>
  <c r="B935" i="3"/>
  <c r="E935" i="3"/>
  <c r="D937" i="3"/>
  <c r="G937" i="3"/>
  <c r="B937" i="3"/>
  <c r="D957" i="3"/>
  <c r="E957" i="3"/>
  <c r="G957" i="3"/>
  <c r="F967" i="3"/>
  <c r="B967" i="3"/>
  <c r="E967" i="3"/>
  <c r="D969" i="3"/>
  <c r="G969" i="3"/>
  <c r="B969" i="3"/>
  <c r="F987" i="3"/>
  <c r="B987" i="3"/>
  <c r="C987" i="3"/>
  <c r="G989" i="3"/>
  <c r="F999" i="3"/>
  <c r="B999" i="3"/>
  <c r="E999" i="3"/>
  <c r="D1001" i="3"/>
  <c r="G1001" i="3"/>
  <c r="B1001" i="3"/>
  <c r="E6" i="3"/>
  <c r="I6" i="3"/>
  <c r="E8" i="3"/>
  <c r="I8" i="3"/>
  <c r="E10" i="3"/>
  <c r="I10" i="3"/>
  <c r="E12" i="3"/>
  <c r="I12" i="3"/>
  <c r="E14" i="3"/>
  <c r="I14" i="3"/>
  <c r="E16" i="3"/>
  <c r="I16" i="3"/>
  <c r="E18" i="3"/>
  <c r="I18" i="3"/>
  <c r="E20" i="3"/>
  <c r="I20" i="3"/>
  <c r="E22" i="3"/>
  <c r="I22" i="3"/>
  <c r="E24" i="3"/>
  <c r="I24" i="3"/>
  <c r="E26" i="3"/>
  <c r="I26" i="3"/>
  <c r="E28" i="3"/>
  <c r="I28" i="3"/>
  <c r="E30" i="3"/>
  <c r="I30" i="3"/>
  <c r="E32" i="3"/>
  <c r="I32" i="3"/>
  <c r="E34" i="3"/>
  <c r="I34" i="3"/>
  <c r="I36" i="3"/>
  <c r="I40" i="3"/>
  <c r="I44" i="3"/>
  <c r="I48" i="3"/>
  <c r="I52" i="3"/>
  <c r="B509" i="3"/>
  <c r="F515" i="3"/>
  <c r="B515" i="3"/>
  <c r="C515" i="3"/>
  <c r="D517" i="3"/>
  <c r="E517" i="3"/>
  <c r="G517" i="3"/>
  <c r="C519" i="3"/>
  <c r="B520" i="3"/>
  <c r="C521" i="3"/>
  <c r="F525" i="3"/>
  <c r="F527" i="3"/>
  <c r="B527" i="3"/>
  <c r="E527" i="3"/>
  <c r="G528" i="3"/>
  <c r="C528" i="3"/>
  <c r="D528" i="3"/>
  <c r="D529" i="3"/>
  <c r="G529" i="3"/>
  <c r="B529" i="3"/>
  <c r="D539" i="3"/>
  <c r="B541" i="3"/>
  <c r="F547" i="3"/>
  <c r="B547" i="3"/>
  <c r="C547" i="3"/>
  <c r="D549" i="3"/>
  <c r="E549" i="3"/>
  <c r="G549" i="3"/>
  <c r="B552" i="3"/>
  <c r="C553" i="3"/>
  <c r="F559" i="3"/>
  <c r="B559" i="3"/>
  <c r="E559" i="3"/>
  <c r="G560" i="3"/>
  <c r="C560" i="3"/>
  <c r="D560" i="3"/>
  <c r="D561" i="3"/>
  <c r="G561" i="3"/>
  <c r="B561" i="3"/>
  <c r="D571" i="3"/>
  <c r="B573" i="3"/>
  <c r="F579" i="3"/>
  <c r="B579" i="3"/>
  <c r="C579" i="3"/>
  <c r="D581" i="3"/>
  <c r="E581" i="3"/>
  <c r="G581" i="3"/>
  <c r="C583" i="3"/>
  <c r="C585" i="3"/>
  <c r="F591" i="3"/>
  <c r="B591" i="3"/>
  <c r="E591" i="3"/>
  <c r="G592" i="3"/>
  <c r="C592" i="3"/>
  <c r="D592" i="3"/>
  <c r="D593" i="3"/>
  <c r="G593" i="3"/>
  <c r="B593" i="3"/>
  <c r="F611" i="3"/>
  <c r="B611" i="3"/>
  <c r="C611" i="3"/>
  <c r="D613" i="3"/>
  <c r="E613" i="3"/>
  <c r="G613" i="3"/>
  <c r="C615" i="3"/>
  <c r="C617" i="3"/>
  <c r="F623" i="3"/>
  <c r="B623" i="3"/>
  <c r="E623" i="3"/>
  <c r="G624" i="3"/>
  <c r="C624" i="3"/>
  <c r="D624" i="3"/>
  <c r="D625" i="3"/>
  <c r="G625" i="3"/>
  <c r="B625" i="3"/>
  <c r="F643" i="3"/>
  <c r="B643" i="3"/>
  <c r="C643" i="3"/>
  <c r="D645" i="3"/>
  <c r="E645" i="3"/>
  <c r="G645" i="3"/>
  <c r="B648" i="3"/>
  <c r="F655" i="3"/>
  <c r="B655" i="3"/>
  <c r="E655" i="3"/>
  <c r="G656" i="3"/>
  <c r="C656" i="3"/>
  <c r="D656" i="3"/>
  <c r="D657" i="3"/>
  <c r="G657" i="3"/>
  <c r="B657" i="3"/>
  <c r="D667" i="3"/>
  <c r="F675" i="3"/>
  <c r="B675" i="3"/>
  <c r="C675" i="3"/>
  <c r="D677" i="3"/>
  <c r="E677" i="3"/>
  <c r="G677" i="3"/>
  <c r="C679" i="3"/>
  <c r="B680" i="3"/>
  <c r="F687" i="3"/>
  <c r="B687" i="3"/>
  <c r="E687" i="3"/>
  <c r="G688" i="3"/>
  <c r="C688" i="3"/>
  <c r="D688" i="3"/>
  <c r="D689" i="3"/>
  <c r="G689" i="3"/>
  <c r="B689" i="3"/>
  <c r="B701" i="3"/>
  <c r="F707" i="3"/>
  <c r="B707" i="3"/>
  <c r="C707" i="3"/>
  <c r="D709" i="3"/>
  <c r="E709" i="3"/>
  <c r="G709" i="3"/>
  <c r="B712" i="3"/>
  <c r="C713" i="3"/>
  <c r="F719" i="3"/>
  <c r="B719" i="3"/>
  <c r="E719" i="3"/>
  <c r="G720" i="3"/>
  <c r="C720" i="3"/>
  <c r="D720" i="3"/>
  <c r="D721" i="3"/>
  <c r="G721" i="3"/>
  <c r="B721" i="3"/>
  <c r="D731" i="3"/>
  <c r="F739" i="3"/>
  <c r="B739" i="3"/>
  <c r="C739" i="3"/>
  <c r="D741" i="3"/>
  <c r="E741" i="3"/>
  <c r="G741" i="3"/>
  <c r="C743" i="3"/>
  <c r="C745" i="3"/>
  <c r="F751" i="3"/>
  <c r="B751" i="3"/>
  <c r="E751" i="3"/>
  <c r="G752" i="3"/>
  <c r="C752" i="3"/>
  <c r="D752" i="3"/>
  <c r="D753" i="3"/>
  <c r="G753" i="3"/>
  <c r="B753" i="3"/>
  <c r="B765" i="3"/>
  <c r="F771" i="3"/>
  <c r="B771" i="3"/>
  <c r="C771" i="3"/>
  <c r="D773" i="3"/>
  <c r="E773" i="3"/>
  <c r="G773" i="3"/>
  <c r="C775" i="3"/>
  <c r="F783" i="3"/>
  <c r="B783" i="3"/>
  <c r="E783" i="3"/>
  <c r="G784" i="3"/>
  <c r="C784" i="3"/>
  <c r="D784" i="3"/>
  <c r="D785" i="3"/>
  <c r="G785" i="3"/>
  <c r="B785" i="3"/>
  <c r="B797" i="3"/>
  <c r="F803" i="3"/>
  <c r="B803" i="3"/>
  <c r="C803" i="3"/>
  <c r="D805" i="3"/>
  <c r="E805" i="3"/>
  <c r="G805" i="3"/>
  <c r="B808" i="3"/>
  <c r="C809" i="3"/>
  <c r="F815" i="3"/>
  <c r="B815" i="3"/>
  <c r="E815" i="3"/>
  <c r="G816" i="3"/>
  <c r="C816" i="3"/>
  <c r="D816" i="3"/>
  <c r="D817" i="3"/>
  <c r="G817" i="3"/>
  <c r="B817" i="3"/>
  <c r="B829" i="3"/>
  <c r="F835" i="3"/>
  <c r="B835" i="3"/>
  <c r="C835" i="3"/>
  <c r="D837" i="3"/>
  <c r="E837" i="3"/>
  <c r="G837" i="3"/>
  <c r="C839" i="3"/>
  <c r="B840" i="3"/>
  <c r="F847" i="3"/>
  <c r="B847" i="3"/>
  <c r="E847" i="3"/>
  <c r="G848" i="3"/>
  <c r="C848" i="3"/>
  <c r="D848" i="3"/>
  <c r="D849" i="3"/>
  <c r="G849" i="3"/>
  <c r="B849" i="3"/>
  <c r="D859" i="3"/>
  <c r="B861" i="3"/>
  <c r="F867" i="3"/>
  <c r="B867" i="3"/>
  <c r="C867" i="3"/>
  <c r="D869" i="3"/>
  <c r="E869" i="3"/>
  <c r="G869" i="3"/>
  <c r="C871" i="3"/>
  <c r="B872" i="3"/>
  <c r="C873" i="3"/>
  <c r="F879" i="3"/>
  <c r="B879" i="3"/>
  <c r="E879" i="3"/>
  <c r="G880" i="3"/>
  <c r="C880" i="3"/>
  <c r="D880" i="3"/>
  <c r="D881" i="3"/>
  <c r="G881" i="3"/>
  <c r="B881" i="3"/>
  <c r="D891" i="3"/>
  <c r="B893" i="3"/>
  <c r="F899" i="3"/>
  <c r="B899" i="3"/>
  <c r="C899" i="3"/>
  <c r="D901" i="3"/>
  <c r="E901" i="3"/>
  <c r="G901" i="3"/>
  <c r="C903" i="3"/>
  <c r="B904" i="3"/>
  <c r="C905" i="3"/>
  <c r="F911" i="3"/>
  <c r="B911" i="3"/>
  <c r="E911" i="3"/>
  <c r="G912" i="3"/>
  <c r="C912" i="3"/>
  <c r="D912" i="3"/>
  <c r="D913" i="3"/>
  <c r="G913" i="3"/>
  <c r="B913" i="3"/>
  <c r="D923" i="3"/>
  <c r="B925" i="3"/>
  <c r="F931" i="3"/>
  <c r="B931" i="3"/>
  <c r="C931" i="3"/>
  <c r="D933" i="3"/>
  <c r="E933" i="3"/>
  <c r="G933" i="3"/>
  <c r="C935" i="3"/>
  <c r="B936" i="3"/>
  <c r="C937" i="3"/>
  <c r="F943" i="3"/>
  <c r="B943" i="3"/>
  <c r="E943" i="3"/>
  <c r="G944" i="3"/>
  <c r="C944" i="3"/>
  <c r="D944" i="3"/>
  <c r="D945" i="3"/>
  <c r="G945" i="3"/>
  <c r="B945" i="3"/>
  <c r="D955" i="3"/>
  <c r="B957" i="3"/>
  <c r="F963" i="3"/>
  <c r="B963" i="3"/>
  <c r="C963" i="3"/>
  <c r="D965" i="3"/>
  <c r="E965" i="3"/>
  <c r="G965" i="3"/>
  <c r="C967" i="3"/>
  <c r="B968" i="3"/>
  <c r="C969" i="3"/>
  <c r="F975" i="3"/>
  <c r="B975" i="3"/>
  <c r="E975" i="3"/>
  <c r="G976" i="3"/>
  <c r="C976" i="3"/>
  <c r="D976" i="3"/>
  <c r="D977" i="3"/>
  <c r="G977" i="3"/>
  <c r="B977" i="3"/>
  <c r="D987" i="3"/>
  <c r="B989" i="3"/>
  <c r="F995" i="3"/>
  <c r="B995" i="3"/>
  <c r="C995" i="3"/>
  <c r="D997" i="3"/>
  <c r="E997" i="3"/>
  <c r="G997" i="3"/>
  <c r="C999" i="3"/>
  <c r="B1000" i="3"/>
  <c r="C1001" i="3"/>
  <c r="F1007" i="3"/>
  <c r="B1007" i="3"/>
  <c r="E1007" i="3"/>
  <c r="F551" i="3"/>
  <c r="B551" i="3"/>
  <c r="E551" i="3"/>
  <c r="G584" i="3"/>
  <c r="C584" i="3"/>
  <c r="D584" i="3"/>
  <c r="D605" i="3"/>
  <c r="E605" i="3"/>
  <c r="G605" i="3"/>
  <c r="G616" i="3"/>
  <c r="C616" i="3"/>
  <c r="D616" i="3"/>
  <c r="D637" i="3"/>
  <c r="E637" i="3"/>
  <c r="F647" i="3"/>
  <c r="B647" i="3"/>
  <c r="E647" i="3"/>
  <c r="D669" i="3"/>
  <c r="E669" i="3"/>
  <c r="D681" i="3"/>
  <c r="G681" i="3"/>
  <c r="B681" i="3"/>
  <c r="F699" i="3"/>
  <c r="B699" i="3"/>
  <c r="C699" i="3"/>
  <c r="G701" i="3"/>
  <c r="F711" i="3"/>
  <c r="B711" i="3"/>
  <c r="E711" i="3"/>
  <c r="D733" i="3"/>
  <c r="E733" i="3"/>
  <c r="G744" i="3"/>
  <c r="C744" i="3"/>
  <c r="D744" i="3"/>
  <c r="F763" i="3"/>
  <c r="B763" i="3"/>
  <c r="C763" i="3"/>
  <c r="G765" i="3"/>
  <c r="G776" i="3"/>
  <c r="C776" i="3"/>
  <c r="D776" i="3"/>
  <c r="F795" i="3"/>
  <c r="B795" i="3"/>
  <c r="C795" i="3"/>
  <c r="G797" i="3"/>
  <c r="F807" i="3"/>
  <c r="B807" i="3"/>
  <c r="E807" i="3"/>
  <c r="F827" i="3"/>
  <c r="B827" i="3"/>
  <c r="C827" i="3"/>
  <c r="G829" i="3"/>
  <c r="D841" i="3"/>
  <c r="G841" i="3"/>
  <c r="B841" i="3"/>
  <c r="C509" i="3"/>
  <c r="D519" i="3"/>
  <c r="E521" i="3"/>
  <c r="F523" i="3"/>
  <c r="B523" i="3"/>
  <c r="C523" i="3"/>
  <c r="G536" i="3"/>
  <c r="C536" i="3"/>
  <c r="D536" i="3"/>
  <c r="E539" i="3"/>
  <c r="D557" i="3"/>
  <c r="E557" i="3"/>
  <c r="G557" i="3"/>
  <c r="F567" i="3"/>
  <c r="B567" i="3"/>
  <c r="E567" i="3"/>
  <c r="D569" i="3"/>
  <c r="G569" i="3"/>
  <c r="B569" i="3"/>
  <c r="C573" i="3"/>
  <c r="D583" i="3"/>
  <c r="D589" i="3"/>
  <c r="E589" i="3"/>
  <c r="G589" i="3"/>
  <c r="F599" i="3"/>
  <c r="B599" i="3"/>
  <c r="E599" i="3"/>
  <c r="D601" i="3"/>
  <c r="G601" i="3"/>
  <c r="B601" i="3"/>
  <c r="E617" i="3"/>
  <c r="F619" i="3"/>
  <c r="B619" i="3"/>
  <c r="C619" i="3"/>
  <c r="G632" i="3"/>
  <c r="C632" i="3"/>
  <c r="D632" i="3"/>
  <c r="D647" i="3"/>
  <c r="D653" i="3"/>
  <c r="E653" i="3"/>
  <c r="G653" i="3"/>
  <c r="G664" i="3"/>
  <c r="C664" i="3"/>
  <c r="D664" i="3"/>
  <c r="E680" i="3"/>
  <c r="E681" i="3"/>
  <c r="F683" i="3"/>
  <c r="B683" i="3"/>
  <c r="C683" i="3"/>
  <c r="F695" i="3"/>
  <c r="B695" i="3"/>
  <c r="E695" i="3"/>
  <c r="D697" i="3"/>
  <c r="G697" i="3"/>
  <c r="B697" i="3"/>
  <c r="E699" i="3"/>
  <c r="C701" i="3"/>
  <c r="D717" i="3"/>
  <c r="E717" i="3"/>
  <c r="G717" i="3"/>
  <c r="G728" i="3"/>
  <c r="C728" i="3"/>
  <c r="D728" i="3"/>
  <c r="D743" i="3"/>
  <c r="E744" i="3"/>
  <c r="E745" i="3"/>
  <c r="F747" i="3"/>
  <c r="B747" i="3"/>
  <c r="C747" i="3"/>
  <c r="G760" i="3"/>
  <c r="C760" i="3"/>
  <c r="D760" i="3"/>
  <c r="C765" i="3"/>
  <c r="E776" i="3"/>
  <c r="D781" i="3"/>
  <c r="E781" i="3"/>
  <c r="G781" i="3"/>
  <c r="D793" i="3"/>
  <c r="G793" i="3"/>
  <c r="B793" i="3"/>
  <c r="E795" i="3"/>
  <c r="C797" i="3"/>
  <c r="E808" i="3"/>
  <c r="E809" i="3"/>
  <c r="F811" i="3"/>
  <c r="B811" i="3"/>
  <c r="C811" i="3"/>
  <c r="F823" i="3"/>
  <c r="B823" i="3"/>
  <c r="E823" i="3"/>
  <c r="D825" i="3"/>
  <c r="G825" i="3"/>
  <c r="B825" i="3"/>
  <c r="E827" i="3"/>
  <c r="C829" i="3"/>
  <c r="E840" i="3"/>
  <c r="D845" i="3"/>
  <c r="E845" i="3"/>
  <c r="G845" i="3"/>
  <c r="D857" i="3"/>
  <c r="G857" i="3"/>
  <c r="B857" i="3"/>
  <c r="E859" i="3"/>
  <c r="D871" i="3"/>
  <c r="E873" i="3"/>
  <c r="D877" i="3"/>
  <c r="E877" i="3"/>
  <c r="G877" i="3"/>
  <c r="G888" i="3"/>
  <c r="C888" i="3"/>
  <c r="D888" i="3"/>
  <c r="D909" i="3"/>
  <c r="E909" i="3"/>
  <c r="G909" i="3"/>
  <c r="F919" i="3"/>
  <c r="B919" i="3"/>
  <c r="E919" i="3"/>
  <c r="D921" i="3"/>
  <c r="G921" i="3"/>
  <c r="B921" i="3"/>
  <c r="C925" i="3"/>
  <c r="D941" i="3"/>
  <c r="E941" i="3"/>
  <c r="G941" i="3"/>
  <c r="F951" i="3"/>
  <c r="B951" i="3"/>
  <c r="E951" i="3"/>
  <c r="D953" i="3"/>
  <c r="G953" i="3"/>
  <c r="B953" i="3"/>
  <c r="E955" i="3"/>
  <c r="C957" i="3"/>
  <c r="D967" i="3"/>
  <c r="D973" i="3"/>
  <c r="E973" i="3"/>
  <c r="F983" i="3"/>
  <c r="B983" i="3"/>
  <c r="E983" i="3"/>
  <c r="D985" i="3"/>
  <c r="G985" i="3"/>
  <c r="B985" i="3"/>
  <c r="C989" i="3"/>
  <c r="D999" i="3"/>
  <c r="E1000" i="3"/>
  <c r="E1001" i="3"/>
  <c r="F1003" i="3"/>
  <c r="B1003" i="3"/>
  <c r="C1003" i="3"/>
  <c r="D1005" i="3"/>
  <c r="E1005" i="3"/>
  <c r="G1005" i="3"/>
  <c r="B24" i="11"/>
  <c r="N2" i="4"/>
  <c r="G520" i="3"/>
  <c r="C520" i="3"/>
  <c r="D520" i="3"/>
  <c r="G552" i="3"/>
  <c r="C552" i="3"/>
  <c r="D552" i="3"/>
  <c r="F571" i="3"/>
  <c r="B571" i="3"/>
  <c r="C571" i="3"/>
  <c r="F603" i="3"/>
  <c r="B603" i="3"/>
  <c r="C603" i="3"/>
  <c r="F615" i="3"/>
  <c r="B615" i="3"/>
  <c r="E615" i="3"/>
  <c r="F635" i="3"/>
  <c r="B635" i="3"/>
  <c r="C635" i="3"/>
  <c r="D649" i="3"/>
  <c r="G649" i="3"/>
  <c r="B649" i="3"/>
  <c r="G669" i="3"/>
  <c r="D777" i="3"/>
  <c r="G777" i="3"/>
  <c r="B777" i="3"/>
  <c r="D525" i="3"/>
  <c r="E525" i="3"/>
  <c r="F535" i="3"/>
  <c r="B535" i="3"/>
  <c r="E535" i="3"/>
  <c r="D537" i="3"/>
  <c r="G537" i="3"/>
  <c r="B537" i="3"/>
  <c r="C541" i="3"/>
  <c r="D551" i="3"/>
  <c r="E553" i="3"/>
  <c r="F555" i="3"/>
  <c r="B555" i="3"/>
  <c r="C555" i="3"/>
  <c r="G568" i="3"/>
  <c r="C568" i="3"/>
  <c r="D568" i="3"/>
  <c r="E584" i="3"/>
  <c r="E585" i="3"/>
  <c r="F587" i="3"/>
  <c r="B587" i="3"/>
  <c r="C587" i="3"/>
  <c r="G600" i="3"/>
  <c r="C600" i="3"/>
  <c r="D600" i="3"/>
  <c r="E603" i="3"/>
  <c r="C605" i="3"/>
  <c r="E616" i="3"/>
  <c r="D621" i="3"/>
  <c r="E621" i="3"/>
  <c r="G621" i="3"/>
  <c r="F631" i="3"/>
  <c r="B631" i="3"/>
  <c r="E631" i="3"/>
  <c r="D633" i="3"/>
  <c r="G633" i="3"/>
  <c r="B633" i="3"/>
  <c r="E635" i="3"/>
  <c r="C637" i="3"/>
  <c r="E648" i="3"/>
  <c r="E649" i="3"/>
  <c r="F651" i="3"/>
  <c r="B651" i="3"/>
  <c r="C651" i="3"/>
  <c r="F663" i="3"/>
  <c r="B663" i="3"/>
  <c r="E663" i="3"/>
  <c r="D665" i="3"/>
  <c r="G665" i="3"/>
  <c r="B665" i="3"/>
  <c r="E667" i="3"/>
  <c r="C669" i="3"/>
  <c r="D679" i="3"/>
  <c r="D685" i="3"/>
  <c r="E685" i="3"/>
  <c r="G685" i="3"/>
  <c r="G696" i="3"/>
  <c r="C696" i="3"/>
  <c r="D696" i="3"/>
  <c r="D711" i="3"/>
  <c r="E712" i="3"/>
  <c r="E713" i="3"/>
  <c r="F715" i="3"/>
  <c r="B715" i="3"/>
  <c r="C715" i="3"/>
  <c r="F727" i="3"/>
  <c r="B727" i="3"/>
  <c r="E727" i="3"/>
  <c r="D729" i="3"/>
  <c r="G729" i="3"/>
  <c r="B729" i="3"/>
  <c r="E731" i="3"/>
  <c r="C733" i="3"/>
  <c r="D749" i="3"/>
  <c r="E749" i="3"/>
  <c r="G749" i="3"/>
  <c r="F759" i="3"/>
  <c r="B759" i="3"/>
  <c r="E759" i="3"/>
  <c r="D761" i="3"/>
  <c r="G761" i="3"/>
  <c r="B761" i="3"/>
  <c r="E763" i="3"/>
  <c r="D775" i="3"/>
  <c r="E777" i="3"/>
  <c r="F779" i="3"/>
  <c r="B779" i="3"/>
  <c r="C779" i="3"/>
  <c r="F791" i="3"/>
  <c r="B791" i="3"/>
  <c r="E791" i="3"/>
  <c r="G792" i="3"/>
  <c r="C792" i="3"/>
  <c r="D792" i="3"/>
  <c r="D807" i="3"/>
  <c r="D813" i="3"/>
  <c r="E813" i="3"/>
  <c r="G813" i="3"/>
  <c r="G824" i="3"/>
  <c r="C824" i="3"/>
  <c r="D824" i="3"/>
  <c r="D839" i="3"/>
  <c r="E841" i="3"/>
  <c r="F843" i="3"/>
  <c r="B843" i="3"/>
  <c r="C843" i="3"/>
  <c r="F855" i="3"/>
  <c r="B855" i="3"/>
  <c r="E855" i="3"/>
  <c r="G856" i="3"/>
  <c r="C856" i="3"/>
  <c r="D856" i="3"/>
  <c r="C861" i="3"/>
  <c r="E872" i="3"/>
  <c r="F875" i="3"/>
  <c r="B875" i="3"/>
  <c r="C875" i="3"/>
  <c r="F887" i="3"/>
  <c r="B887" i="3"/>
  <c r="E887" i="3"/>
  <c r="D889" i="3"/>
  <c r="G889" i="3"/>
  <c r="B889" i="3"/>
  <c r="E891" i="3"/>
  <c r="C893" i="3"/>
  <c r="D903" i="3"/>
  <c r="E904" i="3"/>
  <c r="E905" i="3"/>
  <c r="F907" i="3"/>
  <c r="B907" i="3"/>
  <c r="C907" i="3"/>
  <c r="G920" i="3"/>
  <c r="C920" i="3"/>
  <c r="D920" i="3"/>
  <c r="E923" i="3"/>
  <c r="D935" i="3"/>
  <c r="E936" i="3"/>
  <c r="E937" i="3"/>
  <c r="F939" i="3"/>
  <c r="B939" i="3"/>
  <c r="C939" i="3"/>
  <c r="G952" i="3"/>
  <c r="C952" i="3"/>
  <c r="D952" i="3"/>
  <c r="E968" i="3"/>
  <c r="E969" i="3"/>
  <c r="F971" i="3"/>
  <c r="B971" i="3"/>
  <c r="C971" i="3"/>
  <c r="G973" i="3"/>
  <c r="G984" i="3"/>
  <c r="C984" i="3"/>
  <c r="D984" i="3"/>
  <c r="E987" i="3"/>
  <c r="A11" i="2"/>
  <c r="E5" i="3"/>
  <c r="C6" i="3"/>
  <c r="E7" i="3"/>
  <c r="C8" i="3"/>
  <c r="E9" i="3"/>
  <c r="C10" i="3"/>
  <c r="E11" i="3"/>
  <c r="C12" i="3"/>
  <c r="E13" i="3"/>
  <c r="C14" i="3"/>
  <c r="E15" i="3"/>
  <c r="C16" i="3"/>
  <c r="E17" i="3"/>
  <c r="C18" i="3"/>
  <c r="E19" i="3"/>
  <c r="C20" i="3"/>
  <c r="E21" i="3"/>
  <c r="C22" i="3"/>
  <c r="E23" i="3"/>
  <c r="C24" i="3"/>
  <c r="E25" i="3"/>
  <c r="C26" i="3"/>
  <c r="E27" i="3"/>
  <c r="C28" i="3"/>
  <c r="E29" i="3"/>
  <c r="C30" i="3"/>
  <c r="E31" i="3"/>
  <c r="C32" i="3"/>
  <c r="E33" i="3"/>
  <c r="C34" i="3"/>
  <c r="I35" i="3"/>
  <c r="E35" i="3"/>
  <c r="F35" i="3"/>
  <c r="G36" i="3"/>
  <c r="C36" i="3"/>
  <c r="F36" i="3"/>
  <c r="G38" i="3"/>
  <c r="C38" i="3"/>
  <c r="F38" i="3"/>
  <c r="I39" i="3"/>
  <c r="G40" i="3"/>
  <c r="C40" i="3"/>
  <c r="F40" i="3"/>
  <c r="G42" i="3"/>
  <c r="C42" i="3"/>
  <c r="F42" i="3"/>
  <c r="I43" i="3"/>
  <c r="G44" i="3"/>
  <c r="C44" i="3"/>
  <c r="F44" i="3"/>
  <c r="G46" i="3"/>
  <c r="C46" i="3"/>
  <c r="F46" i="3"/>
  <c r="I47" i="3"/>
  <c r="G48" i="3"/>
  <c r="C48" i="3"/>
  <c r="F48" i="3"/>
  <c r="G50" i="3"/>
  <c r="C50" i="3"/>
  <c r="F50" i="3"/>
  <c r="I51" i="3"/>
  <c r="G52" i="3"/>
  <c r="C52" i="3"/>
  <c r="F52" i="3"/>
  <c r="G54" i="3"/>
  <c r="C54" i="3"/>
  <c r="F54" i="3"/>
  <c r="I55" i="3"/>
  <c r="G56" i="3"/>
  <c r="C56" i="3"/>
  <c r="F56" i="3"/>
  <c r="I57" i="3"/>
  <c r="G58" i="3"/>
  <c r="C58" i="3"/>
  <c r="F58" i="3"/>
  <c r="I59" i="3"/>
  <c r="G60" i="3"/>
  <c r="C60" i="3"/>
  <c r="F60" i="3"/>
  <c r="I61" i="3"/>
  <c r="G62" i="3"/>
  <c r="C62" i="3"/>
  <c r="F62" i="3"/>
  <c r="I63" i="3"/>
  <c r="G64" i="3"/>
  <c r="C64" i="3"/>
  <c r="F64" i="3"/>
  <c r="G66" i="3"/>
  <c r="C66" i="3"/>
  <c r="F66" i="3"/>
  <c r="G68" i="3"/>
  <c r="C68" i="3"/>
  <c r="F68" i="3"/>
  <c r="G70" i="3"/>
  <c r="C70" i="3"/>
  <c r="F70" i="3"/>
  <c r="G72" i="3"/>
  <c r="C72" i="3"/>
  <c r="F72" i="3"/>
  <c r="G74" i="3"/>
  <c r="C74" i="3"/>
  <c r="F74" i="3"/>
  <c r="G76" i="3"/>
  <c r="C76" i="3"/>
  <c r="F76" i="3"/>
  <c r="G78" i="3"/>
  <c r="C78" i="3"/>
  <c r="F78" i="3"/>
  <c r="G80" i="3"/>
  <c r="C80" i="3"/>
  <c r="F80" i="3"/>
  <c r="G82" i="3"/>
  <c r="C82" i="3"/>
  <c r="F82" i="3"/>
  <c r="G84" i="3"/>
  <c r="C84" i="3"/>
  <c r="F84" i="3"/>
  <c r="G86" i="3"/>
  <c r="C86" i="3"/>
  <c r="F86" i="3"/>
  <c r="G88" i="3"/>
  <c r="C88" i="3"/>
  <c r="F88" i="3"/>
  <c r="G90" i="3"/>
  <c r="C90" i="3"/>
  <c r="F90" i="3"/>
  <c r="G92" i="3"/>
  <c r="C92" i="3"/>
  <c r="F92" i="3"/>
  <c r="G94" i="3"/>
  <c r="C94" i="3"/>
  <c r="F94" i="3"/>
  <c r="G96" i="3"/>
  <c r="C96" i="3"/>
  <c r="F96" i="3"/>
  <c r="G98" i="3"/>
  <c r="C98" i="3"/>
  <c r="F98" i="3"/>
  <c r="G100" i="3"/>
  <c r="C100" i="3"/>
  <c r="F100" i="3"/>
  <c r="G102" i="3"/>
  <c r="C102" i="3"/>
  <c r="F102" i="3"/>
  <c r="G104" i="3"/>
  <c r="C104" i="3"/>
  <c r="F104" i="3"/>
  <c r="G106" i="3"/>
  <c r="C106" i="3"/>
  <c r="F106" i="3"/>
  <c r="G108" i="3"/>
  <c r="C108" i="3"/>
  <c r="F108" i="3"/>
  <c r="G110" i="3"/>
  <c r="C110" i="3"/>
  <c r="F110" i="3"/>
  <c r="G112" i="3"/>
  <c r="C112" i="3"/>
  <c r="F112" i="3"/>
  <c r="G114" i="3"/>
  <c r="C114" i="3"/>
  <c r="F114" i="3"/>
  <c r="G116" i="3"/>
  <c r="C116" i="3"/>
  <c r="F116" i="3"/>
  <c r="G118" i="3"/>
  <c r="C118" i="3"/>
  <c r="F118" i="3"/>
  <c r="G120" i="3"/>
  <c r="C120" i="3"/>
  <c r="F120" i="3"/>
  <c r="G122" i="3"/>
  <c r="C122" i="3"/>
  <c r="F122" i="3"/>
  <c r="G124" i="3"/>
  <c r="C124" i="3"/>
  <c r="F124" i="3"/>
  <c r="G126" i="3"/>
  <c r="C126" i="3"/>
  <c r="F126" i="3"/>
  <c r="G128" i="3"/>
  <c r="C128" i="3"/>
  <c r="F128" i="3"/>
  <c r="G130" i="3"/>
  <c r="C130" i="3"/>
  <c r="F130" i="3"/>
  <c r="G132" i="3"/>
  <c r="C132" i="3"/>
  <c r="F132" i="3"/>
  <c r="G134" i="3"/>
  <c r="C134" i="3"/>
  <c r="F134" i="3"/>
  <c r="G136" i="3"/>
  <c r="C136" i="3"/>
  <c r="F136" i="3"/>
  <c r="G138" i="3"/>
  <c r="C138" i="3"/>
  <c r="F138" i="3"/>
  <c r="G140" i="3"/>
  <c r="C140" i="3"/>
  <c r="F140" i="3"/>
  <c r="G142" i="3"/>
  <c r="C142" i="3"/>
  <c r="F142" i="3"/>
  <c r="G144" i="3"/>
  <c r="C144" i="3"/>
  <c r="F144" i="3"/>
  <c r="G146" i="3"/>
  <c r="C146" i="3"/>
  <c r="F146" i="3"/>
  <c r="G148" i="3"/>
  <c r="C148" i="3"/>
  <c r="F148" i="3"/>
  <c r="G150" i="3"/>
  <c r="C150" i="3"/>
  <c r="F150" i="3"/>
  <c r="G152" i="3"/>
  <c r="C152" i="3"/>
  <c r="F152" i="3"/>
  <c r="G154" i="3"/>
  <c r="C154" i="3"/>
  <c r="F154" i="3"/>
  <c r="G156" i="3"/>
  <c r="C156" i="3"/>
  <c r="F156" i="3"/>
  <c r="G158" i="3"/>
  <c r="C158" i="3"/>
  <c r="F158" i="3"/>
  <c r="G160" i="3"/>
  <c r="C160" i="3"/>
  <c r="F160" i="3"/>
  <c r="G162" i="3"/>
  <c r="C162" i="3"/>
  <c r="F162" i="3"/>
  <c r="G164" i="3"/>
  <c r="C164" i="3"/>
  <c r="F164" i="3"/>
  <c r="G166" i="3"/>
  <c r="C166" i="3"/>
  <c r="F166" i="3"/>
  <c r="G168" i="3"/>
  <c r="C168" i="3"/>
  <c r="F168" i="3"/>
  <c r="G170" i="3"/>
  <c r="C170" i="3"/>
  <c r="F170" i="3"/>
  <c r="G172" i="3"/>
  <c r="C172" i="3"/>
  <c r="F172" i="3"/>
  <c r="G174" i="3"/>
  <c r="C174" i="3"/>
  <c r="F174" i="3"/>
  <c r="G176" i="3"/>
  <c r="C176" i="3"/>
  <c r="F176" i="3"/>
  <c r="G178" i="3"/>
  <c r="C178" i="3"/>
  <c r="F178" i="3"/>
  <c r="G180" i="3"/>
  <c r="C180" i="3"/>
  <c r="F180" i="3"/>
  <c r="G182" i="3"/>
  <c r="C182" i="3"/>
  <c r="F182" i="3"/>
  <c r="G184" i="3"/>
  <c r="C184" i="3"/>
  <c r="F184" i="3"/>
  <c r="G186" i="3"/>
  <c r="C186" i="3"/>
  <c r="F186" i="3"/>
  <c r="G188" i="3"/>
  <c r="C188" i="3"/>
  <c r="F188" i="3"/>
  <c r="G190" i="3"/>
  <c r="C190" i="3"/>
  <c r="F190" i="3"/>
  <c r="G192" i="3"/>
  <c r="C192" i="3"/>
  <c r="F192" i="3"/>
  <c r="G194" i="3"/>
  <c r="C194" i="3"/>
  <c r="F194" i="3"/>
  <c r="G196" i="3"/>
  <c r="C196" i="3"/>
  <c r="F196" i="3"/>
  <c r="G198" i="3"/>
  <c r="C198" i="3"/>
  <c r="F198" i="3"/>
  <c r="G200" i="3"/>
  <c r="C200" i="3"/>
  <c r="F200" i="3"/>
  <c r="G202" i="3"/>
  <c r="C202" i="3"/>
  <c r="F202" i="3"/>
  <c r="G204" i="3"/>
  <c r="C204" i="3"/>
  <c r="F204" i="3"/>
  <c r="G206" i="3"/>
  <c r="C206" i="3"/>
  <c r="F206" i="3"/>
  <c r="G208" i="3"/>
  <c r="C208" i="3"/>
  <c r="F208" i="3"/>
  <c r="G210" i="3"/>
  <c r="C210" i="3"/>
  <c r="F210" i="3"/>
  <c r="G212" i="3"/>
  <c r="C212" i="3"/>
  <c r="F212" i="3"/>
  <c r="G214" i="3"/>
  <c r="C214" i="3"/>
  <c r="F214" i="3"/>
  <c r="G216" i="3"/>
  <c r="C216" i="3"/>
  <c r="F216" i="3"/>
  <c r="G218" i="3"/>
  <c r="C218" i="3"/>
  <c r="F218" i="3"/>
  <c r="G220" i="3"/>
  <c r="C220" i="3"/>
  <c r="F220" i="3"/>
  <c r="G222" i="3"/>
  <c r="C222" i="3"/>
  <c r="F222" i="3"/>
  <c r="G224" i="3"/>
  <c r="C224" i="3"/>
  <c r="F224" i="3"/>
  <c r="G226" i="3"/>
  <c r="C226" i="3"/>
  <c r="F226" i="3"/>
  <c r="G228" i="3"/>
  <c r="C228" i="3"/>
  <c r="F228" i="3"/>
  <c r="G230" i="3"/>
  <c r="C230" i="3"/>
  <c r="F230" i="3"/>
  <c r="G232" i="3"/>
  <c r="C232" i="3"/>
  <c r="F232" i="3"/>
  <c r="G234" i="3"/>
  <c r="C234" i="3"/>
  <c r="F234" i="3"/>
  <c r="G236" i="3"/>
  <c r="C236" i="3"/>
  <c r="F236" i="3"/>
  <c r="G238" i="3"/>
  <c r="C238" i="3"/>
  <c r="F238" i="3"/>
  <c r="G240" i="3"/>
  <c r="C240" i="3"/>
  <c r="F240" i="3"/>
  <c r="G242" i="3"/>
  <c r="C242" i="3"/>
  <c r="F242" i="3"/>
  <c r="G244" i="3"/>
  <c r="C244" i="3"/>
  <c r="F244" i="3"/>
  <c r="G246" i="3"/>
  <c r="C246" i="3"/>
  <c r="F246" i="3"/>
  <c r="G248" i="3"/>
  <c r="C248" i="3"/>
  <c r="F248" i="3"/>
  <c r="G250" i="3"/>
  <c r="C250" i="3"/>
  <c r="F250" i="3"/>
  <c r="G252" i="3"/>
  <c r="C252" i="3"/>
  <c r="F252" i="3"/>
  <c r="G254" i="3"/>
  <c r="C254" i="3"/>
  <c r="F254" i="3"/>
  <c r="G256" i="3"/>
  <c r="C256" i="3"/>
  <c r="F256" i="3"/>
  <c r="G258" i="3"/>
  <c r="C258" i="3"/>
  <c r="F258" i="3"/>
  <c r="G260" i="3"/>
  <c r="C260" i="3"/>
  <c r="F260" i="3"/>
  <c r="G262" i="3"/>
  <c r="C262" i="3"/>
  <c r="F262" i="3"/>
  <c r="G264" i="3"/>
  <c r="C264" i="3"/>
  <c r="F264" i="3"/>
  <c r="G266" i="3"/>
  <c r="C266" i="3"/>
  <c r="F266" i="3"/>
  <c r="G268" i="3"/>
  <c r="C268" i="3"/>
  <c r="F268" i="3"/>
  <c r="G270" i="3"/>
  <c r="C270" i="3"/>
  <c r="F270" i="3"/>
  <c r="G272" i="3"/>
  <c r="C272" i="3"/>
  <c r="F272" i="3"/>
  <c r="G274" i="3"/>
  <c r="C274" i="3"/>
  <c r="F274" i="3"/>
  <c r="G276" i="3"/>
  <c r="C276" i="3"/>
  <c r="F276" i="3"/>
  <c r="G278" i="3"/>
  <c r="C278" i="3"/>
  <c r="F278" i="3"/>
  <c r="G280" i="3"/>
  <c r="C280" i="3"/>
  <c r="F280" i="3"/>
  <c r="G282" i="3"/>
  <c r="C282" i="3"/>
  <c r="F282" i="3"/>
  <c r="G284" i="3"/>
  <c r="C284" i="3"/>
  <c r="F284" i="3"/>
  <c r="G286" i="3"/>
  <c r="C286" i="3"/>
  <c r="F286" i="3"/>
  <c r="G288" i="3"/>
  <c r="C288" i="3"/>
  <c r="F288" i="3"/>
  <c r="G290" i="3"/>
  <c r="C290" i="3"/>
  <c r="F290" i="3"/>
  <c r="G292" i="3"/>
  <c r="C292" i="3"/>
  <c r="F292" i="3"/>
  <c r="G294" i="3"/>
  <c r="C294" i="3"/>
  <c r="F294" i="3"/>
  <c r="G296" i="3"/>
  <c r="C296" i="3"/>
  <c r="F296" i="3"/>
  <c r="G298" i="3"/>
  <c r="C298" i="3"/>
  <c r="F298" i="3"/>
  <c r="G300" i="3"/>
  <c r="C300" i="3"/>
  <c r="F300" i="3"/>
  <c r="G302" i="3"/>
  <c r="C302" i="3"/>
  <c r="F302" i="3"/>
  <c r="G304" i="3"/>
  <c r="C304" i="3"/>
  <c r="F304" i="3"/>
  <c r="G306" i="3"/>
  <c r="C306" i="3"/>
  <c r="F306" i="3"/>
  <c r="G308" i="3"/>
  <c r="C308" i="3"/>
  <c r="F308" i="3"/>
  <c r="G310" i="3"/>
  <c r="C310" i="3"/>
  <c r="F310" i="3"/>
  <c r="G312" i="3"/>
  <c r="C312" i="3"/>
  <c r="F312" i="3"/>
  <c r="G314" i="3"/>
  <c r="C314" i="3"/>
  <c r="F314" i="3"/>
  <c r="G316" i="3"/>
  <c r="C316" i="3"/>
  <c r="F316" i="3"/>
  <c r="G318" i="3"/>
  <c r="C318" i="3"/>
  <c r="F318" i="3"/>
  <c r="G320" i="3"/>
  <c r="C320" i="3"/>
  <c r="F320" i="3"/>
  <c r="G322" i="3"/>
  <c r="C322" i="3"/>
  <c r="F322" i="3"/>
  <c r="G324" i="3"/>
  <c r="C324" i="3"/>
  <c r="F324" i="3"/>
  <c r="G326" i="3"/>
  <c r="C326" i="3"/>
  <c r="F326" i="3"/>
  <c r="G328" i="3"/>
  <c r="C328" i="3"/>
  <c r="F328" i="3"/>
  <c r="G330" i="3"/>
  <c r="C330" i="3"/>
  <c r="F330" i="3"/>
  <c r="G332" i="3"/>
  <c r="C332" i="3"/>
  <c r="F332" i="3"/>
  <c r="G334" i="3"/>
  <c r="C334" i="3"/>
  <c r="F334" i="3"/>
  <c r="G336" i="3"/>
  <c r="C336" i="3"/>
  <c r="F336" i="3"/>
  <c r="G338" i="3"/>
  <c r="C338" i="3"/>
  <c r="F338" i="3"/>
  <c r="G340" i="3"/>
  <c r="C340" i="3"/>
  <c r="F340" i="3"/>
  <c r="G342" i="3"/>
  <c r="C342" i="3"/>
  <c r="F342" i="3"/>
  <c r="G344" i="3"/>
  <c r="C344" i="3"/>
  <c r="F344" i="3"/>
  <c r="G346" i="3"/>
  <c r="C346" i="3"/>
  <c r="F346" i="3"/>
  <c r="G348" i="3"/>
  <c r="C348" i="3"/>
  <c r="F348" i="3"/>
  <c r="G350" i="3"/>
  <c r="C350" i="3"/>
  <c r="F350" i="3"/>
  <c r="G352" i="3"/>
  <c r="C352" i="3"/>
  <c r="F352" i="3"/>
  <c r="G354" i="3"/>
  <c r="C354" i="3"/>
  <c r="F354" i="3"/>
  <c r="G356" i="3"/>
  <c r="C356" i="3"/>
  <c r="F356" i="3"/>
  <c r="G358" i="3"/>
  <c r="C358" i="3"/>
  <c r="F358" i="3"/>
  <c r="G360" i="3"/>
  <c r="C360" i="3"/>
  <c r="F360" i="3"/>
  <c r="G362" i="3"/>
  <c r="C362" i="3"/>
  <c r="F362" i="3"/>
  <c r="G364" i="3"/>
  <c r="C364" i="3"/>
  <c r="F364" i="3"/>
  <c r="G366" i="3"/>
  <c r="C366" i="3"/>
  <c r="F366" i="3"/>
  <c r="G368" i="3"/>
  <c r="C368" i="3"/>
  <c r="F368" i="3"/>
  <c r="G370" i="3"/>
  <c r="C370" i="3"/>
  <c r="F370" i="3"/>
  <c r="G372" i="3"/>
  <c r="C372" i="3"/>
  <c r="F372" i="3"/>
  <c r="G374" i="3"/>
  <c r="C374" i="3"/>
  <c r="F374" i="3"/>
  <c r="G376" i="3"/>
  <c r="C376" i="3"/>
  <c r="F376" i="3"/>
  <c r="G378" i="3"/>
  <c r="C378" i="3"/>
  <c r="F378" i="3"/>
  <c r="G380" i="3"/>
  <c r="C380" i="3"/>
  <c r="F380" i="3"/>
  <c r="G382" i="3"/>
  <c r="C382" i="3"/>
  <c r="F382" i="3"/>
  <c r="G384" i="3"/>
  <c r="C384" i="3"/>
  <c r="F384" i="3"/>
  <c r="G386" i="3"/>
  <c r="C386" i="3"/>
  <c r="F386" i="3"/>
  <c r="G388" i="3"/>
  <c r="C388" i="3"/>
  <c r="F388" i="3"/>
  <c r="G390" i="3"/>
  <c r="C390" i="3"/>
  <c r="F390" i="3"/>
  <c r="G392" i="3"/>
  <c r="C392" i="3"/>
  <c r="F392" i="3"/>
  <c r="G394" i="3"/>
  <c r="C394" i="3"/>
  <c r="F394" i="3"/>
  <c r="G396" i="3"/>
  <c r="C396" i="3"/>
  <c r="F396" i="3"/>
  <c r="G398" i="3"/>
  <c r="C398" i="3"/>
  <c r="F398" i="3"/>
  <c r="G400" i="3"/>
  <c r="C400" i="3"/>
  <c r="F400" i="3"/>
  <c r="G402" i="3"/>
  <c r="C402" i="3"/>
  <c r="F402" i="3"/>
  <c r="G404" i="3"/>
  <c r="C404" i="3"/>
  <c r="F404" i="3"/>
  <c r="G406" i="3"/>
  <c r="C406" i="3"/>
  <c r="F406" i="3"/>
  <c r="G408" i="3"/>
  <c r="C408" i="3"/>
  <c r="F408" i="3"/>
  <c r="G410" i="3"/>
  <c r="C410" i="3"/>
  <c r="F410" i="3"/>
  <c r="G412" i="3"/>
  <c r="C412" i="3"/>
  <c r="F412" i="3"/>
  <c r="G414" i="3"/>
  <c r="C414" i="3"/>
  <c r="F414" i="3"/>
  <c r="G416" i="3"/>
  <c r="C416" i="3"/>
  <c r="F416" i="3"/>
  <c r="G418" i="3"/>
  <c r="C418" i="3"/>
  <c r="F418" i="3"/>
  <c r="G420" i="3"/>
  <c r="C420" i="3"/>
  <c r="F420" i="3"/>
  <c r="G422" i="3"/>
  <c r="C422" i="3"/>
  <c r="F422" i="3"/>
  <c r="G424" i="3"/>
  <c r="C424" i="3"/>
  <c r="F424" i="3"/>
  <c r="G426" i="3"/>
  <c r="C426" i="3"/>
  <c r="F426" i="3"/>
  <c r="F511" i="3"/>
  <c r="B511" i="3"/>
  <c r="E511" i="3"/>
  <c r="G512" i="3"/>
  <c r="C512" i="3"/>
  <c r="D512" i="3"/>
  <c r="D513" i="3"/>
  <c r="G513" i="3"/>
  <c r="B513" i="3"/>
  <c r="E515" i="3"/>
  <c r="C517" i="3"/>
  <c r="G519" i="3"/>
  <c r="F520" i="3"/>
  <c r="D523" i="3"/>
  <c r="B525" i="3"/>
  <c r="D527" i="3"/>
  <c r="E528" i="3"/>
  <c r="E529" i="3"/>
  <c r="F531" i="3"/>
  <c r="B531" i="3"/>
  <c r="C531" i="3"/>
  <c r="D533" i="3"/>
  <c r="E533" i="3"/>
  <c r="G533" i="3"/>
  <c r="C535" i="3"/>
  <c r="B536" i="3"/>
  <c r="C537" i="3"/>
  <c r="G539" i="3"/>
  <c r="F543" i="3"/>
  <c r="B543" i="3"/>
  <c r="E543" i="3"/>
  <c r="G544" i="3"/>
  <c r="C544" i="3"/>
  <c r="D544" i="3"/>
  <c r="D545" i="3"/>
  <c r="G545" i="3"/>
  <c r="B545" i="3"/>
  <c r="E547" i="3"/>
  <c r="C549" i="3"/>
  <c r="G551" i="3"/>
  <c r="F552" i="3"/>
  <c r="F553" i="3"/>
  <c r="D555" i="3"/>
  <c r="B557" i="3"/>
  <c r="D559" i="3"/>
  <c r="E560" i="3"/>
  <c r="E561" i="3"/>
  <c r="F563" i="3"/>
  <c r="B563" i="3"/>
  <c r="C563" i="3"/>
  <c r="D565" i="3"/>
  <c r="E565" i="3"/>
  <c r="G565" i="3"/>
  <c r="C567" i="3"/>
  <c r="B568" i="3"/>
  <c r="C569" i="3"/>
  <c r="G571" i="3"/>
  <c r="F575" i="3"/>
  <c r="B575" i="3"/>
  <c r="E575" i="3"/>
  <c r="G576" i="3"/>
  <c r="C576" i="3"/>
  <c r="D576" i="3"/>
  <c r="D577" i="3"/>
  <c r="G577" i="3"/>
  <c r="B577" i="3"/>
  <c r="E579" i="3"/>
  <c r="C581" i="3"/>
  <c r="F584" i="3"/>
  <c r="F585" i="3"/>
  <c r="D587" i="3"/>
  <c r="B589" i="3"/>
  <c r="D591" i="3"/>
  <c r="E592" i="3"/>
  <c r="E593" i="3"/>
  <c r="F595" i="3"/>
  <c r="B595" i="3"/>
  <c r="C595" i="3"/>
  <c r="D597" i="3"/>
  <c r="E597" i="3"/>
  <c r="G597" i="3"/>
  <c r="C599" i="3"/>
  <c r="B600" i="3"/>
  <c r="C601" i="3"/>
  <c r="G603" i="3"/>
  <c r="F605" i="3"/>
  <c r="F607" i="3"/>
  <c r="B607" i="3"/>
  <c r="E607" i="3"/>
  <c r="G608" i="3"/>
  <c r="C608" i="3"/>
  <c r="D608" i="3"/>
  <c r="D609" i="3"/>
  <c r="G609" i="3"/>
  <c r="B609" i="3"/>
  <c r="E611" i="3"/>
  <c r="C613" i="3"/>
  <c r="G615" i="3"/>
  <c r="F616" i="3"/>
  <c r="F617" i="3"/>
  <c r="D619" i="3"/>
  <c r="B621" i="3"/>
  <c r="D623" i="3"/>
  <c r="E624" i="3"/>
  <c r="E625" i="3"/>
  <c r="F627" i="3"/>
  <c r="B627" i="3"/>
  <c r="C627" i="3"/>
  <c r="D629" i="3"/>
  <c r="E629" i="3"/>
  <c r="G629" i="3"/>
  <c r="C631" i="3"/>
  <c r="B632" i="3"/>
  <c r="C633" i="3"/>
  <c r="G635" i="3"/>
  <c r="F637" i="3"/>
  <c r="F639" i="3"/>
  <c r="B639" i="3"/>
  <c r="E639" i="3"/>
  <c r="G640" i="3"/>
  <c r="C640" i="3"/>
  <c r="D640" i="3"/>
  <c r="D641" i="3"/>
  <c r="G641" i="3"/>
  <c r="B641" i="3"/>
  <c r="E643" i="3"/>
  <c r="C645" i="3"/>
  <c r="G647" i="3"/>
  <c r="F648" i="3"/>
  <c r="F649" i="3"/>
  <c r="D651" i="3"/>
  <c r="B653" i="3"/>
  <c r="D655" i="3"/>
  <c r="E656" i="3"/>
  <c r="E657" i="3"/>
  <c r="F659" i="3"/>
  <c r="B659" i="3"/>
  <c r="C659" i="3"/>
  <c r="D661" i="3"/>
  <c r="E661" i="3"/>
  <c r="G661" i="3"/>
  <c r="C663" i="3"/>
  <c r="B664" i="3"/>
  <c r="C665" i="3"/>
  <c r="F669" i="3"/>
  <c r="F671" i="3"/>
  <c r="B671" i="3"/>
  <c r="E671" i="3"/>
  <c r="G672" i="3"/>
  <c r="C672" i="3"/>
  <c r="D672" i="3"/>
  <c r="D673" i="3"/>
  <c r="G673" i="3"/>
  <c r="B673" i="3"/>
  <c r="E675" i="3"/>
  <c r="C677" i="3"/>
  <c r="F680" i="3"/>
  <c r="F681" i="3"/>
  <c r="D683" i="3"/>
  <c r="B685" i="3"/>
  <c r="D687" i="3"/>
  <c r="E688" i="3"/>
  <c r="E689" i="3"/>
  <c r="F691" i="3"/>
  <c r="B691" i="3"/>
  <c r="C691" i="3"/>
  <c r="D693" i="3"/>
  <c r="E693" i="3"/>
  <c r="G693" i="3"/>
  <c r="C695" i="3"/>
  <c r="B696" i="3"/>
  <c r="C697" i="3"/>
  <c r="G699" i="3"/>
  <c r="F701" i="3"/>
  <c r="F703" i="3"/>
  <c r="B703" i="3"/>
  <c r="E703" i="3"/>
  <c r="G704" i="3"/>
  <c r="C704" i="3"/>
  <c r="D704" i="3"/>
  <c r="D705" i="3"/>
  <c r="G705" i="3"/>
  <c r="B705" i="3"/>
  <c r="E707" i="3"/>
  <c r="C709" i="3"/>
  <c r="G711" i="3"/>
  <c r="F712" i="3"/>
  <c r="D715" i="3"/>
  <c r="B717" i="3"/>
  <c r="D719" i="3"/>
  <c r="E720" i="3"/>
  <c r="E721" i="3"/>
  <c r="F723" i="3"/>
  <c r="B723" i="3"/>
  <c r="C723" i="3"/>
  <c r="D725" i="3"/>
  <c r="E725" i="3"/>
  <c r="G725" i="3"/>
  <c r="C727" i="3"/>
  <c r="B728" i="3"/>
  <c r="C729" i="3"/>
  <c r="G731" i="3"/>
  <c r="F733" i="3"/>
  <c r="F735" i="3"/>
  <c r="B735" i="3"/>
  <c r="E735" i="3"/>
  <c r="G736" i="3"/>
  <c r="C736" i="3"/>
  <c r="D736" i="3"/>
  <c r="D737" i="3"/>
  <c r="G737" i="3"/>
  <c r="B737" i="3"/>
  <c r="E739" i="3"/>
  <c r="C741" i="3"/>
  <c r="G743" i="3"/>
  <c r="F744" i="3"/>
  <c r="D747" i="3"/>
  <c r="B749" i="3"/>
  <c r="D751" i="3"/>
  <c r="E752" i="3"/>
  <c r="E753" i="3"/>
  <c r="F755" i="3"/>
  <c r="B755" i="3"/>
  <c r="C755" i="3"/>
  <c r="D757" i="3"/>
  <c r="E757" i="3"/>
  <c r="G757" i="3"/>
  <c r="C759" i="3"/>
  <c r="B760" i="3"/>
  <c r="C761" i="3"/>
  <c r="G763" i="3"/>
  <c r="F765" i="3"/>
  <c r="F767" i="3"/>
  <c r="B767" i="3"/>
  <c r="E767" i="3"/>
  <c r="G768" i="3"/>
  <c r="C768" i="3"/>
  <c r="D768" i="3"/>
  <c r="D769" i="3"/>
  <c r="G769" i="3"/>
  <c r="B769" i="3"/>
  <c r="E771" i="3"/>
  <c r="C773" i="3"/>
  <c r="G775" i="3"/>
  <c r="F776" i="3"/>
  <c r="F777" i="3"/>
  <c r="D779" i="3"/>
  <c r="B781" i="3"/>
  <c r="D783" i="3"/>
  <c r="E784" i="3"/>
  <c r="E785" i="3"/>
  <c r="F787" i="3"/>
  <c r="B787" i="3"/>
  <c r="C787" i="3"/>
  <c r="D789" i="3"/>
  <c r="E789" i="3"/>
  <c r="G789" i="3"/>
  <c r="C791" i="3"/>
  <c r="B792" i="3"/>
  <c r="C793" i="3"/>
  <c r="G795" i="3"/>
  <c r="F797" i="3"/>
  <c r="F799" i="3"/>
  <c r="B799" i="3"/>
  <c r="E799" i="3"/>
  <c r="G800" i="3"/>
  <c r="C800" i="3"/>
  <c r="D800" i="3"/>
  <c r="D801" i="3"/>
  <c r="G801" i="3"/>
  <c r="B801" i="3"/>
  <c r="E803" i="3"/>
  <c r="C805" i="3"/>
  <c r="G807" i="3"/>
  <c r="F809" i="3"/>
  <c r="D811" i="3"/>
  <c r="B813" i="3"/>
  <c r="D815" i="3"/>
  <c r="E816" i="3"/>
  <c r="E817" i="3"/>
  <c r="F819" i="3"/>
  <c r="B819" i="3"/>
  <c r="C819" i="3"/>
  <c r="D821" i="3"/>
  <c r="E821" i="3"/>
  <c r="G821" i="3"/>
  <c r="C823" i="3"/>
  <c r="B824" i="3"/>
  <c r="C825" i="3"/>
  <c r="G827" i="3"/>
  <c r="F829" i="3"/>
  <c r="F831" i="3"/>
  <c r="B831" i="3"/>
  <c r="E831" i="3"/>
  <c r="G832" i="3"/>
  <c r="C832" i="3"/>
  <c r="D832" i="3"/>
  <c r="D833" i="3"/>
  <c r="G833" i="3"/>
  <c r="B833" i="3"/>
  <c r="E835" i="3"/>
  <c r="C837" i="3"/>
  <c r="F840" i="3"/>
  <c r="F841" i="3"/>
  <c r="D843" i="3"/>
  <c r="B845" i="3"/>
  <c r="D847" i="3"/>
  <c r="E848" i="3"/>
  <c r="E849" i="3"/>
  <c r="F851" i="3"/>
  <c r="B851" i="3"/>
  <c r="C851" i="3"/>
  <c r="D853" i="3"/>
  <c r="E853" i="3"/>
  <c r="G853" i="3"/>
  <c r="C855" i="3"/>
  <c r="B856" i="3"/>
  <c r="C857" i="3"/>
  <c r="G859" i="3"/>
  <c r="F863" i="3"/>
  <c r="B863" i="3"/>
  <c r="E863" i="3"/>
  <c r="G864" i="3"/>
  <c r="C864" i="3"/>
  <c r="D864" i="3"/>
  <c r="D865" i="3"/>
  <c r="G865" i="3"/>
  <c r="B865" i="3"/>
  <c r="E867" i="3"/>
  <c r="C869" i="3"/>
  <c r="F872" i="3"/>
  <c r="D875" i="3"/>
  <c r="B877" i="3"/>
  <c r="D879" i="3"/>
  <c r="E880" i="3"/>
  <c r="E881" i="3"/>
  <c r="F883" i="3"/>
  <c r="B883" i="3"/>
  <c r="C883" i="3"/>
  <c r="D885" i="3"/>
  <c r="E885" i="3"/>
  <c r="G885" i="3"/>
  <c r="C887" i="3"/>
  <c r="B888" i="3"/>
  <c r="C889" i="3"/>
  <c r="F893" i="3"/>
  <c r="F895" i="3"/>
  <c r="B895" i="3"/>
  <c r="E895" i="3"/>
  <c r="G896" i="3"/>
  <c r="C896" i="3"/>
  <c r="D896" i="3"/>
  <c r="D897" i="3"/>
  <c r="G897" i="3"/>
  <c r="B897" i="3"/>
  <c r="E899" i="3"/>
  <c r="C901" i="3"/>
  <c r="G903" i="3"/>
  <c r="F905" i="3"/>
  <c r="D907" i="3"/>
  <c r="B909" i="3"/>
  <c r="D911" i="3"/>
  <c r="E912" i="3"/>
  <c r="E913" i="3"/>
  <c r="F915" i="3"/>
  <c r="B915" i="3"/>
  <c r="C915" i="3"/>
  <c r="D917" i="3"/>
  <c r="E917" i="3"/>
  <c r="G917" i="3"/>
  <c r="C919" i="3"/>
  <c r="B920" i="3"/>
  <c r="C921" i="3"/>
  <c r="G923" i="3"/>
  <c r="F927" i="3"/>
  <c r="B927" i="3"/>
  <c r="E927" i="3"/>
  <c r="G928" i="3"/>
  <c r="C928" i="3"/>
  <c r="D928" i="3"/>
  <c r="D929" i="3"/>
  <c r="G929" i="3"/>
  <c r="B929" i="3"/>
  <c r="E931" i="3"/>
  <c r="C933" i="3"/>
  <c r="G935" i="3"/>
  <c r="F937" i="3"/>
  <c r="D939" i="3"/>
  <c r="B941" i="3"/>
  <c r="D943" i="3"/>
  <c r="E944" i="3"/>
  <c r="E945" i="3"/>
  <c r="F947" i="3"/>
  <c r="B947" i="3"/>
  <c r="C947" i="3"/>
  <c r="D949" i="3"/>
  <c r="E949" i="3"/>
  <c r="G949" i="3"/>
  <c r="C951" i="3"/>
  <c r="B952" i="3"/>
  <c r="C953" i="3"/>
  <c r="F957" i="3"/>
  <c r="F959" i="3"/>
  <c r="B959" i="3"/>
  <c r="E959" i="3"/>
  <c r="G960" i="3"/>
  <c r="C960" i="3"/>
  <c r="D960" i="3"/>
  <c r="D961" i="3"/>
  <c r="G961" i="3"/>
  <c r="B961" i="3"/>
  <c r="E963" i="3"/>
  <c r="C965" i="3"/>
  <c r="G967" i="3"/>
  <c r="F969" i="3"/>
  <c r="D971" i="3"/>
  <c r="B973" i="3"/>
  <c r="D975" i="3"/>
  <c r="E976" i="3"/>
  <c r="E977" i="3"/>
  <c r="F979" i="3"/>
  <c r="B979" i="3"/>
  <c r="C979" i="3"/>
  <c r="D981" i="3"/>
  <c r="E981" i="3"/>
  <c r="G981" i="3"/>
  <c r="C983" i="3"/>
  <c r="B984" i="3"/>
  <c r="C985" i="3"/>
  <c r="G987" i="3"/>
  <c r="F991" i="3"/>
  <c r="B991" i="3"/>
  <c r="E991" i="3"/>
  <c r="G992" i="3"/>
  <c r="C992" i="3"/>
  <c r="D992" i="3"/>
  <c r="D993" i="3"/>
  <c r="G993" i="3"/>
  <c r="B993" i="3"/>
  <c r="E995" i="3"/>
  <c r="C997" i="3"/>
  <c r="G999" i="3"/>
  <c r="F1001" i="3"/>
  <c r="D1003" i="3"/>
  <c r="B1005" i="3"/>
  <c r="D1007" i="3"/>
  <c r="D509" i="3"/>
  <c r="E509" i="3"/>
  <c r="G509" i="3"/>
  <c r="D521" i="3"/>
  <c r="G521" i="3"/>
  <c r="B521" i="3"/>
  <c r="D541" i="3"/>
  <c r="E541" i="3"/>
  <c r="D573" i="3"/>
  <c r="E573" i="3"/>
  <c r="F583" i="3"/>
  <c r="B583" i="3"/>
  <c r="E583" i="3"/>
  <c r="F667" i="3"/>
  <c r="B667" i="3"/>
  <c r="C667" i="3"/>
  <c r="F679" i="3"/>
  <c r="B679" i="3"/>
  <c r="E679" i="3"/>
  <c r="D713" i="3"/>
  <c r="G713" i="3"/>
  <c r="B713" i="3"/>
  <c r="D745" i="3"/>
  <c r="G745" i="3"/>
  <c r="B745" i="3"/>
  <c r="G808" i="3"/>
  <c r="C808" i="3"/>
  <c r="D808" i="3"/>
  <c r="F839" i="3"/>
  <c r="B839" i="3"/>
  <c r="E839" i="3"/>
  <c r="D861" i="3"/>
  <c r="E861" i="3"/>
  <c r="F871" i="3"/>
  <c r="B871" i="3"/>
  <c r="E871" i="3"/>
  <c r="D873" i="3"/>
  <c r="G873" i="3"/>
  <c r="B873" i="3"/>
  <c r="F891" i="3"/>
  <c r="B891" i="3"/>
  <c r="C891" i="3"/>
  <c r="G893" i="3"/>
  <c r="G904" i="3"/>
  <c r="C904" i="3"/>
  <c r="D904" i="3"/>
  <c r="D925" i="3"/>
  <c r="E925" i="3"/>
  <c r="G936" i="3"/>
  <c r="C936" i="3"/>
  <c r="D936" i="3"/>
  <c r="F955" i="3"/>
  <c r="B955" i="3"/>
  <c r="C955" i="3"/>
  <c r="G968" i="3"/>
  <c r="C968" i="3"/>
  <c r="D968" i="3"/>
  <c r="D989" i="3"/>
  <c r="E989" i="3"/>
  <c r="G1000" i="3"/>
  <c r="C1000" i="3"/>
  <c r="D1000" i="3"/>
  <c r="G5" i="7"/>
  <c r="H5" i="7" s="1"/>
  <c r="G9" i="7"/>
  <c r="H9" i="7" s="1"/>
  <c r="G13" i="7"/>
  <c r="H13" i="7" s="1"/>
  <c r="G17" i="7"/>
  <c r="H17" i="7" s="1"/>
  <c r="G21" i="7"/>
  <c r="H21" i="7" s="1"/>
  <c r="G25" i="7"/>
  <c r="H25" i="7" s="1"/>
  <c r="G29" i="7"/>
  <c r="H29" i="7" s="1"/>
  <c r="G33" i="7"/>
  <c r="H33" i="7" s="1"/>
  <c r="G37" i="7"/>
  <c r="H37" i="7" s="1"/>
  <c r="E37" i="3"/>
  <c r="E39" i="3"/>
  <c r="E41" i="3"/>
  <c r="E43" i="3"/>
  <c r="E45" i="3"/>
  <c r="E47" i="3"/>
  <c r="E49" i="3"/>
  <c r="E51" i="3"/>
  <c r="E53" i="3"/>
  <c r="E55" i="3"/>
  <c r="E57" i="3"/>
  <c r="E59" i="3"/>
  <c r="E61" i="3"/>
  <c r="E63" i="3"/>
  <c r="E65" i="3"/>
  <c r="E67" i="3"/>
  <c r="E69" i="3"/>
  <c r="E71" i="3"/>
  <c r="E73" i="3"/>
  <c r="E75" i="3"/>
  <c r="E77" i="3"/>
  <c r="E79" i="3"/>
  <c r="E81" i="3"/>
  <c r="E83" i="3"/>
  <c r="E85" i="3"/>
  <c r="E87" i="3"/>
  <c r="E89" i="3"/>
  <c r="E91" i="3"/>
  <c r="E93" i="3"/>
  <c r="E95" i="3"/>
  <c r="E97" i="3"/>
  <c r="E99" i="3"/>
  <c r="E101" i="3"/>
  <c r="E103" i="3"/>
  <c r="E105" i="3"/>
  <c r="E107" i="3"/>
  <c r="E109" i="3"/>
  <c r="E111" i="3"/>
  <c r="E113" i="3"/>
  <c r="E115" i="3"/>
  <c r="E117" i="3"/>
  <c r="E119" i="3"/>
  <c r="E121" i="3"/>
  <c r="E123" i="3"/>
  <c r="E125" i="3"/>
  <c r="E127" i="3"/>
  <c r="E129" i="3"/>
  <c r="E131" i="3"/>
  <c r="E133" i="3"/>
  <c r="E135" i="3"/>
  <c r="E137" i="3"/>
  <c r="E139" i="3"/>
  <c r="E141" i="3"/>
  <c r="E143" i="3"/>
  <c r="E145" i="3"/>
  <c r="E147" i="3"/>
  <c r="E149" i="3"/>
  <c r="E151" i="3"/>
  <c r="E153" i="3"/>
  <c r="E155" i="3"/>
  <c r="E157" i="3"/>
  <c r="E159" i="3"/>
  <c r="E161" i="3"/>
  <c r="E163" i="3"/>
  <c r="E165" i="3"/>
  <c r="E167" i="3"/>
  <c r="E169" i="3"/>
  <c r="E171" i="3"/>
  <c r="E173" i="3"/>
  <c r="E175" i="3"/>
  <c r="E177" i="3"/>
  <c r="E179" i="3"/>
  <c r="E181" i="3"/>
  <c r="E183" i="3"/>
  <c r="E185" i="3"/>
  <c r="E187" i="3"/>
  <c r="E189" i="3"/>
  <c r="E191" i="3"/>
  <c r="E193" i="3"/>
  <c r="E195" i="3"/>
  <c r="E197" i="3"/>
  <c r="E199" i="3"/>
  <c r="E201" i="3"/>
  <c r="E203" i="3"/>
  <c r="E205" i="3"/>
  <c r="E207" i="3"/>
  <c r="E209" i="3"/>
  <c r="E211" i="3"/>
  <c r="E213" i="3"/>
  <c r="E215" i="3"/>
  <c r="E217" i="3"/>
  <c r="E219" i="3"/>
  <c r="E221" i="3"/>
  <c r="E223" i="3"/>
  <c r="E225" i="3"/>
  <c r="E227" i="3"/>
  <c r="E229" i="3"/>
  <c r="E231" i="3"/>
  <c r="E233" i="3"/>
  <c r="E235" i="3"/>
  <c r="E237" i="3"/>
  <c r="E239" i="3"/>
  <c r="E241" i="3"/>
  <c r="E243" i="3"/>
  <c r="E245" i="3"/>
  <c r="E247" i="3"/>
  <c r="E249" i="3"/>
  <c r="E251" i="3"/>
  <c r="E253" i="3"/>
  <c r="E255" i="3"/>
  <c r="E257" i="3"/>
  <c r="E259" i="3"/>
  <c r="E261" i="3"/>
  <c r="E263" i="3"/>
  <c r="E265" i="3"/>
  <c r="E267" i="3"/>
  <c r="E269" i="3"/>
  <c r="E271" i="3"/>
  <c r="E273" i="3"/>
  <c r="E275" i="3"/>
  <c r="E277" i="3"/>
  <c r="E279" i="3"/>
  <c r="E281" i="3"/>
  <c r="E283" i="3"/>
  <c r="E285" i="3"/>
  <c r="E287" i="3"/>
  <c r="E289" i="3"/>
  <c r="E291" i="3"/>
  <c r="E293" i="3"/>
  <c r="E295" i="3"/>
  <c r="E297" i="3"/>
  <c r="E299" i="3"/>
  <c r="E301" i="3"/>
  <c r="E303" i="3"/>
  <c r="E305" i="3"/>
  <c r="E307" i="3"/>
  <c r="E309" i="3"/>
  <c r="E311" i="3"/>
  <c r="E313" i="3"/>
  <c r="E315" i="3"/>
  <c r="E317" i="3"/>
  <c r="E319" i="3"/>
  <c r="E321" i="3"/>
  <c r="E323" i="3"/>
  <c r="E325" i="3"/>
  <c r="E327" i="3"/>
  <c r="E329" i="3"/>
  <c r="E331" i="3"/>
  <c r="E333" i="3"/>
  <c r="E335" i="3"/>
  <c r="E337" i="3"/>
  <c r="E339" i="3"/>
  <c r="E341" i="3"/>
  <c r="E343" i="3"/>
  <c r="E345" i="3"/>
  <c r="E347" i="3"/>
  <c r="E349" i="3"/>
  <c r="E351" i="3"/>
  <c r="E353" i="3"/>
  <c r="E355" i="3"/>
  <c r="E357" i="3"/>
  <c r="E359" i="3"/>
  <c r="E361" i="3"/>
  <c r="E363" i="3"/>
  <c r="E365" i="3"/>
  <c r="E367" i="3"/>
  <c r="E369" i="3"/>
  <c r="E371" i="3"/>
  <c r="E373" i="3"/>
  <c r="E375" i="3"/>
  <c r="E377" i="3"/>
  <c r="E379" i="3"/>
  <c r="E381" i="3"/>
  <c r="E383" i="3"/>
  <c r="E385" i="3"/>
  <c r="E387" i="3"/>
  <c r="E389" i="3"/>
  <c r="E391" i="3"/>
  <c r="E393" i="3"/>
  <c r="E395" i="3"/>
  <c r="E397" i="3"/>
  <c r="E399" i="3"/>
  <c r="E401" i="3"/>
  <c r="E403" i="3"/>
  <c r="E405" i="3"/>
  <c r="E407" i="3"/>
  <c r="E409" i="3"/>
  <c r="E411" i="3"/>
  <c r="E413" i="3"/>
  <c r="E415" i="3"/>
  <c r="E417" i="3"/>
  <c r="E419" i="3"/>
  <c r="E421" i="3"/>
  <c r="E423" i="3"/>
  <c r="E425" i="3"/>
  <c r="G427" i="3"/>
  <c r="C427" i="3"/>
  <c r="F427" i="3"/>
  <c r="G429" i="3"/>
  <c r="C429" i="3"/>
  <c r="F429" i="3"/>
  <c r="G431" i="3"/>
  <c r="C431" i="3"/>
  <c r="F431" i="3"/>
  <c r="G433" i="3"/>
  <c r="C433" i="3"/>
  <c r="F433" i="3"/>
  <c r="G435" i="3"/>
  <c r="C435" i="3"/>
  <c r="F435" i="3"/>
  <c r="G437" i="3"/>
  <c r="C437" i="3"/>
  <c r="F437" i="3"/>
  <c r="G439" i="3"/>
  <c r="C439" i="3"/>
  <c r="F439" i="3"/>
  <c r="G441" i="3"/>
  <c r="C441" i="3"/>
  <c r="F441" i="3"/>
  <c r="G443" i="3"/>
  <c r="C443" i="3"/>
  <c r="F443" i="3"/>
  <c r="G445" i="3"/>
  <c r="C445" i="3"/>
  <c r="F445" i="3"/>
  <c r="G447" i="3"/>
  <c r="C447" i="3"/>
  <c r="F447" i="3"/>
  <c r="G449" i="3"/>
  <c r="C449" i="3"/>
  <c r="F449" i="3"/>
  <c r="G451" i="3"/>
  <c r="C451" i="3"/>
  <c r="F451" i="3"/>
  <c r="G453" i="3"/>
  <c r="C453" i="3"/>
  <c r="F453" i="3"/>
  <c r="G455" i="3"/>
  <c r="C455" i="3"/>
  <c r="F455" i="3"/>
  <c r="G457" i="3"/>
  <c r="C457" i="3"/>
  <c r="F457" i="3"/>
  <c r="G459" i="3"/>
  <c r="C459" i="3"/>
  <c r="F459" i="3"/>
  <c r="G461" i="3"/>
  <c r="C461" i="3"/>
  <c r="F461" i="3"/>
  <c r="G463" i="3"/>
  <c r="C463" i="3"/>
  <c r="F463" i="3"/>
  <c r="G465" i="3"/>
  <c r="C465" i="3"/>
  <c r="F465" i="3"/>
  <c r="G467" i="3"/>
  <c r="C467" i="3"/>
  <c r="F467" i="3"/>
  <c r="G469" i="3"/>
  <c r="C469" i="3"/>
  <c r="F469" i="3"/>
  <c r="G471" i="3"/>
  <c r="C471" i="3"/>
  <c r="F471" i="3"/>
  <c r="G473" i="3"/>
  <c r="C473" i="3"/>
  <c r="F473" i="3"/>
  <c r="G475" i="3"/>
  <c r="C475" i="3"/>
  <c r="F475" i="3"/>
  <c r="G477" i="3"/>
  <c r="C477" i="3"/>
  <c r="F477" i="3"/>
  <c r="G479" i="3"/>
  <c r="C479" i="3"/>
  <c r="F479" i="3"/>
  <c r="G481" i="3"/>
  <c r="C481" i="3"/>
  <c r="F481" i="3"/>
  <c r="G483" i="3"/>
  <c r="C483" i="3"/>
  <c r="F483" i="3"/>
  <c r="G485" i="3"/>
  <c r="C485" i="3"/>
  <c r="F485" i="3"/>
  <c r="G487" i="3"/>
  <c r="C487" i="3"/>
  <c r="F487" i="3"/>
  <c r="G489" i="3"/>
  <c r="C489" i="3"/>
  <c r="F489" i="3"/>
  <c r="G491" i="3"/>
  <c r="C491" i="3"/>
  <c r="F491" i="3"/>
  <c r="G493" i="3"/>
  <c r="C493" i="3"/>
  <c r="F493" i="3"/>
  <c r="G495" i="3"/>
  <c r="C495" i="3"/>
  <c r="F495" i="3"/>
  <c r="G497" i="3"/>
  <c r="C497" i="3"/>
  <c r="F497" i="3"/>
  <c r="G499" i="3"/>
  <c r="C499" i="3"/>
  <c r="F499" i="3"/>
  <c r="G501" i="3"/>
  <c r="C501" i="3"/>
  <c r="F501" i="3"/>
  <c r="G503" i="3"/>
  <c r="C503" i="3"/>
  <c r="F503" i="3"/>
  <c r="G508" i="3"/>
  <c r="C508" i="3"/>
  <c r="F508" i="3"/>
  <c r="G516" i="3"/>
  <c r="C516" i="3"/>
  <c r="F516" i="3"/>
  <c r="G524" i="3"/>
  <c r="C524" i="3"/>
  <c r="F524" i="3"/>
  <c r="G532" i="3"/>
  <c r="C532" i="3"/>
  <c r="F532" i="3"/>
  <c r="G540" i="3"/>
  <c r="C540" i="3"/>
  <c r="F540" i="3"/>
  <c r="G548" i="3"/>
  <c r="C548" i="3"/>
  <c r="F548" i="3"/>
  <c r="G556" i="3"/>
  <c r="C556" i="3"/>
  <c r="F556" i="3"/>
  <c r="G564" i="3"/>
  <c r="C564" i="3"/>
  <c r="F564" i="3"/>
  <c r="G572" i="3"/>
  <c r="C572" i="3"/>
  <c r="F572" i="3"/>
  <c r="G580" i="3"/>
  <c r="C580" i="3"/>
  <c r="F580" i="3"/>
  <c r="G588" i="3"/>
  <c r="C588" i="3"/>
  <c r="F588" i="3"/>
  <c r="G596" i="3"/>
  <c r="C596" i="3"/>
  <c r="F596" i="3"/>
  <c r="G604" i="3"/>
  <c r="C604" i="3"/>
  <c r="F604" i="3"/>
  <c r="G612" i="3"/>
  <c r="C612" i="3"/>
  <c r="F612" i="3"/>
  <c r="G620" i="3"/>
  <c r="C620" i="3"/>
  <c r="F620" i="3"/>
  <c r="G628" i="3"/>
  <c r="C628" i="3"/>
  <c r="F628" i="3"/>
  <c r="G636" i="3"/>
  <c r="C636" i="3"/>
  <c r="F636" i="3"/>
  <c r="G644" i="3"/>
  <c r="C644" i="3"/>
  <c r="F644" i="3"/>
  <c r="G652" i="3"/>
  <c r="C652" i="3"/>
  <c r="F652" i="3"/>
  <c r="G660" i="3"/>
  <c r="C660" i="3"/>
  <c r="F660" i="3"/>
  <c r="G668" i="3"/>
  <c r="C668" i="3"/>
  <c r="F668" i="3"/>
  <c r="G676" i="3"/>
  <c r="C676" i="3"/>
  <c r="F676" i="3"/>
  <c r="G684" i="3"/>
  <c r="C684" i="3"/>
  <c r="F684" i="3"/>
  <c r="G692" i="3"/>
  <c r="C692" i="3"/>
  <c r="F692" i="3"/>
  <c r="G700" i="3"/>
  <c r="C700" i="3"/>
  <c r="F700" i="3"/>
  <c r="G708" i="3"/>
  <c r="C708" i="3"/>
  <c r="F708" i="3"/>
  <c r="G716" i="3"/>
  <c r="C716" i="3"/>
  <c r="F716" i="3"/>
  <c r="G724" i="3"/>
  <c r="C724" i="3"/>
  <c r="F724" i="3"/>
  <c r="G732" i="3"/>
  <c r="C732" i="3"/>
  <c r="F732" i="3"/>
  <c r="G740" i="3"/>
  <c r="C740" i="3"/>
  <c r="F740" i="3"/>
  <c r="G748" i="3"/>
  <c r="C748" i="3"/>
  <c r="F748" i="3"/>
  <c r="G756" i="3"/>
  <c r="C756" i="3"/>
  <c r="F756" i="3"/>
  <c r="G764" i="3"/>
  <c r="C764" i="3"/>
  <c r="F764" i="3"/>
  <c r="G772" i="3"/>
  <c r="C772" i="3"/>
  <c r="F772" i="3"/>
  <c r="G780" i="3"/>
  <c r="C780" i="3"/>
  <c r="F780" i="3"/>
  <c r="G788" i="3"/>
  <c r="C788" i="3"/>
  <c r="F788" i="3"/>
  <c r="G796" i="3"/>
  <c r="C796" i="3"/>
  <c r="F796" i="3"/>
  <c r="G804" i="3"/>
  <c r="C804" i="3"/>
  <c r="F804" i="3"/>
  <c r="G812" i="3"/>
  <c r="C812" i="3"/>
  <c r="F812" i="3"/>
  <c r="G820" i="3"/>
  <c r="C820" i="3"/>
  <c r="F820" i="3"/>
  <c r="G828" i="3"/>
  <c r="C828" i="3"/>
  <c r="F828" i="3"/>
  <c r="G836" i="3"/>
  <c r="C836" i="3"/>
  <c r="F836" i="3"/>
  <c r="G844" i="3"/>
  <c r="C844" i="3"/>
  <c r="F844" i="3"/>
  <c r="G852" i="3"/>
  <c r="C852" i="3"/>
  <c r="F852" i="3"/>
  <c r="G860" i="3"/>
  <c r="C860" i="3"/>
  <c r="F860" i="3"/>
  <c r="G868" i="3"/>
  <c r="C868" i="3"/>
  <c r="F868" i="3"/>
  <c r="G876" i="3"/>
  <c r="C876" i="3"/>
  <c r="F876" i="3"/>
  <c r="G884" i="3"/>
  <c r="C884" i="3"/>
  <c r="F884" i="3"/>
  <c r="G892" i="3"/>
  <c r="C892" i="3"/>
  <c r="F892" i="3"/>
  <c r="G900" i="3"/>
  <c r="C900" i="3"/>
  <c r="F900" i="3"/>
  <c r="G908" i="3"/>
  <c r="C908" i="3"/>
  <c r="F908" i="3"/>
  <c r="G916" i="3"/>
  <c r="C916" i="3"/>
  <c r="F916" i="3"/>
  <c r="G924" i="3"/>
  <c r="C924" i="3"/>
  <c r="F924" i="3"/>
  <c r="G932" i="3"/>
  <c r="C932" i="3"/>
  <c r="F932" i="3"/>
  <c r="G940" i="3"/>
  <c r="C940" i="3"/>
  <c r="F940" i="3"/>
  <c r="G948" i="3"/>
  <c r="C948" i="3"/>
  <c r="F948" i="3"/>
  <c r="G956" i="3"/>
  <c r="C956" i="3"/>
  <c r="F956" i="3"/>
  <c r="G964" i="3"/>
  <c r="C964" i="3"/>
  <c r="F964" i="3"/>
  <c r="G972" i="3"/>
  <c r="C972" i="3"/>
  <c r="F972" i="3"/>
  <c r="G980" i="3"/>
  <c r="C980" i="3"/>
  <c r="F980" i="3"/>
  <c r="G988" i="3"/>
  <c r="C988" i="3"/>
  <c r="F988" i="3"/>
  <c r="G996" i="3"/>
  <c r="C996" i="3"/>
  <c r="F996" i="3"/>
  <c r="G1004" i="3"/>
  <c r="C1004" i="3"/>
  <c r="F1004" i="3"/>
  <c r="G6" i="7"/>
  <c r="H6" i="7" s="1"/>
  <c r="G10" i="7"/>
  <c r="H10" i="7" s="1"/>
  <c r="G14" i="7"/>
  <c r="H14" i="7" s="1"/>
  <c r="G18" i="7"/>
  <c r="H18" i="7" s="1"/>
  <c r="G22" i="7"/>
  <c r="H22" i="7" s="1"/>
  <c r="G26" i="7"/>
  <c r="H26" i="7" s="1"/>
  <c r="G30" i="7"/>
  <c r="H30" i="7" s="1"/>
  <c r="G34" i="7"/>
  <c r="H34" i="7" s="1"/>
  <c r="G38" i="7"/>
  <c r="H38" i="7" s="1"/>
  <c r="G39" i="7"/>
  <c r="H39" i="7" s="1"/>
  <c r="G40" i="7"/>
  <c r="H40" i="7" s="1"/>
  <c r="G41" i="7"/>
  <c r="H41" i="7" s="1"/>
  <c r="G42" i="7"/>
  <c r="H42" i="7" s="1"/>
  <c r="G43" i="7"/>
  <c r="H43" i="7" s="1"/>
  <c r="G44" i="7"/>
  <c r="H44" i="7" s="1"/>
  <c r="G45" i="7"/>
  <c r="H45" i="7" s="1"/>
  <c r="G46" i="7"/>
  <c r="H46" i="7" s="1"/>
  <c r="G47" i="7"/>
  <c r="H47" i="7" s="1"/>
  <c r="G48" i="7"/>
  <c r="H48" i="7" s="1"/>
  <c r="G49" i="7"/>
  <c r="H49" i="7" s="1"/>
  <c r="G50" i="7"/>
  <c r="H50" i="7" s="1"/>
  <c r="G51" i="7"/>
  <c r="H51" i="7" s="1"/>
  <c r="G52" i="7"/>
  <c r="H52" i="7" s="1"/>
  <c r="G53" i="7"/>
  <c r="H53" i="7" s="1"/>
  <c r="G54" i="7"/>
  <c r="H54" i="7" s="1"/>
  <c r="G55" i="7"/>
  <c r="H55" i="7" s="1"/>
  <c r="G56" i="7"/>
  <c r="H56" i="7" s="1"/>
  <c r="G57" i="7"/>
  <c r="H57" i="7" s="1"/>
  <c r="G58" i="7"/>
  <c r="H58" i="7" s="1"/>
  <c r="G59" i="7"/>
  <c r="H59" i="7" s="1"/>
  <c r="G60" i="7"/>
  <c r="H60" i="7" s="1"/>
  <c r="G61" i="7"/>
  <c r="H61" i="7" s="1"/>
  <c r="G62" i="7"/>
  <c r="H62" i="7" s="1"/>
  <c r="G63" i="7"/>
  <c r="H63" i="7" s="1"/>
  <c r="G64" i="7"/>
  <c r="H64" i="7" s="1"/>
  <c r="G65" i="7"/>
  <c r="H65" i="7" s="1"/>
  <c r="G66" i="7"/>
  <c r="H66" i="7" s="1"/>
  <c r="G67" i="7"/>
  <c r="H67" i="7" s="1"/>
  <c r="G68" i="7"/>
  <c r="H68" i="7" s="1"/>
  <c r="G69" i="7"/>
  <c r="H69" i="7" s="1"/>
  <c r="G70" i="7"/>
  <c r="H70" i="7" s="1"/>
  <c r="G71" i="7"/>
  <c r="H71" i="7" s="1"/>
  <c r="G72" i="7"/>
  <c r="H72" i="7" s="1"/>
  <c r="G73" i="7"/>
  <c r="H73" i="7" s="1"/>
  <c r="G74" i="7"/>
  <c r="H74" i="7" s="1"/>
  <c r="D122" i="7"/>
  <c r="C122" i="7"/>
  <c r="D126" i="7"/>
  <c r="C126" i="7"/>
  <c r="D130" i="7"/>
  <c r="C130" i="7"/>
  <c r="D134" i="7"/>
  <c r="C134" i="7"/>
  <c r="D138" i="7"/>
  <c r="C138" i="7"/>
  <c r="D142" i="7"/>
  <c r="C142" i="7"/>
  <c r="D146" i="7"/>
  <c r="C146" i="7"/>
  <c r="D150" i="7"/>
  <c r="C150" i="7"/>
  <c r="D154" i="7"/>
  <c r="C154" i="7"/>
  <c r="D158" i="7"/>
  <c r="C158" i="7"/>
  <c r="D162" i="7"/>
  <c r="C162" i="7"/>
  <c r="D166" i="7"/>
  <c r="C166" i="7"/>
  <c r="D170" i="7"/>
  <c r="C170" i="7"/>
  <c r="D174" i="7"/>
  <c r="C174" i="7"/>
  <c r="D178" i="7"/>
  <c r="C178" i="7"/>
  <c r="D182" i="7"/>
  <c r="C182" i="7"/>
  <c r="D186" i="7"/>
  <c r="C186" i="7"/>
  <c r="D190" i="7"/>
  <c r="C190" i="7"/>
  <c r="D194" i="7"/>
  <c r="C194" i="7"/>
  <c r="D198" i="7"/>
  <c r="C198" i="7"/>
  <c r="D202" i="7"/>
  <c r="C202" i="7"/>
  <c r="D206" i="7"/>
  <c r="C206" i="7"/>
  <c r="D210" i="7"/>
  <c r="C210" i="7"/>
  <c r="D214" i="7"/>
  <c r="C214" i="7"/>
  <c r="D218" i="7"/>
  <c r="C218" i="7"/>
  <c r="D222" i="7"/>
  <c r="C222" i="7"/>
  <c r="D226" i="7"/>
  <c r="C226" i="7"/>
  <c r="D230" i="7"/>
  <c r="C230" i="7"/>
  <c r="D234" i="7"/>
  <c r="C234" i="7"/>
  <c r="D238" i="7"/>
  <c r="C238" i="7"/>
  <c r="D242" i="7"/>
  <c r="C242" i="7"/>
  <c r="D246" i="7"/>
  <c r="C246" i="7"/>
  <c r="D250" i="7"/>
  <c r="C250" i="7"/>
  <c r="D254" i="7"/>
  <c r="C254" i="7"/>
  <c r="G258" i="7"/>
  <c r="H258" i="7" s="1"/>
  <c r="F263" i="7"/>
  <c r="B263" i="7"/>
  <c r="E263" i="7"/>
  <c r="C263" i="7"/>
  <c r="F266" i="7"/>
  <c r="B266" i="7"/>
  <c r="C266" i="7"/>
  <c r="F275" i="7"/>
  <c r="B275" i="7"/>
  <c r="E275" i="7"/>
  <c r="F276" i="7"/>
  <c r="B276" i="7"/>
  <c r="C276" i="7"/>
  <c r="E276" i="7"/>
  <c r="F285" i="7"/>
  <c r="B285" i="7"/>
  <c r="E285" i="7"/>
  <c r="D285" i="7"/>
  <c r="F286" i="7"/>
  <c r="B286" i="7"/>
  <c r="C286" i="7"/>
  <c r="D286" i="7"/>
  <c r="G290" i="7"/>
  <c r="H290" i="7" s="1"/>
  <c r="F295" i="7"/>
  <c r="B295" i="7"/>
  <c r="E295" i="7"/>
  <c r="C295" i="7"/>
  <c r="F298" i="7"/>
  <c r="B298" i="7"/>
  <c r="C298" i="7"/>
  <c r="F307" i="7"/>
  <c r="B307" i="7"/>
  <c r="E307" i="7"/>
  <c r="F308" i="7"/>
  <c r="B308" i="7"/>
  <c r="C308" i="7"/>
  <c r="E308" i="7"/>
  <c r="F317" i="7"/>
  <c r="B317" i="7"/>
  <c r="E317" i="7"/>
  <c r="D317" i="7"/>
  <c r="F318" i="7"/>
  <c r="B318" i="7"/>
  <c r="C318" i="7"/>
  <c r="D318" i="7"/>
  <c r="G322" i="7"/>
  <c r="H322" i="7" s="1"/>
  <c r="F327" i="7"/>
  <c r="B327" i="7"/>
  <c r="E327" i="7"/>
  <c r="C327" i="7"/>
  <c r="F330" i="7"/>
  <c r="B330" i="7"/>
  <c r="C330" i="7"/>
  <c r="F339" i="7"/>
  <c r="B339" i="7"/>
  <c r="E339" i="7"/>
  <c r="F340" i="7"/>
  <c r="B340" i="7"/>
  <c r="C340" i="7"/>
  <c r="E340" i="7"/>
  <c r="F348" i="7"/>
  <c r="B348" i="7"/>
  <c r="C348" i="7"/>
  <c r="E348" i="7"/>
  <c r="D348" i="7"/>
  <c r="F357" i="7"/>
  <c r="B357" i="7"/>
  <c r="E357" i="7"/>
  <c r="D357" i="7"/>
  <c r="G357" i="7" s="1"/>
  <c r="H357" i="7" s="1"/>
  <c r="C357" i="7"/>
  <c r="F364" i="7"/>
  <c r="B364" i="7"/>
  <c r="C364" i="7"/>
  <c r="E364" i="7"/>
  <c r="D364" i="7"/>
  <c r="F373" i="7"/>
  <c r="B373" i="7"/>
  <c r="E373" i="7"/>
  <c r="D373" i="7"/>
  <c r="G373" i="7" s="1"/>
  <c r="H373" i="7" s="1"/>
  <c r="C373" i="7"/>
  <c r="F380" i="7"/>
  <c r="B380" i="7"/>
  <c r="C380" i="7"/>
  <c r="E380" i="7"/>
  <c r="D380" i="7"/>
  <c r="F389" i="7"/>
  <c r="B389" i="7"/>
  <c r="E389" i="7"/>
  <c r="D389" i="7"/>
  <c r="G389" i="7" s="1"/>
  <c r="H389" i="7" s="1"/>
  <c r="C389" i="7"/>
  <c r="F396" i="7"/>
  <c r="B396" i="7"/>
  <c r="C396" i="7"/>
  <c r="E396" i="7"/>
  <c r="D396" i="7"/>
  <c r="F405" i="7"/>
  <c r="B405" i="7"/>
  <c r="E405" i="7"/>
  <c r="D405" i="7"/>
  <c r="G405" i="7" s="1"/>
  <c r="H405" i="7" s="1"/>
  <c r="C405" i="7"/>
  <c r="F412" i="7"/>
  <c r="B412" i="7"/>
  <c r="C412" i="7"/>
  <c r="E412" i="7"/>
  <c r="D412" i="7"/>
  <c r="F421" i="7"/>
  <c r="B421" i="7"/>
  <c r="E421" i="7"/>
  <c r="D421" i="7"/>
  <c r="G421" i="7" s="1"/>
  <c r="H421" i="7" s="1"/>
  <c r="C421" i="7"/>
  <c r="F428" i="7"/>
  <c r="B428" i="7"/>
  <c r="C428" i="7"/>
  <c r="E428" i="7"/>
  <c r="D428" i="7"/>
  <c r="F437" i="7"/>
  <c r="B437" i="7"/>
  <c r="E437" i="7"/>
  <c r="D437" i="7"/>
  <c r="G437" i="7" s="1"/>
  <c r="H437" i="7" s="1"/>
  <c r="C437" i="7"/>
  <c r="F444" i="7"/>
  <c r="B444" i="7"/>
  <c r="C444" i="7"/>
  <c r="E444" i="7"/>
  <c r="D444" i="7"/>
  <c r="F453" i="7"/>
  <c r="B453" i="7"/>
  <c r="E453" i="7"/>
  <c r="D453" i="7"/>
  <c r="G453" i="7" s="1"/>
  <c r="H453" i="7" s="1"/>
  <c r="C453" i="7"/>
  <c r="F460" i="7"/>
  <c r="B460" i="7"/>
  <c r="C460" i="7"/>
  <c r="E460" i="7"/>
  <c r="D460" i="7"/>
  <c r="F469" i="7"/>
  <c r="B469" i="7"/>
  <c r="E469" i="7"/>
  <c r="D469" i="7"/>
  <c r="G469" i="7" s="1"/>
  <c r="H469" i="7" s="1"/>
  <c r="C469" i="7"/>
  <c r="F476" i="7"/>
  <c r="B476" i="7"/>
  <c r="C476" i="7"/>
  <c r="E476" i="7"/>
  <c r="D476" i="7"/>
  <c r="F485" i="7"/>
  <c r="B485" i="7"/>
  <c r="E485" i="7"/>
  <c r="D485" i="7"/>
  <c r="G485" i="7" s="1"/>
  <c r="H485" i="7" s="1"/>
  <c r="C485" i="7"/>
  <c r="F492" i="7"/>
  <c r="B492" i="7"/>
  <c r="C492" i="7"/>
  <c r="E492" i="7"/>
  <c r="D492" i="7"/>
  <c r="E428" i="3"/>
  <c r="E430" i="3"/>
  <c r="E432" i="3"/>
  <c r="E434" i="3"/>
  <c r="E436" i="3"/>
  <c r="E438" i="3"/>
  <c r="E440" i="3"/>
  <c r="E442" i="3"/>
  <c r="E444" i="3"/>
  <c r="E446" i="3"/>
  <c r="E448" i="3"/>
  <c r="E450" i="3"/>
  <c r="E452" i="3"/>
  <c r="E454" i="3"/>
  <c r="E456" i="3"/>
  <c r="E458" i="3"/>
  <c r="E460" i="3"/>
  <c r="E462" i="3"/>
  <c r="E464" i="3"/>
  <c r="E466" i="3"/>
  <c r="E468" i="3"/>
  <c r="E470" i="3"/>
  <c r="E472" i="3"/>
  <c r="E474" i="3"/>
  <c r="E476" i="3"/>
  <c r="E478" i="3"/>
  <c r="E480" i="3"/>
  <c r="E482" i="3"/>
  <c r="E484" i="3"/>
  <c r="E486" i="3"/>
  <c r="E488" i="3"/>
  <c r="E490" i="3"/>
  <c r="E492" i="3"/>
  <c r="E494" i="3"/>
  <c r="E496" i="3"/>
  <c r="E498" i="3"/>
  <c r="E500" i="3"/>
  <c r="E502" i="3"/>
  <c r="E504" i="3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F76" i="7"/>
  <c r="B76" i="7"/>
  <c r="F78" i="7"/>
  <c r="B78" i="7"/>
  <c r="F80" i="7"/>
  <c r="B80" i="7"/>
  <c r="F82" i="7"/>
  <c r="B82" i="7"/>
  <c r="F84" i="7"/>
  <c r="B84" i="7"/>
  <c r="F86" i="7"/>
  <c r="B86" i="7"/>
  <c r="F88" i="7"/>
  <c r="B88" i="7"/>
  <c r="F90" i="7"/>
  <c r="B90" i="7"/>
  <c r="F92" i="7"/>
  <c r="B92" i="7"/>
  <c r="F94" i="7"/>
  <c r="B94" i="7"/>
  <c r="F96" i="7"/>
  <c r="B96" i="7"/>
  <c r="F98" i="7"/>
  <c r="B98" i="7"/>
  <c r="F100" i="7"/>
  <c r="B100" i="7"/>
  <c r="F102" i="7"/>
  <c r="B102" i="7"/>
  <c r="F104" i="7"/>
  <c r="B104" i="7"/>
  <c r="F106" i="7"/>
  <c r="B106" i="7"/>
  <c r="F108" i="7"/>
  <c r="B108" i="7"/>
  <c r="F110" i="7"/>
  <c r="B110" i="7"/>
  <c r="F112" i="7"/>
  <c r="B112" i="7"/>
  <c r="F114" i="7"/>
  <c r="B114" i="7"/>
  <c r="F116" i="7"/>
  <c r="B116" i="7"/>
  <c r="F118" i="7"/>
  <c r="B118" i="7"/>
  <c r="F120" i="7"/>
  <c r="B120" i="7"/>
  <c r="B122" i="7"/>
  <c r="B126" i="7"/>
  <c r="B130" i="7"/>
  <c r="B134" i="7"/>
  <c r="B138" i="7"/>
  <c r="B142" i="7"/>
  <c r="B146" i="7"/>
  <c r="B150" i="7"/>
  <c r="B154" i="7"/>
  <c r="B158" i="7"/>
  <c r="B162" i="7"/>
  <c r="B166" i="7"/>
  <c r="B170" i="7"/>
  <c r="B174" i="7"/>
  <c r="B178" i="7"/>
  <c r="B182" i="7"/>
  <c r="B186" i="7"/>
  <c r="B190" i="7"/>
  <c r="B194" i="7"/>
  <c r="B198" i="7"/>
  <c r="B202" i="7"/>
  <c r="B206" i="7"/>
  <c r="B210" i="7"/>
  <c r="B214" i="7"/>
  <c r="B218" i="7"/>
  <c r="B222" i="7"/>
  <c r="B226" i="7"/>
  <c r="B230" i="7"/>
  <c r="B234" i="7"/>
  <c r="B238" i="7"/>
  <c r="B242" i="7"/>
  <c r="B246" i="7"/>
  <c r="B250" i="7"/>
  <c r="B254" i="7"/>
  <c r="F261" i="7"/>
  <c r="B261" i="7"/>
  <c r="E261" i="7"/>
  <c r="D261" i="7"/>
  <c r="G261" i="7" s="1"/>
  <c r="H261" i="7" s="1"/>
  <c r="F262" i="7"/>
  <c r="B262" i="7"/>
  <c r="C262" i="7"/>
  <c r="D262" i="7"/>
  <c r="G262" i="7" s="1"/>
  <c r="H262" i="7" s="1"/>
  <c r="D263" i="7"/>
  <c r="G263" i="7" s="1"/>
  <c r="H263" i="7" s="1"/>
  <c r="D266" i="7"/>
  <c r="F271" i="7"/>
  <c r="B271" i="7"/>
  <c r="E271" i="7"/>
  <c r="G271" i="7" s="1"/>
  <c r="H271" i="7" s="1"/>
  <c r="C271" i="7"/>
  <c r="F274" i="7"/>
  <c r="B274" i="7"/>
  <c r="C274" i="7"/>
  <c r="C275" i="7"/>
  <c r="D276" i="7"/>
  <c r="G276" i="7" s="1"/>
  <c r="H276" i="7" s="1"/>
  <c r="F283" i="7"/>
  <c r="B283" i="7"/>
  <c r="E283" i="7"/>
  <c r="F284" i="7"/>
  <c r="B284" i="7"/>
  <c r="C284" i="7"/>
  <c r="E284" i="7"/>
  <c r="G284" i="7" s="1"/>
  <c r="H284" i="7" s="1"/>
  <c r="C285" i="7"/>
  <c r="E286" i="7"/>
  <c r="F293" i="7"/>
  <c r="B293" i="7"/>
  <c r="E293" i="7"/>
  <c r="D293" i="7"/>
  <c r="G293" i="7" s="1"/>
  <c r="H293" i="7" s="1"/>
  <c r="F294" i="7"/>
  <c r="B294" i="7"/>
  <c r="C294" i="7"/>
  <c r="D294" i="7"/>
  <c r="G294" i="7" s="1"/>
  <c r="H294" i="7" s="1"/>
  <c r="D295" i="7"/>
  <c r="G295" i="7" s="1"/>
  <c r="H295" i="7" s="1"/>
  <c r="D298" i="7"/>
  <c r="F303" i="7"/>
  <c r="B303" i="7"/>
  <c r="E303" i="7"/>
  <c r="G303" i="7" s="1"/>
  <c r="H303" i="7" s="1"/>
  <c r="C303" i="7"/>
  <c r="F306" i="7"/>
  <c r="B306" i="7"/>
  <c r="C306" i="7"/>
  <c r="C307" i="7"/>
  <c r="D308" i="7"/>
  <c r="G308" i="7" s="1"/>
  <c r="H308" i="7" s="1"/>
  <c r="F315" i="7"/>
  <c r="B315" i="7"/>
  <c r="E315" i="7"/>
  <c r="F316" i="7"/>
  <c r="B316" i="7"/>
  <c r="C316" i="7"/>
  <c r="E316" i="7"/>
  <c r="G316" i="7" s="1"/>
  <c r="H316" i="7" s="1"/>
  <c r="C317" i="7"/>
  <c r="E318" i="7"/>
  <c r="F325" i="7"/>
  <c r="B325" i="7"/>
  <c r="E325" i="7"/>
  <c r="D325" i="7"/>
  <c r="G325" i="7" s="1"/>
  <c r="H325" i="7" s="1"/>
  <c r="F326" i="7"/>
  <c r="B326" i="7"/>
  <c r="C326" i="7"/>
  <c r="D326" i="7"/>
  <c r="G326" i="7" s="1"/>
  <c r="H326" i="7" s="1"/>
  <c r="D327" i="7"/>
  <c r="G327" i="7" s="1"/>
  <c r="H327" i="7" s="1"/>
  <c r="D330" i="7"/>
  <c r="F335" i="7"/>
  <c r="B335" i="7"/>
  <c r="E335" i="7"/>
  <c r="G335" i="7" s="1"/>
  <c r="H335" i="7" s="1"/>
  <c r="C335" i="7"/>
  <c r="F338" i="7"/>
  <c r="B338" i="7"/>
  <c r="C338" i="7"/>
  <c r="C339" i="7"/>
  <c r="D340" i="7"/>
  <c r="G340" i="7" s="1"/>
  <c r="H340" i="7" s="1"/>
  <c r="F347" i="7"/>
  <c r="B347" i="7"/>
  <c r="E347" i="7"/>
  <c r="D347" i="7"/>
  <c r="F354" i="7"/>
  <c r="B354" i="7"/>
  <c r="C354" i="7"/>
  <c r="E354" i="7"/>
  <c r="F363" i="7"/>
  <c r="B363" i="7"/>
  <c r="E363" i="7"/>
  <c r="D363" i="7"/>
  <c r="F370" i="7"/>
  <c r="B370" i="7"/>
  <c r="C370" i="7"/>
  <c r="E370" i="7"/>
  <c r="F379" i="7"/>
  <c r="B379" i="7"/>
  <c r="E379" i="7"/>
  <c r="D379" i="7"/>
  <c r="F386" i="7"/>
  <c r="B386" i="7"/>
  <c r="C386" i="7"/>
  <c r="E386" i="7"/>
  <c r="F395" i="7"/>
  <c r="B395" i="7"/>
  <c r="E395" i="7"/>
  <c r="D395" i="7"/>
  <c r="F402" i="7"/>
  <c r="B402" i="7"/>
  <c r="C402" i="7"/>
  <c r="E402" i="7"/>
  <c r="F411" i="7"/>
  <c r="B411" i="7"/>
  <c r="E411" i="7"/>
  <c r="D411" i="7"/>
  <c r="F418" i="7"/>
  <c r="B418" i="7"/>
  <c r="C418" i="7"/>
  <c r="E418" i="7"/>
  <c r="F427" i="7"/>
  <c r="B427" i="7"/>
  <c r="E427" i="7"/>
  <c r="D427" i="7"/>
  <c r="F434" i="7"/>
  <c r="B434" i="7"/>
  <c r="C434" i="7"/>
  <c r="E434" i="7"/>
  <c r="F443" i="7"/>
  <c r="B443" i="7"/>
  <c r="E443" i="7"/>
  <c r="D443" i="7"/>
  <c r="F450" i="7"/>
  <c r="B450" i="7"/>
  <c r="C450" i="7"/>
  <c r="E450" i="7"/>
  <c r="F459" i="7"/>
  <c r="B459" i="7"/>
  <c r="E459" i="7"/>
  <c r="D459" i="7"/>
  <c r="F466" i="7"/>
  <c r="B466" i="7"/>
  <c r="C466" i="7"/>
  <c r="E466" i="7"/>
  <c r="F475" i="7"/>
  <c r="B475" i="7"/>
  <c r="E475" i="7"/>
  <c r="D475" i="7"/>
  <c r="F482" i="7"/>
  <c r="B482" i="7"/>
  <c r="C482" i="7"/>
  <c r="E482" i="7"/>
  <c r="F491" i="7"/>
  <c r="B491" i="7"/>
  <c r="E491" i="7"/>
  <c r="D491" i="7"/>
  <c r="F498" i="7"/>
  <c r="B498" i="7"/>
  <c r="C498" i="7"/>
  <c r="E498" i="7"/>
  <c r="E122" i="7"/>
  <c r="D124" i="7"/>
  <c r="G124" i="7" s="1"/>
  <c r="H124" i="7" s="1"/>
  <c r="C124" i="7"/>
  <c r="E126" i="7"/>
  <c r="D128" i="7"/>
  <c r="G128" i="7" s="1"/>
  <c r="H128" i="7" s="1"/>
  <c r="C128" i="7"/>
  <c r="E130" i="7"/>
  <c r="D132" i="7"/>
  <c r="G132" i="7" s="1"/>
  <c r="H132" i="7" s="1"/>
  <c r="C132" i="7"/>
  <c r="E134" i="7"/>
  <c r="D136" i="7"/>
  <c r="G136" i="7" s="1"/>
  <c r="H136" i="7" s="1"/>
  <c r="C136" i="7"/>
  <c r="E138" i="7"/>
  <c r="D140" i="7"/>
  <c r="G140" i="7" s="1"/>
  <c r="H140" i="7" s="1"/>
  <c r="C140" i="7"/>
  <c r="E142" i="7"/>
  <c r="D144" i="7"/>
  <c r="G144" i="7" s="1"/>
  <c r="H144" i="7" s="1"/>
  <c r="C144" i="7"/>
  <c r="E146" i="7"/>
  <c r="D148" i="7"/>
  <c r="G148" i="7" s="1"/>
  <c r="H148" i="7" s="1"/>
  <c r="C148" i="7"/>
  <c r="E150" i="7"/>
  <c r="D152" i="7"/>
  <c r="G152" i="7" s="1"/>
  <c r="H152" i="7" s="1"/>
  <c r="C152" i="7"/>
  <c r="E154" i="7"/>
  <c r="D156" i="7"/>
  <c r="G156" i="7" s="1"/>
  <c r="H156" i="7" s="1"/>
  <c r="C156" i="7"/>
  <c r="E158" i="7"/>
  <c r="D160" i="7"/>
  <c r="G160" i="7" s="1"/>
  <c r="H160" i="7" s="1"/>
  <c r="C160" i="7"/>
  <c r="E162" i="7"/>
  <c r="D164" i="7"/>
  <c r="G164" i="7" s="1"/>
  <c r="H164" i="7" s="1"/>
  <c r="C164" i="7"/>
  <c r="E166" i="7"/>
  <c r="D168" i="7"/>
  <c r="G168" i="7" s="1"/>
  <c r="H168" i="7" s="1"/>
  <c r="C168" i="7"/>
  <c r="E170" i="7"/>
  <c r="D172" i="7"/>
  <c r="G172" i="7" s="1"/>
  <c r="H172" i="7" s="1"/>
  <c r="C172" i="7"/>
  <c r="E174" i="7"/>
  <c r="D176" i="7"/>
  <c r="G176" i="7" s="1"/>
  <c r="H176" i="7" s="1"/>
  <c r="C176" i="7"/>
  <c r="E178" i="7"/>
  <c r="D180" i="7"/>
  <c r="G180" i="7" s="1"/>
  <c r="H180" i="7" s="1"/>
  <c r="C180" i="7"/>
  <c r="E182" i="7"/>
  <c r="D184" i="7"/>
  <c r="G184" i="7" s="1"/>
  <c r="H184" i="7" s="1"/>
  <c r="C184" i="7"/>
  <c r="E186" i="7"/>
  <c r="D188" i="7"/>
  <c r="G188" i="7" s="1"/>
  <c r="H188" i="7" s="1"/>
  <c r="C188" i="7"/>
  <c r="E190" i="7"/>
  <c r="D192" i="7"/>
  <c r="G192" i="7" s="1"/>
  <c r="H192" i="7" s="1"/>
  <c r="C192" i="7"/>
  <c r="E194" i="7"/>
  <c r="D196" i="7"/>
  <c r="G196" i="7" s="1"/>
  <c r="H196" i="7" s="1"/>
  <c r="C196" i="7"/>
  <c r="E198" i="7"/>
  <c r="D200" i="7"/>
  <c r="G200" i="7" s="1"/>
  <c r="H200" i="7" s="1"/>
  <c r="C200" i="7"/>
  <c r="E202" i="7"/>
  <c r="D204" i="7"/>
  <c r="G204" i="7" s="1"/>
  <c r="H204" i="7" s="1"/>
  <c r="C204" i="7"/>
  <c r="E206" i="7"/>
  <c r="D208" i="7"/>
  <c r="G208" i="7" s="1"/>
  <c r="H208" i="7" s="1"/>
  <c r="C208" i="7"/>
  <c r="E210" i="7"/>
  <c r="D212" i="7"/>
  <c r="G212" i="7" s="1"/>
  <c r="H212" i="7" s="1"/>
  <c r="C212" i="7"/>
  <c r="E214" i="7"/>
  <c r="D216" i="7"/>
  <c r="G216" i="7" s="1"/>
  <c r="H216" i="7" s="1"/>
  <c r="C216" i="7"/>
  <c r="E218" i="7"/>
  <c r="D220" i="7"/>
  <c r="G220" i="7" s="1"/>
  <c r="H220" i="7" s="1"/>
  <c r="C220" i="7"/>
  <c r="E222" i="7"/>
  <c r="D224" i="7"/>
  <c r="G224" i="7" s="1"/>
  <c r="H224" i="7" s="1"/>
  <c r="C224" i="7"/>
  <c r="E226" i="7"/>
  <c r="D228" i="7"/>
  <c r="G228" i="7" s="1"/>
  <c r="H228" i="7" s="1"/>
  <c r="C228" i="7"/>
  <c r="E230" i="7"/>
  <c r="D232" i="7"/>
  <c r="G232" i="7" s="1"/>
  <c r="H232" i="7" s="1"/>
  <c r="C232" i="7"/>
  <c r="E234" i="7"/>
  <c r="D236" i="7"/>
  <c r="G236" i="7" s="1"/>
  <c r="H236" i="7" s="1"/>
  <c r="C236" i="7"/>
  <c r="E238" i="7"/>
  <c r="D240" i="7"/>
  <c r="G240" i="7" s="1"/>
  <c r="H240" i="7" s="1"/>
  <c r="C240" i="7"/>
  <c r="E242" i="7"/>
  <c r="D244" i="7"/>
  <c r="G244" i="7" s="1"/>
  <c r="H244" i="7" s="1"/>
  <c r="C244" i="7"/>
  <c r="E246" i="7"/>
  <c r="D248" i="7"/>
  <c r="G248" i="7" s="1"/>
  <c r="H248" i="7" s="1"/>
  <c r="C248" i="7"/>
  <c r="E250" i="7"/>
  <c r="D252" i="7"/>
  <c r="G252" i="7" s="1"/>
  <c r="H252" i="7" s="1"/>
  <c r="C252" i="7"/>
  <c r="E254" i="7"/>
  <c r="D256" i="7"/>
  <c r="G256" i="7" s="1"/>
  <c r="H256" i="7" s="1"/>
  <c r="C256" i="7"/>
  <c r="F259" i="7"/>
  <c r="B259" i="7"/>
  <c r="E259" i="7"/>
  <c r="G259" i="7" s="1"/>
  <c r="H259" i="7" s="1"/>
  <c r="F260" i="7"/>
  <c r="B260" i="7"/>
  <c r="C260" i="7"/>
  <c r="E260" i="7"/>
  <c r="E266" i="7"/>
  <c r="F269" i="7"/>
  <c r="B269" i="7"/>
  <c r="E269" i="7"/>
  <c r="D269" i="7"/>
  <c r="F270" i="7"/>
  <c r="B270" i="7"/>
  <c r="C270" i="7"/>
  <c r="D270" i="7"/>
  <c r="D275" i="7"/>
  <c r="G275" i="7" s="1"/>
  <c r="H275" i="7" s="1"/>
  <c r="F279" i="7"/>
  <c r="B279" i="7"/>
  <c r="E279" i="7"/>
  <c r="C279" i="7"/>
  <c r="F282" i="7"/>
  <c r="B282" i="7"/>
  <c r="C282" i="7"/>
  <c r="F291" i="7"/>
  <c r="B291" i="7"/>
  <c r="E291" i="7"/>
  <c r="G291" i="7" s="1"/>
  <c r="H291" i="7" s="1"/>
  <c r="F292" i="7"/>
  <c r="B292" i="7"/>
  <c r="C292" i="7"/>
  <c r="E292" i="7"/>
  <c r="E298" i="7"/>
  <c r="F301" i="7"/>
  <c r="B301" i="7"/>
  <c r="E301" i="7"/>
  <c r="D301" i="7"/>
  <c r="F302" i="7"/>
  <c r="B302" i="7"/>
  <c r="C302" i="7"/>
  <c r="D302" i="7"/>
  <c r="D307" i="7"/>
  <c r="G307" i="7" s="1"/>
  <c r="H307" i="7" s="1"/>
  <c r="F311" i="7"/>
  <c r="B311" i="7"/>
  <c r="E311" i="7"/>
  <c r="C311" i="7"/>
  <c r="F314" i="7"/>
  <c r="B314" i="7"/>
  <c r="C314" i="7"/>
  <c r="F323" i="7"/>
  <c r="B323" i="7"/>
  <c r="E323" i="7"/>
  <c r="G323" i="7" s="1"/>
  <c r="H323" i="7" s="1"/>
  <c r="F324" i="7"/>
  <c r="B324" i="7"/>
  <c r="C324" i="7"/>
  <c r="E324" i="7"/>
  <c r="E330" i="7"/>
  <c r="F333" i="7"/>
  <c r="B333" i="7"/>
  <c r="E333" i="7"/>
  <c r="D333" i="7"/>
  <c r="F334" i="7"/>
  <c r="B334" i="7"/>
  <c r="C334" i="7"/>
  <c r="D334" i="7"/>
  <c r="D339" i="7"/>
  <c r="G339" i="7" s="1"/>
  <c r="H339" i="7" s="1"/>
  <c r="F349" i="7"/>
  <c r="B349" i="7"/>
  <c r="E349" i="7"/>
  <c r="D349" i="7"/>
  <c r="C349" i="7"/>
  <c r="G354" i="7"/>
  <c r="H354" i="7" s="1"/>
  <c r="F356" i="7"/>
  <c r="B356" i="7"/>
  <c r="C356" i="7"/>
  <c r="E356" i="7"/>
  <c r="D356" i="7"/>
  <c r="G356" i="7" s="1"/>
  <c r="H356" i="7" s="1"/>
  <c r="F365" i="7"/>
  <c r="B365" i="7"/>
  <c r="E365" i="7"/>
  <c r="D365" i="7"/>
  <c r="C365" i="7"/>
  <c r="G370" i="7"/>
  <c r="H370" i="7" s="1"/>
  <c r="F372" i="7"/>
  <c r="B372" i="7"/>
  <c r="C372" i="7"/>
  <c r="E372" i="7"/>
  <c r="D372" i="7"/>
  <c r="G372" i="7" s="1"/>
  <c r="H372" i="7" s="1"/>
  <c r="F381" i="7"/>
  <c r="B381" i="7"/>
  <c r="E381" i="7"/>
  <c r="D381" i="7"/>
  <c r="C381" i="7"/>
  <c r="G386" i="7"/>
  <c r="H386" i="7" s="1"/>
  <c r="F388" i="7"/>
  <c r="B388" i="7"/>
  <c r="C388" i="7"/>
  <c r="E388" i="7"/>
  <c r="D388" i="7"/>
  <c r="G388" i="7" s="1"/>
  <c r="H388" i="7" s="1"/>
  <c r="F397" i="7"/>
  <c r="B397" i="7"/>
  <c r="E397" i="7"/>
  <c r="D397" i="7"/>
  <c r="C397" i="7"/>
  <c r="G402" i="7"/>
  <c r="H402" i="7" s="1"/>
  <c r="F404" i="7"/>
  <c r="B404" i="7"/>
  <c r="C404" i="7"/>
  <c r="E404" i="7"/>
  <c r="D404" i="7"/>
  <c r="G404" i="7" s="1"/>
  <c r="H404" i="7" s="1"/>
  <c r="F413" i="7"/>
  <c r="B413" i="7"/>
  <c r="E413" i="7"/>
  <c r="D413" i="7"/>
  <c r="C413" i="7"/>
  <c r="G418" i="7"/>
  <c r="H418" i="7" s="1"/>
  <c r="F420" i="7"/>
  <c r="B420" i="7"/>
  <c r="C420" i="7"/>
  <c r="E420" i="7"/>
  <c r="D420" i="7"/>
  <c r="G420" i="7" s="1"/>
  <c r="H420" i="7" s="1"/>
  <c r="F429" i="7"/>
  <c r="B429" i="7"/>
  <c r="E429" i="7"/>
  <c r="D429" i="7"/>
  <c r="C429" i="7"/>
  <c r="G434" i="7"/>
  <c r="H434" i="7" s="1"/>
  <c r="F436" i="7"/>
  <c r="B436" i="7"/>
  <c r="C436" i="7"/>
  <c r="E436" i="7"/>
  <c r="D436" i="7"/>
  <c r="G436" i="7" s="1"/>
  <c r="H436" i="7" s="1"/>
  <c r="F445" i="7"/>
  <c r="B445" i="7"/>
  <c r="E445" i="7"/>
  <c r="D445" i="7"/>
  <c r="C445" i="7"/>
  <c r="G450" i="7"/>
  <c r="H450" i="7" s="1"/>
  <c r="F452" i="7"/>
  <c r="B452" i="7"/>
  <c r="C452" i="7"/>
  <c r="E452" i="7"/>
  <c r="D452" i="7"/>
  <c r="G452" i="7" s="1"/>
  <c r="H452" i="7" s="1"/>
  <c r="F461" i="7"/>
  <c r="B461" i="7"/>
  <c r="E461" i="7"/>
  <c r="D461" i="7"/>
  <c r="C461" i="7"/>
  <c r="G466" i="7"/>
  <c r="H466" i="7" s="1"/>
  <c r="F468" i="7"/>
  <c r="B468" i="7"/>
  <c r="C468" i="7"/>
  <c r="E468" i="7"/>
  <c r="D468" i="7"/>
  <c r="G468" i="7" s="1"/>
  <c r="H468" i="7" s="1"/>
  <c r="F477" i="7"/>
  <c r="B477" i="7"/>
  <c r="E477" i="7"/>
  <c r="D477" i="7"/>
  <c r="C477" i="7"/>
  <c r="G482" i="7"/>
  <c r="H482" i="7" s="1"/>
  <c r="F484" i="7"/>
  <c r="B484" i="7"/>
  <c r="C484" i="7"/>
  <c r="E484" i="7"/>
  <c r="D484" i="7"/>
  <c r="G484" i="7" s="1"/>
  <c r="H484" i="7" s="1"/>
  <c r="F493" i="7"/>
  <c r="B493" i="7"/>
  <c r="E493" i="7"/>
  <c r="D493" i="7"/>
  <c r="C493" i="7"/>
  <c r="G498" i="7"/>
  <c r="H498" i="7" s="1"/>
  <c r="F500" i="7"/>
  <c r="B500" i="7"/>
  <c r="C500" i="7"/>
  <c r="E500" i="7"/>
  <c r="D500" i="7"/>
  <c r="G500" i="7" s="1"/>
  <c r="H500" i="7" s="1"/>
  <c r="L43" i="10"/>
  <c r="L27" i="10"/>
  <c r="L39" i="10"/>
  <c r="L21" i="10"/>
  <c r="L15" i="10"/>
  <c r="L5" i="10"/>
  <c r="L59" i="10"/>
  <c r="L55" i="10"/>
  <c r="L51" i="10"/>
  <c r="L35" i="10"/>
  <c r="L31" i="10"/>
  <c r="L25" i="10"/>
  <c r="L19" i="10"/>
  <c r="L47" i="10"/>
  <c r="L29" i="10"/>
  <c r="L17" i="10"/>
  <c r="L13" i="10"/>
  <c r="L23" i="10"/>
  <c r="L11" i="10"/>
  <c r="L7" i="10"/>
  <c r="L9" i="10"/>
  <c r="E2" i="7"/>
  <c r="G2" i="7" s="1"/>
  <c r="F75" i="7"/>
  <c r="B75" i="7"/>
  <c r="F77" i="7"/>
  <c r="B77" i="7"/>
  <c r="F79" i="7"/>
  <c r="B79" i="7"/>
  <c r="F81" i="7"/>
  <c r="B81" i="7"/>
  <c r="F83" i="7"/>
  <c r="B83" i="7"/>
  <c r="F85" i="7"/>
  <c r="B85" i="7"/>
  <c r="F87" i="7"/>
  <c r="B87" i="7"/>
  <c r="F89" i="7"/>
  <c r="B89" i="7"/>
  <c r="F91" i="7"/>
  <c r="B91" i="7"/>
  <c r="F93" i="7"/>
  <c r="B93" i="7"/>
  <c r="F95" i="7"/>
  <c r="B95" i="7"/>
  <c r="F97" i="7"/>
  <c r="B97" i="7"/>
  <c r="F99" i="7"/>
  <c r="B99" i="7"/>
  <c r="F101" i="7"/>
  <c r="B101" i="7"/>
  <c r="F103" i="7"/>
  <c r="B103" i="7"/>
  <c r="F105" i="7"/>
  <c r="B105" i="7"/>
  <c r="F107" i="7"/>
  <c r="B107" i="7"/>
  <c r="F109" i="7"/>
  <c r="B109" i="7"/>
  <c r="F111" i="7"/>
  <c r="B111" i="7"/>
  <c r="F113" i="7"/>
  <c r="B113" i="7"/>
  <c r="F115" i="7"/>
  <c r="B115" i="7"/>
  <c r="F117" i="7"/>
  <c r="B117" i="7"/>
  <c r="F119" i="7"/>
  <c r="B119" i="7"/>
  <c r="F121" i="7"/>
  <c r="B121" i="7"/>
  <c r="F122" i="7"/>
  <c r="B124" i="7"/>
  <c r="F126" i="7"/>
  <c r="B128" i="7"/>
  <c r="F130" i="7"/>
  <c r="B132" i="7"/>
  <c r="F134" i="7"/>
  <c r="B136" i="7"/>
  <c r="F138" i="7"/>
  <c r="B140" i="7"/>
  <c r="F142" i="7"/>
  <c r="B144" i="7"/>
  <c r="F146" i="7"/>
  <c r="B148" i="7"/>
  <c r="F150" i="7"/>
  <c r="B152" i="7"/>
  <c r="F154" i="7"/>
  <c r="B156" i="7"/>
  <c r="F158" i="7"/>
  <c r="B160" i="7"/>
  <c r="F162" i="7"/>
  <c r="B164" i="7"/>
  <c r="F166" i="7"/>
  <c r="B168" i="7"/>
  <c r="F170" i="7"/>
  <c r="B172" i="7"/>
  <c r="F174" i="7"/>
  <c r="B176" i="7"/>
  <c r="F178" i="7"/>
  <c r="B180" i="7"/>
  <c r="F182" i="7"/>
  <c r="B184" i="7"/>
  <c r="F186" i="7"/>
  <c r="B188" i="7"/>
  <c r="F190" i="7"/>
  <c r="B192" i="7"/>
  <c r="F194" i="7"/>
  <c r="B196" i="7"/>
  <c r="F198" i="7"/>
  <c r="B200" i="7"/>
  <c r="F202" i="7"/>
  <c r="B204" i="7"/>
  <c r="F206" i="7"/>
  <c r="B208" i="7"/>
  <c r="F210" i="7"/>
  <c r="B212" i="7"/>
  <c r="F214" i="7"/>
  <c r="B216" i="7"/>
  <c r="F218" i="7"/>
  <c r="B220" i="7"/>
  <c r="F222" i="7"/>
  <c r="B224" i="7"/>
  <c r="F226" i="7"/>
  <c r="B228" i="7"/>
  <c r="F230" i="7"/>
  <c r="B232" i="7"/>
  <c r="F234" i="7"/>
  <c r="B236" i="7"/>
  <c r="F238" i="7"/>
  <c r="B240" i="7"/>
  <c r="F242" i="7"/>
  <c r="B244" i="7"/>
  <c r="F246" i="7"/>
  <c r="B248" i="7"/>
  <c r="F250" i="7"/>
  <c r="B252" i="7"/>
  <c r="F254" i="7"/>
  <c r="B256" i="7"/>
  <c r="F258" i="7"/>
  <c r="B258" i="7"/>
  <c r="C258" i="7"/>
  <c r="C259" i="7"/>
  <c r="D260" i="7"/>
  <c r="G260" i="7" s="1"/>
  <c r="H260" i="7" s="1"/>
  <c r="F267" i="7"/>
  <c r="B267" i="7"/>
  <c r="E267" i="7"/>
  <c r="G267" i="7" s="1"/>
  <c r="H267" i="7" s="1"/>
  <c r="F268" i="7"/>
  <c r="B268" i="7"/>
  <c r="C268" i="7"/>
  <c r="E268" i="7"/>
  <c r="G268" i="7" s="1"/>
  <c r="H268" i="7" s="1"/>
  <c r="C269" i="7"/>
  <c r="E270" i="7"/>
  <c r="F277" i="7"/>
  <c r="B277" i="7"/>
  <c r="E277" i="7"/>
  <c r="D277" i="7"/>
  <c r="F278" i="7"/>
  <c r="B278" i="7"/>
  <c r="C278" i="7"/>
  <c r="D278" i="7"/>
  <c r="G278" i="7" s="1"/>
  <c r="H278" i="7" s="1"/>
  <c r="D279" i="7"/>
  <c r="G279" i="7" s="1"/>
  <c r="H279" i="7" s="1"/>
  <c r="D282" i="7"/>
  <c r="G282" i="7" s="1"/>
  <c r="H282" i="7" s="1"/>
  <c r="G283" i="7"/>
  <c r="H283" i="7" s="1"/>
  <c r="F287" i="7"/>
  <c r="B287" i="7"/>
  <c r="E287" i="7"/>
  <c r="G287" i="7" s="1"/>
  <c r="H287" i="7" s="1"/>
  <c r="C287" i="7"/>
  <c r="F290" i="7"/>
  <c r="B290" i="7"/>
  <c r="C290" i="7"/>
  <c r="C291" i="7"/>
  <c r="D292" i="7"/>
  <c r="G292" i="7" s="1"/>
  <c r="H292" i="7" s="1"/>
  <c r="F299" i="7"/>
  <c r="B299" i="7"/>
  <c r="E299" i="7"/>
  <c r="G299" i="7" s="1"/>
  <c r="H299" i="7" s="1"/>
  <c r="F300" i="7"/>
  <c r="B300" i="7"/>
  <c r="C300" i="7"/>
  <c r="E300" i="7"/>
  <c r="G300" i="7" s="1"/>
  <c r="H300" i="7" s="1"/>
  <c r="C301" i="7"/>
  <c r="E302" i="7"/>
  <c r="F309" i="7"/>
  <c r="B309" i="7"/>
  <c r="E309" i="7"/>
  <c r="D309" i="7"/>
  <c r="G309" i="7" s="1"/>
  <c r="H309" i="7" s="1"/>
  <c r="F310" i="7"/>
  <c r="B310" i="7"/>
  <c r="C310" i="7"/>
  <c r="D310" i="7"/>
  <c r="G310" i="7" s="1"/>
  <c r="H310" i="7" s="1"/>
  <c r="D311" i="7"/>
  <c r="G311" i="7" s="1"/>
  <c r="H311" i="7" s="1"/>
  <c r="D314" i="7"/>
  <c r="G314" i="7" s="1"/>
  <c r="H314" i="7" s="1"/>
  <c r="G315" i="7"/>
  <c r="H315" i="7" s="1"/>
  <c r="F319" i="7"/>
  <c r="B319" i="7"/>
  <c r="E319" i="7"/>
  <c r="G319" i="7" s="1"/>
  <c r="H319" i="7" s="1"/>
  <c r="C319" i="7"/>
  <c r="F322" i="7"/>
  <c r="B322" i="7"/>
  <c r="C322" i="7"/>
  <c r="C323" i="7"/>
  <c r="D324" i="7"/>
  <c r="G324" i="7" s="1"/>
  <c r="H324" i="7" s="1"/>
  <c r="F331" i="7"/>
  <c r="B331" i="7"/>
  <c r="E331" i="7"/>
  <c r="G331" i="7" s="1"/>
  <c r="H331" i="7" s="1"/>
  <c r="F332" i="7"/>
  <c r="B332" i="7"/>
  <c r="C332" i="7"/>
  <c r="E332" i="7"/>
  <c r="G332" i="7" s="1"/>
  <c r="H332" i="7" s="1"/>
  <c r="C333" i="7"/>
  <c r="E334" i="7"/>
  <c r="F341" i="7"/>
  <c r="B341" i="7"/>
  <c r="E341" i="7"/>
  <c r="D341" i="7"/>
  <c r="G341" i="7" s="1"/>
  <c r="H341" i="7" s="1"/>
  <c r="F342" i="7"/>
  <c r="B342" i="7"/>
  <c r="C342" i="7"/>
  <c r="D342" i="7"/>
  <c r="G342" i="7" s="1"/>
  <c r="H342" i="7" s="1"/>
  <c r="F346" i="7"/>
  <c r="B346" i="7"/>
  <c r="C346" i="7"/>
  <c r="E346" i="7"/>
  <c r="G346" i="7" s="1"/>
  <c r="H346" i="7" s="1"/>
  <c r="F355" i="7"/>
  <c r="B355" i="7"/>
  <c r="E355" i="7"/>
  <c r="D355" i="7"/>
  <c r="G355" i="7" s="1"/>
  <c r="H355" i="7" s="1"/>
  <c r="F362" i="7"/>
  <c r="B362" i="7"/>
  <c r="C362" i="7"/>
  <c r="E362" i="7"/>
  <c r="G362" i="7" s="1"/>
  <c r="H362" i="7" s="1"/>
  <c r="F371" i="7"/>
  <c r="B371" i="7"/>
  <c r="E371" i="7"/>
  <c r="D371" i="7"/>
  <c r="G371" i="7" s="1"/>
  <c r="H371" i="7" s="1"/>
  <c r="F378" i="7"/>
  <c r="B378" i="7"/>
  <c r="C378" i="7"/>
  <c r="E378" i="7"/>
  <c r="G378" i="7" s="1"/>
  <c r="H378" i="7" s="1"/>
  <c r="F387" i="7"/>
  <c r="B387" i="7"/>
  <c r="E387" i="7"/>
  <c r="D387" i="7"/>
  <c r="G387" i="7" s="1"/>
  <c r="H387" i="7" s="1"/>
  <c r="F394" i="7"/>
  <c r="B394" i="7"/>
  <c r="C394" i="7"/>
  <c r="E394" i="7"/>
  <c r="G394" i="7" s="1"/>
  <c r="H394" i="7" s="1"/>
  <c r="F403" i="7"/>
  <c r="B403" i="7"/>
  <c r="E403" i="7"/>
  <c r="D403" i="7"/>
  <c r="G403" i="7" s="1"/>
  <c r="H403" i="7" s="1"/>
  <c r="F410" i="7"/>
  <c r="B410" i="7"/>
  <c r="C410" i="7"/>
  <c r="E410" i="7"/>
  <c r="G410" i="7" s="1"/>
  <c r="H410" i="7" s="1"/>
  <c r="F419" i="7"/>
  <c r="B419" i="7"/>
  <c r="E419" i="7"/>
  <c r="D419" i="7"/>
  <c r="G419" i="7" s="1"/>
  <c r="H419" i="7" s="1"/>
  <c r="F426" i="7"/>
  <c r="B426" i="7"/>
  <c r="C426" i="7"/>
  <c r="E426" i="7"/>
  <c r="G426" i="7" s="1"/>
  <c r="H426" i="7" s="1"/>
  <c r="F435" i="7"/>
  <c r="B435" i="7"/>
  <c r="E435" i="7"/>
  <c r="D435" i="7"/>
  <c r="G435" i="7" s="1"/>
  <c r="H435" i="7" s="1"/>
  <c r="F442" i="7"/>
  <c r="B442" i="7"/>
  <c r="C442" i="7"/>
  <c r="E442" i="7"/>
  <c r="G442" i="7" s="1"/>
  <c r="H442" i="7" s="1"/>
  <c r="F451" i="7"/>
  <c r="B451" i="7"/>
  <c r="E451" i="7"/>
  <c r="D451" i="7"/>
  <c r="G451" i="7" s="1"/>
  <c r="H451" i="7" s="1"/>
  <c r="F458" i="7"/>
  <c r="B458" i="7"/>
  <c r="C458" i="7"/>
  <c r="E458" i="7"/>
  <c r="G458" i="7" s="1"/>
  <c r="H458" i="7" s="1"/>
  <c r="F467" i="7"/>
  <c r="B467" i="7"/>
  <c r="E467" i="7"/>
  <c r="D467" i="7"/>
  <c r="G467" i="7" s="1"/>
  <c r="H467" i="7" s="1"/>
  <c r="F474" i="7"/>
  <c r="B474" i="7"/>
  <c r="C474" i="7"/>
  <c r="E474" i="7"/>
  <c r="G474" i="7" s="1"/>
  <c r="H474" i="7" s="1"/>
  <c r="F483" i="7"/>
  <c r="B483" i="7"/>
  <c r="E483" i="7"/>
  <c r="D483" i="7"/>
  <c r="G483" i="7" s="1"/>
  <c r="H483" i="7" s="1"/>
  <c r="F490" i="7"/>
  <c r="B490" i="7"/>
  <c r="C490" i="7"/>
  <c r="E490" i="7"/>
  <c r="G490" i="7" s="1"/>
  <c r="H490" i="7" s="1"/>
  <c r="F499" i="7"/>
  <c r="B499" i="7"/>
  <c r="E499" i="7"/>
  <c r="D499" i="7"/>
  <c r="G499" i="7" s="1"/>
  <c r="H499" i="7" s="1"/>
  <c r="F343" i="7"/>
  <c r="B343" i="7"/>
  <c r="E343" i="7"/>
  <c r="G343" i="7" s="1"/>
  <c r="H343" i="7" s="1"/>
  <c r="F350" i="7"/>
  <c r="B350" i="7"/>
  <c r="C350" i="7"/>
  <c r="F351" i="7"/>
  <c r="B351" i="7"/>
  <c r="E351" i="7"/>
  <c r="G351" i="7" s="1"/>
  <c r="H351" i="7" s="1"/>
  <c r="F358" i="7"/>
  <c r="B358" i="7"/>
  <c r="C358" i="7"/>
  <c r="F359" i="7"/>
  <c r="B359" i="7"/>
  <c r="E359" i="7"/>
  <c r="G359" i="7" s="1"/>
  <c r="H359" i="7" s="1"/>
  <c r="F366" i="7"/>
  <c r="B366" i="7"/>
  <c r="C366" i="7"/>
  <c r="F367" i="7"/>
  <c r="B367" i="7"/>
  <c r="E367" i="7"/>
  <c r="G367" i="7" s="1"/>
  <c r="H367" i="7" s="1"/>
  <c r="F374" i="7"/>
  <c r="B374" i="7"/>
  <c r="C374" i="7"/>
  <c r="F375" i="7"/>
  <c r="B375" i="7"/>
  <c r="E375" i="7"/>
  <c r="G375" i="7" s="1"/>
  <c r="H375" i="7" s="1"/>
  <c r="F382" i="7"/>
  <c r="B382" i="7"/>
  <c r="C382" i="7"/>
  <c r="F383" i="7"/>
  <c r="B383" i="7"/>
  <c r="E383" i="7"/>
  <c r="G383" i="7" s="1"/>
  <c r="H383" i="7" s="1"/>
  <c r="F390" i="7"/>
  <c r="B390" i="7"/>
  <c r="C390" i="7"/>
  <c r="F391" i="7"/>
  <c r="B391" i="7"/>
  <c r="E391" i="7"/>
  <c r="G391" i="7" s="1"/>
  <c r="H391" i="7" s="1"/>
  <c r="F398" i="7"/>
  <c r="B398" i="7"/>
  <c r="C398" i="7"/>
  <c r="F399" i="7"/>
  <c r="B399" i="7"/>
  <c r="E399" i="7"/>
  <c r="G399" i="7" s="1"/>
  <c r="H399" i="7" s="1"/>
  <c r="F406" i="7"/>
  <c r="B406" i="7"/>
  <c r="C406" i="7"/>
  <c r="F407" i="7"/>
  <c r="B407" i="7"/>
  <c r="E407" i="7"/>
  <c r="G407" i="7" s="1"/>
  <c r="H407" i="7" s="1"/>
  <c r="F414" i="7"/>
  <c r="B414" i="7"/>
  <c r="C414" i="7"/>
  <c r="F415" i="7"/>
  <c r="B415" i="7"/>
  <c r="E415" i="7"/>
  <c r="G415" i="7" s="1"/>
  <c r="H415" i="7" s="1"/>
  <c r="F422" i="7"/>
  <c r="B422" i="7"/>
  <c r="C422" i="7"/>
  <c r="F423" i="7"/>
  <c r="B423" i="7"/>
  <c r="E423" i="7"/>
  <c r="G423" i="7" s="1"/>
  <c r="H423" i="7" s="1"/>
  <c r="F430" i="7"/>
  <c r="B430" i="7"/>
  <c r="C430" i="7"/>
  <c r="F431" i="7"/>
  <c r="B431" i="7"/>
  <c r="E431" i="7"/>
  <c r="G431" i="7" s="1"/>
  <c r="H431" i="7" s="1"/>
  <c r="F438" i="7"/>
  <c r="B438" i="7"/>
  <c r="C438" i="7"/>
  <c r="F439" i="7"/>
  <c r="B439" i="7"/>
  <c r="E439" i="7"/>
  <c r="G439" i="7" s="1"/>
  <c r="H439" i="7" s="1"/>
  <c r="F446" i="7"/>
  <c r="B446" i="7"/>
  <c r="C446" i="7"/>
  <c r="F447" i="7"/>
  <c r="B447" i="7"/>
  <c r="E447" i="7"/>
  <c r="G447" i="7" s="1"/>
  <c r="H447" i="7" s="1"/>
  <c r="F454" i="7"/>
  <c r="B454" i="7"/>
  <c r="C454" i="7"/>
  <c r="F455" i="7"/>
  <c r="B455" i="7"/>
  <c r="E455" i="7"/>
  <c r="G455" i="7" s="1"/>
  <c r="H455" i="7" s="1"/>
  <c r="F462" i="7"/>
  <c r="B462" i="7"/>
  <c r="C462" i="7"/>
  <c r="F463" i="7"/>
  <c r="B463" i="7"/>
  <c r="E463" i="7"/>
  <c r="G463" i="7" s="1"/>
  <c r="H463" i="7" s="1"/>
  <c r="F470" i="7"/>
  <c r="B470" i="7"/>
  <c r="C470" i="7"/>
  <c r="F471" i="7"/>
  <c r="B471" i="7"/>
  <c r="E471" i="7"/>
  <c r="G471" i="7" s="1"/>
  <c r="H471" i="7" s="1"/>
  <c r="F478" i="7"/>
  <c r="B478" i="7"/>
  <c r="C478" i="7"/>
  <c r="F479" i="7"/>
  <c r="B479" i="7"/>
  <c r="E479" i="7"/>
  <c r="G479" i="7" s="1"/>
  <c r="H479" i="7" s="1"/>
  <c r="F486" i="7"/>
  <c r="B486" i="7"/>
  <c r="C486" i="7"/>
  <c r="F487" i="7"/>
  <c r="B487" i="7"/>
  <c r="E487" i="7"/>
  <c r="G487" i="7" s="1"/>
  <c r="H487" i="7" s="1"/>
  <c r="F494" i="7"/>
  <c r="B494" i="7"/>
  <c r="C494" i="7"/>
  <c r="F495" i="7"/>
  <c r="B495" i="7"/>
  <c r="E495" i="7"/>
  <c r="G495" i="7" s="1"/>
  <c r="H495" i="7" s="1"/>
  <c r="C501" i="7"/>
  <c r="C2" i="10"/>
  <c r="K2" i="10"/>
  <c r="L3" i="10"/>
  <c r="G4" i="10"/>
  <c r="M9" i="10"/>
  <c r="M11" i="10"/>
  <c r="M15" i="10"/>
  <c r="I16" i="10"/>
  <c r="J18" i="10"/>
  <c r="F18" i="10"/>
  <c r="B18" i="10"/>
  <c r="L18" i="10"/>
  <c r="H18" i="10"/>
  <c r="D18" i="10"/>
  <c r="E18" i="10" s="1"/>
  <c r="M18" i="10" s="1"/>
  <c r="K18" i="10"/>
  <c r="C18" i="10"/>
  <c r="J22" i="10"/>
  <c r="F22" i="10"/>
  <c r="B22" i="10"/>
  <c r="L22" i="10"/>
  <c r="H22" i="10"/>
  <c r="D22" i="10"/>
  <c r="E22" i="10" s="1"/>
  <c r="M22" i="10" s="1"/>
  <c r="G22" i="10"/>
  <c r="L28" i="10"/>
  <c r="H28" i="10"/>
  <c r="D28" i="10"/>
  <c r="E28" i="10" s="1"/>
  <c r="M28" i="10" s="1"/>
  <c r="J28" i="10"/>
  <c r="F28" i="10"/>
  <c r="B28" i="10"/>
  <c r="G28" i="10"/>
  <c r="K28" i="10"/>
  <c r="C28" i="10"/>
  <c r="F123" i="7"/>
  <c r="F125" i="7"/>
  <c r="F127" i="7"/>
  <c r="F129" i="7"/>
  <c r="F131" i="7"/>
  <c r="F133" i="7"/>
  <c r="F135" i="7"/>
  <c r="F137" i="7"/>
  <c r="F139" i="7"/>
  <c r="F141" i="7"/>
  <c r="F143" i="7"/>
  <c r="F145" i="7"/>
  <c r="F147" i="7"/>
  <c r="F149" i="7"/>
  <c r="F151" i="7"/>
  <c r="F153" i="7"/>
  <c r="F155" i="7"/>
  <c r="F157" i="7"/>
  <c r="F159" i="7"/>
  <c r="F161" i="7"/>
  <c r="F163" i="7"/>
  <c r="F165" i="7"/>
  <c r="F167" i="7"/>
  <c r="F169" i="7"/>
  <c r="F171" i="7"/>
  <c r="F173" i="7"/>
  <c r="F175" i="7"/>
  <c r="F177" i="7"/>
  <c r="F179" i="7"/>
  <c r="F181" i="7"/>
  <c r="F183" i="7"/>
  <c r="F185" i="7"/>
  <c r="F187" i="7"/>
  <c r="F189" i="7"/>
  <c r="F191" i="7"/>
  <c r="F193" i="7"/>
  <c r="F195" i="7"/>
  <c r="F197" i="7"/>
  <c r="F199" i="7"/>
  <c r="F201" i="7"/>
  <c r="F203" i="7"/>
  <c r="F205" i="7"/>
  <c r="F207" i="7"/>
  <c r="F209" i="7"/>
  <c r="F211" i="7"/>
  <c r="F213" i="7"/>
  <c r="F215" i="7"/>
  <c r="F217" i="7"/>
  <c r="F219" i="7"/>
  <c r="F221" i="7"/>
  <c r="F223" i="7"/>
  <c r="F225" i="7"/>
  <c r="F227" i="7"/>
  <c r="F229" i="7"/>
  <c r="F231" i="7"/>
  <c r="F233" i="7"/>
  <c r="F235" i="7"/>
  <c r="F237" i="7"/>
  <c r="F239" i="7"/>
  <c r="F241" i="7"/>
  <c r="F243" i="7"/>
  <c r="F245" i="7"/>
  <c r="F247" i="7"/>
  <c r="F249" i="7"/>
  <c r="F251" i="7"/>
  <c r="F253" i="7"/>
  <c r="F255" i="7"/>
  <c r="F257" i="7"/>
  <c r="B257" i="7"/>
  <c r="E257" i="7"/>
  <c r="G257" i="7" s="1"/>
  <c r="H257" i="7" s="1"/>
  <c r="F264" i="7"/>
  <c r="B264" i="7"/>
  <c r="C264" i="7"/>
  <c r="F265" i="7"/>
  <c r="B265" i="7"/>
  <c r="E265" i="7"/>
  <c r="G265" i="7" s="1"/>
  <c r="H265" i="7" s="1"/>
  <c r="F272" i="7"/>
  <c r="B272" i="7"/>
  <c r="C272" i="7"/>
  <c r="F273" i="7"/>
  <c r="B273" i="7"/>
  <c r="E273" i="7"/>
  <c r="G273" i="7" s="1"/>
  <c r="H273" i="7" s="1"/>
  <c r="F280" i="7"/>
  <c r="B280" i="7"/>
  <c r="C280" i="7"/>
  <c r="F281" i="7"/>
  <c r="B281" i="7"/>
  <c r="E281" i="7"/>
  <c r="G281" i="7" s="1"/>
  <c r="H281" i="7" s="1"/>
  <c r="F288" i="7"/>
  <c r="B288" i="7"/>
  <c r="C288" i="7"/>
  <c r="F289" i="7"/>
  <c r="B289" i="7"/>
  <c r="E289" i="7"/>
  <c r="G289" i="7" s="1"/>
  <c r="H289" i="7" s="1"/>
  <c r="F296" i="7"/>
  <c r="B296" i="7"/>
  <c r="C296" i="7"/>
  <c r="F297" i="7"/>
  <c r="B297" i="7"/>
  <c r="E297" i="7"/>
  <c r="G297" i="7" s="1"/>
  <c r="H297" i="7" s="1"/>
  <c r="F304" i="7"/>
  <c r="B304" i="7"/>
  <c r="C304" i="7"/>
  <c r="F305" i="7"/>
  <c r="B305" i="7"/>
  <c r="E305" i="7"/>
  <c r="G305" i="7" s="1"/>
  <c r="H305" i="7" s="1"/>
  <c r="F312" i="7"/>
  <c r="B312" i="7"/>
  <c r="C312" i="7"/>
  <c r="F313" i="7"/>
  <c r="B313" i="7"/>
  <c r="E313" i="7"/>
  <c r="G313" i="7" s="1"/>
  <c r="H313" i="7" s="1"/>
  <c r="F320" i="7"/>
  <c r="B320" i="7"/>
  <c r="C320" i="7"/>
  <c r="F321" i="7"/>
  <c r="B321" i="7"/>
  <c r="E321" i="7"/>
  <c r="G321" i="7" s="1"/>
  <c r="H321" i="7" s="1"/>
  <c r="F328" i="7"/>
  <c r="B328" i="7"/>
  <c r="C328" i="7"/>
  <c r="F329" i="7"/>
  <c r="B329" i="7"/>
  <c r="E329" i="7"/>
  <c r="G329" i="7" s="1"/>
  <c r="H329" i="7" s="1"/>
  <c r="F336" i="7"/>
  <c r="B336" i="7"/>
  <c r="C336" i="7"/>
  <c r="F337" i="7"/>
  <c r="B337" i="7"/>
  <c r="E337" i="7"/>
  <c r="G337" i="7" s="1"/>
  <c r="H337" i="7" s="1"/>
  <c r="C343" i="7"/>
  <c r="F344" i="7"/>
  <c r="B344" i="7"/>
  <c r="C344" i="7"/>
  <c r="F345" i="7"/>
  <c r="B345" i="7"/>
  <c r="E345" i="7"/>
  <c r="G345" i="7" s="1"/>
  <c r="H345" i="7" s="1"/>
  <c r="D350" i="7"/>
  <c r="G350" i="7" s="1"/>
  <c r="H350" i="7" s="1"/>
  <c r="C351" i="7"/>
  <c r="F352" i="7"/>
  <c r="B352" i="7"/>
  <c r="C352" i="7"/>
  <c r="F353" i="7"/>
  <c r="B353" i="7"/>
  <c r="E353" i="7"/>
  <c r="G353" i="7" s="1"/>
  <c r="H353" i="7" s="1"/>
  <c r="D358" i="7"/>
  <c r="G358" i="7" s="1"/>
  <c r="H358" i="7" s="1"/>
  <c r="C359" i="7"/>
  <c r="F360" i="7"/>
  <c r="B360" i="7"/>
  <c r="C360" i="7"/>
  <c r="F361" i="7"/>
  <c r="B361" i="7"/>
  <c r="E361" i="7"/>
  <c r="G361" i="7" s="1"/>
  <c r="H361" i="7" s="1"/>
  <c r="D366" i="7"/>
  <c r="G366" i="7" s="1"/>
  <c r="H366" i="7" s="1"/>
  <c r="C367" i="7"/>
  <c r="F368" i="7"/>
  <c r="B368" i="7"/>
  <c r="C368" i="7"/>
  <c r="F369" i="7"/>
  <c r="B369" i="7"/>
  <c r="E369" i="7"/>
  <c r="G369" i="7" s="1"/>
  <c r="H369" i="7" s="1"/>
  <c r="D374" i="7"/>
  <c r="G374" i="7" s="1"/>
  <c r="H374" i="7" s="1"/>
  <c r="C375" i="7"/>
  <c r="F376" i="7"/>
  <c r="B376" i="7"/>
  <c r="C376" i="7"/>
  <c r="F377" i="7"/>
  <c r="B377" i="7"/>
  <c r="E377" i="7"/>
  <c r="G377" i="7" s="1"/>
  <c r="H377" i="7" s="1"/>
  <c r="D382" i="7"/>
  <c r="G382" i="7" s="1"/>
  <c r="H382" i="7" s="1"/>
  <c r="C383" i="7"/>
  <c r="F384" i="7"/>
  <c r="B384" i="7"/>
  <c r="C384" i="7"/>
  <c r="F385" i="7"/>
  <c r="B385" i="7"/>
  <c r="E385" i="7"/>
  <c r="G385" i="7" s="1"/>
  <c r="H385" i="7" s="1"/>
  <c r="D390" i="7"/>
  <c r="G390" i="7" s="1"/>
  <c r="H390" i="7" s="1"/>
  <c r="C391" i="7"/>
  <c r="F392" i="7"/>
  <c r="B392" i="7"/>
  <c r="C392" i="7"/>
  <c r="F393" i="7"/>
  <c r="B393" i="7"/>
  <c r="E393" i="7"/>
  <c r="G393" i="7" s="1"/>
  <c r="H393" i="7" s="1"/>
  <c r="D398" i="7"/>
  <c r="G398" i="7" s="1"/>
  <c r="H398" i="7" s="1"/>
  <c r="C399" i="7"/>
  <c r="F400" i="7"/>
  <c r="B400" i="7"/>
  <c r="C400" i="7"/>
  <c r="F401" i="7"/>
  <c r="B401" i="7"/>
  <c r="E401" i="7"/>
  <c r="G401" i="7" s="1"/>
  <c r="H401" i="7" s="1"/>
  <c r="D406" i="7"/>
  <c r="G406" i="7" s="1"/>
  <c r="H406" i="7" s="1"/>
  <c r="C407" i="7"/>
  <c r="F408" i="7"/>
  <c r="B408" i="7"/>
  <c r="C408" i="7"/>
  <c r="F409" i="7"/>
  <c r="B409" i="7"/>
  <c r="E409" i="7"/>
  <c r="G409" i="7" s="1"/>
  <c r="H409" i="7" s="1"/>
  <c r="D414" i="7"/>
  <c r="G414" i="7" s="1"/>
  <c r="H414" i="7" s="1"/>
  <c r="C415" i="7"/>
  <c r="F416" i="7"/>
  <c r="B416" i="7"/>
  <c r="C416" i="7"/>
  <c r="F417" i="7"/>
  <c r="B417" i="7"/>
  <c r="E417" i="7"/>
  <c r="G417" i="7" s="1"/>
  <c r="H417" i="7" s="1"/>
  <c r="D422" i="7"/>
  <c r="G422" i="7" s="1"/>
  <c r="H422" i="7" s="1"/>
  <c r="C423" i="7"/>
  <c r="F424" i="7"/>
  <c r="B424" i="7"/>
  <c r="C424" i="7"/>
  <c r="F425" i="7"/>
  <c r="B425" i="7"/>
  <c r="E425" i="7"/>
  <c r="G425" i="7" s="1"/>
  <c r="H425" i="7" s="1"/>
  <c r="D430" i="7"/>
  <c r="G430" i="7" s="1"/>
  <c r="H430" i="7" s="1"/>
  <c r="C431" i="7"/>
  <c r="F432" i="7"/>
  <c r="B432" i="7"/>
  <c r="C432" i="7"/>
  <c r="F433" i="7"/>
  <c r="B433" i="7"/>
  <c r="E433" i="7"/>
  <c r="G433" i="7" s="1"/>
  <c r="H433" i="7" s="1"/>
  <c r="D438" i="7"/>
  <c r="G438" i="7" s="1"/>
  <c r="H438" i="7" s="1"/>
  <c r="C439" i="7"/>
  <c r="F440" i="7"/>
  <c r="B440" i="7"/>
  <c r="C440" i="7"/>
  <c r="F441" i="7"/>
  <c r="B441" i="7"/>
  <c r="E441" i="7"/>
  <c r="G441" i="7" s="1"/>
  <c r="H441" i="7" s="1"/>
  <c r="D446" i="7"/>
  <c r="G446" i="7" s="1"/>
  <c r="H446" i="7" s="1"/>
  <c r="C447" i="7"/>
  <c r="F448" i="7"/>
  <c r="B448" i="7"/>
  <c r="C448" i="7"/>
  <c r="F449" i="7"/>
  <c r="B449" i="7"/>
  <c r="E449" i="7"/>
  <c r="G449" i="7" s="1"/>
  <c r="H449" i="7" s="1"/>
  <c r="D454" i="7"/>
  <c r="G454" i="7" s="1"/>
  <c r="H454" i="7" s="1"/>
  <c r="C455" i="7"/>
  <c r="F456" i="7"/>
  <c r="B456" i="7"/>
  <c r="C456" i="7"/>
  <c r="F457" i="7"/>
  <c r="B457" i="7"/>
  <c r="E457" i="7"/>
  <c r="G457" i="7" s="1"/>
  <c r="H457" i="7" s="1"/>
  <c r="D462" i="7"/>
  <c r="G462" i="7" s="1"/>
  <c r="H462" i="7" s="1"/>
  <c r="C463" i="7"/>
  <c r="F464" i="7"/>
  <c r="B464" i="7"/>
  <c r="C464" i="7"/>
  <c r="F465" i="7"/>
  <c r="B465" i="7"/>
  <c r="E465" i="7"/>
  <c r="G465" i="7" s="1"/>
  <c r="H465" i="7" s="1"/>
  <c r="D470" i="7"/>
  <c r="G470" i="7" s="1"/>
  <c r="H470" i="7" s="1"/>
  <c r="C471" i="7"/>
  <c r="F472" i="7"/>
  <c r="B472" i="7"/>
  <c r="C472" i="7"/>
  <c r="F473" i="7"/>
  <c r="B473" i="7"/>
  <c r="E473" i="7"/>
  <c r="G473" i="7" s="1"/>
  <c r="H473" i="7" s="1"/>
  <c r="D478" i="7"/>
  <c r="G478" i="7" s="1"/>
  <c r="H478" i="7" s="1"/>
  <c r="C479" i="7"/>
  <c r="F480" i="7"/>
  <c r="B480" i="7"/>
  <c r="C480" i="7"/>
  <c r="F481" i="7"/>
  <c r="B481" i="7"/>
  <c r="E481" i="7"/>
  <c r="G481" i="7" s="1"/>
  <c r="H481" i="7" s="1"/>
  <c r="D486" i="7"/>
  <c r="G486" i="7" s="1"/>
  <c r="H486" i="7" s="1"/>
  <c r="C487" i="7"/>
  <c r="F488" i="7"/>
  <c r="B488" i="7"/>
  <c r="C488" i="7"/>
  <c r="F489" i="7"/>
  <c r="B489" i="7"/>
  <c r="E489" i="7"/>
  <c r="G489" i="7" s="1"/>
  <c r="H489" i="7" s="1"/>
  <c r="D494" i="7"/>
  <c r="G494" i="7" s="1"/>
  <c r="H494" i="7" s="1"/>
  <c r="C495" i="7"/>
  <c r="F496" i="7"/>
  <c r="B496" i="7"/>
  <c r="C496" i="7"/>
  <c r="F497" i="7"/>
  <c r="B497" i="7"/>
  <c r="E497" i="7"/>
  <c r="G497" i="7" s="1"/>
  <c r="H497" i="7" s="1"/>
  <c r="F2" i="10"/>
  <c r="J4" i="10"/>
  <c r="F4" i="10"/>
  <c r="B4" i="10"/>
  <c r="K4" i="10"/>
  <c r="H4" i="10"/>
  <c r="M5" i="10"/>
  <c r="B12" i="11"/>
  <c r="B5" i="11"/>
  <c r="B4" i="11"/>
  <c r="B14" i="11"/>
  <c r="B17" i="11"/>
  <c r="B13" i="11"/>
  <c r="H2" i="10"/>
  <c r="D2" i="10"/>
  <c r="E2" i="10" s="1"/>
  <c r="J2" i="10"/>
  <c r="B16" i="11" s="1"/>
  <c r="G2" i="10"/>
  <c r="K3" i="10"/>
  <c r="G3" i="10"/>
  <c r="C3" i="10"/>
  <c r="H3" i="10"/>
  <c r="B3" i="10"/>
  <c r="I3" i="10"/>
  <c r="J6" i="10"/>
  <c r="F6" i="10"/>
  <c r="B6" i="10"/>
  <c r="L6" i="10"/>
  <c r="H6" i="10"/>
  <c r="D6" i="10"/>
  <c r="E6" i="10" s="1"/>
  <c r="G6" i="10"/>
  <c r="K6" i="10"/>
  <c r="M13" i="10"/>
  <c r="L16" i="10"/>
  <c r="H16" i="10"/>
  <c r="D16" i="10"/>
  <c r="E16" i="10" s="1"/>
  <c r="M16" i="10" s="1"/>
  <c r="J16" i="10"/>
  <c r="F16" i="10"/>
  <c r="B16" i="10"/>
  <c r="G16" i="10"/>
  <c r="F501" i="7"/>
  <c r="B501" i="7"/>
  <c r="E501" i="7"/>
  <c r="G501" i="7" s="1"/>
  <c r="H501" i="7" s="1"/>
  <c r="B2" i="10"/>
  <c r="I2" i="10"/>
  <c r="B15" i="11" s="1"/>
  <c r="D3" i="10"/>
  <c r="E3" i="10" s="1"/>
  <c r="M3" i="10" s="1"/>
  <c r="J3" i="10"/>
  <c r="D4" i="10"/>
  <c r="E4" i="10" s="1"/>
  <c r="M4" i="10" s="1"/>
  <c r="L4" i="10"/>
  <c r="C6" i="10"/>
  <c r="M6" i="10"/>
  <c r="L8" i="10"/>
  <c r="H8" i="10"/>
  <c r="D8" i="10"/>
  <c r="E8" i="10" s="1"/>
  <c r="M8" i="10" s="1"/>
  <c r="J8" i="10"/>
  <c r="F8" i="10"/>
  <c r="B8" i="10"/>
  <c r="K8" i="10"/>
  <c r="C8" i="10"/>
  <c r="L12" i="10"/>
  <c r="H12" i="10"/>
  <c r="D12" i="10"/>
  <c r="E12" i="10" s="1"/>
  <c r="J12" i="10"/>
  <c r="F12" i="10"/>
  <c r="B12" i="10"/>
  <c r="M12" i="10"/>
  <c r="K12" i="10"/>
  <c r="C12" i="10"/>
  <c r="C16" i="10"/>
  <c r="M19" i="10"/>
  <c r="M25" i="10"/>
  <c r="L66" i="10"/>
  <c r="H66" i="10"/>
  <c r="D66" i="10"/>
  <c r="E66" i="10" s="1"/>
  <c r="J66" i="10"/>
  <c r="F66" i="10"/>
  <c r="B66" i="10"/>
  <c r="G66" i="10"/>
  <c r="M66" i="10"/>
  <c r="K66" i="10"/>
  <c r="C66" i="10"/>
  <c r="L82" i="10"/>
  <c r="H82" i="10"/>
  <c r="D82" i="10"/>
  <c r="E82" i="10" s="1"/>
  <c r="J82" i="10"/>
  <c r="F82" i="10"/>
  <c r="B82" i="10"/>
  <c r="G82" i="10"/>
  <c r="M82" i="10"/>
  <c r="K82" i="10"/>
  <c r="C82" i="10"/>
  <c r="L98" i="10"/>
  <c r="H98" i="10"/>
  <c r="D98" i="10"/>
  <c r="E98" i="10" s="1"/>
  <c r="J98" i="10"/>
  <c r="F98" i="10"/>
  <c r="B98" i="10"/>
  <c r="G98" i="10"/>
  <c r="M98" i="10"/>
  <c r="K98" i="10"/>
  <c r="C98" i="10"/>
  <c r="L114" i="10"/>
  <c r="H114" i="10"/>
  <c r="D114" i="10"/>
  <c r="E114" i="10" s="1"/>
  <c r="J114" i="10"/>
  <c r="F114" i="10"/>
  <c r="B114" i="10"/>
  <c r="G114" i="10"/>
  <c r="M114" i="10"/>
  <c r="K114" i="10"/>
  <c r="C114" i="10"/>
  <c r="L210" i="10"/>
  <c r="H210" i="10"/>
  <c r="D210" i="10"/>
  <c r="E210" i="10" s="1"/>
  <c r="J210" i="10"/>
  <c r="M210" i="10"/>
  <c r="F210" i="10"/>
  <c r="K210" i="10"/>
  <c r="C210" i="10"/>
  <c r="I210" i="10"/>
  <c r="B210" i="10"/>
  <c r="G210" i="10"/>
  <c r="K284" i="10"/>
  <c r="G284" i="10"/>
  <c r="C284" i="10"/>
  <c r="I284" i="10"/>
  <c r="D284" i="10"/>
  <c r="E284" i="10" s="1"/>
  <c r="L284" i="10"/>
  <c r="H284" i="10"/>
  <c r="F284" i="10"/>
  <c r="M284" i="10"/>
  <c r="B284" i="10"/>
  <c r="J284" i="10"/>
  <c r="J347" i="10"/>
  <c r="F347" i="10"/>
  <c r="B347" i="10"/>
  <c r="K347" i="10"/>
  <c r="M347" i="10"/>
  <c r="G347" i="10"/>
  <c r="I347" i="10"/>
  <c r="C347" i="10"/>
  <c r="L347" i="10"/>
  <c r="H347" i="10"/>
  <c r="D347" i="10"/>
  <c r="E347" i="10" s="1"/>
  <c r="K427" i="10"/>
  <c r="G427" i="10"/>
  <c r="C427" i="10"/>
  <c r="I427" i="10"/>
  <c r="D427" i="10"/>
  <c r="E427" i="10" s="1"/>
  <c r="M427" i="10"/>
  <c r="H427" i="10"/>
  <c r="B427" i="10"/>
  <c r="F427" i="10"/>
  <c r="L427" i="10"/>
  <c r="J427" i="10"/>
  <c r="J14" i="10"/>
  <c r="F14" i="10"/>
  <c r="B14" i="10"/>
  <c r="L14" i="10"/>
  <c r="H14" i="10"/>
  <c r="D14" i="10"/>
  <c r="E14" i="10" s="1"/>
  <c r="M14" i="10" s="1"/>
  <c r="I14" i="10"/>
  <c r="M21" i="10"/>
  <c r="L24" i="10"/>
  <c r="H24" i="10"/>
  <c r="D24" i="10"/>
  <c r="E24" i="10" s="1"/>
  <c r="J24" i="10"/>
  <c r="F24" i="10"/>
  <c r="B24" i="10"/>
  <c r="I24" i="10"/>
  <c r="M27" i="10"/>
  <c r="J30" i="10"/>
  <c r="F30" i="10"/>
  <c r="B30" i="10"/>
  <c r="L30" i="10"/>
  <c r="H30" i="10"/>
  <c r="D30" i="10"/>
  <c r="E30" i="10" s="1"/>
  <c r="M30" i="10" s="1"/>
  <c r="I30" i="10"/>
  <c r="I66" i="10"/>
  <c r="I82" i="10"/>
  <c r="I98" i="10"/>
  <c r="I114" i="10"/>
  <c r="J232" i="10"/>
  <c r="F232" i="10"/>
  <c r="B232" i="10"/>
  <c r="K232" i="10"/>
  <c r="M232" i="10"/>
  <c r="G232" i="10"/>
  <c r="L232" i="10"/>
  <c r="D232" i="10"/>
  <c r="E232" i="10" s="1"/>
  <c r="I232" i="10"/>
  <c r="C232" i="10"/>
  <c r="H232" i="10"/>
  <c r="M7" i="10"/>
  <c r="J10" i="10"/>
  <c r="F10" i="10"/>
  <c r="B10" i="10"/>
  <c r="L10" i="10"/>
  <c r="H10" i="10"/>
  <c r="D10" i="10"/>
  <c r="E10" i="10" s="1"/>
  <c r="M10" i="10" s="1"/>
  <c r="I10" i="10"/>
  <c r="C14" i="10"/>
  <c r="K14" i="10"/>
  <c r="M17" i="10"/>
  <c r="L20" i="10"/>
  <c r="H20" i="10"/>
  <c r="D20" i="10"/>
  <c r="E20" i="10" s="1"/>
  <c r="M20" i="10" s="1"/>
  <c r="J20" i="10"/>
  <c r="F20" i="10"/>
  <c r="B20" i="10"/>
  <c r="I20" i="10"/>
  <c r="M23" i="10"/>
  <c r="C24" i="10"/>
  <c r="K24" i="10"/>
  <c r="J26" i="10"/>
  <c r="F26" i="10"/>
  <c r="B26" i="10"/>
  <c r="L26" i="10"/>
  <c r="H26" i="10"/>
  <c r="D26" i="10"/>
  <c r="E26" i="10" s="1"/>
  <c r="M26" i="10" s="1"/>
  <c r="I26" i="10"/>
  <c r="C30" i="10"/>
  <c r="K30" i="10"/>
  <c r="J72" i="10"/>
  <c r="F72" i="10"/>
  <c r="B72" i="10"/>
  <c r="L72" i="10"/>
  <c r="H72" i="10"/>
  <c r="D72" i="10"/>
  <c r="E72" i="10" s="1"/>
  <c r="G72" i="10"/>
  <c r="M72" i="10"/>
  <c r="K72" i="10"/>
  <c r="C72" i="10"/>
  <c r="J88" i="10"/>
  <c r="F88" i="10"/>
  <c r="B88" i="10"/>
  <c r="L88" i="10"/>
  <c r="H88" i="10"/>
  <c r="D88" i="10"/>
  <c r="E88" i="10" s="1"/>
  <c r="G88" i="10"/>
  <c r="M88" i="10"/>
  <c r="K88" i="10"/>
  <c r="C88" i="10"/>
  <c r="J104" i="10"/>
  <c r="F104" i="10"/>
  <c r="B104" i="10"/>
  <c r="L104" i="10"/>
  <c r="H104" i="10"/>
  <c r="D104" i="10"/>
  <c r="E104" i="10" s="1"/>
  <c r="G104" i="10"/>
  <c r="M104" i="10"/>
  <c r="K104" i="10"/>
  <c r="C104" i="10"/>
  <c r="J120" i="10"/>
  <c r="F120" i="10"/>
  <c r="B120" i="10"/>
  <c r="L120" i="10"/>
  <c r="H120" i="10"/>
  <c r="D120" i="10"/>
  <c r="E120" i="10" s="1"/>
  <c r="G120" i="10"/>
  <c r="M120" i="10"/>
  <c r="K120" i="10"/>
  <c r="C120" i="10"/>
  <c r="L134" i="10"/>
  <c r="H134" i="10"/>
  <c r="D134" i="10"/>
  <c r="E134" i="10" s="1"/>
  <c r="K134" i="10"/>
  <c r="G134" i="10"/>
  <c r="C134" i="10"/>
  <c r="J134" i="10"/>
  <c r="F134" i="10"/>
  <c r="B134" i="10"/>
  <c r="M134" i="10"/>
  <c r="I134" i="10"/>
  <c r="L150" i="10"/>
  <c r="H150" i="10"/>
  <c r="D150" i="10"/>
  <c r="E150" i="10" s="1"/>
  <c r="K150" i="10"/>
  <c r="G150" i="10"/>
  <c r="C150" i="10"/>
  <c r="J150" i="10"/>
  <c r="F150" i="10"/>
  <c r="B150" i="10"/>
  <c r="M150" i="10"/>
  <c r="I150" i="10"/>
  <c r="L166" i="10"/>
  <c r="H166" i="10"/>
  <c r="D166" i="10"/>
  <c r="E166" i="10" s="1"/>
  <c r="K166" i="10"/>
  <c r="G166" i="10"/>
  <c r="C166" i="10"/>
  <c r="J166" i="10"/>
  <c r="F166" i="10"/>
  <c r="B166" i="10"/>
  <c r="M166" i="10"/>
  <c r="I166" i="10"/>
  <c r="M29" i="10"/>
  <c r="I5" i="10"/>
  <c r="C7" i="10"/>
  <c r="G7" i="10"/>
  <c r="K7" i="10"/>
  <c r="I9" i="10"/>
  <c r="C11" i="10"/>
  <c r="G11" i="10"/>
  <c r="K11" i="10"/>
  <c r="I13" i="10"/>
  <c r="C15" i="10"/>
  <c r="G15" i="10"/>
  <c r="K15" i="10"/>
  <c r="I17" i="10"/>
  <c r="C19" i="10"/>
  <c r="G19" i="10"/>
  <c r="K19" i="10"/>
  <c r="I21" i="10"/>
  <c r="C23" i="10"/>
  <c r="G23" i="10"/>
  <c r="K23" i="10"/>
  <c r="I25" i="10"/>
  <c r="C27" i="10"/>
  <c r="G27" i="10"/>
  <c r="K27" i="10"/>
  <c r="I29" i="10"/>
  <c r="L32" i="10"/>
  <c r="H32" i="10"/>
  <c r="D32" i="10"/>
  <c r="E32" i="10" s="1"/>
  <c r="M32" i="10" s="1"/>
  <c r="F32" i="10"/>
  <c r="K32" i="10"/>
  <c r="D33" i="10"/>
  <c r="E33" i="10" s="1"/>
  <c r="J34" i="10"/>
  <c r="F34" i="10"/>
  <c r="B34" i="10"/>
  <c r="G34" i="10"/>
  <c r="L34" i="10"/>
  <c r="M34" i="10" s="1"/>
  <c r="L36" i="10"/>
  <c r="H36" i="10"/>
  <c r="D36" i="10"/>
  <c r="E36" i="10" s="1"/>
  <c r="F36" i="10"/>
  <c r="K36" i="10"/>
  <c r="D37" i="10"/>
  <c r="E37" i="10" s="1"/>
  <c r="J38" i="10"/>
  <c r="F38" i="10"/>
  <c r="B38" i="10"/>
  <c r="G38" i="10"/>
  <c r="L38" i="10"/>
  <c r="M38" i="10" s="1"/>
  <c r="L40" i="10"/>
  <c r="H40" i="10"/>
  <c r="D40" i="10"/>
  <c r="E40" i="10" s="1"/>
  <c r="F40" i="10"/>
  <c r="K40" i="10"/>
  <c r="D41" i="10"/>
  <c r="E41" i="10" s="1"/>
  <c r="J42" i="10"/>
  <c r="F42" i="10"/>
  <c r="B42" i="10"/>
  <c r="G42" i="10"/>
  <c r="L42" i="10"/>
  <c r="M42" i="10" s="1"/>
  <c r="L44" i="10"/>
  <c r="H44" i="10"/>
  <c r="D44" i="10"/>
  <c r="E44" i="10" s="1"/>
  <c r="M44" i="10" s="1"/>
  <c r="F44" i="10"/>
  <c r="K44" i="10"/>
  <c r="D45" i="10"/>
  <c r="E45" i="10" s="1"/>
  <c r="J46" i="10"/>
  <c r="F46" i="10"/>
  <c r="B46" i="10"/>
  <c r="G46" i="10"/>
  <c r="L46" i="10"/>
  <c r="M46" i="10" s="1"/>
  <c r="L48" i="10"/>
  <c r="H48" i="10"/>
  <c r="D48" i="10"/>
  <c r="E48" i="10" s="1"/>
  <c r="M48" i="10" s="1"/>
  <c r="F48" i="10"/>
  <c r="K48" i="10"/>
  <c r="D49" i="10"/>
  <c r="E49" i="10" s="1"/>
  <c r="J50" i="10"/>
  <c r="F50" i="10"/>
  <c r="B50" i="10"/>
  <c r="G50" i="10"/>
  <c r="L50" i="10"/>
  <c r="M50" i="10" s="1"/>
  <c r="L52" i="10"/>
  <c r="H52" i="10"/>
  <c r="D52" i="10"/>
  <c r="E52" i="10" s="1"/>
  <c r="F52" i="10"/>
  <c r="K52" i="10"/>
  <c r="J54" i="10"/>
  <c r="F54" i="10"/>
  <c r="B54" i="10"/>
  <c r="G54" i="10"/>
  <c r="L54" i="10"/>
  <c r="L56" i="10"/>
  <c r="H56" i="10"/>
  <c r="D56" i="10"/>
  <c r="E56" i="10" s="1"/>
  <c r="M56" i="10" s="1"/>
  <c r="F56" i="10"/>
  <c r="K56" i="10"/>
  <c r="J58" i="10"/>
  <c r="F58" i="10"/>
  <c r="B58" i="10"/>
  <c r="G58" i="10"/>
  <c r="L58" i="10"/>
  <c r="L60" i="10"/>
  <c r="H60" i="10"/>
  <c r="D60" i="10"/>
  <c r="E60" i="10" s="1"/>
  <c r="F60" i="10"/>
  <c r="K60" i="10"/>
  <c r="J62" i="10"/>
  <c r="F62" i="10"/>
  <c r="B62" i="10"/>
  <c r="G62" i="10"/>
  <c r="L62" i="10"/>
  <c r="L64" i="10"/>
  <c r="H64" i="10"/>
  <c r="D64" i="10"/>
  <c r="E64" i="10" s="1"/>
  <c r="F64" i="10"/>
  <c r="K64" i="10"/>
  <c r="J68" i="10"/>
  <c r="F68" i="10"/>
  <c r="B68" i="10"/>
  <c r="L68" i="10"/>
  <c r="H68" i="10"/>
  <c r="D68" i="10"/>
  <c r="E68" i="10" s="1"/>
  <c r="I68" i="10"/>
  <c r="L78" i="10"/>
  <c r="H78" i="10"/>
  <c r="D78" i="10"/>
  <c r="E78" i="10" s="1"/>
  <c r="J78" i="10"/>
  <c r="F78" i="10"/>
  <c r="B78" i="10"/>
  <c r="I78" i="10"/>
  <c r="J84" i="10"/>
  <c r="F84" i="10"/>
  <c r="B84" i="10"/>
  <c r="L84" i="10"/>
  <c r="H84" i="10"/>
  <c r="D84" i="10"/>
  <c r="E84" i="10" s="1"/>
  <c r="I84" i="10"/>
  <c r="L94" i="10"/>
  <c r="H94" i="10"/>
  <c r="D94" i="10"/>
  <c r="E94" i="10" s="1"/>
  <c r="J94" i="10"/>
  <c r="F94" i="10"/>
  <c r="B94" i="10"/>
  <c r="I94" i="10"/>
  <c r="J100" i="10"/>
  <c r="F100" i="10"/>
  <c r="B100" i="10"/>
  <c r="L100" i="10"/>
  <c r="H100" i="10"/>
  <c r="D100" i="10"/>
  <c r="E100" i="10" s="1"/>
  <c r="I100" i="10"/>
  <c r="L110" i="10"/>
  <c r="H110" i="10"/>
  <c r="D110" i="10"/>
  <c r="E110" i="10" s="1"/>
  <c r="J110" i="10"/>
  <c r="F110" i="10"/>
  <c r="B110" i="10"/>
  <c r="I110" i="10"/>
  <c r="J116" i="10"/>
  <c r="F116" i="10"/>
  <c r="B116" i="10"/>
  <c r="L116" i="10"/>
  <c r="H116" i="10"/>
  <c r="D116" i="10"/>
  <c r="E116" i="10" s="1"/>
  <c r="I116" i="10"/>
  <c r="L138" i="10"/>
  <c r="H138" i="10"/>
  <c r="D138" i="10"/>
  <c r="E138" i="10" s="1"/>
  <c r="K138" i="10"/>
  <c r="G138" i="10"/>
  <c r="C138" i="10"/>
  <c r="J138" i="10"/>
  <c r="F138" i="10"/>
  <c r="B138" i="10"/>
  <c r="L154" i="10"/>
  <c r="H154" i="10"/>
  <c r="D154" i="10"/>
  <c r="E154" i="10" s="1"/>
  <c r="K154" i="10"/>
  <c r="G154" i="10"/>
  <c r="C154" i="10"/>
  <c r="J154" i="10"/>
  <c r="F154" i="10"/>
  <c r="B154" i="10"/>
  <c r="L170" i="10"/>
  <c r="H170" i="10"/>
  <c r="D170" i="10"/>
  <c r="E170" i="10" s="1"/>
  <c r="K170" i="10"/>
  <c r="G170" i="10"/>
  <c r="C170" i="10"/>
  <c r="J170" i="10"/>
  <c r="F170" i="10"/>
  <c r="B170" i="10"/>
  <c r="K195" i="10"/>
  <c r="G195" i="10"/>
  <c r="C195" i="10"/>
  <c r="M195" i="10"/>
  <c r="H195" i="10"/>
  <c r="B195" i="10"/>
  <c r="F195" i="10"/>
  <c r="L195" i="10"/>
  <c r="J195" i="10"/>
  <c r="D195" i="10"/>
  <c r="E195" i="10" s="1"/>
  <c r="L226" i="10"/>
  <c r="H226" i="10"/>
  <c r="D226" i="10"/>
  <c r="E226" i="10" s="1"/>
  <c r="J226" i="10"/>
  <c r="M226" i="10"/>
  <c r="F226" i="10"/>
  <c r="K226" i="10"/>
  <c r="C226" i="10"/>
  <c r="I226" i="10"/>
  <c r="B226" i="10"/>
  <c r="L74" i="10"/>
  <c r="H74" i="10"/>
  <c r="D74" i="10"/>
  <c r="E74" i="10" s="1"/>
  <c r="J74" i="10"/>
  <c r="F74" i="10"/>
  <c r="B74" i="10"/>
  <c r="I74" i="10"/>
  <c r="J80" i="10"/>
  <c r="F80" i="10"/>
  <c r="B80" i="10"/>
  <c r="L80" i="10"/>
  <c r="H80" i="10"/>
  <c r="D80" i="10"/>
  <c r="E80" i="10" s="1"/>
  <c r="I80" i="10"/>
  <c r="L90" i="10"/>
  <c r="H90" i="10"/>
  <c r="D90" i="10"/>
  <c r="E90" i="10" s="1"/>
  <c r="J90" i="10"/>
  <c r="F90" i="10"/>
  <c r="B90" i="10"/>
  <c r="I90" i="10"/>
  <c r="J96" i="10"/>
  <c r="F96" i="10"/>
  <c r="B96" i="10"/>
  <c r="L96" i="10"/>
  <c r="H96" i="10"/>
  <c r="D96" i="10"/>
  <c r="E96" i="10" s="1"/>
  <c r="I96" i="10"/>
  <c r="L106" i="10"/>
  <c r="H106" i="10"/>
  <c r="D106" i="10"/>
  <c r="E106" i="10" s="1"/>
  <c r="J106" i="10"/>
  <c r="F106" i="10"/>
  <c r="B106" i="10"/>
  <c r="I106" i="10"/>
  <c r="J112" i="10"/>
  <c r="F112" i="10"/>
  <c r="B112" i="10"/>
  <c r="L112" i="10"/>
  <c r="H112" i="10"/>
  <c r="D112" i="10"/>
  <c r="E112" i="10" s="1"/>
  <c r="I112" i="10"/>
  <c r="L122" i="10"/>
  <c r="H122" i="10"/>
  <c r="D122" i="10"/>
  <c r="E122" i="10" s="1"/>
  <c r="J122" i="10"/>
  <c r="F122" i="10"/>
  <c r="B122" i="10"/>
  <c r="I122" i="10"/>
  <c r="L126" i="10"/>
  <c r="H126" i="10"/>
  <c r="D126" i="10"/>
  <c r="E126" i="10" s="1"/>
  <c r="K126" i="10"/>
  <c r="G126" i="10"/>
  <c r="C126" i="10"/>
  <c r="J126" i="10"/>
  <c r="F126" i="10"/>
  <c r="B126" i="10"/>
  <c r="L142" i="10"/>
  <c r="H142" i="10"/>
  <c r="D142" i="10"/>
  <c r="E142" i="10" s="1"/>
  <c r="K142" i="10"/>
  <c r="G142" i="10"/>
  <c r="C142" i="10"/>
  <c r="J142" i="10"/>
  <c r="F142" i="10"/>
  <c r="B142" i="10"/>
  <c r="L158" i="10"/>
  <c r="H158" i="10"/>
  <c r="D158" i="10"/>
  <c r="E158" i="10" s="1"/>
  <c r="K158" i="10"/>
  <c r="G158" i="10"/>
  <c r="C158" i="10"/>
  <c r="J158" i="10"/>
  <c r="F158" i="10"/>
  <c r="B158" i="10"/>
  <c r="L174" i="10"/>
  <c r="H174" i="10"/>
  <c r="D174" i="10"/>
  <c r="E174" i="10" s="1"/>
  <c r="K174" i="10"/>
  <c r="G174" i="10"/>
  <c r="C174" i="10"/>
  <c r="J174" i="10"/>
  <c r="F174" i="10"/>
  <c r="B174" i="10"/>
  <c r="J200" i="10"/>
  <c r="F200" i="10"/>
  <c r="B200" i="10"/>
  <c r="K200" i="10"/>
  <c r="M200" i="10"/>
  <c r="G200" i="10"/>
  <c r="L200" i="10"/>
  <c r="D200" i="10"/>
  <c r="E200" i="10" s="1"/>
  <c r="I200" i="10"/>
  <c r="C200" i="10"/>
  <c r="K211" i="10"/>
  <c r="G211" i="10"/>
  <c r="C211" i="10"/>
  <c r="M211" i="10"/>
  <c r="H211" i="10"/>
  <c r="B211" i="10"/>
  <c r="F211" i="10"/>
  <c r="L211" i="10"/>
  <c r="J211" i="10"/>
  <c r="D211" i="10"/>
  <c r="E211" i="10" s="1"/>
  <c r="M242" i="10"/>
  <c r="I242" i="10"/>
  <c r="H242" i="10"/>
  <c r="D242" i="10"/>
  <c r="E242" i="10" s="1"/>
  <c r="K242" i="10"/>
  <c r="F242" i="10"/>
  <c r="L242" i="10"/>
  <c r="C242" i="10"/>
  <c r="J242" i="10"/>
  <c r="B242" i="10"/>
  <c r="K252" i="10"/>
  <c r="G252" i="10"/>
  <c r="C252" i="10"/>
  <c r="I252" i="10"/>
  <c r="D252" i="10"/>
  <c r="E252" i="10" s="1"/>
  <c r="L252" i="10"/>
  <c r="H252" i="10"/>
  <c r="F252" i="10"/>
  <c r="M252" i="10"/>
  <c r="B252" i="10"/>
  <c r="I7" i="10"/>
  <c r="I11" i="10"/>
  <c r="I15" i="10"/>
  <c r="I19" i="10"/>
  <c r="I23" i="10"/>
  <c r="I27" i="10"/>
  <c r="M31" i="10"/>
  <c r="K33" i="10"/>
  <c r="G33" i="10"/>
  <c r="C33" i="10"/>
  <c r="F33" i="10"/>
  <c r="L33" i="10"/>
  <c r="M35" i="10"/>
  <c r="K37" i="10"/>
  <c r="G37" i="10"/>
  <c r="C37" i="10"/>
  <c r="F37" i="10"/>
  <c r="L37" i="10"/>
  <c r="M39" i="10"/>
  <c r="K41" i="10"/>
  <c r="G41" i="10"/>
  <c r="C41" i="10"/>
  <c r="F41" i="10"/>
  <c r="L41" i="10"/>
  <c r="M43" i="10"/>
  <c r="K45" i="10"/>
  <c r="G45" i="10"/>
  <c r="C45" i="10"/>
  <c r="F45" i="10"/>
  <c r="L45" i="10"/>
  <c r="M47" i="10"/>
  <c r="K49" i="10"/>
  <c r="G49" i="10"/>
  <c r="C49" i="10"/>
  <c r="F49" i="10"/>
  <c r="L49" i="10"/>
  <c r="M51" i="10"/>
  <c r="C52" i="10"/>
  <c r="I52" i="10"/>
  <c r="K53" i="10"/>
  <c r="G53" i="10"/>
  <c r="C53" i="10"/>
  <c r="F53" i="10"/>
  <c r="L53" i="10"/>
  <c r="M53" i="10" s="1"/>
  <c r="D54" i="10"/>
  <c r="E54" i="10" s="1"/>
  <c r="M54" i="10" s="1"/>
  <c r="I54" i="10"/>
  <c r="M55" i="10"/>
  <c r="C56" i="10"/>
  <c r="I56" i="10"/>
  <c r="K57" i="10"/>
  <c r="G57" i="10"/>
  <c r="C57" i="10"/>
  <c r="F57" i="10"/>
  <c r="L57" i="10"/>
  <c r="M57" i="10" s="1"/>
  <c r="D58" i="10"/>
  <c r="E58" i="10" s="1"/>
  <c r="M58" i="10" s="1"/>
  <c r="I58" i="10"/>
  <c r="M59" i="10"/>
  <c r="C60" i="10"/>
  <c r="I60" i="10"/>
  <c r="K61" i="10"/>
  <c r="G61" i="10"/>
  <c r="C61" i="10"/>
  <c r="F61" i="10"/>
  <c r="L61" i="10"/>
  <c r="M61" i="10" s="1"/>
  <c r="D62" i="10"/>
  <c r="E62" i="10" s="1"/>
  <c r="I62" i="10"/>
  <c r="C64" i="10"/>
  <c r="I64" i="10"/>
  <c r="M65" i="10"/>
  <c r="K65" i="10"/>
  <c r="G65" i="10"/>
  <c r="C65" i="10"/>
  <c r="F65" i="10"/>
  <c r="L65" i="10"/>
  <c r="M68" i="10"/>
  <c r="L70" i="10"/>
  <c r="H70" i="10"/>
  <c r="D70" i="10"/>
  <c r="E70" i="10" s="1"/>
  <c r="J70" i="10"/>
  <c r="F70" i="10"/>
  <c r="B70" i="10"/>
  <c r="I70" i="10"/>
  <c r="C74" i="10"/>
  <c r="K74" i="10"/>
  <c r="J76" i="10"/>
  <c r="F76" i="10"/>
  <c r="B76" i="10"/>
  <c r="L76" i="10"/>
  <c r="H76" i="10"/>
  <c r="D76" i="10"/>
  <c r="E76" i="10" s="1"/>
  <c r="I76" i="10"/>
  <c r="M78" i="10"/>
  <c r="C80" i="10"/>
  <c r="K80" i="10"/>
  <c r="M84" i="10"/>
  <c r="L86" i="10"/>
  <c r="H86" i="10"/>
  <c r="D86" i="10"/>
  <c r="E86" i="10" s="1"/>
  <c r="J86" i="10"/>
  <c r="F86" i="10"/>
  <c r="B86" i="10"/>
  <c r="I86" i="10"/>
  <c r="C90" i="10"/>
  <c r="K90" i="10"/>
  <c r="J92" i="10"/>
  <c r="F92" i="10"/>
  <c r="B92" i="10"/>
  <c r="L92" i="10"/>
  <c r="H92" i="10"/>
  <c r="D92" i="10"/>
  <c r="E92" i="10" s="1"/>
  <c r="I92" i="10"/>
  <c r="M94" i="10"/>
  <c r="C96" i="10"/>
  <c r="K96" i="10"/>
  <c r="M100" i="10"/>
  <c r="L102" i="10"/>
  <c r="H102" i="10"/>
  <c r="D102" i="10"/>
  <c r="E102" i="10" s="1"/>
  <c r="J102" i="10"/>
  <c r="F102" i="10"/>
  <c r="B102" i="10"/>
  <c r="I102" i="10"/>
  <c r="C106" i="10"/>
  <c r="K106" i="10"/>
  <c r="J108" i="10"/>
  <c r="F108" i="10"/>
  <c r="B108" i="10"/>
  <c r="L108" i="10"/>
  <c r="H108" i="10"/>
  <c r="D108" i="10"/>
  <c r="E108" i="10" s="1"/>
  <c r="I108" i="10"/>
  <c r="M110" i="10"/>
  <c r="C112" i="10"/>
  <c r="K112" i="10"/>
  <c r="M116" i="10"/>
  <c r="L118" i="10"/>
  <c r="H118" i="10"/>
  <c r="D118" i="10"/>
  <c r="E118" i="10" s="1"/>
  <c r="J118" i="10"/>
  <c r="F118" i="10"/>
  <c r="B118" i="10"/>
  <c r="I118" i="10"/>
  <c r="C122" i="10"/>
  <c r="K122" i="10"/>
  <c r="L130" i="10"/>
  <c r="H130" i="10"/>
  <c r="D130" i="10"/>
  <c r="E130" i="10" s="1"/>
  <c r="K130" i="10"/>
  <c r="G130" i="10"/>
  <c r="C130" i="10"/>
  <c r="J130" i="10"/>
  <c r="F130" i="10"/>
  <c r="B130" i="10"/>
  <c r="I138" i="10"/>
  <c r="L146" i="10"/>
  <c r="H146" i="10"/>
  <c r="D146" i="10"/>
  <c r="E146" i="10" s="1"/>
  <c r="K146" i="10"/>
  <c r="G146" i="10"/>
  <c r="C146" i="10"/>
  <c r="J146" i="10"/>
  <c r="F146" i="10"/>
  <c r="B146" i="10"/>
  <c r="I154" i="10"/>
  <c r="L162" i="10"/>
  <c r="H162" i="10"/>
  <c r="D162" i="10"/>
  <c r="E162" i="10" s="1"/>
  <c r="K162" i="10"/>
  <c r="G162" i="10"/>
  <c r="C162" i="10"/>
  <c r="J162" i="10"/>
  <c r="F162" i="10"/>
  <c r="B162" i="10"/>
  <c r="I170" i="10"/>
  <c r="L178" i="10"/>
  <c r="H178" i="10"/>
  <c r="D178" i="10"/>
  <c r="E178" i="10" s="1"/>
  <c r="K178" i="10"/>
  <c r="G178" i="10"/>
  <c r="C178" i="10"/>
  <c r="J178" i="10"/>
  <c r="F178" i="10"/>
  <c r="B178" i="10"/>
  <c r="L194" i="10"/>
  <c r="H194" i="10"/>
  <c r="D194" i="10"/>
  <c r="E194" i="10" s="1"/>
  <c r="J194" i="10"/>
  <c r="M194" i="10"/>
  <c r="F194" i="10"/>
  <c r="K194" i="10"/>
  <c r="C194" i="10"/>
  <c r="I194" i="10"/>
  <c r="B194" i="10"/>
  <c r="H200" i="10"/>
  <c r="I211" i="10"/>
  <c r="J216" i="10"/>
  <c r="F216" i="10"/>
  <c r="B216" i="10"/>
  <c r="K216" i="10"/>
  <c r="M216" i="10"/>
  <c r="G216" i="10"/>
  <c r="L216" i="10"/>
  <c r="D216" i="10"/>
  <c r="E216" i="10" s="1"/>
  <c r="I216" i="10"/>
  <c r="C216" i="10"/>
  <c r="K227" i="10"/>
  <c r="G227" i="10"/>
  <c r="C227" i="10"/>
  <c r="M227" i="10"/>
  <c r="H227" i="10"/>
  <c r="B227" i="10"/>
  <c r="F227" i="10"/>
  <c r="L227" i="10"/>
  <c r="J227" i="10"/>
  <c r="D227" i="10"/>
  <c r="E227" i="10" s="1"/>
  <c r="G242" i="10"/>
  <c r="J252" i="10"/>
  <c r="I31" i="10"/>
  <c r="I35" i="10"/>
  <c r="I39" i="10"/>
  <c r="I43" i="10"/>
  <c r="I47" i="10"/>
  <c r="I51" i="10"/>
  <c r="I55" i="10"/>
  <c r="I59" i="10"/>
  <c r="I63" i="10"/>
  <c r="I67" i="10"/>
  <c r="C69" i="10"/>
  <c r="G69" i="10"/>
  <c r="K69" i="10"/>
  <c r="I71" i="10"/>
  <c r="C73" i="10"/>
  <c r="G73" i="10"/>
  <c r="K73" i="10"/>
  <c r="I75" i="10"/>
  <c r="C77" i="10"/>
  <c r="G77" i="10"/>
  <c r="K77" i="10"/>
  <c r="I79" i="10"/>
  <c r="C81" i="10"/>
  <c r="G81" i="10"/>
  <c r="K81" i="10"/>
  <c r="I83" i="10"/>
  <c r="C85" i="10"/>
  <c r="G85" i="10"/>
  <c r="K85" i="10"/>
  <c r="I87" i="10"/>
  <c r="C89" i="10"/>
  <c r="G89" i="10"/>
  <c r="K89" i="10"/>
  <c r="I91" i="10"/>
  <c r="C93" i="10"/>
  <c r="G93" i="10"/>
  <c r="K93" i="10"/>
  <c r="I95" i="10"/>
  <c r="C97" i="10"/>
  <c r="G97" i="10"/>
  <c r="K97" i="10"/>
  <c r="I99" i="10"/>
  <c r="C101" i="10"/>
  <c r="G101" i="10"/>
  <c r="K101" i="10"/>
  <c r="I103" i="10"/>
  <c r="C105" i="10"/>
  <c r="G105" i="10"/>
  <c r="K105" i="10"/>
  <c r="I107" i="10"/>
  <c r="C109" i="10"/>
  <c r="G109" i="10"/>
  <c r="K109" i="10"/>
  <c r="I111" i="10"/>
  <c r="C113" i="10"/>
  <c r="G113" i="10"/>
  <c r="K113" i="10"/>
  <c r="I115" i="10"/>
  <c r="C117" i="10"/>
  <c r="G117" i="10"/>
  <c r="K117" i="10"/>
  <c r="I119" i="10"/>
  <c r="C121" i="10"/>
  <c r="G121" i="10"/>
  <c r="K121" i="10"/>
  <c r="I123" i="10"/>
  <c r="D124" i="10"/>
  <c r="E124" i="10" s="1"/>
  <c r="H124" i="10"/>
  <c r="L124" i="10"/>
  <c r="C125" i="10"/>
  <c r="G125" i="10"/>
  <c r="K125" i="10"/>
  <c r="I127" i="10"/>
  <c r="D128" i="10"/>
  <c r="E128" i="10" s="1"/>
  <c r="H128" i="10"/>
  <c r="L128" i="10"/>
  <c r="C129" i="10"/>
  <c r="G129" i="10"/>
  <c r="K129" i="10"/>
  <c r="I131" i="10"/>
  <c r="D132" i="10"/>
  <c r="E132" i="10" s="1"/>
  <c r="H132" i="10"/>
  <c r="L132" i="10"/>
  <c r="C133" i="10"/>
  <c r="G133" i="10"/>
  <c r="K133" i="10"/>
  <c r="I135" i="10"/>
  <c r="D136" i="10"/>
  <c r="E136" i="10" s="1"/>
  <c r="H136" i="10"/>
  <c r="L136" i="10"/>
  <c r="C137" i="10"/>
  <c r="G137" i="10"/>
  <c r="K137" i="10"/>
  <c r="I139" i="10"/>
  <c r="D140" i="10"/>
  <c r="E140" i="10" s="1"/>
  <c r="H140" i="10"/>
  <c r="L140" i="10"/>
  <c r="C141" i="10"/>
  <c r="G141" i="10"/>
  <c r="K141" i="10"/>
  <c r="I143" i="10"/>
  <c r="D144" i="10"/>
  <c r="E144" i="10" s="1"/>
  <c r="H144" i="10"/>
  <c r="L144" i="10"/>
  <c r="C145" i="10"/>
  <c r="G145" i="10"/>
  <c r="K145" i="10"/>
  <c r="I147" i="10"/>
  <c r="D148" i="10"/>
  <c r="E148" i="10" s="1"/>
  <c r="H148" i="10"/>
  <c r="L148" i="10"/>
  <c r="C149" i="10"/>
  <c r="G149" i="10"/>
  <c r="K149" i="10"/>
  <c r="I151" i="10"/>
  <c r="D152" i="10"/>
  <c r="E152" i="10" s="1"/>
  <c r="H152" i="10"/>
  <c r="L152" i="10"/>
  <c r="C153" i="10"/>
  <c r="G153" i="10"/>
  <c r="K153" i="10"/>
  <c r="I155" i="10"/>
  <c r="D156" i="10"/>
  <c r="E156" i="10" s="1"/>
  <c r="H156" i="10"/>
  <c r="L156" i="10"/>
  <c r="C157" i="10"/>
  <c r="G157" i="10"/>
  <c r="K157" i="10"/>
  <c r="I159" i="10"/>
  <c r="D160" i="10"/>
  <c r="E160" i="10" s="1"/>
  <c r="H160" i="10"/>
  <c r="L160" i="10"/>
  <c r="C161" i="10"/>
  <c r="G161" i="10"/>
  <c r="K161" i="10"/>
  <c r="I163" i="10"/>
  <c r="D164" i="10"/>
  <c r="E164" i="10" s="1"/>
  <c r="H164" i="10"/>
  <c r="L164" i="10"/>
  <c r="C165" i="10"/>
  <c r="G165" i="10"/>
  <c r="K165" i="10"/>
  <c r="I167" i="10"/>
  <c r="D168" i="10"/>
  <c r="E168" i="10" s="1"/>
  <c r="H168" i="10"/>
  <c r="L168" i="10"/>
  <c r="C169" i="10"/>
  <c r="G169" i="10"/>
  <c r="K169" i="10"/>
  <c r="I171" i="10"/>
  <c r="D172" i="10"/>
  <c r="E172" i="10" s="1"/>
  <c r="H172" i="10"/>
  <c r="L172" i="10"/>
  <c r="C173" i="10"/>
  <c r="G173" i="10"/>
  <c r="K173" i="10"/>
  <c r="I175" i="10"/>
  <c r="D176" i="10"/>
  <c r="E176" i="10" s="1"/>
  <c r="H176" i="10"/>
  <c r="L176" i="10"/>
  <c r="C177" i="10"/>
  <c r="G177" i="10"/>
  <c r="K177" i="10"/>
  <c r="I179" i="10"/>
  <c r="C181" i="10"/>
  <c r="K182" i="10"/>
  <c r="G182" i="10"/>
  <c r="C182" i="10"/>
  <c r="F182" i="10"/>
  <c r="L182" i="10"/>
  <c r="D183" i="10"/>
  <c r="E183" i="10" s="1"/>
  <c r="C185" i="10"/>
  <c r="K186" i="10"/>
  <c r="G186" i="10"/>
  <c r="C186" i="10"/>
  <c r="F186" i="10"/>
  <c r="L186" i="10"/>
  <c r="D187" i="10"/>
  <c r="E187" i="10" s="1"/>
  <c r="C189" i="10"/>
  <c r="K190" i="10"/>
  <c r="G190" i="10"/>
  <c r="C190" i="10"/>
  <c r="F190" i="10"/>
  <c r="L190" i="10"/>
  <c r="D191" i="10"/>
  <c r="E191" i="10" s="1"/>
  <c r="C193" i="10"/>
  <c r="D196" i="10"/>
  <c r="E196" i="10" s="1"/>
  <c r="L198" i="10"/>
  <c r="H198" i="10"/>
  <c r="D198" i="10"/>
  <c r="E198" i="10" s="1"/>
  <c r="J198" i="10"/>
  <c r="G198" i="10"/>
  <c r="K199" i="10"/>
  <c r="G199" i="10"/>
  <c r="C199" i="10"/>
  <c r="M199" i="10"/>
  <c r="H199" i="10"/>
  <c r="B199" i="10"/>
  <c r="I199" i="10"/>
  <c r="F202" i="10"/>
  <c r="J204" i="10"/>
  <c r="F204" i="10"/>
  <c r="B204" i="10"/>
  <c r="K204" i="10"/>
  <c r="H204" i="10"/>
  <c r="G208" i="10"/>
  <c r="D212" i="10"/>
  <c r="E212" i="10" s="1"/>
  <c r="L214" i="10"/>
  <c r="H214" i="10"/>
  <c r="D214" i="10"/>
  <c r="E214" i="10" s="1"/>
  <c r="J214" i="10"/>
  <c r="G214" i="10"/>
  <c r="K215" i="10"/>
  <c r="G215" i="10"/>
  <c r="C215" i="10"/>
  <c r="M215" i="10"/>
  <c r="H215" i="10"/>
  <c r="B215" i="10"/>
  <c r="I215" i="10"/>
  <c r="F218" i="10"/>
  <c r="J220" i="10"/>
  <c r="F220" i="10"/>
  <c r="B220" i="10"/>
  <c r="K220" i="10"/>
  <c r="H220" i="10"/>
  <c r="G224" i="10"/>
  <c r="D228" i="10"/>
  <c r="E228" i="10" s="1"/>
  <c r="L230" i="10"/>
  <c r="H230" i="10"/>
  <c r="D230" i="10"/>
  <c r="E230" i="10" s="1"/>
  <c r="J230" i="10"/>
  <c r="G230" i="10"/>
  <c r="K231" i="10"/>
  <c r="G231" i="10"/>
  <c r="C231" i="10"/>
  <c r="M231" i="10"/>
  <c r="H231" i="10"/>
  <c r="B231" i="10"/>
  <c r="I231" i="10"/>
  <c r="F234" i="10"/>
  <c r="J236" i="10"/>
  <c r="F236" i="10"/>
  <c r="B236" i="10"/>
  <c r="K236" i="10"/>
  <c r="H236" i="10"/>
  <c r="G240" i="10"/>
  <c r="K260" i="10"/>
  <c r="G260" i="10"/>
  <c r="C260" i="10"/>
  <c r="I260" i="10"/>
  <c r="D260" i="10"/>
  <c r="E260" i="10" s="1"/>
  <c r="L260" i="10"/>
  <c r="J260" i="10"/>
  <c r="K292" i="10"/>
  <c r="G292" i="10"/>
  <c r="C292" i="10"/>
  <c r="I292" i="10"/>
  <c r="D292" i="10"/>
  <c r="E292" i="10" s="1"/>
  <c r="L292" i="10"/>
  <c r="J292" i="10"/>
  <c r="L341" i="10"/>
  <c r="H341" i="10"/>
  <c r="D341" i="10"/>
  <c r="E341" i="10" s="1"/>
  <c r="J341" i="10"/>
  <c r="M341" i="10"/>
  <c r="F341" i="10"/>
  <c r="I341" i="10"/>
  <c r="B341" i="10"/>
  <c r="G341" i="10"/>
  <c r="C341" i="10"/>
  <c r="I124" i="10"/>
  <c r="M124" i="10"/>
  <c r="I128" i="10"/>
  <c r="M128" i="10"/>
  <c r="I132" i="10"/>
  <c r="M132" i="10"/>
  <c r="I136" i="10"/>
  <c r="M136" i="10"/>
  <c r="I140" i="10"/>
  <c r="M140" i="10"/>
  <c r="I144" i="10"/>
  <c r="M144" i="10"/>
  <c r="I148" i="10"/>
  <c r="M148" i="10"/>
  <c r="I152" i="10"/>
  <c r="M152" i="10"/>
  <c r="I156" i="10"/>
  <c r="M156" i="10"/>
  <c r="I160" i="10"/>
  <c r="M160" i="10"/>
  <c r="I164" i="10"/>
  <c r="M164" i="10"/>
  <c r="I168" i="10"/>
  <c r="M168" i="10"/>
  <c r="I172" i="10"/>
  <c r="M172" i="10"/>
  <c r="I176" i="10"/>
  <c r="M176" i="10"/>
  <c r="L202" i="10"/>
  <c r="H202" i="10"/>
  <c r="D202" i="10"/>
  <c r="E202" i="10" s="1"/>
  <c r="J202" i="10"/>
  <c r="G202" i="10"/>
  <c r="K203" i="10"/>
  <c r="G203" i="10"/>
  <c r="C203" i="10"/>
  <c r="M203" i="10"/>
  <c r="H203" i="10"/>
  <c r="B203" i="10"/>
  <c r="I203" i="10"/>
  <c r="J208" i="10"/>
  <c r="F208" i="10"/>
  <c r="B208" i="10"/>
  <c r="K208" i="10"/>
  <c r="H208" i="10"/>
  <c r="L218" i="10"/>
  <c r="H218" i="10"/>
  <c r="D218" i="10"/>
  <c r="E218" i="10" s="1"/>
  <c r="J218" i="10"/>
  <c r="G218" i="10"/>
  <c r="K219" i="10"/>
  <c r="G219" i="10"/>
  <c r="C219" i="10"/>
  <c r="M219" i="10"/>
  <c r="H219" i="10"/>
  <c r="B219" i="10"/>
  <c r="I219" i="10"/>
  <c r="J224" i="10"/>
  <c r="F224" i="10"/>
  <c r="B224" i="10"/>
  <c r="K224" i="10"/>
  <c r="H224" i="10"/>
  <c r="L234" i="10"/>
  <c r="H234" i="10"/>
  <c r="D234" i="10"/>
  <c r="E234" i="10" s="1"/>
  <c r="J234" i="10"/>
  <c r="G234" i="10"/>
  <c r="K235" i="10"/>
  <c r="G235" i="10"/>
  <c r="C235" i="10"/>
  <c r="M235" i="10"/>
  <c r="H235" i="10"/>
  <c r="B235" i="10"/>
  <c r="I235" i="10"/>
  <c r="J240" i="10"/>
  <c r="F240" i="10"/>
  <c r="B240" i="10"/>
  <c r="K240" i="10"/>
  <c r="H240" i="10"/>
  <c r="K268" i="10"/>
  <c r="G268" i="10"/>
  <c r="C268" i="10"/>
  <c r="I268" i="10"/>
  <c r="D268" i="10"/>
  <c r="E268" i="10" s="1"/>
  <c r="L268" i="10"/>
  <c r="J268" i="10"/>
  <c r="K341" i="10"/>
  <c r="I69" i="10"/>
  <c r="I73" i="10"/>
  <c r="I77" i="10"/>
  <c r="I81" i="10"/>
  <c r="I85" i="10"/>
  <c r="I89" i="10"/>
  <c r="I93" i="10"/>
  <c r="I97" i="10"/>
  <c r="I101" i="10"/>
  <c r="I105" i="10"/>
  <c r="I109" i="10"/>
  <c r="I113" i="10"/>
  <c r="I117" i="10"/>
  <c r="I121" i="10"/>
  <c r="B124" i="10"/>
  <c r="F124" i="10"/>
  <c r="I125" i="10"/>
  <c r="B128" i="10"/>
  <c r="F128" i="10"/>
  <c r="I129" i="10"/>
  <c r="B132" i="10"/>
  <c r="F132" i="10"/>
  <c r="I133" i="10"/>
  <c r="B136" i="10"/>
  <c r="F136" i="10"/>
  <c r="I137" i="10"/>
  <c r="B140" i="10"/>
  <c r="F140" i="10"/>
  <c r="I141" i="10"/>
  <c r="B144" i="10"/>
  <c r="F144" i="10"/>
  <c r="I145" i="10"/>
  <c r="B148" i="10"/>
  <c r="F148" i="10"/>
  <c r="I149" i="10"/>
  <c r="B152" i="10"/>
  <c r="F152" i="10"/>
  <c r="I153" i="10"/>
  <c r="B156" i="10"/>
  <c r="F156" i="10"/>
  <c r="I157" i="10"/>
  <c r="B160" i="10"/>
  <c r="F160" i="10"/>
  <c r="I161" i="10"/>
  <c r="B164" i="10"/>
  <c r="F164" i="10"/>
  <c r="I165" i="10"/>
  <c r="B168" i="10"/>
  <c r="F168" i="10"/>
  <c r="I169" i="10"/>
  <c r="B172" i="10"/>
  <c r="F172" i="10"/>
  <c r="I173" i="10"/>
  <c r="B176" i="10"/>
  <c r="F176" i="10"/>
  <c r="I177" i="10"/>
  <c r="L181" i="10"/>
  <c r="H181" i="10"/>
  <c r="D181" i="10"/>
  <c r="E181" i="10" s="1"/>
  <c r="F181" i="10"/>
  <c r="K181" i="10"/>
  <c r="J183" i="10"/>
  <c r="F183" i="10"/>
  <c r="B183" i="10"/>
  <c r="G183" i="10"/>
  <c r="L183" i="10"/>
  <c r="L185" i="10"/>
  <c r="H185" i="10"/>
  <c r="D185" i="10"/>
  <c r="E185" i="10" s="1"/>
  <c r="F185" i="10"/>
  <c r="K185" i="10"/>
  <c r="J187" i="10"/>
  <c r="F187" i="10"/>
  <c r="B187" i="10"/>
  <c r="G187" i="10"/>
  <c r="L187" i="10"/>
  <c r="L189" i="10"/>
  <c r="H189" i="10"/>
  <c r="D189" i="10"/>
  <c r="E189" i="10" s="1"/>
  <c r="F189" i="10"/>
  <c r="K189" i="10"/>
  <c r="J191" i="10"/>
  <c r="F191" i="10"/>
  <c r="B191" i="10"/>
  <c r="G191" i="10"/>
  <c r="L191" i="10"/>
  <c r="M193" i="10"/>
  <c r="L193" i="10"/>
  <c r="H193" i="10"/>
  <c r="D193" i="10"/>
  <c r="E193" i="10" s="1"/>
  <c r="F193" i="10"/>
  <c r="K193" i="10"/>
  <c r="J196" i="10"/>
  <c r="F196" i="10"/>
  <c r="B196" i="10"/>
  <c r="K196" i="10"/>
  <c r="H196" i="10"/>
  <c r="B202" i="10"/>
  <c r="I202" i="10"/>
  <c r="D203" i="10"/>
  <c r="E203" i="10" s="1"/>
  <c r="J203" i="10"/>
  <c r="D204" i="10"/>
  <c r="E204" i="10" s="1"/>
  <c r="L204" i="10"/>
  <c r="L206" i="10"/>
  <c r="H206" i="10"/>
  <c r="D206" i="10"/>
  <c r="E206" i="10" s="1"/>
  <c r="J206" i="10"/>
  <c r="G206" i="10"/>
  <c r="K207" i="10"/>
  <c r="G207" i="10"/>
  <c r="C207" i="10"/>
  <c r="M207" i="10"/>
  <c r="H207" i="10"/>
  <c r="B207" i="10"/>
  <c r="I207" i="10"/>
  <c r="C208" i="10"/>
  <c r="I208" i="10"/>
  <c r="J212" i="10"/>
  <c r="F212" i="10"/>
  <c r="B212" i="10"/>
  <c r="K212" i="10"/>
  <c r="H212" i="10"/>
  <c r="B218" i="10"/>
  <c r="I218" i="10"/>
  <c r="D219" i="10"/>
  <c r="E219" i="10" s="1"/>
  <c r="J219" i="10"/>
  <c r="D220" i="10"/>
  <c r="E220" i="10" s="1"/>
  <c r="L220" i="10"/>
  <c r="L222" i="10"/>
  <c r="H222" i="10"/>
  <c r="D222" i="10"/>
  <c r="E222" i="10" s="1"/>
  <c r="J222" i="10"/>
  <c r="G222" i="10"/>
  <c r="K223" i="10"/>
  <c r="G223" i="10"/>
  <c r="C223" i="10"/>
  <c r="M223" i="10"/>
  <c r="H223" i="10"/>
  <c r="B223" i="10"/>
  <c r="I223" i="10"/>
  <c r="C224" i="10"/>
  <c r="I224" i="10"/>
  <c r="J228" i="10"/>
  <c r="F228" i="10"/>
  <c r="B228" i="10"/>
  <c r="K228" i="10"/>
  <c r="H228" i="10"/>
  <c r="B234" i="10"/>
  <c r="I234" i="10"/>
  <c r="D235" i="10"/>
  <c r="E235" i="10" s="1"/>
  <c r="J235" i="10"/>
  <c r="D236" i="10"/>
  <c r="E236" i="10" s="1"/>
  <c r="L236" i="10"/>
  <c r="L238" i="10"/>
  <c r="H238" i="10"/>
  <c r="D238" i="10"/>
  <c r="E238" i="10" s="1"/>
  <c r="J238" i="10"/>
  <c r="G238" i="10"/>
  <c r="K239" i="10"/>
  <c r="G239" i="10"/>
  <c r="C239" i="10"/>
  <c r="M239" i="10"/>
  <c r="H239" i="10"/>
  <c r="B239" i="10"/>
  <c r="I239" i="10"/>
  <c r="C240" i="10"/>
  <c r="I240" i="10"/>
  <c r="K244" i="10"/>
  <c r="G244" i="10"/>
  <c r="C244" i="10"/>
  <c r="I244" i="10"/>
  <c r="D244" i="10"/>
  <c r="E244" i="10" s="1"/>
  <c r="L244" i="10"/>
  <c r="J244" i="10"/>
  <c r="K276" i="10"/>
  <c r="G276" i="10"/>
  <c r="C276" i="10"/>
  <c r="I276" i="10"/>
  <c r="D276" i="10"/>
  <c r="E276" i="10" s="1"/>
  <c r="L276" i="10"/>
  <c r="J276" i="10"/>
  <c r="K342" i="10"/>
  <c r="G342" i="10"/>
  <c r="C342" i="10"/>
  <c r="M342" i="10"/>
  <c r="H342" i="10"/>
  <c r="B342" i="10"/>
  <c r="F342" i="10"/>
  <c r="J342" i="10"/>
  <c r="D342" i="10"/>
  <c r="E342" i="10" s="1"/>
  <c r="I342" i="10"/>
  <c r="J355" i="10"/>
  <c r="F355" i="10"/>
  <c r="B355" i="10"/>
  <c r="K355" i="10"/>
  <c r="I355" i="10"/>
  <c r="C355" i="10"/>
  <c r="M355" i="10"/>
  <c r="G355" i="10"/>
  <c r="L355" i="10"/>
  <c r="H355" i="10"/>
  <c r="D355" i="10"/>
  <c r="E355" i="10" s="1"/>
  <c r="L349" i="10"/>
  <c r="H349" i="10"/>
  <c r="D349" i="10"/>
  <c r="E349" i="10" s="1"/>
  <c r="J349" i="10"/>
  <c r="I349" i="10"/>
  <c r="B349" i="10"/>
  <c r="M349" i="10"/>
  <c r="F349" i="10"/>
  <c r="K350" i="10"/>
  <c r="G350" i="10"/>
  <c r="C350" i="10"/>
  <c r="M350" i="10"/>
  <c r="H350" i="10"/>
  <c r="B350" i="10"/>
  <c r="J350" i="10"/>
  <c r="D350" i="10"/>
  <c r="E350" i="10" s="1"/>
  <c r="F350" i="10"/>
  <c r="L357" i="10"/>
  <c r="H357" i="10"/>
  <c r="D357" i="10"/>
  <c r="E357" i="10" s="1"/>
  <c r="J357" i="10"/>
  <c r="M357" i="10"/>
  <c r="F357" i="10"/>
  <c r="I357" i="10"/>
  <c r="B357" i="10"/>
  <c r="K358" i="10"/>
  <c r="G358" i="10"/>
  <c r="C358" i="10"/>
  <c r="M358" i="10"/>
  <c r="H358" i="10"/>
  <c r="B358" i="10"/>
  <c r="F358" i="10"/>
  <c r="J358" i="10"/>
  <c r="D358" i="10"/>
  <c r="E358" i="10" s="1"/>
  <c r="K393" i="10"/>
  <c r="G393" i="10"/>
  <c r="C393" i="10"/>
  <c r="I393" i="10"/>
  <c r="D393" i="10"/>
  <c r="E393" i="10" s="1"/>
  <c r="M393" i="10"/>
  <c r="F393" i="10"/>
  <c r="L393" i="10"/>
  <c r="J393" i="10"/>
  <c r="B393" i="10"/>
  <c r="H393" i="10"/>
  <c r="I180" i="10"/>
  <c r="I184" i="10"/>
  <c r="I188" i="10"/>
  <c r="I192" i="10"/>
  <c r="K248" i="10"/>
  <c r="G248" i="10"/>
  <c r="C248" i="10"/>
  <c r="I248" i="10"/>
  <c r="D248" i="10"/>
  <c r="E248" i="10" s="1"/>
  <c r="H248" i="10"/>
  <c r="K256" i="10"/>
  <c r="G256" i="10"/>
  <c r="C256" i="10"/>
  <c r="I256" i="10"/>
  <c r="D256" i="10"/>
  <c r="E256" i="10" s="1"/>
  <c r="H256" i="10"/>
  <c r="K264" i="10"/>
  <c r="G264" i="10"/>
  <c r="C264" i="10"/>
  <c r="I264" i="10"/>
  <c r="D264" i="10"/>
  <c r="E264" i="10" s="1"/>
  <c r="H264" i="10"/>
  <c r="K272" i="10"/>
  <c r="G272" i="10"/>
  <c r="C272" i="10"/>
  <c r="I272" i="10"/>
  <c r="D272" i="10"/>
  <c r="E272" i="10" s="1"/>
  <c r="H272" i="10"/>
  <c r="K280" i="10"/>
  <c r="G280" i="10"/>
  <c r="C280" i="10"/>
  <c r="I280" i="10"/>
  <c r="D280" i="10"/>
  <c r="E280" i="10" s="1"/>
  <c r="H280" i="10"/>
  <c r="K288" i="10"/>
  <c r="G288" i="10"/>
  <c r="C288" i="10"/>
  <c r="I288" i="10"/>
  <c r="D288" i="10"/>
  <c r="E288" i="10" s="1"/>
  <c r="H288" i="10"/>
  <c r="K296" i="10"/>
  <c r="G296" i="10"/>
  <c r="C296" i="10"/>
  <c r="I296" i="10"/>
  <c r="D296" i="10"/>
  <c r="E296" i="10" s="1"/>
  <c r="H296" i="10"/>
  <c r="J339" i="10"/>
  <c r="F339" i="10"/>
  <c r="B339" i="10"/>
  <c r="K339" i="10"/>
  <c r="I339" i="10"/>
  <c r="C339" i="10"/>
  <c r="M339" i="10"/>
  <c r="G339" i="10"/>
  <c r="C349" i="10"/>
  <c r="C357" i="10"/>
  <c r="K377" i="10"/>
  <c r="G377" i="10"/>
  <c r="C377" i="10"/>
  <c r="I377" i="10"/>
  <c r="D377" i="10"/>
  <c r="E377" i="10" s="1"/>
  <c r="L377" i="10"/>
  <c r="J377" i="10"/>
  <c r="B377" i="10"/>
  <c r="M377" i="10"/>
  <c r="H377" i="10"/>
  <c r="F377" i="10"/>
  <c r="K385" i="10"/>
  <c r="G385" i="10"/>
  <c r="C385" i="10"/>
  <c r="I385" i="10"/>
  <c r="D385" i="10"/>
  <c r="E385" i="10" s="1"/>
  <c r="M385" i="10"/>
  <c r="F385" i="10"/>
  <c r="L385" i="10"/>
  <c r="J385" i="10"/>
  <c r="B385" i="10"/>
  <c r="H385" i="10"/>
  <c r="I197" i="10"/>
  <c r="I201" i="10"/>
  <c r="I205" i="10"/>
  <c r="I209" i="10"/>
  <c r="I213" i="10"/>
  <c r="I217" i="10"/>
  <c r="I221" i="10"/>
  <c r="I225" i="10"/>
  <c r="I229" i="10"/>
  <c r="I233" i="10"/>
  <c r="I237" i="10"/>
  <c r="I241" i="10"/>
  <c r="L243" i="10"/>
  <c r="H243" i="10"/>
  <c r="D243" i="10"/>
  <c r="E243" i="10" s="1"/>
  <c r="F243" i="10"/>
  <c r="K243" i="10"/>
  <c r="J245" i="10"/>
  <c r="F245" i="10"/>
  <c r="B245" i="10"/>
  <c r="G245" i="10"/>
  <c r="L245" i="10"/>
  <c r="L247" i="10"/>
  <c r="H247" i="10"/>
  <c r="D247" i="10"/>
  <c r="E247" i="10" s="1"/>
  <c r="F247" i="10"/>
  <c r="K247" i="10"/>
  <c r="J249" i="10"/>
  <c r="F249" i="10"/>
  <c r="B249" i="10"/>
  <c r="G249" i="10"/>
  <c r="L249" i="10"/>
  <c r="L251" i="10"/>
  <c r="H251" i="10"/>
  <c r="D251" i="10"/>
  <c r="E251" i="10" s="1"/>
  <c r="F251" i="10"/>
  <c r="K251" i="10"/>
  <c r="J253" i="10"/>
  <c r="F253" i="10"/>
  <c r="B253" i="10"/>
  <c r="G253" i="10"/>
  <c r="L253" i="10"/>
  <c r="L255" i="10"/>
  <c r="H255" i="10"/>
  <c r="D255" i="10"/>
  <c r="E255" i="10" s="1"/>
  <c r="F255" i="10"/>
  <c r="K255" i="10"/>
  <c r="J257" i="10"/>
  <c r="F257" i="10"/>
  <c r="B257" i="10"/>
  <c r="G257" i="10"/>
  <c r="L257" i="10"/>
  <c r="L259" i="10"/>
  <c r="H259" i="10"/>
  <c r="D259" i="10"/>
  <c r="E259" i="10" s="1"/>
  <c r="F259" i="10"/>
  <c r="K259" i="10"/>
  <c r="J261" i="10"/>
  <c r="F261" i="10"/>
  <c r="B261" i="10"/>
  <c r="G261" i="10"/>
  <c r="L261" i="10"/>
  <c r="L263" i="10"/>
  <c r="H263" i="10"/>
  <c r="D263" i="10"/>
  <c r="E263" i="10" s="1"/>
  <c r="F263" i="10"/>
  <c r="K263" i="10"/>
  <c r="J265" i="10"/>
  <c r="F265" i="10"/>
  <c r="B265" i="10"/>
  <c r="G265" i="10"/>
  <c r="L265" i="10"/>
  <c r="L267" i="10"/>
  <c r="H267" i="10"/>
  <c r="D267" i="10"/>
  <c r="E267" i="10" s="1"/>
  <c r="F267" i="10"/>
  <c r="K267" i="10"/>
  <c r="J269" i="10"/>
  <c r="F269" i="10"/>
  <c r="B269" i="10"/>
  <c r="G269" i="10"/>
  <c r="L269" i="10"/>
  <c r="L271" i="10"/>
  <c r="H271" i="10"/>
  <c r="D271" i="10"/>
  <c r="E271" i="10" s="1"/>
  <c r="F271" i="10"/>
  <c r="K271" i="10"/>
  <c r="J273" i="10"/>
  <c r="F273" i="10"/>
  <c r="B273" i="10"/>
  <c r="G273" i="10"/>
  <c r="L273" i="10"/>
  <c r="L275" i="10"/>
  <c r="H275" i="10"/>
  <c r="D275" i="10"/>
  <c r="E275" i="10" s="1"/>
  <c r="F275" i="10"/>
  <c r="K275" i="10"/>
  <c r="J277" i="10"/>
  <c r="F277" i="10"/>
  <c r="B277" i="10"/>
  <c r="G277" i="10"/>
  <c r="L277" i="10"/>
  <c r="L279" i="10"/>
  <c r="H279" i="10"/>
  <c r="D279" i="10"/>
  <c r="E279" i="10" s="1"/>
  <c r="F279" i="10"/>
  <c r="K279" i="10"/>
  <c r="J281" i="10"/>
  <c r="F281" i="10"/>
  <c r="B281" i="10"/>
  <c r="G281" i="10"/>
  <c r="L281" i="10"/>
  <c r="L283" i="10"/>
  <c r="H283" i="10"/>
  <c r="D283" i="10"/>
  <c r="E283" i="10" s="1"/>
  <c r="F283" i="10"/>
  <c r="K283" i="10"/>
  <c r="J285" i="10"/>
  <c r="F285" i="10"/>
  <c r="B285" i="10"/>
  <c r="G285" i="10"/>
  <c r="L285" i="10"/>
  <c r="L287" i="10"/>
  <c r="H287" i="10"/>
  <c r="D287" i="10"/>
  <c r="E287" i="10" s="1"/>
  <c r="F287" i="10"/>
  <c r="K287" i="10"/>
  <c r="J289" i="10"/>
  <c r="F289" i="10"/>
  <c r="B289" i="10"/>
  <c r="G289" i="10"/>
  <c r="L289" i="10"/>
  <c r="L291" i="10"/>
  <c r="H291" i="10"/>
  <c r="D291" i="10"/>
  <c r="E291" i="10" s="1"/>
  <c r="F291" i="10"/>
  <c r="K291" i="10"/>
  <c r="J293" i="10"/>
  <c r="F293" i="10"/>
  <c r="B293" i="10"/>
  <c r="G293" i="10"/>
  <c r="L293" i="10"/>
  <c r="L295" i="10"/>
  <c r="H295" i="10"/>
  <c r="D295" i="10"/>
  <c r="E295" i="10" s="1"/>
  <c r="F295" i="10"/>
  <c r="K295" i="10"/>
  <c r="J297" i="10"/>
  <c r="F297" i="10"/>
  <c r="B297" i="10"/>
  <c r="G297" i="10"/>
  <c r="L297" i="10"/>
  <c r="L299" i="10"/>
  <c r="H299" i="10"/>
  <c r="D299" i="10"/>
  <c r="E299" i="10" s="1"/>
  <c r="F299" i="10"/>
  <c r="K299" i="10"/>
  <c r="D300" i="10"/>
  <c r="E300" i="10" s="1"/>
  <c r="J301" i="10"/>
  <c r="F301" i="10"/>
  <c r="B301" i="10"/>
  <c r="G301" i="10"/>
  <c r="L301" i="10"/>
  <c r="L303" i="10"/>
  <c r="H303" i="10"/>
  <c r="D303" i="10"/>
  <c r="E303" i="10" s="1"/>
  <c r="F303" i="10"/>
  <c r="K303" i="10"/>
  <c r="D304" i="10"/>
  <c r="E304" i="10" s="1"/>
  <c r="J305" i="10"/>
  <c r="F305" i="10"/>
  <c r="B305" i="10"/>
  <c r="G305" i="10"/>
  <c r="L305" i="10"/>
  <c r="L307" i="10"/>
  <c r="H307" i="10"/>
  <c r="D307" i="10"/>
  <c r="E307" i="10" s="1"/>
  <c r="F307" i="10"/>
  <c r="K307" i="10"/>
  <c r="D308" i="10"/>
  <c r="E308" i="10" s="1"/>
  <c r="J309" i="10"/>
  <c r="F309" i="10"/>
  <c r="B309" i="10"/>
  <c r="G309" i="10"/>
  <c r="L309" i="10"/>
  <c r="L311" i="10"/>
  <c r="H311" i="10"/>
  <c r="D311" i="10"/>
  <c r="E311" i="10" s="1"/>
  <c r="F311" i="10"/>
  <c r="K311" i="10"/>
  <c r="D312" i="10"/>
  <c r="E312" i="10" s="1"/>
  <c r="J313" i="10"/>
  <c r="F313" i="10"/>
  <c r="B313" i="10"/>
  <c r="G313" i="10"/>
  <c r="L313" i="10"/>
  <c r="L315" i="10"/>
  <c r="H315" i="10"/>
  <c r="D315" i="10"/>
  <c r="E315" i="10" s="1"/>
  <c r="F315" i="10"/>
  <c r="K315" i="10"/>
  <c r="D316" i="10"/>
  <c r="E316" i="10" s="1"/>
  <c r="J317" i="10"/>
  <c r="F317" i="10"/>
  <c r="B317" i="10"/>
  <c r="G317" i="10"/>
  <c r="L317" i="10"/>
  <c r="L319" i="10"/>
  <c r="H319" i="10"/>
  <c r="D319" i="10"/>
  <c r="E319" i="10" s="1"/>
  <c r="F319" i="10"/>
  <c r="K319" i="10"/>
  <c r="D320" i="10"/>
  <c r="E320" i="10" s="1"/>
  <c r="J321" i="10"/>
  <c r="F321" i="10"/>
  <c r="B321" i="10"/>
  <c r="G321" i="10"/>
  <c r="L321" i="10"/>
  <c r="L323" i="10"/>
  <c r="H323" i="10"/>
  <c r="D323" i="10"/>
  <c r="E323" i="10" s="1"/>
  <c r="F323" i="10"/>
  <c r="K323" i="10"/>
  <c r="D324" i="10"/>
  <c r="E324" i="10" s="1"/>
  <c r="J325" i="10"/>
  <c r="F325" i="10"/>
  <c r="B325" i="10"/>
  <c r="G325" i="10"/>
  <c r="L325" i="10"/>
  <c r="L327" i="10"/>
  <c r="H327" i="10"/>
  <c r="D327" i="10"/>
  <c r="E327" i="10" s="1"/>
  <c r="F327" i="10"/>
  <c r="K327" i="10"/>
  <c r="D328" i="10"/>
  <c r="E328" i="10" s="1"/>
  <c r="J329" i="10"/>
  <c r="F329" i="10"/>
  <c r="B329" i="10"/>
  <c r="G329" i="10"/>
  <c r="L329" i="10"/>
  <c r="L331" i="10"/>
  <c r="H331" i="10"/>
  <c r="D331" i="10"/>
  <c r="E331" i="10" s="1"/>
  <c r="F331" i="10"/>
  <c r="K331" i="10"/>
  <c r="D332" i="10"/>
  <c r="E332" i="10" s="1"/>
  <c r="J333" i="10"/>
  <c r="F333" i="10"/>
  <c r="B333" i="10"/>
  <c r="G333" i="10"/>
  <c r="L333" i="10"/>
  <c r="J335" i="10"/>
  <c r="F335" i="10"/>
  <c r="B335" i="10"/>
  <c r="K335" i="10"/>
  <c r="H335" i="10"/>
  <c r="C337" i="10"/>
  <c r="D343" i="10"/>
  <c r="E343" i="10" s="1"/>
  <c r="L345" i="10"/>
  <c r="H345" i="10"/>
  <c r="D345" i="10"/>
  <c r="E345" i="10" s="1"/>
  <c r="J345" i="10"/>
  <c r="G345" i="10"/>
  <c r="K346" i="10"/>
  <c r="G346" i="10"/>
  <c r="C346" i="10"/>
  <c r="M346" i="10"/>
  <c r="H346" i="10"/>
  <c r="B346" i="10"/>
  <c r="I346" i="10"/>
  <c r="J351" i="10"/>
  <c r="F351" i="10"/>
  <c r="B351" i="10"/>
  <c r="K351" i="10"/>
  <c r="H351" i="10"/>
  <c r="C353" i="10"/>
  <c r="D359" i="10"/>
  <c r="E359" i="10" s="1"/>
  <c r="K361" i="10"/>
  <c r="G361" i="10"/>
  <c r="I361" i="10"/>
  <c r="D361" i="10"/>
  <c r="E361" i="10" s="1"/>
  <c r="L361" i="10"/>
  <c r="H361" i="10"/>
  <c r="K300" i="10"/>
  <c r="G300" i="10"/>
  <c r="C300" i="10"/>
  <c r="F300" i="10"/>
  <c r="L300" i="10"/>
  <c r="K304" i="10"/>
  <c r="G304" i="10"/>
  <c r="C304" i="10"/>
  <c r="F304" i="10"/>
  <c r="L304" i="10"/>
  <c r="K308" i="10"/>
  <c r="G308" i="10"/>
  <c r="C308" i="10"/>
  <c r="F308" i="10"/>
  <c r="L308" i="10"/>
  <c r="K312" i="10"/>
  <c r="G312" i="10"/>
  <c r="C312" i="10"/>
  <c r="F312" i="10"/>
  <c r="L312" i="10"/>
  <c r="K316" i="10"/>
  <c r="G316" i="10"/>
  <c r="C316" i="10"/>
  <c r="F316" i="10"/>
  <c r="L316" i="10"/>
  <c r="K320" i="10"/>
  <c r="G320" i="10"/>
  <c r="C320" i="10"/>
  <c r="F320" i="10"/>
  <c r="L320" i="10"/>
  <c r="K324" i="10"/>
  <c r="G324" i="10"/>
  <c r="C324" i="10"/>
  <c r="F324" i="10"/>
  <c r="L324" i="10"/>
  <c r="K328" i="10"/>
  <c r="G328" i="10"/>
  <c r="C328" i="10"/>
  <c r="F328" i="10"/>
  <c r="L328" i="10"/>
  <c r="K332" i="10"/>
  <c r="G332" i="10"/>
  <c r="C332" i="10"/>
  <c r="F332" i="10"/>
  <c r="L332" i="10"/>
  <c r="L337" i="10"/>
  <c r="H337" i="10"/>
  <c r="D337" i="10"/>
  <c r="E337" i="10" s="1"/>
  <c r="J337" i="10"/>
  <c r="G337" i="10"/>
  <c r="K338" i="10"/>
  <c r="G338" i="10"/>
  <c r="C338" i="10"/>
  <c r="M338" i="10"/>
  <c r="H338" i="10"/>
  <c r="B338" i="10"/>
  <c r="I338" i="10"/>
  <c r="J343" i="10"/>
  <c r="F343" i="10"/>
  <c r="B343" i="10"/>
  <c r="K343" i="10"/>
  <c r="H343" i="10"/>
  <c r="L353" i="10"/>
  <c r="H353" i="10"/>
  <c r="D353" i="10"/>
  <c r="E353" i="10" s="1"/>
  <c r="J353" i="10"/>
  <c r="G353" i="10"/>
  <c r="K354" i="10"/>
  <c r="G354" i="10"/>
  <c r="C354" i="10"/>
  <c r="M354" i="10"/>
  <c r="H354" i="10"/>
  <c r="B354" i="10"/>
  <c r="I354" i="10"/>
  <c r="J359" i="10"/>
  <c r="F359" i="10"/>
  <c r="B359" i="10"/>
  <c r="K359" i="10"/>
  <c r="H359" i="10"/>
  <c r="K369" i="10"/>
  <c r="G369" i="10"/>
  <c r="C369" i="10"/>
  <c r="I369" i="10"/>
  <c r="D369" i="10"/>
  <c r="E369" i="10" s="1"/>
  <c r="L369" i="10"/>
  <c r="J369" i="10"/>
  <c r="B369" i="10"/>
  <c r="K409" i="10"/>
  <c r="G409" i="10"/>
  <c r="C409" i="10"/>
  <c r="J409" i="10"/>
  <c r="I409" i="10"/>
  <c r="D409" i="10"/>
  <c r="E409" i="10" s="1"/>
  <c r="L409" i="10"/>
  <c r="K412" i="10"/>
  <c r="G412" i="10"/>
  <c r="C412" i="10"/>
  <c r="M412" i="10"/>
  <c r="H412" i="10"/>
  <c r="B412" i="10"/>
  <c r="F412" i="10"/>
  <c r="L412" i="10"/>
  <c r="J412" i="10"/>
  <c r="D412" i="10"/>
  <c r="E412" i="10" s="1"/>
  <c r="I246" i="10"/>
  <c r="I250" i="10"/>
  <c r="I254" i="10"/>
  <c r="I258" i="10"/>
  <c r="I262" i="10"/>
  <c r="I266" i="10"/>
  <c r="I270" i="10"/>
  <c r="I274" i="10"/>
  <c r="I278" i="10"/>
  <c r="I282" i="10"/>
  <c r="I286" i="10"/>
  <c r="I290" i="10"/>
  <c r="I294" i="10"/>
  <c r="I298" i="10"/>
  <c r="I302" i="10"/>
  <c r="I306" i="10"/>
  <c r="I310" i="10"/>
  <c r="I314" i="10"/>
  <c r="I318" i="10"/>
  <c r="I322" i="10"/>
  <c r="I326" i="10"/>
  <c r="I330" i="10"/>
  <c r="I334" i="10"/>
  <c r="K365" i="10"/>
  <c r="G365" i="10"/>
  <c r="C365" i="10"/>
  <c r="I365" i="10"/>
  <c r="D365" i="10"/>
  <c r="E365" i="10" s="1"/>
  <c r="H365" i="10"/>
  <c r="K373" i="10"/>
  <c r="G373" i="10"/>
  <c r="C373" i="10"/>
  <c r="I373" i="10"/>
  <c r="D373" i="10"/>
  <c r="E373" i="10" s="1"/>
  <c r="H373" i="10"/>
  <c r="K381" i="10"/>
  <c r="G381" i="10"/>
  <c r="C381" i="10"/>
  <c r="I381" i="10"/>
  <c r="D381" i="10"/>
  <c r="E381" i="10" s="1"/>
  <c r="H381" i="10"/>
  <c r="K389" i="10"/>
  <c r="G389" i="10"/>
  <c r="C389" i="10"/>
  <c r="I389" i="10"/>
  <c r="D389" i="10"/>
  <c r="E389" i="10" s="1"/>
  <c r="H389" i="10"/>
  <c r="K397" i="10"/>
  <c r="G397" i="10"/>
  <c r="C397" i="10"/>
  <c r="J397" i="10"/>
  <c r="I397" i="10"/>
  <c r="D397" i="10"/>
  <c r="E397" i="10" s="1"/>
  <c r="L397" i="10"/>
  <c r="K401" i="10"/>
  <c r="G401" i="10"/>
  <c r="C401" i="10"/>
  <c r="J401" i="10"/>
  <c r="I401" i="10"/>
  <c r="D401" i="10"/>
  <c r="E401" i="10" s="1"/>
  <c r="L401" i="10"/>
  <c r="B389" i="10"/>
  <c r="J389" i="10"/>
  <c r="B397" i="10"/>
  <c r="M397" i="10"/>
  <c r="B401" i="10"/>
  <c r="M401" i="10"/>
  <c r="K405" i="10"/>
  <c r="G405" i="10"/>
  <c r="C405" i="10"/>
  <c r="J405" i="10"/>
  <c r="I405" i="10"/>
  <c r="D405" i="10"/>
  <c r="E405" i="10" s="1"/>
  <c r="L405" i="10"/>
  <c r="F409" i="10"/>
  <c r="L411" i="10"/>
  <c r="H411" i="10"/>
  <c r="D411" i="10"/>
  <c r="E411" i="10" s="1"/>
  <c r="J411" i="10"/>
  <c r="M411" i="10"/>
  <c r="F411" i="10"/>
  <c r="K411" i="10"/>
  <c r="C411" i="10"/>
  <c r="I411" i="10"/>
  <c r="B411" i="10"/>
  <c r="I336" i="10"/>
  <c r="I340" i="10"/>
  <c r="I344" i="10"/>
  <c r="I348" i="10"/>
  <c r="I352" i="10"/>
  <c r="I356" i="10"/>
  <c r="I360" i="10"/>
  <c r="J362" i="10"/>
  <c r="F362" i="10"/>
  <c r="B362" i="10"/>
  <c r="G362" i="10"/>
  <c r="L362" i="10"/>
  <c r="L364" i="10"/>
  <c r="H364" i="10"/>
  <c r="D364" i="10"/>
  <c r="E364" i="10" s="1"/>
  <c r="F364" i="10"/>
  <c r="K364" i="10"/>
  <c r="J366" i="10"/>
  <c r="F366" i="10"/>
  <c r="B366" i="10"/>
  <c r="G366" i="10"/>
  <c r="L366" i="10"/>
  <c r="L368" i="10"/>
  <c r="H368" i="10"/>
  <c r="D368" i="10"/>
  <c r="E368" i="10" s="1"/>
  <c r="F368" i="10"/>
  <c r="K368" i="10"/>
  <c r="J370" i="10"/>
  <c r="F370" i="10"/>
  <c r="B370" i="10"/>
  <c r="G370" i="10"/>
  <c r="L370" i="10"/>
  <c r="L372" i="10"/>
  <c r="H372" i="10"/>
  <c r="D372" i="10"/>
  <c r="E372" i="10" s="1"/>
  <c r="F372" i="10"/>
  <c r="K372" i="10"/>
  <c r="J374" i="10"/>
  <c r="F374" i="10"/>
  <c r="B374" i="10"/>
  <c r="G374" i="10"/>
  <c r="L374" i="10"/>
  <c r="L376" i="10"/>
  <c r="H376" i="10"/>
  <c r="D376" i="10"/>
  <c r="E376" i="10" s="1"/>
  <c r="F376" i="10"/>
  <c r="K376" i="10"/>
  <c r="J378" i="10"/>
  <c r="F378" i="10"/>
  <c r="B378" i="10"/>
  <c r="G378" i="10"/>
  <c r="L378" i="10"/>
  <c r="L380" i="10"/>
  <c r="H380" i="10"/>
  <c r="D380" i="10"/>
  <c r="E380" i="10" s="1"/>
  <c r="F380" i="10"/>
  <c r="K380" i="10"/>
  <c r="J382" i="10"/>
  <c r="F382" i="10"/>
  <c r="B382" i="10"/>
  <c r="G382" i="10"/>
  <c r="L382" i="10"/>
  <c r="L384" i="10"/>
  <c r="H384" i="10"/>
  <c r="D384" i="10"/>
  <c r="E384" i="10" s="1"/>
  <c r="F384" i="10"/>
  <c r="K384" i="10"/>
  <c r="J386" i="10"/>
  <c r="F386" i="10"/>
  <c r="B386" i="10"/>
  <c r="G386" i="10"/>
  <c r="L386" i="10"/>
  <c r="L388" i="10"/>
  <c r="H388" i="10"/>
  <c r="D388" i="10"/>
  <c r="E388" i="10" s="1"/>
  <c r="F388" i="10"/>
  <c r="K388" i="10"/>
  <c r="J390" i="10"/>
  <c r="F390" i="10"/>
  <c r="B390" i="10"/>
  <c r="G390" i="10"/>
  <c r="L390" i="10"/>
  <c r="L392" i="10"/>
  <c r="H392" i="10"/>
  <c r="D392" i="10"/>
  <c r="E392" i="10" s="1"/>
  <c r="F392" i="10"/>
  <c r="K392" i="10"/>
  <c r="J394" i="10"/>
  <c r="F394" i="10"/>
  <c r="B394" i="10"/>
  <c r="G394" i="10"/>
  <c r="L394" i="10"/>
  <c r="L396" i="10"/>
  <c r="H396" i="10"/>
  <c r="D396" i="10"/>
  <c r="E396" i="10" s="1"/>
  <c r="F396" i="10"/>
  <c r="K396" i="10"/>
  <c r="J398" i="10"/>
  <c r="F398" i="10"/>
  <c r="B398" i="10"/>
  <c r="G398" i="10"/>
  <c r="L398" i="10"/>
  <c r="L400" i="10"/>
  <c r="H400" i="10"/>
  <c r="D400" i="10"/>
  <c r="E400" i="10" s="1"/>
  <c r="F400" i="10"/>
  <c r="K400" i="10"/>
  <c r="J402" i="10"/>
  <c r="F402" i="10"/>
  <c r="B402" i="10"/>
  <c r="G402" i="10"/>
  <c r="L402" i="10"/>
  <c r="L404" i="10"/>
  <c r="H404" i="10"/>
  <c r="D404" i="10"/>
  <c r="E404" i="10" s="1"/>
  <c r="F404" i="10"/>
  <c r="K404" i="10"/>
  <c r="J406" i="10"/>
  <c r="F406" i="10"/>
  <c r="B406" i="10"/>
  <c r="G406" i="10"/>
  <c r="L406" i="10"/>
  <c r="L408" i="10"/>
  <c r="H408" i="10"/>
  <c r="D408" i="10"/>
  <c r="E408" i="10" s="1"/>
  <c r="F408" i="10"/>
  <c r="K408" i="10"/>
  <c r="M410" i="10"/>
  <c r="I410" i="10"/>
  <c r="L410" i="10"/>
  <c r="G410" i="10"/>
  <c r="B410" i="10"/>
  <c r="H410" i="10"/>
  <c r="D413" i="10"/>
  <c r="E413" i="10" s="1"/>
  <c r="M413" i="10"/>
  <c r="K431" i="10"/>
  <c r="G431" i="10"/>
  <c r="C431" i="10"/>
  <c r="I431" i="10"/>
  <c r="D431" i="10"/>
  <c r="E431" i="10" s="1"/>
  <c r="M431" i="10"/>
  <c r="H431" i="10"/>
  <c r="B431" i="10"/>
  <c r="J431" i="10"/>
  <c r="F431" i="10"/>
  <c r="B404" i="10"/>
  <c r="G404" i="10"/>
  <c r="M404" i="10"/>
  <c r="C406" i="10"/>
  <c r="H406" i="10"/>
  <c r="M406" i="10"/>
  <c r="B408" i="10"/>
  <c r="G408" i="10"/>
  <c r="M408" i="10"/>
  <c r="C410" i="10"/>
  <c r="J410" i="10"/>
  <c r="K417" i="10"/>
  <c r="G417" i="10"/>
  <c r="C417" i="10"/>
  <c r="J417" i="10"/>
  <c r="F417" i="10"/>
  <c r="B417" i="10"/>
  <c r="H417" i="10"/>
  <c r="M417" i="10"/>
  <c r="K413" i="10"/>
  <c r="J413" i="10"/>
  <c r="F413" i="10"/>
  <c r="B413" i="10"/>
  <c r="L413" i="10"/>
  <c r="H413" i="10"/>
  <c r="L416" i="10"/>
  <c r="H416" i="10"/>
  <c r="D416" i="10"/>
  <c r="E416" i="10" s="1"/>
  <c r="K416" i="10"/>
  <c r="G416" i="10"/>
  <c r="C416" i="10"/>
  <c r="M416" i="10"/>
  <c r="J416" i="10"/>
  <c r="B416" i="10"/>
  <c r="L420" i="10"/>
  <c r="H420" i="10"/>
  <c r="D420" i="10"/>
  <c r="E420" i="10" s="1"/>
  <c r="K420" i="10"/>
  <c r="G420" i="10"/>
  <c r="C420" i="10"/>
  <c r="F420" i="10"/>
  <c r="M420" i="10"/>
  <c r="K447" i="10"/>
  <c r="G447" i="10"/>
  <c r="C447" i="10"/>
  <c r="J447" i="10"/>
  <c r="I447" i="10"/>
  <c r="D447" i="10"/>
  <c r="E447" i="10" s="1"/>
  <c r="M447" i="10"/>
  <c r="H447" i="10"/>
  <c r="B447" i="10"/>
  <c r="L447" i="10"/>
  <c r="F447" i="10"/>
  <c r="I363" i="10"/>
  <c r="I367" i="10"/>
  <c r="I371" i="10"/>
  <c r="I375" i="10"/>
  <c r="I379" i="10"/>
  <c r="I383" i="10"/>
  <c r="I387" i="10"/>
  <c r="I391" i="10"/>
  <c r="I395" i="10"/>
  <c r="I399" i="10"/>
  <c r="I403" i="10"/>
  <c r="I407" i="10"/>
  <c r="M425" i="10"/>
  <c r="I425" i="10"/>
  <c r="H425" i="10"/>
  <c r="C425" i="10"/>
  <c r="L425" i="10"/>
  <c r="G425" i="10"/>
  <c r="B425" i="10"/>
  <c r="K425" i="10"/>
  <c r="K439" i="10"/>
  <c r="G439" i="10"/>
  <c r="C439" i="10"/>
  <c r="I439" i="10"/>
  <c r="D439" i="10"/>
  <c r="E439" i="10" s="1"/>
  <c r="M439" i="10"/>
  <c r="H439" i="10"/>
  <c r="B439" i="10"/>
  <c r="L439" i="10"/>
  <c r="K421" i="10"/>
  <c r="G421" i="10"/>
  <c r="C421" i="10"/>
  <c r="J421" i="10"/>
  <c r="F421" i="10"/>
  <c r="B421" i="10"/>
  <c r="I421" i="10"/>
  <c r="L424" i="10"/>
  <c r="H424" i="10"/>
  <c r="D424" i="10"/>
  <c r="E424" i="10" s="1"/>
  <c r="K424" i="10"/>
  <c r="G424" i="10"/>
  <c r="C424" i="10"/>
  <c r="I424" i="10"/>
  <c r="K435" i="10"/>
  <c r="G435" i="10"/>
  <c r="C435" i="10"/>
  <c r="I435" i="10"/>
  <c r="D435" i="10"/>
  <c r="E435" i="10" s="1"/>
  <c r="M435" i="10"/>
  <c r="H435" i="10"/>
  <c r="B435" i="10"/>
  <c r="L435" i="10"/>
  <c r="K443" i="10"/>
  <c r="G443" i="10"/>
  <c r="C443" i="10"/>
  <c r="J443" i="10"/>
  <c r="I443" i="10"/>
  <c r="D443" i="10"/>
  <c r="E443" i="10" s="1"/>
  <c r="M443" i="10"/>
  <c r="H443" i="10"/>
  <c r="B443" i="10"/>
  <c r="I414" i="10"/>
  <c r="D415" i="10"/>
  <c r="E415" i="10" s="1"/>
  <c r="H415" i="10"/>
  <c r="L415" i="10"/>
  <c r="I418" i="10"/>
  <c r="D419" i="10"/>
  <c r="E419" i="10" s="1"/>
  <c r="H419" i="10"/>
  <c r="L419" i="10"/>
  <c r="I422" i="10"/>
  <c r="D423" i="10"/>
  <c r="E423" i="10" s="1"/>
  <c r="H423" i="10"/>
  <c r="L423" i="10"/>
  <c r="L480" i="10"/>
  <c r="H480" i="10"/>
  <c r="D480" i="10"/>
  <c r="E480" i="10" s="1"/>
  <c r="K480" i="10"/>
  <c r="G480" i="10"/>
  <c r="C480" i="10"/>
  <c r="J480" i="10"/>
  <c r="F480" i="10"/>
  <c r="B480" i="10"/>
  <c r="M480" i="10"/>
  <c r="I480" i="10"/>
  <c r="I415" i="10"/>
  <c r="I419" i="10"/>
  <c r="I423" i="10"/>
  <c r="L426" i="10"/>
  <c r="H426" i="10"/>
  <c r="D426" i="10"/>
  <c r="E426" i="10" s="1"/>
  <c r="F426" i="10"/>
  <c r="K426" i="10"/>
  <c r="J428" i="10"/>
  <c r="F428" i="10"/>
  <c r="B428" i="10"/>
  <c r="G428" i="10"/>
  <c r="L428" i="10"/>
  <c r="L430" i="10"/>
  <c r="H430" i="10"/>
  <c r="D430" i="10"/>
  <c r="E430" i="10" s="1"/>
  <c r="F430" i="10"/>
  <c r="K430" i="10"/>
  <c r="J432" i="10"/>
  <c r="F432" i="10"/>
  <c r="B432" i="10"/>
  <c r="G432" i="10"/>
  <c r="L432" i="10"/>
  <c r="L434" i="10"/>
  <c r="H434" i="10"/>
  <c r="D434" i="10"/>
  <c r="E434" i="10" s="1"/>
  <c r="F434" i="10"/>
  <c r="K434" i="10"/>
  <c r="J436" i="10"/>
  <c r="F436" i="10"/>
  <c r="B436" i="10"/>
  <c r="G436" i="10"/>
  <c r="L436" i="10"/>
  <c r="L438" i="10"/>
  <c r="H438" i="10"/>
  <c r="D438" i="10"/>
  <c r="E438" i="10" s="1"/>
  <c r="F438" i="10"/>
  <c r="K438" i="10"/>
  <c r="J440" i="10"/>
  <c r="F440" i="10"/>
  <c r="B440" i="10"/>
  <c r="G440" i="10"/>
  <c r="L440" i="10"/>
  <c r="L442" i="10"/>
  <c r="H442" i="10"/>
  <c r="D442" i="10"/>
  <c r="E442" i="10" s="1"/>
  <c r="F442" i="10"/>
  <c r="K442" i="10"/>
  <c r="J444" i="10"/>
  <c r="F444" i="10"/>
  <c r="B444" i="10"/>
  <c r="G444" i="10"/>
  <c r="L444" i="10"/>
  <c r="L446" i="10"/>
  <c r="H446" i="10"/>
  <c r="D446" i="10"/>
  <c r="E446" i="10" s="1"/>
  <c r="F446" i="10"/>
  <c r="K446" i="10"/>
  <c r="B442" i="10"/>
  <c r="G442" i="10"/>
  <c r="M442" i="10"/>
  <c r="C444" i="10"/>
  <c r="H444" i="10"/>
  <c r="M444" i="10"/>
  <c r="B446" i="10"/>
  <c r="G446" i="10"/>
  <c r="M446" i="10"/>
  <c r="J451" i="10"/>
  <c r="F451" i="10"/>
  <c r="B451" i="10"/>
  <c r="L451" i="10"/>
  <c r="H451" i="10"/>
  <c r="D451" i="10"/>
  <c r="E451" i="10" s="1"/>
  <c r="I451" i="10"/>
  <c r="J455" i="10"/>
  <c r="F455" i="10"/>
  <c r="B455" i="10"/>
  <c r="L455" i="10"/>
  <c r="H455" i="10"/>
  <c r="D455" i="10"/>
  <c r="E455" i="10" s="1"/>
  <c r="I455" i="10"/>
  <c r="J459" i="10"/>
  <c r="F459" i="10"/>
  <c r="B459" i="10"/>
  <c r="L459" i="10"/>
  <c r="H459" i="10"/>
  <c r="D459" i="10"/>
  <c r="E459" i="10" s="1"/>
  <c r="I459" i="10"/>
  <c r="J463" i="10"/>
  <c r="F463" i="10"/>
  <c r="B463" i="10"/>
  <c r="L463" i="10"/>
  <c r="H463" i="10"/>
  <c r="D463" i="10"/>
  <c r="E463" i="10" s="1"/>
  <c r="I463" i="10"/>
  <c r="M465" i="10"/>
  <c r="J467" i="10"/>
  <c r="F467" i="10"/>
  <c r="B467" i="10"/>
  <c r="L467" i="10"/>
  <c r="H467" i="10"/>
  <c r="D467" i="10"/>
  <c r="E467" i="10" s="1"/>
  <c r="I467" i="10"/>
  <c r="L469" i="10"/>
  <c r="H469" i="10"/>
  <c r="D469" i="10"/>
  <c r="E469" i="10" s="1"/>
  <c r="J469" i="10"/>
  <c r="F469" i="10"/>
  <c r="B469" i="10"/>
  <c r="I469" i="10"/>
  <c r="M479" i="10"/>
  <c r="L479" i="10"/>
  <c r="H479" i="10"/>
  <c r="D479" i="10"/>
  <c r="E479" i="10" s="1"/>
  <c r="K479" i="10"/>
  <c r="G479" i="10"/>
  <c r="C479" i="10"/>
  <c r="F479" i="10"/>
  <c r="J479" i="10"/>
  <c r="B479" i="10"/>
  <c r="C467" i="10"/>
  <c r="K467" i="10"/>
  <c r="C469" i="10"/>
  <c r="K469" i="10"/>
  <c r="L473" i="10"/>
  <c r="H473" i="10"/>
  <c r="D473" i="10"/>
  <c r="E473" i="10" s="1"/>
  <c r="J473" i="10"/>
  <c r="F473" i="10"/>
  <c r="B473" i="10"/>
  <c r="I473" i="10"/>
  <c r="I429" i="10"/>
  <c r="I433" i="10"/>
  <c r="I437" i="10"/>
  <c r="I441" i="10"/>
  <c r="I445" i="10"/>
  <c r="L449" i="10"/>
  <c r="H449" i="10"/>
  <c r="D449" i="10"/>
  <c r="E449" i="10" s="1"/>
  <c r="J449" i="10"/>
  <c r="F449" i="10"/>
  <c r="B449" i="10"/>
  <c r="I449" i="10"/>
  <c r="L453" i="10"/>
  <c r="H453" i="10"/>
  <c r="D453" i="10"/>
  <c r="E453" i="10" s="1"/>
  <c r="J453" i="10"/>
  <c r="F453" i="10"/>
  <c r="B453" i="10"/>
  <c r="I453" i="10"/>
  <c r="L457" i="10"/>
  <c r="H457" i="10"/>
  <c r="D457" i="10"/>
  <c r="E457" i="10" s="1"/>
  <c r="J457" i="10"/>
  <c r="F457" i="10"/>
  <c r="B457" i="10"/>
  <c r="I457" i="10"/>
  <c r="L461" i="10"/>
  <c r="H461" i="10"/>
  <c r="D461" i="10"/>
  <c r="E461" i="10" s="1"/>
  <c r="J461" i="10"/>
  <c r="F461" i="10"/>
  <c r="B461" i="10"/>
  <c r="I461" i="10"/>
  <c r="L465" i="10"/>
  <c r="H465" i="10"/>
  <c r="D465" i="10"/>
  <c r="E465" i="10" s="1"/>
  <c r="J465" i="10"/>
  <c r="F465" i="10"/>
  <c r="B465" i="10"/>
  <c r="I465" i="10"/>
  <c r="M469" i="10"/>
  <c r="J471" i="10"/>
  <c r="F471" i="10"/>
  <c r="B471" i="10"/>
  <c r="L471" i="10"/>
  <c r="H471" i="10"/>
  <c r="D471" i="10"/>
  <c r="E471" i="10" s="1"/>
  <c r="I471" i="10"/>
  <c r="L475" i="10"/>
  <c r="H475" i="10"/>
  <c r="D475" i="10"/>
  <c r="E475" i="10" s="1"/>
  <c r="K475" i="10"/>
  <c r="G475" i="10"/>
  <c r="C475" i="10"/>
  <c r="F475" i="10"/>
  <c r="J475" i="10"/>
  <c r="B475" i="10"/>
  <c r="L488" i="10"/>
  <c r="H488" i="10"/>
  <c r="D488" i="10"/>
  <c r="E488" i="10" s="1"/>
  <c r="K488" i="10"/>
  <c r="G488" i="10"/>
  <c r="C488" i="10"/>
  <c r="J488" i="10"/>
  <c r="F488" i="10"/>
  <c r="B488" i="10"/>
  <c r="M488" i="10"/>
  <c r="I488" i="10"/>
  <c r="K448" i="10"/>
  <c r="I450" i="10"/>
  <c r="M450" i="10"/>
  <c r="C452" i="10"/>
  <c r="G452" i="10"/>
  <c r="K452" i="10"/>
  <c r="I454" i="10"/>
  <c r="M454" i="10"/>
  <c r="C456" i="10"/>
  <c r="G456" i="10"/>
  <c r="K456" i="10"/>
  <c r="I458" i="10"/>
  <c r="M458" i="10"/>
  <c r="C460" i="10"/>
  <c r="G460" i="10"/>
  <c r="K460" i="10"/>
  <c r="I462" i="10"/>
  <c r="M462" i="10"/>
  <c r="C464" i="10"/>
  <c r="G464" i="10"/>
  <c r="K464" i="10"/>
  <c r="I466" i="10"/>
  <c r="M466" i="10"/>
  <c r="K468" i="10"/>
  <c r="I470" i="10"/>
  <c r="M470" i="10"/>
  <c r="G472" i="10"/>
  <c r="K472" i="10"/>
  <c r="L474" i="10"/>
  <c r="H474" i="10"/>
  <c r="J474" i="10"/>
  <c r="L492" i="10"/>
  <c r="H492" i="10"/>
  <c r="D492" i="10"/>
  <c r="E492" i="10" s="1"/>
  <c r="K492" i="10"/>
  <c r="G492" i="10"/>
  <c r="C492" i="10"/>
  <c r="J492" i="10"/>
  <c r="F492" i="10"/>
  <c r="B492" i="10"/>
  <c r="M492" i="10"/>
  <c r="I448" i="10"/>
  <c r="C450" i="10"/>
  <c r="G450" i="10"/>
  <c r="I452" i="10"/>
  <c r="C454" i="10"/>
  <c r="G454" i="10"/>
  <c r="I456" i="10"/>
  <c r="C458" i="10"/>
  <c r="G458" i="10"/>
  <c r="I460" i="10"/>
  <c r="C462" i="10"/>
  <c r="G462" i="10"/>
  <c r="I464" i="10"/>
  <c r="C466" i="10"/>
  <c r="G466" i="10"/>
  <c r="I468" i="10"/>
  <c r="C470" i="10"/>
  <c r="G470" i="10"/>
  <c r="I472" i="10"/>
  <c r="C474" i="10"/>
  <c r="G474" i="10"/>
  <c r="M474" i="10"/>
  <c r="K476" i="10"/>
  <c r="G476" i="10"/>
  <c r="C476" i="10"/>
  <c r="J476" i="10"/>
  <c r="F476" i="10"/>
  <c r="B476" i="10"/>
  <c r="I476" i="10"/>
  <c r="L484" i="10"/>
  <c r="H484" i="10"/>
  <c r="D484" i="10"/>
  <c r="E484" i="10" s="1"/>
  <c r="K484" i="10"/>
  <c r="G484" i="10"/>
  <c r="C484" i="10"/>
  <c r="J484" i="10"/>
  <c r="F484" i="10"/>
  <c r="B484" i="10"/>
  <c r="I496" i="10"/>
  <c r="M496" i="10"/>
  <c r="I500" i="10"/>
  <c r="M500" i="10"/>
  <c r="I477" i="10"/>
  <c r="M477" i="10"/>
  <c r="D478" i="10"/>
  <c r="E478" i="10" s="1"/>
  <c r="H478" i="10"/>
  <c r="L478" i="10"/>
  <c r="I481" i="10"/>
  <c r="M481" i="10"/>
  <c r="C483" i="10"/>
  <c r="G483" i="10"/>
  <c r="K483" i="10"/>
  <c r="I485" i="10"/>
  <c r="M485" i="10"/>
  <c r="C487" i="10"/>
  <c r="G487" i="10"/>
  <c r="K487" i="10"/>
  <c r="I489" i="10"/>
  <c r="M489" i="10"/>
  <c r="C491" i="10"/>
  <c r="G491" i="10"/>
  <c r="K491" i="10"/>
  <c r="I493" i="10"/>
  <c r="M493" i="10"/>
  <c r="C495" i="10"/>
  <c r="G495" i="10"/>
  <c r="K495" i="10"/>
  <c r="B496" i="10"/>
  <c r="F496" i="10"/>
  <c r="J496" i="10"/>
  <c r="I497" i="10"/>
  <c r="M497" i="10"/>
  <c r="C499" i="10"/>
  <c r="G499" i="10"/>
  <c r="K499" i="10"/>
  <c r="B500" i="10"/>
  <c r="F500" i="10"/>
  <c r="J500" i="10"/>
  <c r="I501" i="10"/>
  <c r="M501" i="10"/>
  <c r="B477" i="10"/>
  <c r="F477" i="10"/>
  <c r="I478" i="10"/>
  <c r="B481" i="10"/>
  <c r="F481" i="10"/>
  <c r="I482" i="10"/>
  <c r="D483" i="10"/>
  <c r="E483" i="10" s="1"/>
  <c r="H483" i="10"/>
  <c r="L483" i="10"/>
  <c r="B485" i="10"/>
  <c r="F485" i="10"/>
  <c r="I486" i="10"/>
  <c r="D487" i="10"/>
  <c r="E487" i="10" s="1"/>
  <c r="H487" i="10"/>
  <c r="L487" i="10"/>
  <c r="B489" i="10"/>
  <c r="F489" i="10"/>
  <c r="I490" i="10"/>
  <c r="D491" i="10"/>
  <c r="E491" i="10" s="1"/>
  <c r="H491" i="10"/>
  <c r="L491" i="10"/>
  <c r="B493" i="10"/>
  <c r="F493" i="10"/>
  <c r="J493" i="10"/>
  <c r="I494" i="10"/>
  <c r="D495" i="10"/>
  <c r="E495" i="10" s="1"/>
  <c r="H495" i="10"/>
  <c r="L495" i="10"/>
  <c r="C496" i="10"/>
  <c r="G496" i="10"/>
  <c r="K496" i="10"/>
  <c r="B497" i="10"/>
  <c r="F497" i="10"/>
  <c r="J497" i="10"/>
  <c r="I498" i="10"/>
  <c r="D499" i="10"/>
  <c r="E499" i="10" s="1"/>
  <c r="H499" i="10"/>
  <c r="L499" i="10"/>
  <c r="C500" i="10"/>
  <c r="G500" i="10"/>
  <c r="K500" i="10"/>
  <c r="B501" i="10"/>
  <c r="F501" i="10"/>
  <c r="J501" i="10"/>
  <c r="I483" i="10"/>
  <c r="I487" i="10"/>
  <c r="I491" i="10"/>
  <c r="C493" i="10"/>
  <c r="G493" i="10"/>
  <c r="I495" i="10"/>
  <c r="D496" i="10"/>
  <c r="E496" i="10" s="1"/>
  <c r="H496" i="10"/>
  <c r="C497" i="10"/>
  <c r="G497" i="10"/>
  <c r="I499" i="10"/>
  <c r="D500" i="10"/>
  <c r="E500" i="10" s="1"/>
  <c r="H500" i="10"/>
  <c r="C501" i="10"/>
  <c r="G501" i="10"/>
  <c r="H2" i="7" l="1"/>
  <c r="L2" i="10"/>
  <c r="B7" i="11" s="1"/>
  <c r="M41" i="10"/>
  <c r="G330" i="7"/>
  <c r="H330" i="7" s="1"/>
  <c r="G298" i="7"/>
  <c r="H298" i="7" s="1"/>
  <c r="G266" i="7"/>
  <c r="H266" i="7" s="1"/>
  <c r="G250" i="7"/>
  <c r="H250" i="7" s="1"/>
  <c r="G242" i="7"/>
  <c r="H242" i="7" s="1"/>
  <c r="G234" i="7"/>
  <c r="H234" i="7" s="1"/>
  <c r="G226" i="7"/>
  <c r="H226" i="7" s="1"/>
  <c r="G218" i="7"/>
  <c r="H218" i="7" s="1"/>
  <c r="G210" i="7"/>
  <c r="H210" i="7" s="1"/>
  <c r="G202" i="7"/>
  <c r="H202" i="7" s="1"/>
  <c r="G194" i="7"/>
  <c r="H194" i="7" s="1"/>
  <c r="G186" i="7"/>
  <c r="H186" i="7" s="1"/>
  <c r="G178" i="7"/>
  <c r="H178" i="7" s="1"/>
  <c r="G170" i="7"/>
  <c r="H170" i="7" s="1"/>
  <c r="G162" i="7"/>
  <c r="H162" i="7" s="1"/>
  <c r="G154" i="7"/>
  <c r="H154" i="7" s="1"/>
  <c r="G146" i="7"/>
  <c r="H146" i="7" s="1"/>
  <c r="G138" i="7"/>
  <c r="H138" i="7" s="1"/>
  <c r="G130" i="7"/>
  <c r="H130" i="7" s="1"/>
  <c r="G122" i="7"/>
  <c r="H122" i="7" s="1"/>
  <c r="M45" i="10"/>
  <c r="E14" i="2"/>
  <c r="G334" i="7"/>
  <c r="H334" i="7" s="1"/>
  <c r="G333" i="7"/>
  <c r="H333" i="7" s="1"/>
  <c r="G302" i="7"/>
  <c r="H302" i="7" s="1"/>
  <c r="G301" i="7"/>
  <c r="H301" i="7" s="1"/>
  <c r="G270" i="7"/>
  <c r="H270" i="7" s="1"/>
  <c r="G269" i="7"/>
  <c r="H269" i="7" s="1"/>
  <c r="M2" i="10"/>
  <c r="B9" i="11" s="1"/>
  <c r="G318" i="7"/>
  <c r="H318" i="7" s="1"/>
  <c r="G317" i="7"/>
  <c r="H317" i="7" s="1"/>
  <c r="G286" i="7"/>
  <c r="H286" i="7" s="1"/>
  <c r="G285" i="7"/>
  <c r="H285" i="7" s="1"/>
  <c r="M60" i="10"/>
  <c r="M52" i="10"/>
  <c r="M49" i="10"/>
  <c r="M36" i="10"/>
  <c r="M33" i="10"/>
  <c r="G254" i="7"/>
  <c r="H254" i="7" s="1"/>
  <c r="G246" i="7"/>
  <c r="H246" i="7" s="1"/>
  <c r="G238" i="7"/>
  <c r="H238" i="7" s="1"/>
  <c r="G230" i="7"/>
  <c r="H230" i="7" s="1"/>
  <c r="G222" i="7"/>
  <c r="H222" i="7" s="1"/>
  <c r="G214" i="7"/>
  <c r="H214" i="7" s="1"/>
  <c r="G206" i="7"/>
  <c r="H206" i="7" s="1"/>
  <c r="G198" i="7"/>
  <c r="H198" i="7" s="1"/>
  <c r="G190" i="7"/>
  <c r="H190" i="7" s="1"/>
  <c r="G182" i="7"/>
  <c r="H182" i="7" s="1"/>
  <c r="G174" i="7"/>
  <c r="H174" i="7" s="1"/>
  <c r="G166" i="7"/>
  <c r="H166" i="7" s="1"/>
  <c r="G158" i="7"/>
  <c r="H158" i="7" s="1"/>
  <c r="G150" i="7"/>
  <c r="H150" i="7" s="1"/>
  <c r="G142" i="7"/>
  <c r="H142" i="7" s="1"/>
  <c r="G134" i="7"/>
  <c r="H134" i="7" s="1"/>
  <c r="G126" i="7"/>
  <c r="H126" i="7" s="1"/>
  <c r="B25" i="11"/>
  <c r="J5" i="3"/>
  <c r="M40" i="10"/>
  <c r="M37" i="10"/>
  <c r="M24" i="10"/>
  <c r="B8" i="11"/>
  <c r="G277" i="7"/>
  <c r="H277" i="7" s="1"/>
  <c r="G493" i="7"/>
  <c r="H493" i="7" s="1"/>
  <c r="G477" i="7"/>
  <c r="H477" i="7" s="1"/>
  <c r="G461" i="7"/>
  <c r="H461" i="7" s="1"/>
  <c r="G445" i="7"/>
  <c r="H445" i="7" s="1"/>
  <c r="G429" i="7"/>
  <c r="H429" i="7" s="1"/>
  <c r="G413" i="7"/>
  <c r="H413" i="7" s="1"/>
  <c r="G397" i="7"/>
  <c r="H397" i="7" s="1"/>
  <c r="G381" i="7"/>
  <c r="H381" i="7" s="1"/>
  <c r="G365" i="7"/>
  <c r="H365" i="7" s="1"/>
  <c r="G349" i="7"/>
  <c r="H349" i="7" s="1"/>
  <c r="G491" i="7"/>
  <c r="H491" i="7" s="1"/>
  <c r="G475" i="7"/>
  <c r="H475" i="7" s="1"/>
  <c r="G459" i="7"/>
  <c r="H459" i="7" s="1"/>
  <c r="G443" i="7"/>
  <c r="H443" i="7" s="1"/>
  <c r="G427" i="7"/>
  <c r="H427" i="7" s="1"/>
  <c r="G411" i="7"/>
  <c r="H411" i="7" s="1"/>
  <c r="G395" i="7"/>
  <c r="H395" i="7" s="1"/>
  <c r="G379" i="7"/>
  <c r="H379" i="7" s="1"/>
  <c r="G363" i="7"/>
  <c r="H363" i="7" s="1"/>
  <c r="G347" i="7"/>
  <c r="H347" i="7" s="1"/>
  <c r="G492" i="7"/>
  <c r="H492" i="7" s="1"/>
  <c r="G476" i="7"/>
  <c r="H476" i="7" s="1"/>
  <c r="G460" i="7"/>
  <c r="H460" i="7" s="1"/>
  <c r="G444" i="7"/>
  <c r="H444" i="7" s="1"/>
  <c r="G428" i="7"/>
  <c r="H428" i="7" s="1"/>
  <c r="G412" i="7"/>
  <c r="H412" i="7" s="1"/>
  <c r="G396" i="7"/>
  <c r="H396" i="7" s="1"/>
  <c r="G380" i="7"/>
  <c r="H380" i="7" s="1"/>
  <c r="G364" i="7"/>
  <c r="H364" i="7" s="1"/>
  <c r="G348" i="7"/>
  <c r="H348" i="7" s="1"/>
  <c r="A14" i="2" l="1"/>
</calcChain>
</file>

<file path=xl/sharedStrings.xml><?xml version="1.0" encoding="utf-8"?>
<sst xmlns="http://schemas.openxmlformats.org/spreadsheetml/2006/main" count="20859" uniqueCount="1008">
  <si>
    <t>MSH Enhanced Institutional System – Multi‑Term Demo Guide</t>
  </si>
  <si>
    <t>Purpose: This file contains dummy data across multiple terms (2026) to help you test dashboards, auto-calculated attendance, payments, and reports.</t>
  </si>
  <si>
    <t>Quick tests:</t>
  </si>
  <si>
    <t>1) MASTER_REGISTER → check Amount Paid / Balance / Payment Status auto-update from PAYMENTS.</t>
  </si>
  <si>
    <t>2) ATTENDANCE_DAILY → filter by a learner or date and confirm ATTENDANCE_SUMMARY updates automatically.</t>
  </si>
  <si>
    <t>3) ASSESSMENTS → filter by learner and confirm PROGRESS_SUMMARY updates (overall and subject averages).</t>
  </si>
  <si>
    <t>4) REPORT_TEMPLATE → change cell B3 to any student number in MASTER_REGISTER for a general report.</t>
  </si>
  <si>
    <t>5) TERM_REPORT_TEMPLATE → set Start Date and End Date to a term range (e.g., 2026-01-01 to 2026-03-31) and change B3 to generate term-specific averages.</t>
  </si>
  <si>
    <t>Tip: If Excel doesn’t update immediately, press Ctrl + Alt + F9 once (full recalculation).</t>
  </si>
  <si>
    <t>Math &amp; Sciences Hub – Admin Dashboard</t>
  </si>
  <si>
    <t>Overview</t>
  </si>
  <si>
    <t>Total Registered Learners</t>
  </si>
  <si>
    <t>Active Learners</t>
  </si>
  <si>
    <t>Total Fees Billed (R)</t>
  </si>
  <si>
    <t>Total Paid (R)</t>
  </si>
  <si>
    <t>Total Outstanding (R)</t>
  </si>
  <si>
    <t>Collection Rate</t>
  </si>
  <si>
    <t>Avg Attendance %</t>
  </si>
  <si>
    <t>Avg Assessment Score %</t>
  </si>
  <si>
    <t>Exports</t>
  </si>
  <si>
    <t>Use the EXPORTS sheet to copy/paste or save as CSV/XLSX for reporting.</t>
  </si>
  <si>
    <t>Tip: Filter the EXPORTS tables first, then Export/Save As.</t>
  </si>
  <si>
    <t>Math &amp; Sciences Hub – Exports</t>
  </si>
  <si>
    <t>EXPORT: Learners</t>
  </si>
  <si>
    <t>Student Number</t>
  </si>
  <si>
    <t>Full Name</t>
  </si>
  <si>
    <t>Grade</t>
  </si>
  <si>
    <t>Phone</t>
  </si>
  <si>
    <t>Email</t>
  </si>
  <si>
    <t>Package</t>
  </si>
  <si>
    <t>Total Fee</t>
  </si>
  <si>
    <t>Amount Paid</t>
  </si>
  <si>
    <t>Balance</t>
  </si>
  <si>
    <t>Payment Status</t>
  </si>
  <si>
    <t>EXPORT: Payments</t>
  </si>
  <si>
    <t>Payment Date</t>
  </si>
  <si>
    <t>Receipt/Ref</t>
  </si>
  <si>
    <t>Payer Name</t>
  </si>
  <si>
    <t>Amount Paid (R)</t>
  </si>
  <si>
    <t>Method</t>
  </si>
  <si>
    <t>Notes</t>
  </si>
  <si>
    <t>Registration Date</t>
  </si>
  <si>
    <t>Year</t>
  </si>
  <si>
    <t>Applicant Sequence</t>
  </si>
  <si>
    <t>Package Name</t>
  </si>
  <si>
    <t>Status</t>
  </si>
  <si>
    <t>Balance (R)</t>
  </si>
  <si>
    <t>Last Payment Date</t>
  </si>
  <si>
    <t>2026-01-06</t>
  </si>
  <si>
    <t>001</t>
  </si>
  <si>
    <t>MSH202608001</t>
  </si>
  <si>
    <t>Lerato Nkosi</t>
  </si>
  <si>
    <t>lerato.nkosi.demo8001@gmail.com</t>
  </si>
  <si>
    <t>0782010000</t>
  </si>
  <si>
    <t>Senior Phase Support Package</t>
  </si>
  <si>
    <t>Active</t>
  </si>
  <si>
    <t>2026-01-08</t>
  </si>
  <si>
    <t>002</t>
  </si>
  <si>
    <t>MSH202608002</t>
  </si>
  <si>
    <t>Karabo Maseko</t>
  </si>
  <si>
    <t>karabo.maseko.demo8002@gmail.com</t>
  </si>
  <si>
    <t>0782010001</t>
  </si>
  <si>
    <t>2026-01-10</t>
  </si>
  <si>
    <t>003</t>
  </si>
  <si>
    <t>MSH202608003</t>
  </si>
  <si>
    <t>Sifiso Sithole</t>
  </si>
  <si>
    <t>sifiso.sithole.demo8003@gmail.com</t>
  </si>
  <si>
    <t>0782010002</t>
  </si>
  <si>
    <t>2026-01-12</t>
  </si>
  <si>
    <t>004</t>
  </si>
  <si>
    <t>MSH202608004</t>
  </si>
  <si>
    <t>Tshepo Ndlovu</t>
  </si>
  <si>
    <t>tshepo.ndlovu.demo8004@gmail.com</t>
  </si>
  <si>
    <t>0782010003</t>
  </si>
  <si>
    <t>2026-01-14</t>
  </si>
  <si>
    <t>005</t>
  </si>
  <si>
    <t>MSH202608005</t>
  </si>
  <si>
    <t>Lwazi Mthembu</t>
  </si>
  <si>
    <t>lwazi.mthembu.demo8005@gmail.com</t>
  </si>
  <si>
    <t>0782010004</t>
  </si>
  <si>
    <t>2026-01-16</t>
  </si>
  <si>
    <t>006</t>
  </si>
  <si>
    <t>MSH202608006</t>
  </si>
  <si>
    <t>Karabo Ngobeni</t>
  </si>
  <si>
    <t>karabo.ngobeni.demo8006@gmail.com</t>
  </si>
  <si>
    <t>0782010005</t>
  </si>
  <si>
    <t>2026-01-18</t>
  </si>
  <si>
    <t>007</t>
  </si>
  <si>
    <t>MSH202608007</t>
  </si>
  <si>
    <t>Mpho Sithole</t>
  </si>
  <si>
    <t>mpho.sithole.demo8007@gmail.com</t>
  </si>
  <si>
    <t>0782010006</t>
  </si>
  <si>
    <t>2026-01-20</t>
  </si>
  <si>
    <t>008</t>
  </si>
  <si>
    <t>MSH202608008</t>
  </si>
  <si>
    <t>Tshepo Ramushu</t>
  </si>
  <si>
    <t>tshepo.ramushu.demo8008@gmail.com</t>
  </si>
  <si>
    <t>0782010007</t>
  </si>
  <si>
    <t>2026-01-22</t>
  </si>
  <si>
    <t>009</t>
  </si>
  <si>
    <t>MSH202608009</t>
  </si>
  <si>
    <t>Lerato Kekana</t>
  </si>
  <si>
    <t>lerato.kekana.demo8009@gmail.com</t>
  </si>
  <si>
    <t>0782010008</t>
  </si>
  <si>
    <t>2026-01-24</t>
  </si>
  <si>
    <t>010</t>
  </si>
  <si>
    <t>MSH202608010</t>
  </si>
  <si>
    <t>Neo Ngobeni</t>
  </si>
  <si>
    <t>neo.ngobeni.demo8010@gmail.com</t>
  </si>
  <si>
    <t>0782010009</t>
  </si>
  <si>
    <t>2026-01-26</t>
  </si>
  <si>
    <t>011</t>
  </si>
  <si>
    <t>MSH202608011</t>
  </si>
  <si>
    <t>Thabo Mokgadi</t>
  </si>
  <si>
    <t>thabo.mokgadi.demo8011@gmail.com</t>
  </si>
  <si>
    <t>0782010010</t>
  </si>
  <si>
    <t>2026-01-28</t>
  </si>
  <si>
    <t>012</t>
  </si>
  <si>
    <t>MSH202608012</t>
  </si>
  <si>
    <t>Sifiso Mthembu</t>
  </si>
  <si>
    <t>sifiso.mthembu.demo8012@gmail.com</t>
  </si>
  <si>
    <t>0782010011</t>
  </si>
  <si>
    <t>2026-01-30</t>
  </si>
  <si>
    <t>MSH202609001</t>
  </si>
  <si>
    <t>Karabo Phiri</t>
  </si>
  <si>
    <t>karabo.phiri.demo9001@gmail.com</t>
  </si>
  <si>
    <t>0782010012</t>
  </si>
  <si>
    <t>2026-02-01</t>
  </si>
  <si>
    <t>MSH202609002</t>
  </si>
  <si>
    <t>Lerato Mahlangu</t>
  </si>
  <si>
    <t>lerato.mahlangu.demo9002@gmail.com</t>
  </si>
  <si>
    <t>0782010013</t>
  </si>
  <si>
    <t>2026-02-03</t>
  </si>
  <si>
    <t>MSH202609003</t>
  </si>
  <si>
    <t>Mpho Kekana</t>
  </si>
  <si>
    <t>mpho.kekana.demo9003@gmail.com</t>
  </si>
  <si>
    <t>0782010014</t>
  </si>
  <si>
    <t>2026-02-05</t>
  </si>
  <si>
    <t>MSH202609004</t>
  </si>
  <si>
    <t>Thabo Molefe</t>
  </si>
  <si>
    <t>thabo.molefe.demo9004@gmail.com</t>
  </si>
  <si>
    <t>0782010015</t>
  </si>
  <si>
    <t>2026-02-07</t>
  </si>
  <si>
    <t>MSH202609005</t>
  </si>
  <si>
    <t>Mpho Ngobeni</t>
  </si>
  <si>
    <t>mpho.ngobeni.demo9005@gmail.com</t>
  </si>
  <si>
    <t>0782010016</t>
  </si>
  <si>
    <t>2026-02-09</t>
  </si>
  <si>
    <t>MSH202609006</t>
  </si>
  <si>
    <t>Siyanda Mhlongo</t>
  </si>
  <si>
    <t>siyanda.mhlongo.demo9006@gmail.com</t>
  </si>
  <si>
    <t>0782010017</t>
  </si>
  <si>
    <t>2026-02-11</t>
  </si>
  <si>
    <t>MSH202609007</t>
  </si>
  <si>
    <t>Siyanda Mahlangu</t>
  </si>
  <si>
    <t>siyanda.mahlangu.demo9007@gmail.com</t>
  </si>
  <si>
    <t>0782010018</t>
  </si>
  <si>
    <t>2026-02-13</t>
  </si>
  <si>
    <t>MSH202609008</t>
  </si>
  <si>
    <t>Sifiso Ramushu</t>
  </si>
  <si>
    <t>sifiso.ramushu.demo9008@gmail.com</t>
  </si>
  <si>
    <t>0782010019</t>
  </si>
  <si>
    <t>2026-02-15</t>
  </si>
  <si>
    <t>MSH202609009</t>
  </si>
  <si>
    <t>Nandi Ngobeni</t>
  </si>
  <si>
    <t>nandi.ngobeni.demo9009@gmail.com</t>
  </si>
  <si>
    <t>0782010020</t>
  </si>
  <si>
    <t>2026-02-17</t>
  </si>
  <si>
    <t>MSH202609010</t>
  </si>
  <si>
    <t>Karabo Mokgadi</t>
  </si>
  <si>
    <t>karabo.mokgadi.demo9010@gmail.com</t>
  </si>
  <si>
    <t>0782010021</t>
  </si>
  <si>
    <t>2026-02-19</t>
  </si>
  <si>
    <t>MSH202609011</t>
  </si>
  <si>
    <t>Sifiso Mahlangu</t>
  </si>
  <si>
    <t>sifiso.mahlangu.demo9011@gmail.com</t>
  </si>
  <si>
    <t>0782010022</t>
  </si>
  <si>
    <t>2026-02-21</t>
  </si>
  <si>
    <t>MSH202609012</t>
  </si>
  <si>
    <t>Kgothatso Radebe</t>
  </si>
  <si>
    <t>kgothatso.radebe.demo9012@gmail.com</t>
  </si>
  <si>
    <t>0782010023</t>
  </si>
  <si>
    <t>2026-02-23</t>
  </si>
  <si>
    <t>MSH202610001</t>
  </si>
  <si>
    <t>Lerato Maseko</t>
  </si>
  <si>
    <t>lerato.maseko.demo10001@gmail.com</t>
  </si>
  <si>
    <t>0782010024</t>
  </si>
  <si>
    <t>Commerce Package</t>
  </si>
  <si>
    <t>MSH202610002</t>
  </si>
  <si>
    <t>Sibusiso Molefe</t>
  </si>
  <si>
    <t>sibusiso.molefe.demo10002@gmail.com</t>
  </si>
  <si>
    <t>0782010025</t>
  </si>
  <si>
    <t>STEM Package</t>
  </si>
  <si>
    <t>MSH202610003</t>
  </si>
  <si>
    <t>Nandi Molefe</t>
  </si>
  <si>
    <t>nandi.molefe.demo10003@gmail.com</t>
  </si>
  <si>
    <t>0782010026</t>
  </si>
  <si>
    <t>General Support Package</t>
  </si>
  <si>
    <t>MSH202610004</t>
  </si>
  <si>
    <t>Kgothatso Baloyi</t>
  </si>
  <si>
    <t>kgothatso.baloyi.demo10004@gmail.com</t>
  </si>
  <si>
    <t>0782010027</t>
  </si>
  <si>
    <t>MSH202610005</t>
  </si>
  <si>
    <t>Ayanda Mokoena</t>
  </si>
  <si>
    <t>ayanda.mokoena.demo10005@gmail.com</t>
  </si>
  <si>
    <t>0782010028</t>
  </si>
  <si>
    <t>MSH202610006</t>
  </si>
  <si>
    <t>Lwazi Baloyi</t>
  </si>
  <si>
    <t>lwazi.baloyi.demo10006@gmail.com</t>
  </si>
  <si>
    <t>0782010029</t>
  </si>
  <si>
    <t>MSH202610007</t>
  </si>
  <si>
    <t>Siyanda Mokoena</t>
  </si>
  <si>
    <t>siyanda.mokoena.demo10007@gmail.com</t>
  </si>
  <si>
    <t>0782010030</t>
  </si>
  <si>
    <t>MSH202610008</t>
  </si>
  <si>
    <t>mpho.ngobeni.demo10008@gmail.com</t>
  </si>
  <si>
    <t>0782010031</t>
  </si>
  <si>
    <t>MSH202610009</t>
  </si>
  <si>
    <t>Naledi Makhubela</t>
  </si>
  <si>
    <t>naledi.makhubela.demo10009@gmail.com</t>
  </si>
  <si>
    <t>0782010032</t>
  </si>
  <si>
    <t>MSH202610010</t>
  </si>
  <si>
    <t>Kgothatso Mokoena</t>
  </si>
  <si>
    <t>kgothatso.mokoena.demo10010@gmail.com</t>
  </si>
  <si>
    <t>0782010033</t>
  </si>
  <si>
    <t>MSH202610011</t>
  </si>
  <si>
    <t>Bongani Makhubela</t>
  </si>
  <si>
    <t>bongani.makhubela.demo10011@gmail.com</t>
  </si>
  <si>
    <t>0782010034</t>
  </si>
  <si>
    <t>MSH202610012</t>
  </si>
  <si>
    <t>Kagiso Kekana</t>
  </si>
  <si>
    <t>kagiso.kekana.demo10012@gmail.com</t>
  </si>
  <si>
    <t>0782010035</t>
  </si>
  <si>
    <t>MSH202611001</t>
  </si>
  <si>
    <t>Lwazi Makhubela</t>
  </si>
  <si>
    <t>lwazi.makhubela.demo11001@gmail.com</t>
  </si>
  <si>
    <t>0782010036</t>
  </si>
  <si>
    <t>MSH202611002</t>
  </si>
  <si>
    <t>Lebogang Ramushu</t>
  </si>
  <si>
    <t>lebogang.ramushu.demo11002@gmail.com</t>
  </si>
  <si>
    <t>0782010037</t>
  </si>
  <si>
    <t>MSH202611003</t>
  </si>
  <si>
    <t>lerato.kekana.demo11003@gmail.com</t>
  </si>
  <si>
    <t>0782010038</t>
  </si>
  <si>
    <t>MSH202611004</t>
  </si>
  <si>
    <t>Bongani Ndlovu</t>
  </si>
  <si>
    <t>bongani.ndlovu.demo11004@gmail.com</t>
  </si>
  <si>
    <t>0782010039</t>
  </si>
  <si>
    <t>MSH202611005</t>
  </si>
  <si>
    <t>Sifiso Dlamini</t>
  </si>
  <si>
    <t>sifiso.dlamini.demo11005@gmail.com</t>
  </si>
  <si>
    <t>0782010040</t>
  </si>
  <si>
    <t>MSH202611006</t>
  </si>
  <si>
    <t>Refilwe Dlamini</t>
  </si>
  <si>
    <t>refilwe.dlamini.demo11006@gmail.com</t>
  </si>
  <si>
    <t>0782010041</t>
  </si>
  <si>
    <t>MSH202611007</t>
  </si>
  <si>
    <t>Lwazi Maseko</t>
  </si>
  <si>
    <t>lwazi.maseko.demo11007@gmail.com</t>
  </si>
  <si>
    <t>0782010042</t>
  </si>
  <si>
    <t>MSH202611008</t>
  </si>
  <si>
    <t>Refilwe Mokgadi</t>
  </si>
  <si>
    <t>refilwe.mokgadi.demo11008@gmail.com</t>
  </si>
  <si>
    <t>0782010043</t>
  </si>
  <si>
    <t>MSH202611009</t>
  </si>
  <si>
    <t>Kgothatso Molefe</t>
  </si>
  <si>
    <t>kgothatso.molefe.demo11009@gmail.com</t>
  </si>
  <si>
    <t>0782010044</t>
  </si>
  <si>
    <t>MSH202611010</t>
  </si>
  <si>
    <t>Tshepo Mokgadi</t>
  </si>
  <si>
    <t>tshepo.mokgadi.demo11010@gmail.com</t>
  </si>
  <si>
    <t>0782010045</t>
  </si>
  <si>
    <t>MSH202611011</t>
  </si>
  <si>
    <t>Tshepo Phiri</t>
  </si>
  <si>
    <t>tshepo.phiri.demo11011@gmail.com</t>
  </si>
  <si>
    <t>0782010046</t>
  </si>
  <si>
    <t>MSH202611012</t>
  </si>
  <si>
    <t>Zanele Ngobeni</t>
  </si>
  <si>
    <t>zanele.ngobeni.demo11012@gmail.com</t>
  </si>
  <si>
    <t>0782010047</t>
  </si>
  <si>
    <t>MSH202612001</t>
  </si>
  <si>
    <t>Palesa Mokoena</t>
  </si>
  <si>
    <t>palesa.mokoena.demo12001@gmail.com</t>
  </si>
  <si>
    <t>0782010048</t>
  </si>
  <si>
    <t>MSH202612002</t>
  </si>
  <si>
    <t>Thabo Ramushu</t>
  </si>
  <si>
    <t>thabo.ramushu.demo12002@gmail.com</t>
  </si>
  <si>
    <t>0782010049</t>
  </si>
  <si>
    <t>MSH202612003</t>
  </si>
  <si>
    <t>Lwazi Ndlovu</t>
  </si>
  <si>
    <t>lwazi.ndlovu.demo12003@gmail.com</t>
  </si>
  <si>
    <t>0782010050</t>
  </si>
  <si>
    <t>MSH202612004</t>
  </si>
  <si>
    <t>Ayanda Dlamini</t>
  </si>
  <si>
    <t>ayanda.dlamini.demo12004@gmail.com</t>
  </si>
  <si>
    <t>0782010051</t>
  </si>
  <si>
    <t>MSH202612005</t>
  </si>
  <si>
    <t>Neo Ndlovu</t>
  </si>
  <si>
    <t>neo.ndlovu.demo12005@gmail.com</t>
  </si>
  <si>
    <t>0782010052</t>
  </si>
  <si>
    <t>MSH202612006</t>
  </si>
  <si>
    <t>Neo Ramushu</t>
  </si>
  <si>
    <t>neo.ramushu.demo12006@gmail.com</t>
  </si>
  <si>
    <t>0782010053</t>
  </si>
  <si>
    <t>MSH202612007</t>
  </si>
  <si>
    <t>Karabo Baloyi</t>
  </si>
  <si>
    <t>karabo.baloyi.demo12007@gmail.com</t>
  </si>
  <si>
    <t>0782010054</t>
  </si>
  <si>
    <t>MSH202612008</t>
  </si>
  <si>
    <t>tshepo.mokgadi.demo12008@gmail.com</t>
  </si>
  <si>
    <t>0782010055</t>
  </si>
  <si>
    <t>MSH202612009</t>
  </si>
  <si>
    <t>Sifiso Mavuso</t>
  </si>
  <si>
    <t>sifiso.mavuso.demo12009@gmail.com</t>
  </si>
  <si>
    <t>0782010056</t>
  </si>
  <si>
    <t>MSH202612010</t>
  </si>
  <si>
    <t>Refilwe Sithole</t>
  </si>
  <si>
    <t>refilwe.sithole.demo12010@gmail.com</t>
  </si>
  <si>
    <t>0782010057</t>
  </si>
  <si>
    <t>MSH202612011</t>
  </si>
  <si>
    <t>Lerato Sithole</t>
  </si>
  <si>
    <t>lerato.sithole.demo12011@gmail.com</t>
  </si>
  <si>
    <t>0782010058</t>
  </si>
  <si>
    <t>MSH202612012</t>
  </si>
  <si>
    <t>Sibusiso Ngobeni</t>
  </si>
  <si>
    <t>sibusiso.ngobeni.demo12012@gmail.com</t>
  </si>
  <si>
    <t>0782010059</t>
  </si>
  <si>
    <t>Session Date</t>
  </si>
  <si>
    <t>Grade (auto)</t>
  </si>
  <si>
    <t>Learner Name (auto)</t>
  </si>
  <si>
    <t>Present?</t>
  </si>
  <si>
    <t>Arrival Time</t>
  </si>
  <si>
    <t>Departure Time</t>
  </si>
  <si>
    <t>Reason (if absent)</t>
  </si>
  <si>
    <t>2026-01-03</t>
  </si>
  <si>
    <t>Absent</t>
  </si>
  <si>
    <t>Other</t>
  </si>
  <si>
    <t>Present</t>
  </si>
  <si>
    <t>07:05</t>
  </si>
  <si>
    <t>15:00</t>
  </si>
  <si>
    <t>Transport issue</t>
  </si>
  <si>
    <t>Sick</t>
  </si>
  <si>
    <t>Family commitment</t>
  </si>
  <si>
    <t>2026-01-17</t>
  </si>
  <si>
    <t>2026-02-14</t>
  </si>
  <si>
    <t>2026-02-28</t>
  </si>
  <si>
    <t>2026-03-07</t>
  </si>
  <si>
    <t>2026-03-14</t>
  </si>
  <si>
    <t>2026-03-21</t>
  </si>
  <si>
    <t>2026-03-28</t>
  </si>
  <si>
    <t>2026-04-04</t>
  </si>
  <si>
    <t>2026-04-11</t>
  </si>
  <si>
    <t>2026-04-18</t>
  </si>
  <si>
    <t>2026-04-25</t>
  </si>
  <si>
    <t>2026-05-02</t>
  </si>
  <si>
    <t>2026-05-09</t>
  </si>
  <si>
    <t>2026-05-16</t>
  </si>
  <si>
    <t>2026-05-23</t>
  </si>
  <si>
    <t>2026-06-06</t>
  </si>
  <si>
    <t>2026-06-13</t>
  </si>
  <si>
    <t>2026-06-20</t>
  </si>
  <si>
    <t>2026-06-27</t>
  </si>
  <si>
    <t>2026-07-04</t>
  </si>
  <si>
    <t>2026-07-11</t>
  </si>
  <si>
    <t>2026-07-18</t>
  </si>
  <si>
    <t>2026-07-25</t>
  </si>
  <si>
    <t>2026-08-01</t>
  </si>
  <si>
    <t>2026-08-08</t>
  </si>
  <si>
    <t>2026-08-15</t>
  </si>
  <si>
    <t>2026-08-22</t>
  </si>
  <si>
    <t>2026-09-05</t>
  </si>
  <si>
    <t>2026-09-12</t>
  </si>
  <si>
    <t>2026-09-19</t>
  </si>
  <si>
    <t>2026-09-26</t>
  </si>
  <si>
    <t>2026-10-03</t>
  </si>
  <si>
    <t>2026-10-10</t>
  </si>
  <si>
    <t>2026-10-17</t>
  </si>
  <si>
    <t>2026-10-24</t>
  </si>
  <si>
    <t>2026-11-07</t>
  </si>
  <si>
    <t>2026-11-14</t>
  </si>
  <si>
    <t>2026-11-21</t>
  </si>
  <si>
    <t>2026-11-28</t>
  </si>
  <si>
    <t>2026-12-05</t>
  </si>
  <si>
    <t>2026-12-12</t>
  </si>
  <si>
    <t>2026-12-19</t>
  </si>
  <si>
    <t>2026-12-26</t>
  </si>
  <si>
    <t>Learner Name</t>
  </si>
  <si>
    <t>Sessions Recorded</t>
  </si>
  <si>
    <t>Days Present</t>
  </si>
  <si>
    <t>Days Absent</t>
  </si>
  <si>
    <t>Attendance %</t>
  </si>
  <si>
    <t>Attendance Flag</t>
  </si>
  <si>
    <t>2026-02-10</t>
  </si>
  <si>
    <t>MSH-R1001</t>
  </si>
  <si>
    <t>Cash</t>
  </si>
  <si>
    <t>Term payment 2</t>
  </si>
  <si>
    <t>2026-03-05</t>
  </si>
  <si>
    <t>MSH-R1002</t>
  </si>
  <si>
    <t>Card</t>
  </si>
  <si>
    <t>Term payment 3</t>
  </si>
  <si>
    <t>2026-07-15</t>
  </si>
  <si>
    <t>MSH-R1003</t>
  </si>
  <si>
    <t>Term payment 7</t>
  </si>
  <si>
    <t>2026-08-10</t>
  </si>
  <si>
    <t>MSH-R1004</t>
  </si>
  <si>
    <t>Term payment 8</t>
  </si>
  <si>
    <t>MSH-R1005</t>
  </si>
  <si>
    <t>EFT</t>
  </si>
  <si>
    <t>2026-03-15</t>
  </si>
  <si>
    <t>MSH-R1006</t>
  </si>
  <si>
    <t>2026-06-01</t>
  </si>
  <si>
    <t>MSH-R1007</t>
  </si>
  <si>
    <t>Term payment 6</t>
  </si>
  <si>
    <t>MSH-R1008</t>
  </si>
  <si>
    <t>MSH-R1009</t>
  </si>
  <si>
    <t>2026-09-20</t>
  </si>
  <si>
    <t>MSH-R1010</t>
  </si>
  <si>
    <t>Term payment 9</t>
  </si>
  <si>
    <t>2026-10-05</t>
  </si>
  <si>
    <t>MSH-R1011</t>
  </si>
  <si>
    <t>Term payment 10</t>
  </si>
  <si>
    <t>MSH-R1012</t>
  </si>
  <si>
    <t>MSH-R1013</t>
  </si>
  <si>
    <t>MSH-R1014</t>
  </si>
  <si>
    <t>2026-11-01</t>
  </si>
  <si>
    <t>MSH-R1015</t>
  </si>
  <si>
    <t>Term payment 11</t>
  </si>
  <si>
    <t>MSH-R1016</t>
  </si>
  <si>
    <t>2026-03-20</t>
  </si>
  <si>
    <t>MSH-R1017</t>
  </si>
  <si>
    <t>2026-04-05</t>
  </si>
  <si>
    <t>MSH-R1018</t>
  </si>
  <si>
    <t>Term payment 4</t>
  </si>
  <si>
    <t>2026-05-05</t>
  </si>
  <si>
    <t>MSH-R1019</t>
  </si>
  <si>
    <t>Term payment 5</t>
  </si>
  <si>
    <t>2026-06-25</t>
  </si>
  <si>
    <t>MSH-R1020</t>
  </si>
  <si>
    <t>MSH-R1021</t>
  </si>
  <si>
    <t>2026-09-01</t>
  </si>
  <si>
    <t>MSH-R1022</t>
  </si>
  <si>
    <t>MSH-R1023</t>
  </si>
  <si>
    <t>MSH-R1024</t>
  </si>
  <si>
    <t>2026-03-10</t>
  </si>
  <si>
    <t>MSH-R1025</t>
  </si>
  <si>
    <t>2026-04-20</t>
  </si>
  <si>
    <t>MSH-R1026</t>
  </si>
  <si>
    <t>2026-06-10</t>
  </si>
  <si>
    <t>MSH-R1027</t>
  </si>
  <si>
    <t>2026-07-05</t>
  </si>
  <si>
    <t>MSH-R1028</t>
  </si>
  <si>
    <t>2026-08-25</t>
  </si>
  <si>
    <t>MSH-R1029</t>
  </si>
  <si>
    <t>MSH-R1030</t>
  </si>
  <si>
    <t>2026-11-10</t>
  </si>
  <si>
    <t>MSH-R1031</t>
  </si>
  <si>
    <t>2026-02-25</t>
  </si>
  <si>
    <t>MSH-R1032</t>
  </si>
  <si>
    <t>MSH-R1033</t>
  </si>
  <si>
    <t>MSH-R1034</t>
  </si>
  <si>
    <t>MSH-R1035</t>
  </si>
  <si>
    <t>2026-09-15</t>
  </si>
  <si>
    <t>MSH-R1036</t>
  </si>
  <si>
    <t>2026-10-01</t>
  </si>
  <si>
    <t>MSH-R1037</t>
  </si>
  <si>
    <t>MSH-R1038</t>
  </si>
  <si>
    <t>MSH-R1039</t>
  </si>
  <si>
    <t>2026-07-10</t>
  </si>
  <si>
    <t>MSH-R1040</t>
  </si>
  <si>
    <t>MSH-R1041</t>
  </si>
  <si>
    <t>2026-10-15</t>
  </si>
  <si>
    <t>MSH-R1042</t>
  </si>
  <si>
    <t>MSH-R1043</t>
  </si>
  <si>
    <t>2026-04-15</t>
  </si>
  <si>
    <t>MSH-R1044</t>
  </si>
  <si>
    <t>MSH-R1045</t>
  </si>
  <si>
    <t>MSH-R1046</t>
  </si>
  <si>
    <t>2026-11-15</t>
  </si>
  <si>
    <t>MSH-R1047</t>
  </si>
  <si>
    <t>MSH-R1048</t>
  </si>
  <si>
    <t>MSH-R1049</t>
  </si>
  <si>
    <t>2026-05-15</t>
  </si>
  <si>
    <t>MSH-R1050</t>
  </si>
  <si>
    <t>MSH-R1051</t>
  </si>
  <si>
    <t>MSH-R1052</t>
  </si>
  <si>
    <t>MSH-R1053</t>
  </si>
  <si>
    <t>MSH-R1054</t>
  </si>
  <si>
    <t>2026-05-01</t>
  </si>
  <si>
    <t>MSH-R1055</t>
  </si>
  <si>
    <t>MSH-R1056</t>
  </si>
  <si>
    <t>MSH-R1057</t>
  </si>
  <si>
    <t>MSH-R1058</t>
  </si>
  <si>
    <t>2026-09-10</t>
  </si>
  <si>
    <t>MSH-R1059</t>
  </si>
  <si>
    <t>2026-06-15</t>
  </si>
  <si>
    <t>MSH-R1060</t>
  </si>
  <si>
    <t>MSH-R1061</t>
  </si>
  <si>
    <t>MSH-R1062</t>
  </si>
  <si>
    <t>2026-11-25</t>
  </si>
  <si>
    <t>MSH-R1063</t>
  </si>
  <si>
    <t>MSH-R1064</t>
  </si>
  <si>
    <t>MSH-R1065</t>
  </si>
  <si>
    <t>MSH-R1066</t>
  </si>
  <si>
    <t>MSH-R1067</t>
  </si>
  <si>
    <t>2026-08-05</t>
  </si>
  <si>
    <t>MSH-R1068</t>
  </si>
  <si>
    <t>MSH-R1069</t>
  </si>
  <si>
    <t>MSH-R1070</t>
  </si>
  <si>
    <t>MSH-R1071</t>
  </si>
  <si>
    <t>MSH-R1072</t>
  </si>
  <si>
    <t>2026-05-20</t>
  </si>
  <si>
    <t>MSH-R1073</t>
  </si>
  <si>
    <t>MSH-R1074</t>
  </si>
  <si>
    <t>MSH-R1075</t>
  </si>
  <si>
    <t>MSH-R1076</t>
  </si>
  <si>
    <t>MSH-R1077</t>
  </si>
  <si>
    <t>2026-03-25</t>
  </si>
  <si>
    <t>MSH-R1078</t>
  </si>
  <si>
    <t>MSH-R1079</t>
  </si>
  <si>
    <t>MSH-R1080</t>
  </si>
  <si>
    <t>MSH-R1081</t>
  </si>
  <si>
    <t>MSH-R1082</t>
  </si>
  <si>
    <t>2026-04-01</t>
  </si>
  <si>
    <t>MSH-R1083</t>
  </si>
  <si>
    <t>2026-05-10</t>
  </si>
  <si>
    <t>MSH-R1084</t>
  </si>
  <si>
    <t>MSH-R1085</t>
  </si>
  <si>
    <t>MSH-R1086</t>
  </si>
  <si>
    <t>MSH-R1087</t>
  </si>
  <si>
    <t>MSH-R1088</t>
  </si>
  <si>
    <t>MSH-R1089</t>
  </si>
  <si>
    <t>2026-08-20</t>
  </si>
  <si>
    <t>MSH-R1090</t>
  </si>
  <si>
    <t>MSH-R1091</t>
  </si>
  <si>
    <t>MSH-R1092</t>
  </si>
  <si>
    <t>MSH-R1093</t>
  </si>
  <si>
    <t>MSH-R1094</t>
  </si>
  <si>
    <t>MSH-R1095</t>
  </si>
  <si>
    <t>MSH-R1096</t>
  </si>
  <si>
    <t>MSH-R1097</t>
  </si>
  <si>
    <t>2026-09-25</t>
  </si>
  <si>
    <t>MSH-R1098</t>
  </si>
  <si>
    <t>MSH-R1099</t>
  </si>
  <si>
    <t>MSH-R1100</t>
  </si>
  <si>
    <t>MSH-R1101</t>
  </si>
  <si>
    <t>2026-04-10</t>
  </si>
  <si>
    <t>MSH-R1102</t>
  </si>
  <si>
    <t>2026-05-25</t>
  </si>
  <si>
    <t>MSH-R1103</t>
  </si>
  <si>
    <t>2026-06-05</t>
  </si>
  <si>
    <t>MSH-R1104</t>
  </si>
  <si>
    <t>MSH-R1105</t>
  </si>
  <si>
    <t>MSH-R1106</t>
  </si>
  <si>
    <t>MSH-R1107</t>
  </si>
  <si>
    <t>MSH-R1108</t>
  </si>
  <si>
    <t>MSH-R1109</t>
  </si>
  <si>
    <t>MSH-R1110</t>
  </si>
  <si>
    <t>MSH-R1111</t>
  </si>
  <si>
    <t>MSH-R1112</t>
  </si>
  <si>
    <t>MSH-R1113</t>
  </si>
  <si>
    <t>2026-07-01</t>
  </si>
  <si>
    <t>MSH-R1114</t>
  </si>
  <si>
    <t>MSH-R1115</t>
  </si>
  <si>
    <t>MSH-R1116</t>
  </si>
  <si>
    <t>MSH-R1117</t>
  </si>
  <si>
    <t>MSH-R1118</t>
  </si>
  <si>
    <t>MSH-R1119</t>
  </si>
  <si>
    <t>MSH-R1120</t>
  </si>
  <si>
    <t>2026-11-20</t>
  </si>
  <si>
    <t>MSH-R1121</t>
  </si>
  <si>
    <t>MSH-R1122</t>
  </si>
  <si>
    <t>MSH-R1123</t>
  </si>
  <si>
    <t>MSH-R1124</t>
  </si>
  <si>
    <t>MSH-R1125</t>
  </si>
  <si>
    <t>MSH-R1126</t>
  </si>
  <si>
    <t>MSH-R1127</t>
  </si>
  <si>
    <t>MSH-R1128</t>
  </si>
  <si>
    <t>MSH-R1129</t>
  </si>
  <si>
    <t>MSH-R1130</t>
  </si>
  <si>
    <t>2026-11-05</t>
  </si>
  <si>
    <t>MSH-R1131</t>
  </si>
  <si>
    <t>MSH-R1132</t>
  </si>
  <si>
    <t>MSH-R1133</t>
  </si>
  <si>
    <t>MSH-R1134</t>
  </si>
  <si>
    <t>MSH-R1135</t>
  </si>
  <si>
    <t>MSH-R1136</t>
  </si>
  <si>
    <t>MSH-R1137</t>
  </si>
  <si>
    <t>MSH-R1138</t>
  </si>
  <si>
    <t>MSH-R1139</t>
  </si>
  <si>
    <t>MSH-R1140</t>
  </si>
  <si>
    <t>MSH-R1141</t>
  </si>
  <si>
    <t>MSH-R1142</t>
  </si>
  <si>
    <t>MSH-R1143</t>
  </si>
  <si>
    <t>MSH-R1144</t>
  </si>
  <si>
    <t>MSH-R1145</t>
  </si>
  <si>
    <t>2026-02-20</t>
  </si>
  <si>
    <t>MSH-R1146</t>
  </si>
  <si>
    <t>MSH-R1147</t>
  </si>
  <si>
    <t>MSH-R1148</t>
  </si>
  <si>
    <t>MSH-R1149</t>
  </si>
  <si>
    <t>MSH-R1150</t>
  </si>
  <si>
    <t>MSH-R1151</t>
  </si>
  <si>
    <t>MSH-R1152</t>
  </si>
  <si>
    <t>MSH-R1153</t>
  </si>
  <si>
    <t>MSH-R1154</t>
  </si>
  <si>
    <t>MSH-R1155</t>
  </si>
  <si>
    <t>MSH-R1156</t>
  </si>
  <si>
    <t>MSH-R1157</t>
  </si>
  <si>
    <t>MSH-R1158</t>
  </si>
  <si>
    <t>MSH-R1159</t>
  </si>
  <si>
    <t>MSH-R1160</t>
  </si>
  <si>
    <t>MSH-R1161</t>
  </si>
  <si>
    <t>MSH-R1162</t>
  </si>
  <si>
    <t>MSH-R1163</t>
  </si>
  <si>
    <t>MSH-R1164</t>
  </si>
  <si>
    <t>MSH-R1165</t>
  </si>
  <si>
    <t>MSH-R1166</t>
  </si>
  <si>
    <t>MSH-R1167</t>
  </si>
  <si>
    <t>MSH-R1168</t>
  </si>
  <si>
    <t>MSH-R1169</t>
  </si>
  <si>
    <t>MSH-R1170</t>
  </si>
  <si>
    <t>MSH-R1171</t>
  </si>
  <si>
    <t>MSH-R1172</t>
  </si>
  <si>
    <t>MSH-R1173</t>
  </si>
  <si>
    <t>MSH-R1174</t>
  </si>
  <si>
    <t>MSH-R1175</t>
  </si>
  <si>
    <t>2026-03-01</t>
  </si>
  <si>
    <t>MSH-R1176</t>
  </si>
  <si>
    <t>MSH-R1177</t>
  </si>
  <si>
    <t>MSH-R1178</t>
  </si>
  <si>
    <t>MSH-R1179</t>
  </si>
  <si>
    <t>MSH-R1180</t>
  </si>
  <si>
    <t>MSH-R1181</t>
  </si>
  <si>
    <t>MSH-R1182</t>
  </si>
  <si>
    <t>MSH-R1183</t>
  </si>
  <si>
    <t>MSH-R1184</t>
  </si>
  <si>
    <t>MSH-R1185</t>
  </si>
  <si>
    <t>MSH-R1186</t>
  </si>
  <si>
    <t>MSH-R1187</t>
  </si>
  <si>
    <t>MSH-R1188</t>
  </si>
  <si>
    <t>MSH-R1189</t>
  </si>
  <si>
    <t>MSH-R1190</t>
  </si>
  <si>
    <t>MSH-R1191</t>
  </si>
  <si>
    <t>MSH-R1192</t>
  </si>
  <si>
    <t>MSH-R1193</t>
  </si>
  <si>
    <t>MSH-R1194</t>
  </si>
  <si>
    <t>MSH-R1195</t>
  </si>
  <si>
    <t>MSH-R1196</t>
  </si>
  <si>
    <t>MSH-R1197</t>
  </si>
  <si>
    <t>MSH-R1198</t>
  </si>
  <si>
    <t>MSH-R1199</t>
  </si>
  <si>
    <t>MSH-R1200</t>
  </si>
  <si>
    <t>MSH-R1201</t>
  </si>
  <si>
    <t>MSH-R1202</t>
  </si>
  <si>
    <t>2026-10-25</t>
  </si>
  <si>
    <t>MSH-R1203</t>
  </si>
  <si>
    <t>MSH-R1204</t>
  </si>
  <si>
    <t>MSH-R1205</t>
  </si>
  <si>
    <t>MSH-R1206</t>
  </si>
  <si>
    <t>MSH-R1207</t>
  </si>
  <si>
    <t>MSH-R1208</t>
  </si>
  <si>
    <t>MSH-R1209</t>
  </si>
  <si>
    <t>MSH-R1210</t>
  </si>
  <si>
    <t>MSH-R1211</t>
  </si>
  <si>
    <t>MSH-R1212</t>
  </si>
  <si>
    <t>MSH-R1213</t>
  </si>
  <si>
    <t>MSH-R1214</t>
  </si>
  <si>
    <t>MSH-R1215</t>
  </si>
  <si>
    <t>MSH-R1216</t>
  </si>
  <si>
    <t>MSH-R1217</t>
  </si>
  <si>
    <t>MSH-R1218</t>
  </si>
  <si>
    <t>MSH-R1219</t>
  </si>
  <si>
    <t>2026-10-20</t>
  </si>
  <si>
    <t>MSH-R1220</t>
  </si>
  <si>
    <t>MSH-R1221</t>
  </si>
  <si>
    <t>MSH-R1222</t>
  </si>
  <si>
    <t>MSH-R1223</t>
  </si>
  <si>
    <t>MSH-R1224</t>
  </si>
  <si>
    <t>MSH-R1225</t>
  </si>
  <si>
    <t>MSH-R1226</t>
  </si>
  <si>
    <t>MSH-R1227</t>
  </si>
  <si>
    <t>MSH-R1228</t>
  </si>
  <si>
    <t>MSH-R1229</t>
  </si>
  <si>
    <t>MSH-R1230</t>
  </si>
  <si>
    <t>MSH-R1231</t>
  </si>
  <si>
    <t>MSH-R1232</t>
  </si>
  <si>
    <t>MSH-R1233</t>
  </si>
  <si>
    <t>MSH-R1234</t>
  </si>
  <si>
    <t>MSH-R1235</t>
  </si>
  <si>
    <t>MSH-R1236</t>
  </si>
  <si>
    <t>MSH-R1237</t>
  </si>
  <si>
    <t>MSH-R1238</t>
  </si>
  <si>
    <t>MSH-R1239</t>
  </si>
  <si>
    <t>MSH-R1240</t>
  </si>
  <si>
    <t>MSH-R1241</t>
  </si>
  <si>
    <t>MSH-R1242</t>
  </si>
  <si>
    <t>MSH-R1243</t>
  </si>
  <si>
    <t>MSH-R1244</t>
  </si>
  <si>
    <t>MSH-R1245</t>
  </si>
  <si>
    <t>MSH-R1246</t>
  </si>
  <si>
    <t>MSH-R1247</t>
  </si>
  <si>
    <t>MSH-R1248</t>
  </si>
  <si>
    <t>MSH-R1249</t>
  </si>
  <si>
    <t>MSH-R1250</t>
  </si>
  <si>
    <t>MSH-R1251</t>
  </si>
  <si>
    <t>MSH-R1252</t>
  </si>
  <si>
    <t>MSH-R1253</t>
  </si>
  <si>
    <t>MSH-R1254</t>
  </si>
  <si>
    <t>MSH-R1255</t>
  </si>
  <si>
    <t>MSH-R1256</t>
  </si>
  <si>
    <t>MSH-R1257</t>
  </si>
  <si>
    <t>MSH-R1258</t>
  </si>
  <si>
    <t>MSH-R1259</t>
  </si>
  <si>
    <t>MSH-R1260</t>
  </si>
  <si>
    <t>MSH-R1261</t>
  </si>
  <si>
    <t>MSH-R1262</t>
  </si>
  <si>
    <t>2026-07-20</t>
  </si>
  <si>
    <t>MSH-R1263</t>
  </si>
  <si>
    <t>MSH-R1264</t>
  </si>
  <si>
    <t>MSH-R1265</t>
  </si>
  <si>
    <t>MSH-R1266</t>
  </si>
  <si>
    <t>MSH-R1267</t>
  </si>
  <si>
    <t>MSH-R1268</t>
  </si>
  <si>
    <t>MSH-R1269</t>
  </si>
  <si>
    <t>MSH-R1270</t>
  </si>
  <si>
    <t>MSH-R1271</t>
  </si>
  <si>
    <t>MSH-R1272</t>
  </si>
  <si>
    <t>MSH-R1273</t>
  </si>
  <si>
    <t>MSH-R1274</t>
  </si>
  <si>
    <t>MSH-R1275</t>
  </si>
  <si>
    <t>MSH-R1276</t>
  </si>
  <si>
    <t>MSH-R1277</t>
  </si>
  <si>
    <t>MSH-R1278</t>
  </si>
  <si>
    <t>MSH-R1279</t>
  </si>
  <si>
    <t>MSH-R1280</t>
  </si>
  <si>
    <t>MSH-R1281</t>
  </si>
  <si>
    <t>MSH-R1282</t>
  </si>
  <si>
    <t>MSH-R1283</t>
  </si>
  <si>
    <t>MSH-R1284</t>
  </si>
  <si>
    <t>MSH-R1285</t>
  </si>
  <si>
    <t>MSH-R1286</t>
  </si>
  <si>
    <t>MSH-R1287</t>
  </si>
  <si>
    <t>MSH-R1288</t>
  </si>
  <si>
    <t>MSH-R1289</t>
  </si>
  <si>
    <t>MSH-R1290</t>
  </si>
  <si>
    <t>MSH-R1291</t>
  </si>
  <si>
    <t>MSH-R1292</t>
  </si>
  <si>
    <t>MSH-R1293</t>
  </si>
  <si>
    <t>MSH-R1294</t>
  </si>
  <si>
    <t>MSH-R1295</t>
  </si>
  <si>
    <t>MSH-R1296</t>
  </si>
  <si>
    <t>MSH-R1297</t>
  </si>
  <si>
    <t>MSH-R1298</t>
  </si>
  <si>
    <t>MSH-R1299</t>
  </si>
  <si>
    <t>MSH-R1300</t>
  </si>
  <si>
    <t>MSH-R1301</t>
  </si>
  <si>
    <t>MSH-R1302</t>
  </si>
  <si>
    <t>MSH-R1303</t>
  </si>
  <si>
    <t>MSH-R1304</t>
  </si>
  <si>
    <t>MSH-R1305</t>
  </si>
  <si>
    <t>MSH-R1306</t>
  </si>
  <si>
    <t>MSH-R1307</t>
  </si>
  <si>
    <t>MSH-R1308</t>
  </si>
  <si>
    <t>MSH-R1309</t>
  </si>
  <si>
    <t>MSH-R1310</t>
  </si>
  <si>
    <t>MSH-R1311</t>
  </si>
  <si>
    <t>MSH-R1312</t>
  </si>
  <si>
    <t>MSH-R1313</t>
  </si>
  <si>
    <t>MSH-R1314</t>
  </si>
  <si>
    <t>MSH-R1315</t>
  </si>
  <si>
    <t>MSH-R1316</t>
  </si>
  <si>
    <t>MSH-R1317</t>
  </si>
  <si>
    <t>MSH-R1318</t>
  </si>
  <si>
    <t>MSH-R1319</t>
  </si>
  <si>
    <t>MSH-R1320</t>
  </si>
  <si>
    <t>MSH-R1321</t>
  </si>
  <si>
    <t>MSH-R1322</t>
  </si>
  <si>
    <t>MSH-R1323</t>
  </si>
  <si>
    <t>MSH-R1324</t>
  </si>
  <si>
    <t>MSH-R1325</t>
  </si>
  <si>
    <t>MSH-R1326</t>
  </si>
  <si>
    <t>MSH-R1327</t>
  </si>
  <si>
    <t>MSH-R1328</t>
  </si>
  <si>
    <t>MSH-R1329</t>
  </si>
  <si>
    <t>MSH-R1330</t>
  </si>
  <si>
    <t>MSH-R1331</t>
  </si>
  <si>
    <t>MSH-R1332</t>
  </si>
  <si>
    <t>MSH-R1333</t>
  </si>
  <si>
    <t>MSH-R1334</t>
  </si>
  <si>
    <t>MSH-R1335</t>
  </si>
  <si>
    <t>MSH-R1336</t>
  </si>
  <si>
    <t>MSH-R1337</t>
  </si>
  <si>
    <t>MSH-R1338</t>
  </si>
  <si>
    <t>MSH-R1339</t>
  </si>
  <si>
    <t>MSH-R1340</t>
  </si>
  <si>
    <t>MSH-R1341</t>
  </si>
  <si>
    <t>MSH-R1342</t>
  </si>
  <si>
    <t>MSH-R1343</t>
  </si>
  <si>
    <t>MSH-R1344</t>
  </si>
  <si>
    <t>MSH-R1345</t>
  </si>
  <si>
    <t>MSH-R1346</t>
  </si>
  <si>
    <t>MSH-R1347</t>
  </si>
  <si>
    <t>MSH-R1348</t>
  </si>
  <si>
    <t>MSH-R1349</t>
  </si>
  <si>
    <t>MSH-R1350</t>
  </si>
  <si>
    <t>MSH-R1351</t>
  </si>
  <si>
    <t>MSH-R1352</t>
  </si>
  <si>
    <t>MSH-R1353</t>
  </si>
  <si>
    <t>MSH-R1354</t>
  </si>
  <si>
    <t>MSH-R1355</t>
  </si>
  <si>
    <t>MSH-R1356</t>
  </si>
  <si>
    <t>MSH-R1357</t>
  </si>
  <si>
    <t>MSH-R1358</t>
  </si>
  <si>
    <t>MSH-R1359</t>
  </si>
  <si>
    <t>MSH-R1360</t>
  </si>
  <si>
    <t>MSH-R1361</t>
  </si>
  <si>
    <t>MSH-R1362</t>
  </si>
  <si>
    <t>Assessment Date</t>
  </si>
  <si>
    <t>Subject</t>
  </si>
  <si>
    <t>Assessment Type</t>
  </si>
  <si>
    <t>Topic</t>
  </si>
  <si>
    <t>Score (%)</t>
  </si>
  <si>
    <t>Tutor</t>
  </si>
  <si>
    <t>Mathematics</t>
  </si>
  <si>
    <t>Monthly Test</t>
  </si>
  <si>
    <t>Algebra</t>
  </si>
  <si>
    <t>S. Radebe</t>
  </si>
  <si>
    <t>2026-03-26</t>
  </si>
  <si>
    <t>Financial Maths</t>
  </si>
  <si>
    <t>P. Phiri</t>
  </si>
  <si>
    <t>2026-05-12</t>
  </si>
  <si>
    <t>EMS</t>
  </si>
  <si>
    <t>Class Test</t>
  </si>
  <si>
    <t>Kinematics</t>
  </si>
  <si>
    <t>M. Nkosi</t>
  </si>
  <si>
    <t>2026-05-26</t>
  </si>
  <si>
    <t>Maps</t>
  </si>
  <si>
    <t>Natural Sciences &amp; Technology</t>
  </si>
  <si>
    <t>Homework Test</t>
  </si>
  <si>
    <t>2026-06-12</t>
  </si>
  <si>
    <t>Term Exam</t>
  </si>
  <si>
    <t>Statistics</t>
  </si>
  <si>
    <t>2026-08-19</t>
  </si>
  <si>
    <t>English</t>
  </si>
  <si>
    <t>K. Maseko</t>
  </si>
  <si>
    <t>Functions</t>
  </si>
  <si>
    <t>L. Mahlangu</t>
  </si>
  <si>
    <t>2026-11-19</t>
  </si>
  <si>
    <t>Mechanics</t>
  </si>
  <si>
    <t>T. Dlamini</t>
  </si>
  <si>
    <t>Organic Chemistry</t>
  </si>
  <si>
    <t>2026-08-26</t>
  </si>
  <si>
    <t>N. Mokoena</t>
  </si>
  <si>
    <t>2026-10-19</t>
  </si>
  <si>
    <t>2026-11-26</t>
  </si>
  <si>
    <t>Waves</t>
  </si>
  <si>
    <t>2026-02-12</t>
  </si>
  <si>
    <t>2026-03-19</t>
  </si>
  <si>
    <t>2026-06-26</t>
  </si>
  <si>
    <t>Sequences</t>
  </si>
  <si>
    <t>Chemistry</t>
  </si>
  <si>
    <t>2026-03-12</t>
  </si>
  <si>
    <t>B. Ngobeni</t>
  </si>
  <si>
    <t>2026-08-12</t>
  </si>
  <si>
    <t>2026-06-19</t>
  </si>
  <si>
    <t>2026-10-26</t>
  </si>
  <si>
    <t>2026-11-12</t>
  </si>
  <si>
    <t>Trigonometry</t>
  </si>
  <si>
    <t>2026-10-12</t>
  </si>
  <si>
    <t>2026-02-26</t>
  </si>
  <si>
    <t>2026-05-19</t>
  </si>
  <si>
    <t>Geography</t>
  </si>
  <si>
    <t>Accounting</t>
  </si>
  <si>
    <t>Physical Sciences</t>
  </si>
  <si>
    <t>Mathematical Literacy</t>
  </si>
  <si>
    <t>Assessments Logged</t>
  </si>
  <si>
    <t>Average Score (%)</t>
  </si>
  <si>
    <t>Math Avg</t>
  </si>
  <si>
    <t>Math Lit Avg</t>
  </si>
  <si>
    <t>Physical Sciences Avg</t>
  </si>
  <si>
    <t>Geography Avg</t>
  </si>
  <si>
    <t>Accounting Avg</t>
  </si>
  <si>
    <t>English Avg</t>
  </si>
  <si>
    <t>Attendance % (auto)</t>
  </si>
  <si>
    <t>Progress Flag</t>
  </si>
  <si>
    <t>Math &amp; Sciences Hub – Learner Progress Report</t>
  </si>
  <si>
    <t>Enter Student Number:</t>
  </si>
  <si>
    <t>Learner Name:</t>
  </si>
  <si>
    <t>Grade:</t>
  </si>
  <si>
    <t>Report Period:</t>
  </si>
  <si>
    <t>Multi‑Term Demo (2026)</t>
  </si>
  <si>
    <t>Attendance %:</t>
  </si>
  <si>
    <t>Overall Average (%):</t>
  </si>
  <si>
    <t>Progress Status:</t>
  </si>
  <si>
    <t>Average (%)</t>
  </si>
  <si>
    <t>Tutor Notes:</t>
  </si>
  <si>
    <t>Fees Summary</t>
  </si>
  <si>
    <t>Total Fee (R):</t>
  </si>
  <si>
    <t>Amount Paid (R):</t>
  </si>
  <si>
    <t>Balance (R):</t>
  </si>
  <si>
    <t>Payment Status:</t>
  </si>
  <si>
    <t>Last Payment Date:</t>
  </si>
  <si>
    <t>Tip: Type a Student Number in B3 (or pick from the dropdown). Report auto-fills. Press Ctrl+P to print.</t>
  </si>
  <si>
    <t>Math &amp; Sciences Hub – Term Report (Date-Filtered)</t>
  </si>
  <si>
    <t>Start Date:</t>
  </si>
  <si>
    <t>2026-01-01</t>
  </si>
  <si>
    <t>End Date:</t>
  </si>
  <si>
    <t>2026-03-31</t>
  </si>
  <si>
    <t>Attendance % (period):</t>
  </si>
  <si>
    <t>Average Score % (period):</t>
  </si>
  <si>
    <t>Use Start/End dates to generate term-specific reports.</t>
  </si>
  <si>
    <t>Tutor Name</t>
  </si>
  <si>
    <t>ID Number</t>
  </si>
  <si>
    <t>Contact Number</t>
  </si>
  <si>
    <t>Subject Specialty</t>
  </si>
  <si>
    <t>Highest Qualification</t>
  </si>
  <si>
    <t>University/Institution</t>
  </si>
  <si>
    <t>Status (Active/Inactive)</t>
  </si>
  <si>
    <t>Verification Code</t>
  </si>
  <si>
    <t>Verification Status</t>
  </si>
  <si>
    <t>Verified Date</t>
  </si>
  <si>
    <t>Expiry Date</t>
  </si>
  <si>
    <t>Role / Position</t>
  </si>
  <si>
    <t>00000000000002</t>
  </si>
  <si>
    <t>0783020002</t>
  </si>
  <si>
    <t>nkosi.tutor@msh-demo.co.za</t>
  </si>
  <si>
    <t>Mathematics, Mathematical Literacy</t>
  </si>
  <si>
    <t>BSc Mathematical Sciences</t>
  </si>
  <si>
    <t>University of Limpopo</t>
  </si>
  <si>
    <t>MSH-TUT-2026-001</t>
  </si>
  <si>
    <t>Verified</t>
  </si>
  <si>
    <t>2026-12-31</t>
  </si>
  <si>
    <t>Operational Academic Lead</t>
  </si>
  <si>
    <t>00000000000003</t>
  </si>
  <si>
    <t>0783020003</t>
  </si>
  <si>
    <t>radebe.tutor@msh-demo.co.za</t>
  </si>
  <si>
    <t>BSc Physics</t>
  </si>
  <si>
    <t>University of Pretoria</t>
  </si>
  <si>
    <t>MSH-TUT-2026-002</t>
  </si>
  <si>
    <t>Sciences Tutor</t>
  </si>
  <si>
    <t>00000000000004</t>
  </si>
  <si>
    <t>0783020004</t>
  </si>
  <si>
    <t>mahlangu.tutor@msh-demo.co.za</t>
  </si>
  <si>
    <t>BCom Accounting</t>
  </si>
  <si>
    <t>University of Johannesburg</t>
  </si>
  <si>
    <t>MSH-TUT-2026-003</t>
  </si>
  <si>
    <t>Commerce Tutor</t>
  </si>
  <si>
    <t>00000000000005</t>
  </si>
  <si>
    <t>0783020005</t>
  </si>
  <si>
    <t>dlamini.tutor@msh-demo.co.za</t>
  </si>
  <si>
    <t>BA Geography</t>
  </si>
  <si>
    <t>MSH-TUT-2026-004</t>
  </si>
  <si>
    <t>Geography Tutor</t>
  </si>
  <si>
    <t>00000000000006</t>
  </si>
  <si>
    <t>0783020006</t>
  </si>
  <si>
    <t>mokoena.tutor@msh-demo.co.za</t>
  </si>
  <si>
    <t>BA English</t>
  </si>
  <si>
    <t>University of South Africa</t>
  </si>
  <si>
    <t>MSH-TUT-2026-005</t>
  </si>
  <si>
    <t>English Tutor</t>
  </si>
  <si>
    <t>00000000000007</t>
  </si>
  <si>
    <t>0783020007</t>
  </si>
  <si>
    <t>maseko.tutor@msh-demo.co.za</t>
  </si>
  <si>
    <t>Natural Sciences &amp; Tech</t>
  </si>
  <si>
    <t>BEd Senior Phase</t>
  </si>
  <si>
    <t>Tshwane University of Technology</t>
  </si>
  <si>
    <t>MSH-TUT-2026-006</t>
  </si>
  <si>
    <t>Senior Phase Tutor</t>
  </si>
  <si>
    <t>00000000000008</t>
  </si>
  <si>
    <t>0783020008</t>
  </si>
  <si>
    <t>phiri.tutor@msh-demo.co.za</t>
  </si>
  <si>
    <t>BCom General</t>
  </si>
  <si>
    <t>MSH-TUT-2026-007</t>
  </si>
  <si>
    <t>EMS Tutor</t>
  </si>
  <si>
    <t>00000000000009</t>
  </si>
  <si>
    <t>0783020009</t>
  </si>
  <si>
    <t>ngobeni.tutor@msh-demo.co.za</t>
  </si>
  <si>
    <t>Math (Senior)</t>
  </si>
  <si>
    <t>BSc Mathematics</t>
  </si>
  <si>
    <t>MSH-TUT-2026-008</t>
  </si>
  <si>
    <t>Mathematics Tutor (Senior)</t>
  </si>
  <si>
    <t>Topic Covered</t>
  </si>
  <si>
    <t>CAPS Reference</t>
  </si>
  <si>
    <t>Homework Given?</t>
  </si>
  <si>
    <t>Resources Used</t>
  </si>
  <si>
    <t>Submitted?</t>
  </si>
  <si>
    <t>Remarks</t>
  </si>
  <si>
    <t>2026-03-06</t>
  </si>
  <si>
    <t>CAPS-aligned lesson plan submission</t>
  </si>
  <si>
    <t>Topic focus + examples + homework</t>
  </si>
  <si>
    <t>Submitted</t>
  </si>
  <si>
    <t>Math &amp; Sciences Hub – Saturday Timetable</t>
  </si>
  <si>
    <t>Time Slot</t>
  </si>
  <si>
    <t>Classroom 1</t>
  </si>
  <si>
    <t>Classroom 2</t>
  </si>
  <si>
    <t>Classroom 3</t>
  </si>
  <si>
    <t>Classroom 4</t>
  </si>
  <si>
    <t>Classroom 5</t>
  </si>
  <si>
    <t>07:00 – 08:00</t>
  </si>
  <si>
    <t>08:00 – 09:00</t>
  </si>
  <si>
    <t>09:00 – 10:00</t>
  </si>
  <si>
    <t>10:00 – 11:00</t>
  </si>
  <si>
    <t>11:00 – 12:00</t>
  </si>
  <si>
    <t>12:00 – 13:00 (Lunch)</t>
  </si>
  <si>
    <t>13:00 – 14:00</t>
  </si>
  <si>
    <t>14:00 – 15:00</t>
  </si>
  <si>
    <t>Note</t>
  </si>
  <si>
    <t>Demo timetable data included. Adjust as needed.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</si>
</sst>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R&quot;\ #,##0"/>
    <numFmt numFmtId="166" formatCode="0.0%"/>
  </numFmts>
  <fonts count="1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  <font>
      <b/>
      <sz val="16"/>
      <color rgb="FFFFFFFF"/>
      <name val="Calibri"/>
    </font>
    <font>
      <b/>
      <sz val="11"/>
      <color rgb="FF0B2A52"/>
      <name val="Calibri"/>
    </font>
    <font>
      <b/>
      <sz val="14"/>
      <color rgb="FF0B2A52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4"/>
      <color rgb="FF1F4FA3"/>
      <name val="Calibri"/>
    </font>
    <font>
      <b/>
      <sz val="11"/>
      <color rgb="FF1F4FA3"/>
      <name val="Calibri"/>
    </font>
    <font>
      <i/>
      <sz val="11"/>
      <color rgb="FF66666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B2A52"/>
      </patternFill>
    </fill>
    <fill>
      <patternFill patternType="solid">
        <fgColor rgb="FFF5F7FB"/>
      </patternFill>
    </fill>
    <fill>
      <patternFill patternType="solid">
        <fgColor rgb="FFF2F6FF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vertical="center"/>
    </xf>
    <xf numFmtId="9" fontId="0" fillId="0" borderId="0" xfId="0" applyNumberFormat="1"/>
    <xf numFmtId="0" fontId="6" fillId="0" borderId="0" xfId="0" applyFont="1" applyAlignment="1">
      <alignment horizontal="left" vertical="center"/>
    </xf>
    <xf numFmtId="165" fontId="0" fillId="0" borderId="0" xfId="0" applyNumberFormat="1"/>
    <xf numFmtId="166" fontId="0" fillId="0" borderId="0" xfId="0" applyNumberFormat="1"/>
    <xf numFmtId="0" fontId="6" fillId="0" borderId="0" xfId="0" applyFont="1"/>
    <xf numFmtId="0" fontId="0" fillId="0" borderId="0" xfId="0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0" fillId="0" borderId="1" xfId="0" applyBorder="1"/>
    <xf numFmtId="165" fontId="0" fillId="0" borderId="1" xfId="0" applyNumberFormat="1" applyBorder="1"/>
    <xf numFmtId="164" fontId="0" fillId="0" borderId="1" xfId="0" applyNumberFormat="1" applyBorder="1"/>
    <xf numFmtId="0" fontId="4" fillId="0" borderId="0" xfId="0" applyFont="1"/>
    <xf numFmtId="0" fontId="11" fillId="5" borderId="4" xfId="0" applyFont="1" applyFill="1" applyBorder="1"/>
    <xf numFmtId="0" fontId="0" fillId="0" borderId="4" xfId="0" applyBorder="1"/>
    <xf numFmtId="0" fontId="10" fillId="0" borderId="0" xfId="0" applyFont="1"/>
    <xf numFmtId="0" fontId="0" fillId="0" borderId="0" xfId="0"/>
    <xf numFmtId="165" fontId="4" fillId="4" borderId="1" xfId="0" applyNumberFormat="1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4" fillId="4" borderId="1" xfId="0" applyFont="1" applyFill="1" applyBorder="1" applyAlignment="1">
      <alignment horizontal="left" vertical="center"/>
    </xf>
    <xf numFmtId="166" fontId="7" fillId="4" borderId="1" xfId="0" applyNumberFormat="1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3" fontId="7" fillId="4" borderId="1" xfId="0" applyNumberFormat="1" applyFont="1" applyFill="1" applyBorder="1" applyAlignment="1">
      <alignment horizontal="left" vertical="center"/>
    </xf>
    <xf numFmtId="165" fontId="7" fillId="4" borderId="1" xfId="0" applyNumberFormat="1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left"/>
    </xf>
    <xf numFmtId="0" fontId="3" fillId="0" borderId="0" xfId="0" applyFont="1"/>
    <xf numFmtId="0" fontId="12" fillId="0" borderId="0" xfId="0" applyFont="1"/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7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sqref="A1:F1"/>
    </sheetView>
  </sheetViews>
  <sheetFormatPr defaultRowHeight="14.4" x14ac:dyDescent="0.3"/>
  <cols>
    <col min="1" max="1" width="120" customWidth="1"/>
  </cols>
  <sheetData>
    <row r="1" spans="1:6" ht="18" x14ac:dyDescent="0.35">
      <c r="A1" s="21" t="s">
        <v>0</v>
      </c>
      <c r="B1" s="22"/>
      <c r="C1" s="22"/>
      <c r="D1" s="22"/>
      <c r="E1" s="22"/>
      <c r="F1" s="22"/>
    </row>
    <row r="3" spans="1:6" x14ac:dyDescent="0.3">
      <c r="A3" t="s">
        <v>1</v>
      </c>
    </row>
    <row r="5" spans="1:6" x14ac:dyDescent="0.3">
      <c r="A5" t="s">
        <v>2</v>
      </c>
    </row>
    <row r="6" spans="1:6" x14ac:dyDescent="0.3">
      <c r="A6" t="s">
        <v>3</v>
      </c>
    </row>
    <row r="7" spans="1:6" x14ac:dyDescent="0.3">
      <c r="A7" t="s">
        <v>4</v>
      </c>
    </row>
    <row r="8" spans="1:6" x14ac:dyDescent="0.3">
      <c r="A8" t="s">
        <v>5</v>
      </c>
    </row>
    <row r="9" spans="1:6" x14ac:dyDescent="0.3">
      <c r="A9" t="s">
        <v>6</v>
      </c>
    </row>
    <row r="10" spans="1:6" x14ac:dyDescent="0.3">
      <c r="A10" t="s">
        <v>7</v>
      </c>
    </row>
    <row r="12" spans="1:6" x14ac:dyDescent="0.3">
      <c r="A12" t="s">
        <v>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/>
  </sheetViews>
  <sheetFormatPr defaultRowHeight="14.4" x14ac:dyDescent="0.3"/>
  <cols>
    <col min="1" max="1" width="22" customWidth="1"/>
    <col min="2" max="4" width="2" customWidth="1"/>
    <col min="5" max="5" width="22" customWidth="1"/>
    <col min="6" max="8" width="2" customWidth="1"/>
  </cols>
  <sheetData>
    <row r="1" spans="1:8" ht="30" customHeight="1" x14ac:dyDescent="0.3">
      <c r="A1" s="32" t="s">
        <v>9</v>
      </c>
      <c r="B1" s="24"/>
      <c r="C1" s="24"/>
      <c r="D1" s="24"/>
      <c r="E1" s="24"/>
      <c r="F1" s="24"/>
      <c r="G1" s="24"/>
      <c r="H1" s="25"/>
    </row>
    <row r="2" spans="1:8" x14ac:dyDescent="0.3">
      <c r="A2" s="9" t="s">
        <v>10</v>
      </c>
    </row>
    <row r="4" spans="1:8" x14ac:dyDescent="0.3">
      <c r="A4" s="26" t="s">
        <v>11</v>
      </c>
      <c r="B4" s="24"/>
      <c r="C4" s="25"/>
      <c r="E4" s="26" t="s">
        <v>12</v>
      </c>
      <c r="F4" s="24"/>
      <c r="G4" s="25"/>
    </row>
    <row r="5" spans="1:8" ht="18" x14ac:dyDescent="0.3">
      <c r="A5" s="29">
        <f>COUNTIF(MASTER_REGISTER!E:E,"MSH*")</f>
        <v>60</v>
      </c>
      <c r="B5" s="24"/>
      <c r="C5" s="25"/>
      <c r="E5" s="29">
        <f>COUNTIFS(MASTER_REGISTER!E:E,"MSH*",MASTER_REGISTER!K:K,"Active")</f>
        <v>60</v>
      </c>
      <c r="F5" s="24"/>
      <c r="G5" s="25"/>
    </row>
    <row r="6" spans="1:8" x14ac:dyDescent="0.3">
      <c r="A6" s="10"/>
      <c r="E6" s="10"/>
    </row>
    <row r="7" spans="1:8" x14ac:dyDescent="0.3">
      <c r="A7" s="31" t="s">
        <v>13</v>
      </c>
      <c r="B7" s="24"/>
      <c r="C7" s="25"/>
      <c r="E7" s="31" t="s">
        <v>14</v>
      </c>
      <c r="F7" s="24"/>
      <c r="G7" s="25"/>
    </row>
    <row r="8" spans="1:8" ht="18" x14ac:dyDescent="0.3">
      <c r="A8" s="30">
        <f>SUM(MASTER_REGISTER!J:J)</f>
        <v>164900</v>
      </c>
      <c r="B8" s="24"/>
      <c r="C8" s="25"/>
      <c r="E8" s="30">
        <f>SUM(MASTER_REGISTER!L:L)</f>
        <v>103328.57999999997</v>
      </c>
      <c r="F8" s="24"/>
      <c r="G8" s="25"/>
    </row>
    <row r="9" spans="1:8" x14ac:dyDescent="0.3">
      <c r="A9" s="11"/>
      <c r="E9" s="11"/>
    </row>
    <row r="10" spans="1:8" x14ac:dyDescent="0.3">
      <c r="A10" s="23" t="s">
        <v>15</v>
      </c>
      <c r="B10" s="24"/>
      <c r="C10" s="25"/>
      <c r="E10" s="26" t="s">
        <v>16</v>
      </c>
      <c r="F10" s="24"/>
      <c r="G10" s="25"/>
    </row>
    <row r="11" spans="1:8" ht="18" x14ac:dyDescent="0.3">
      <c r="A11" s="27">
        <f>SUM(MASTER_REGISTER!M:M)</f>
        <v>61571.42</v>
      </c>
      <c r="B11" s="24"/>
      <c r="C11" s="25"/>
      <c r="E11" s="28">
        <f>IFERROR(D5/C5,0)</f>
        <v>0</v>
      </c>
      <c r="F11" s="24"/>
      <c r="G11" s="25"/>
    </row>
    <row r="13" spans="1:8" x14ac:dyDescent="0.3">
      <c r="A13" s="26" t="s">
        <v>17</v>
      </c>
      <c r="B13" s="24"/>
      <c r="C13" s="25"/>
      <c r="E13" s="26" t="s">
        <v>18</v>
      </c>
      <c r="F13" s="24"/>
      <c r="G13" s="25"/>
    </row>
    <row r="14" spans="1:8" ht="18" x14ac:dyDescent="0.3">
      <c r="A14" s="28">
        <f>IFERROR(AVERAGEIF(ATTENDANCE_SUMMARY!G:G,"&gt;0"),0)</f>
        <v>0.87187499999999996</v>
      </c>
      <c r="B14" s="24"/>
      <c r="C14" s="25"/>
      <c r="E14" s="28">
        <f>IFERROR(AVERAGEIF(PROGRESS_SUMMARY!E:E,"&gt;0"),0)</f>
        <v>63.61666666666666</v>
      </c>
      <c r="F14" s="24"/>
      <c r="G14" s="25"/>
    </row>
    <row r="18" spans="1:1" x14ac:dyDescent="0.3">
      <c r="A18" s="12" t="s">
        <v>19</v>
      </c>
    </row>
    <row r="19" spans="1:1" x14ac:dyDescent="0.3">
      <c r="A19" s="13" t="s">
        <v>20</v>
      </c>
    </row>
    <row r="20" spans="1:1" x14ac:dyDescent="0.3">
      <c r="A20" s="13" t="s">
        <v>21</v>
      </c>
    </row>
  </sheetData>
  <mergeCells count="17">
    <mergeCell ref="E4:G4"/>
    <mergeCell ref="A7:C7"/>
    <mergeCell ref="A1:H1"/>
    <mergeCell ref="A4:C4"/>
    <mergeCell ref="E7:G7"/>
    <mergeCell ref="A5:C5"/>
    <mergeCell ref="E14:G14"/>
    <mergeCell ref="E5:G5"/>
    <mergeCell ref="A8:C8"/>
    <mergeCell ref="A14:C14"/>
    <mergeCell ref="E8:G8"/>
    <mergeCell ref="A10:C10"/>
    <mergeCell ref="E10:G10"/>
    <mergeCell ref="A13:C13"/>
    <mergeCell ref="A11:C11"/>
    <mergeCell ref="E13:G13"/>
    <mergeCell ref="E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7"/>
  <sheetViews>
    <sheetView workbookViewId="0"/>
  </sheetViews>
  <sheetFormatPr defaultRowHeight="14.4" x14ac:dyDescent="0.3"/>
  <cols>
    <col min="1" max="1" width="18" customWidth="1"/>
    <col min="2" max="2" width="14" customWidth="1"/>
    <col min="3" max="3" width="18" customWidth="1"/>
    <col min="4" max="4" width="22" customWidth="1"/>
    <col min="5" max="5" width="14" customWidth="1"/>
    <col min="6" max="6" width="12" customWidth="1"/>
    <col min="7" max="7" width="26" customWidth="1"/>
    <col min="8" max="9" width="14" customWidth="1"/>
    <col min="10" max="10" width="16" customWidth="1"/>
  </cols>
  <sheetData>
    <row r="1" spans="1:10" ht="18" x14ac:dyDescent="0.3">
      <c r="A1" s="33" t="s">
        <v>22</v>
      </c>
      <c r="B1" s="24"/>
      <c r="C1" s="24"/>
      <c r="D1" s="24"/>
      <c r="E1" s="24"/>
      <c r="F1" s="24"/>
      <c r="G1" s="24"/>
      <c r="H1" s="24"/>
      <c r="I1" s="24"/>
      <c r="J1" s="25"/>
    </row>
    <row r="3" spans="1:10" x14ac:dyDescent="0.3">
      <c r="A3" s="12" t="s">
        <v>23</v>
      </c>
    </row>
    <row r="4" spans="1:10" x14ac:dyDescent="0.3">
      <c r="A4" s="14" t="s">
        <v>24</v>
      </c>
      <c r="B4" s="14" t="s">
        <v>25</v>
      </c>
      <c r="C4" s="14" t="s">
        <v>26</v>
      </c>
      <c r="D4" s="14" t="s">
        <v>27</v>
      </c>
      <c r="E4" s="14" t="s">
        <v>28</v>
      </c>
      <c r="F4" s="14" t="s">
        <v>29</v>
      </c>
      <c r="G4" s="14" t="s">
        <v>30</v>
      </c>
      <c r="H4" s="14" t="s">
        <v>31</v>
      </c>
      <c r="I4" s="14" t="s">
        <v>32</v>
      </c>
      <c r="J4" s="14" t="s">
        <v>33</v>
      </c>
    </row>
    <row r="5" spans="1:10" x14ac:dyDescent="0.3">
      <c r="A5" s="15" t="str">
        <f>IF(MASTER_REGISTER!E2="","",MASTER_REGISTER!E2)</f>
        <v>MSH202608001</v>
      </c>
      <c r="B5" s="15" t="str">
        <f>IF($A5="","",MASTER_REGISTER!F2)</f>
        <v>Lerato Nkosi</v>
      </c>
      <c r="C5" s="15">
        <f>IF($A5="","",MASTER_REGISTER!C2)</f>
        <v>8</v>
      </c>
      <c r="D5" s="15" t="str">
        <f>IF($A5="","",MASTER_REGISTER!H2)</f>
        <v>0782010000</v>
      </c>
      <c r="E5" s="15" t="str">
        <f>IF($A5="","",MASTER_REGISTER!G2)</f>
        <v>lerato.nkosi.demo8001@gmail.com</v>
      </c>
      <c r="F5" s="15" t="str">
        <f>IF($A5="","",MASTER_REGISTER!I2)</f>
        <v>Senior Phase Support Package</v>
      </c>
      <c r="G5" s="16">
        <f>IF($A5="","",MASTER_REGISTER!J2)</f>
        <v>2400</v>
      </c>
      <c r="H5" s="16">
        <f>IF($A5="","",MASTER_REGISTER!L2)</f>
        <v>920.52</v>
      </c>
      <c r="I5" s="16">
        <f>IF($A5="","",MASTER_REGISTER!M2)</f>
        <v>1479.48</v>
      </c>
      <c r="J5" s="15" t="str">
        <f>IF($A5="","",MASTER_REGISTER!N2)</f>
        <v>Part Paid</v>
      </c>
    </row>
    <row r="6" spans="1:10" x14ac:dyDescent="0.3">
      <c r="A6" s="15" t="str">
        <f>IF(MASTER_REGISTER!E3="","",MASTER_REGISTER!E3)</f>
        <v>MSH202608002</v>
      </c>
      <c r="B6" s="15" t="str">
        <f>IF($A6="","",MASTER_REGISTER!F3)</f>
        <v>Karabo Maseko</v>
      </c>
      <c r="C6" s="15">
        <f>IF($A6="","",MASTER_REGISTER!C3)</f>
        <v>8</v>
      </c>
      <c r="D6" s="15" t="str">
        <f>IF($A6="","",MASTER_REGISTER!H3)</f>
        <v>0782010001</v>
      </c>
      <c r="E6" s="15" t="str">
        <f>IF($A6="","",MASTER_REGISTER!G3)</f>
        <v>karabo.maseko.demo8002@gmail.com</v>
      </c>
      <c r="F6" s="15" t="str">
        <f>IF($A6="","",MASTER_REGISTER!I3)</f>
        <v>Senior Phase Support Package</v>
      </c>
      <c r="G6" s="16">
        <f>IF($A6="","",MASTER_REGISTER!J3)</f>
        <v>2400</v>
      </c>
      <c r="H6" s="16">
        <f>IF($A6="","",MASTER_REGISTER!L3)</f>
        <v>1458.28</v>
      </c>
      <c r="I6" s="16">
        <f>IF($A6="","",MASTER_REGISTER!M3)</f>
        <v>941.72</v>
      </c>
      <c r="J6" s="15" t="str">
        <f>IF($A6="","",MASTER_REGISTER!N3)</f>
        <v>Part Paid</v>
      </c>
    </row>
    <row r="7" spans="1:10" x14ac:dyDescent="0.3">
      <c r="A7" s="15" t="str">
        <f>IF(MASTER_REGISTER!E4="","",MASTER_REGISTER!E4)</f>
        <v>MSH202608003</v>
      </c>
      <c r="B7" s="15" t="str">
        <f>IF($A7="","",MASTER_REGISTER!F4)</f>
        <v>Sifiso Sithole</v>
      </c>
      <c r="C7" s="15">
        <f>IF($A7="","",MASTER_REGISTER!C4)</f>
        <v>8</v>
      </c>
      <c r="D7" s="15" t="str">
        <f>IF($A7="","",MASTER_REGISTER!H4)</f>
        <v>0782010002</v>
      </c>
      <c r="E7" s="15" t="str">
        <f>IF($A7="","",MASTER_REGISTER!G4)</f>
        <v>sifiso.sithole.demo8003@gmail.com</v>
      </c>
      <c r="F7" s="15" t="str">
        <f>IF($A7="","",MASTER_REGISTER!I4)</f>
        <v>Senior Phase Support Package</v>
      </c>
      <c r="G7" s="16">
        <f>IF($A7="","",MASTER_REGISTER!J4)</f>
        <v>2400</v>
      </c>
      <c r="H7" s="16">
        <f>IF($A7="","",MASTER_REGISTER!L4)</f>
        <v>893.15</v>
      </c>
      <c r="I7" s="16">
        <f>IF($A7="","",MASTER_REGISTER!M4)</f>
        <v>1506.85</v>
      </c>
      <c r="J7" s="15" t="str">
        <f>IF($A7="","",MASTER_REGISTER!N4)</f>
        <v>Part Paid</v>
      </c>
    </row>
    <row r="8" spans="1:10" x14ac:dyDescent="0.3">
      <c r="A8" s="15" t="str">
        <f>IF(MASTER_REGISTER!E5="","",MASTER_REGISTER!E5)</f>
        <v>MSH202608004</v>
      </c>
      <c r="B8" s="15" t="str">
        <f>IF($A8="","",MASTER_REGISTER!F5)</f>
        <v>Tshepo Ndlovu</v>
      </c>
      <c r="C8" s="15">
        <f>IF($A8="","",MASTER_REGISTER!C5)</f>
        <v>8</v>
      </c>
      <c r="D8" s="15" t="str">
        <f>IF($A8="","",MASTER_REGISTER!H5)</f>
        <v>0782010003</v>
      </c>
      <c r="E8" s="15" t="str">
        <f>IF($A8="","",MASTER_REGISTER!G5)</f>
        <v>tshepo.ndlovu.demo8004@gmail.com</v>
      </c>
      <c r="F8" s="15" t="str">
        <f>IF($A8="","",MASTER_REGISTER!I5)</f>
        <v>Senior Phase Support Package</v>
      </c>
      <c r="G8" s="16">
        <f>IF($A8="","",MASTER_REGISTER!J5)</f>
        <v>2400</v>
      </c>
      <c r="H8" s="16">
        <f>IF($A8="","",MASTER_REGISTER!L5)</f>
        <v>2012.41</v>
      </c>
      <c r="I8" s="16">
        <f>IF($A8="","",MASTER_REGISTER!M5)</f>
        <v>387.58999999999992</v>
      </c>
      <c r="J8" s="15" t="str">
        <f>IF($A8="","",MASTER_REGISTER!N5)</f>
        <v>Part Paid</v>
      </c>
    </row>
    <row r="9" spans="1:10" x14ac:dyDescent="0.3">
      <c r="A9" s="15" t="str">
        <f>IF(MASTER_REGISTER!E6="","",MASTER_REGISTER!E6)</f>
        <v>MSH202608005</v>
      </c>
      <c r="B9" s="15" t="str">
        <f>IF($A9="","",MASTER_REGISTER!F6)</f>
        <v>Lwazi Mthembu</v>
      </c>
      <c r="C9" s="15">
        <f>IF($A9="","",MASTER_REGISTER!C6)</f>
        <v>8</v>
      </c>
      <c r="D9" s="15" t="str">
        <f>IF($A9="","",MASTER_REGISTER!H6)</f>
        <v>0782010004</v>
      </c>
      <c r="E9" s="15" t="str">
        <f>IF($A9="","",MASTER_REGISTER!G6)</f>
        <v>lwazi.mthembu.demo8005@gmail.com</v>
      </c>
      <c r="F9" s="15" t="str">
        <f>IF($A9="","",MASTER_REGISTER!I6)</f>
        <v>Senior Phase Support Package</v>
      </c>
      <c r="G9" s="16">
        <f>IF($A9="","",MASTER_REGISTER!J6)</f>
        <v>3400</v>
      </c>
      <c r="H9" s="16">
        <f>IF($A9="","",MASTER_REGISTER!L6)</f>
        <v>2859.4100000000003</v>
      </c>
      <c r="I9" s="16">
        <f>IF($A9="","",MASTER_REGISTER!M6)</f>
        <v>540.58999999999969</v>
      </c>
      <c r="J9" s="15" t="str">
        <f>IF($A9="","",MASTER_REGISTER!N6)</f>
        <v>Part Paid</v>
      </c>
    </row>
    <row r="10" spans="1:10" x14ac:dyDescent="0.3">
      <c r="A10" s="15" t="str">
        <f>IF(MASTER_REGISTER!E7="","",MASTER_REGISTER!E7)</f>
        <v>MSH202608006</v>
      </c>
      <c r="B10" s="15" t="str">
        <f>IF($A10="","",MASTER_REGISTER!F7)</f>
        <v>Karabo Ngobeni</v>
      </c>
      <c r="C10" s="15">
        <f>IF($A10="","",MASTER_REGISTER!C7)</f>
        <v>8</v>
      </c>
      <c r="D10" s="15" t="str">
        <f>IF($A10="","",MASTER_REGISTER!H7)</f>
        <v>0782010005</v>
      </c>
      <c r="E10" s="15" t="str">
        <f>IF($A10="","",MASTER_REGISTER!G7)</f>
        <v>karabo.ngobeni.demo8006@gmail.com</v>
      </c>
      <c r="F10" s="15" t="str">
        <f>IF($A10="","",MASTER_REGISTER!I7)</f>
        <v>Senior Phase Support Package</v>
      </c>
      <c r="G10" s="16">
        <f>IF($A10="","",MASTER_REGISTER!J7)</f>
        <v>2400</v>
      </c>
      <c r="H10" s="16">
        <f>IF($A10="","",MASTER_REGISTER!L7)</f>
        <v>1588.63</v>
      </c>
      <c r="I10" s="16">
        <f>IF($A10="","",MASTER_REGISTER!M7)</f>
        <v>811.36999999999989</v>
      </c>
      <c r="J10" s="15" t="str">
        <f>IF($A10="","",MASTER_REGISTER!N7)</f>
        <v>Part Paid</v>
      </c>
    </row>
    <row r="11" spans="1:10" x14ac:dyDescent="0.3">
      <c r="A11" s="15" t="str">
        <f>IF(MASTER_REGISTER!E8="","",MASTER_REGISTER!E8)</f>
        <v>MSH202608007</v>
      </c>
      <c r="B11" s="15" t="str">
        <f>IF($A11="","",MASTER_REGISTER!F8)</f>
        <v>Mpho Sithole</v>
      </c>
      <c r="C11" s="15">
        <f>IF($A11="","",MASTER_REGISTER!C8)</f>
        <v>8</v>
      </c>
      <c r="D11" s="15" t="str">
        <f>IF($A11="","",MASTER_REGISTER!H8)</f>
        <v>0782010006</v>
      </c>
      <c r="E11" s="15" t="str">
        <f>IF($A11="","",MASTER_REGISTER!G8)</f>
        <v>mpho.sithole.demo8007@gmail.com</v>
      </c>
      <c r="F11" s="15" t="str">
        <f>IF($A11="","",MASTER_REGISTER!I8)</f>
        <v>Senior Phase Support Package</v>
      </c>
      <c r="G11" s="16">
        <f>IF($A11="","",MASTER_REGISTER!J8)</f>
        <v>2400</v>
      </c>
      <c r="H11" s="16">
        <f>IF($A11="","",MASTER_REGISTER!L8)</f>
        <v>1169.52</v>
      </c>
      <c r="I11" s="16">
        <f>IF($A11="","",MASTER_REGISTER!M8)</f>
        <v>1230.48</v>
      </c>
      <c r="J11" s="15" t="str">
        <f>IF($A11="","",MASTER_REGISTER!N8)</f>
        <v>Part Paid</v>
      </c>
    </row>
    <row r="12" spans="1:10" x14ac:dyDescent="0.3">
      <c r="A12" s="15" t="str">
        <f>IF(MASTER_REGISTER!E9="","",MASTER_REGISTER!E9)</f>
        <v>MSH202608008</v>
      </c>
      <c r="B12" s="15" t="str">
        <f>IF($A12="","",MASTER_REGISTER!F9)</f>
        <v>Tshepo Ramushu</v>
      </c>
      <c r="C12" s="15">
        <f>IF($A12="","",MASTER_REGISTER!C9)</f>
        <v>8</v>
      </c>
      <c r="D12" s="15" t="str">
        <f>IF($A12="","",MASTER_REGISTER!H9)</f>
        <v>0782010007</v>
      </c>
      <c r="E12" s="15" t="str">
        <f>IF($A12="","",MASTER_REGISTER!G9)</f>
        <v>tshepo.ramushu.demo8008@gmail.com</v>
      </c>
      <c r="F12" s="15" t="str">
        <f>IF($A12="","",MASTER_REGISTER!I9)</f>
        <v>Senior Phase Support Package</v>
      </c>
      <c r="G12" s="16">
        <f>IF($A12="","",MASTER_REGISTER!J9)</f>
        <v>3400</v>
      </c>
      <c r="H12" s="16">
        <f>IF($A12="","",MASTER_REGISTER!L9)</f>
        <v>1757.6299999999999</v>
      </c>
      <c r="I12" s="16">
        <f>IF($A12="","",MASTER_REGISTER!M9)</f>
        <v>1642.3700000000001</v>
      </c>
      <c r="J12" s="15" t="str">
        <f>IF($A12="","",MASTER_REGISTER!N9)</f>
        <v>Part Paid</v>
      </c>
    </row>
    <row r="13" spans="1:10" x14ac:dyDescent="0.3">
      <c r="A13" s="15" t="str">
        <f>IF(MASTER_REGISTER!E10="","",MASTER_REGISTER!E10)</f>
        <v>MSH202608009</v>
      </c>
      <c r="B13" s="15" t="str">
        <f>IF($A13="","",MASTER_REGISTER!F10)</f>
        <v>Lerato Kekana</v>
      </c>
      <c r="C13" s="15">
        <f>IF($A13="","",MASTER_REGISTER!C10)</f>
        <v>8</v>
      </c>
      <c r="D13" s="15" t="str">
        <f>IF($A13="","",MASTER_REGISTER!H10)</f>
        <v>0782010008</v>
      </c>
      <c r="E13" s="15" t="str">
        <f>IF($A13="","",MASTER_REGISTER!G10)</f>
        <v>lerato.kekana.demo8009@gmail.com</v>
      </c>
      <c r="F13" s="15" t="str">
        <f>IF($A13="","",MASTER_REGISTER!I10)</f>
        <v>Senior Phase Support Package</v>
      </c>
      <c r="G13" s="16">
        <f>IF($A13="","",MASTER_REGISTER!J10)</f>
        <v>3400</v>
      </c>
      <c r="H13" s="16">
        <f>IF($A13="","",MASTER_REGISTER!L10)</f>
        <v>2015.0500000000002</v>
      </c>
      <c r="I13" s="16">
        <f>IF($A13="","",MASTER_REGISTER!M10)</f>
        <v>1384.9499999999998</v>
      </c>
      <c r="J13" s="15" t="str">
        <f>IF($A13="","",MASTER_REGISTER!N10)</f>
        <v>Part Paid</v>
      </c>
    </row>
    <row r="14" spans="1:10" x14ac:dyDescent="0.3">
      <c r="A14" s="15" t="str">
        <f>IF(MASTER_REGISTER!E11="","",MASTER_REGISTER!E11)</f>
        <v>MSH202608010</v>
      </c>
      <c r="B14" s="15" t="str">
        <f>IF($A14="","",MASTER_REGISTER!F11)</f>
        <v>Neo Ngobeni</v>
      </c>
      <c r="C14" s="15">
        <f>IF($A14="","",MASTER_REGISTER!C11)</f>
        <v>8</v>
      </c>
      <c r="D14" s="15" t="str">
        <f>IF($A14="","",MASTER_REGISTER!H11)</f>
        <v>0782010009</v>
      </c>
      <c r="E14" s="15" t="str">
        <f>IF($A14="","",MASTER_REGISTER!G11)</f>
        <v>neo.ngobeni.demo8010@gmail.com</v>
      </c>
      <c r="F14" s="15" t="str">
        <f>IF($A14="","",MASTER_REGISTER!I11)</f>
        <v>Senior Phase Support Package</v>
      </c>
      <c r="G14" s="16">
        <f>IF($A14="","",MASTER_REGISTER!J11)</f>
        <v>3400</v>
      </c>
      <c r="H14" s="16">
        <f>IF($A14="","",MASTER_REGISTER!L11)</f>
        <v>2034.14</v>
      </c>
      <c r="I14" s="16">
        <f>IF($A14="","",MASTER_REGISTER!M11)</f>
        <v>1365.86</v>
      </c>
      <c r="J14" s="15" t="str">
        <f>IF($A14="","",MASTER_REGISTER!N11)</f>
        <v>Part Paid</v>
      </c>
    </row>
    <row r="15" spans="1:10" x14ac:dyDescent="0.3">
      <c r="A15" s="15" t="str">
        <f>IF(MASTER_REGISTER!E12="","",MASTER_REGISTER!E12)</f>
        <v>MSH202608011</v>
      </c>
      <c r="B15" s="15" t="str">
        <f>IF($A15="","",MASTER_REGISTER!F12)</f>
        <v>Thabo Mokgadi</v>
      </c>
      <c r="C15" s="15">
        <f>IF($A15="","",MASTER_REGISTER!C12)</f>
        <v>8</v>
      </c>
      <c r="D15" s="15" t="str">
        <f>IF($A15="","",MASTER_REGISTER!H12)</f>
        <v>0782010010</v>
      </c>
      <c r="E15" s="15" t="str">
        <f>IF($A15="","",MASTER_REGISTER!G12)</f>
        <v>thabo.mokgadi.demo8011@gmail.com</v>
      </c>
      <c r="F15" s="15" t="str">
        <f>IF($A15="","",MASTER_REGISTER!I12)</f>
        <v>Senior Phase Support Package</v>
      </c>
      <c r="G15" s="16">
        <f>IF($A15="","",MASTER_REGISTER!J12)</f>
        <v>3400</v>
      </c>
      <c r="H15" s="16">
        <f>IF($A15="","",MASTER_REGISTER!L12)</f>
        <v>1517.8600000000001</v>
      </c>
      <c r="I15" s="16">
        <f>IF($A15="","",MASTER_REGISTER!M12)</f>
        <v>1882.1399999999999</v>
      </c>
      <c r="J15" s="15" t="str">
        <f>IF($A15="","",MASTER_REGISTER!N12)</f>
        <v>Part Paid</v>
      </c>
    </row>
    <row r="16" spans="1:10" x14ac:dyDescent="0.3">
      <c r="A16" s="15" t="str">
        <f>IF(MASTER_REGISTER!E13="","",MASTER_REGISTER!E13)</f>
        <v>MSH202608012</v>
      </c>
      <c r="B16" s="15" t="str">
        <f>IF($A16="","",MASTER_REGISTER!F13)</f>
        <v>Sifiso Mthembu</v>
      </c>
      <c r="C16" s="15">
        <f>IF($A16="","",MASTER_REGISTER!C13)</f>
        <v>8</v>
      </c>
      <c r="D16" s="15" t="str">
        <f>IF($A16="","",MASTER_REGISTER!H13)</f>
        <v>0782010011</v>
      </c>
      <c r="E16" s="15" t="str">
        <f>IF($A16="","",MASTER_REGISTER!G13)</f>
        <v>sifiso.mthembu.demo8012@gmail.com</v>
      </c>
      <c r="F16" s="15" t="str">
        <f>IF($A16="","",MASTER_REGISTER!I13)</f>
        <v>Senior Phase Support Package</v>
      </c>
      <c r="G16" s="16">
        <f>IF($A16="","",MASTER_REGISTER!J13)</f>
        <v>2400</v>
      </c>
      <c r="H16" s="16">
        <f>IF($A16="","",MASTER_REGISTER!L13)</f>
        <v>2081.6400000000003</v>
      </c>
      <c r="I16" s="16">
        <f>IF($A16="","",MASTER_REGISTER!M13)</f>
        <v>318.35999999999967</v>
      </c>
      <c r="J16" s="15" t="str">
        <f>IF($A16="","",MASTER_REGISTER!N13)</f>
        <v>Part Paid</v>
      </c>
    </row>
    <row r="17" spans="1:10" x14ac:dyDescent="0.3">
      <c r="A17" s="15" t="str">
        <f>IF(MASTER_REGISTER!E14="","",MASTER_REGISTER!E14)</f>
        <v>MSH202609001</v>
      </c>
      <c r="B17" s="15" t="str">
        <f>IF($A17="","",MASTER_REGISTER!F14)</f>
        <v>Karabo Phiri</v>
      </c>
      <c r="C17" s="15">
        <f>IF($A17="","",MASTER_REGISTER!C14)</f>
        <v>9</v>
      </c>
      <c r="D17" s="15" t="str">
        <f>IF($A17="","",MASTER_REGISTER!H14)</f>
        <v>0782010012</v>
      </c>
      <c r="E17" s="15" t="str">
        <f>IF($A17="","",MASTER_REGISTER!G14)</f>
        <v>karabo.phiri.demo9001@gmail.com</v>
      </c>
      <c r="F17" s="15" t="str">
        <f>IF($A17="","",MASTER_REGISTER!I14)</f>
        <v>Senior Phase Support Package</v>
      </c>
      <c r="G17" s="16">
        <f>IF($A17="","",MASTER_REGISTER!J14)</f>
        <v>2400</v>
      </c>
      <c r="H17" s="16">
        <f>IF($A17="","",MASTER_REGISTER!L14)</f>
        <v>1277.0099999999998</v>
      </c>
      <c r="I17" s="16">
        <f>IF($A17="","",MASTER_REGISTER!M14)</f>
        <v>1122.9900000000002</v>
      </c>
      <c r="J17" s="15" t="str">
        <f>IF($A17="","",MASTER_REGISTER!N14)</f>
        <v>Part Paid</v>
      </c>
    </row>
    <row r="18" spans="1:10" x14ac:dyDescent="0.3">
      <c r="A18" s="15" t="str">
        <f>IF(MASTER_REGISTER!E15="","",MASTER_REGISTER!E15)</f>
        <v>MSH202609002</v>
      </c>
      <c r="B18" s="15" t="str">
        <f>IF($A18="","",MASTER_REGISTER!F15)</f>
        <v>Lerato Mahlangu</v>
      </c>
      <c r="C18" s="15">
        <f>IF($A18="","",MASTER_REGISTER!C15)</f>
        <v>9</v>
      </c>
      <c r="D18" s="15" t="str">
        <f>IF($A18="","",MASTER_REGISTER!H15)</f>
        <v>0782010013</v>
      </c>
      <c r="E18" s="15" t="str">
        <f>IF($A18="","",MASTER_REGISTER!G15)</f>
        <v>lerato.mahlangu.demo9002@gmail.com</v>
      </c>
      <c r="F18" s="15" t="str">
        <f>IF($A18="","",MASTER_REGISTER!I15)</f>
        <v>Senior Phase Support Package</v>
      </c>
      <c r="G18" s="16">
        <f>IF($A18="","",MASTER_REGISTER!J15)</f>
        <v>3400</v>
      </c>
      <c r="H18" s="16">
        <f>IF($A18="","",MASTER_REGISTER!L15)</f>
        <v>1922.8400000000001</v>
      </c>
      <c r="I18" s="16">
        <f>IF($A18="","",MASTER_REGISTER!M15)</f>
        <v>1477.1599999999999</v>
      </c>
      <c r="J18" s="15" t="str">
        <f>IF($A18="","",MASTER_REGISTER!N15)</f>
        <v>Part Paid</v>
      </c>
    </row>
    <row r="19" spans="1:10" x14ac:dyDescent="0.3">
      <c r="A19" s="15" t="str">
        <f>IF(MASTER_REGISTER!E16="","",MASTER_REGISTER!E16)</f>
        <v>MSH202609003</v>
      </c>
      <c r="B19" s="15" t="str">
        <f>IF($A19="","",MASTER_REGISTER!F16)</f>
        <v>Mpho Kekana</v>
      </c>
      <c r="C19" s="15">
        <f>IF($A19="","",MASTER_REGISTER!C16)</f>
        <v>9</v>
      </c>
      <c r="D19" s="15" t="str">
        <f>IF($A19="","",MASTER_REGISTER!H16)</f>
        <v>0782010014</v>
      </c>
      <c r="E19" s="15" t="str">
        <f>IF($A19="","",MASTER_REGISTER!G16)</f>
        <v>mpho.kekana.demo9003@gmail.com</v>
      </c>
      <c r="F19" s="15" t="str">
        <f>IF($A19="","",MASTER_REGISTER!I16)</f>
        <v>Senior Phase Support Package</v>
      </c>
      <c r="G19" s="16">
        <f>IF($A19="","",MASTER_REGISTER!J16)</f>
        <v>3400</v>
      </c>
      <c r="H19" s="16">
        <f>IF($A19="","",MASTER_REGISTER!L16)</f>
        <v>2262.6999999999998</v>
      </c>
      <c r="I19" s="16">
        <f>IF($A19="","",MASTER_REGISTER!M16)</f>
        <v>1137.3000000000002</v>
      </c>
      <c r="J19" s="15" t="str">
        <f>IF($A19="","",MASTER_REGISTER!N16)</f>
        <v>Part Paid</v>
      </c>
    </row>
    <row r="20" spans="1:10" x14ac:dyDescent="0.3">
      <c r="A20" s="15" t="str">
        <f>IF(MASTER_REGISTER!E17="","",MASTER_REGISTER!E17)</f>
        <v>MSH202609004</v>
      </c>
      <c r="B20" s="15" t="str">
        <f>IF($A20="","",MASTER_REGISTER!F17)</f>
        <v>Thabo Molefe</v>
      </c>
      <c r="C20" s="15">
        <f>IF($A20="","",MASTER_REGISTER!C17)</f>
        <v>9</v>
      </c>
      <c r="D20" s="15" t="str">
        <f>IF($A20="","",MASTER_REGISTER!H17)</f>
        <v>0782010015</v>
      </c>
      <c r="E20" s="15" t="str">
        <f>IF($A20="","",MASTER_REGISTER!G17)</f>
        <v>thabo.molefe.demo9004@gmail.com</v>
      </c>
      <c r="F20" s="15" t="str">
        <f>IF($A20="","",MASTER_REGISTER!I17)</f>
        <v>Senior Phase Support Package</v>
      </c>
      <c r="G20" s="16">
        <f>IF($A20="","",MASTER_REGISTER!J17)</f>
        <v>2400</v>
      </c>
      <c r="H20" s="16">
        <f>IF($A20="","",MASTER_REGISTER!L17)</f>
        <v>1043.27</v>
      </c>
      <c r="I20" s="16">
        <f>IF($A20="","",MASTER_REGISTER!M17)</f>
        <v>1356.73</v>
      </c>
      <c r="J20" s="15" t="str">
        <f>IF($A20="","",MASTER_REGISTER!N17)</f>
        <v>Part Paid</v>
      </c>
    </row>
    <row r="21" spans="1:10" x14ac:dyDescent="0.3">
      <c r="A21" s="15" t="str">
        <f>IF(MASTER_REGISTER!E18="","",MASTER_REGISTER!E18)</f>
        <v>MSH202609005</v>
      </c>
      <c r="B21" s="15" t="str">
        <f>IF($A21="","",MASTER_REGISTER!F18)</f>
        <v>Mpho Ngobeni</v>
      </c>
      <c r="C21" s="15">
        <f>IF($A21="","",MASTER_REGISTER!C18)</f>
        <v>9</v>
      </c>
      <c r="D21" s="15" t="str">
        <f>IF($A21="","",MASTER_REGISTER!H18)</f>
        <v>0782010016</v>
      </c>
      <c r="E21" s="15" t="str">
        <f>IF($A21="","",MASTER_REGISTER!G18)</f>
        <v>mpho.ngobeni.demo9005@gmail.com</v>
      </c>
      <c r="F21" s="15" t="str">
        <f>IF($A21="","",MASTER_REGISTER!I18)</f>
        <v>Senior Phase Support Package</v>
      </c>
      <c r="G21" s="16">
        <f>IF($A21="","",MASTER_REGISTER!J18)</f>
        <v>2400</v>
      </c>
      <c r="H21" s="16">
        <f>IF($A21="","",MASTER_REGISTER!L18)</f>
        <v>2081.1299999999997</v>
      </c>
      <c r="I21" s="16">
        <f>IF($A21="","",MASTER_REGISTER!M18)</f>
        <v>318.87000000000035</v>
      </c>
      <c r="J21" s="15" t="str">
        <f>IF($A21="","",MASTER_REGISTER!N18)</f>
        <v>Part Paid</v>
      </c>
    </row>
    <row r="22" spans="1:10" x14ac:dyDescent="0.3">
      <c r="A22" s="15" t="str">
        <f>IF(MASTER_REGISTER!E19="","",MASTER_REGISTER!E19)</f>
        <v>MSH202609006</v>
      </c>
      <c r="B22" s="15" t="str">
        <f>IF($A22="","",MASTER_REGISTER!F19)</f>
        <v>Siyanda Mhlongo</v>
      </c>
      <c r="C22" s="15">
        <f>IF($A22="","",MASTER_REGISTER!C19)</f>
        <v>9</v>
      </c>
      <c r="D22" s="15" t="str">
        <f>IF($A22="","",MASTER_REGISTER!H19)</f>
        <v>0782010017</v>
      </c>
      <c r="E22" s="15" t="str">
        <f>IF($A22="","",MASTER_REGISTER!G19)</f>
        <v>siyanda.mhlongo.demo9006@gmail.com</v>
      </c>
      <c r="F22" s="15" t="str">
        <f>IF($A22="","",MASTER_REGISTER!I19)</f>
        <v>Senior Phase Support Package</v>
      </c>
      <c r="G22" s="16">
        <f>IF($A22="","",MASTER_REGISTER!J19)</f>
        <v>2400</v>
      </c>
      <c r="H22" s="16">
        <f>IF($A22="","",MASTER_REGISTER!L19)</f>
        <v>1303.49</v>
      </c>
      <c r="I22" s="16">
        <f>IF($A22="","",MASTER_REGISTER!M19)</f>
        <v>1096.51</v>
      </c>
      <c r="J22" s="15" t="str">
        <f>IF($A22="","",MASTER_REGISTER!N19)</f>
        <v>Part Paid</v>
      </c>
    </row>
    <row r="23" spans="1:10" x14ac:dyDescent="0.3">
      <c r="A23" s="15" t="str">
        <f>IF(MASTER_REGISTER!E20="","",MASTER_REGISTER!E20)</f>
        <v>MSH202609007</v>
      </c>
      <c r="B23" s="15" t="str">
        <f>IF($A23="","",MASTER_REGISTER!F20)</f>
        <v>Siyanda Mahlangu</v>
      </c>
      <c r="C23" s="15">
        <f>IF($A23="","",MASTER_REGISTER!C20)</f>
        <v>9</v>
      </c>
      <c r="D23" s="15" t="str">
        <f>IF($A23="","",MASTER_REGISTER!H20)</f>
        <v>0782010018</v>
      </c>
      <c r="E23" s="15" t="str">
        <f>IF($A23="","",MASTER_REGISTER!G20)</f>
        <v>siyanda.mahlangu.demo9007@gmail.com</v>
      </c>
      <c r="F23" s="15" t="str">
        <f>IF($A23="","",MASTER_REGISTER!I20)</f>
        <v>Senior Phase Support Package</v>
      </c>
      <c r="G23" s="16">
        <f>IF($A23="","",MASTER_REGISTER!J20)</f>
        <v>2400</v>
      </c>
      <c r="H23" s="16">
        <f>IF($A23="","",MASTER_REGISTER!L20)</f>
        <v>1447.25</v>
      </c>
      <c r="I23" s="16">
        <f>IF($A23="","",MASTER_REGISTER!M20)</f>
        <v>952.75</v>
      </c>
      <c r="J23" s="15" t="str">
        <f>IF($A23="","",MASTER_REGISTER!N20)</f>
        <v>Part Paid</v>
      </c>
    </row>
    <row r="24" spans="1:10" x14ac:dyDescent="0.3">
      <c r="A24" s="15" t="str">
        <f>IF(MASTER_REGISTER!E21="","",MASTER_REGISTER!E21)</f>
        <v>MSH202609008</v>
      </c>
      <c r="B24" s="15" t="str">
        <f>IF($A24="","",MASTER_REGISTER!F21)</f>
        <v>Sifiso Ramushu</v>
      </c>
      <c r="C24" s="15">
        <f>IF($A24="","",MASTER_REGISTER!C21)</f>
        <v>9</v>
      </c>
      <c r="D24" s="15" t="str">
        <f>IF($A24="","",MASTER_REGISTER!H21)</f>
        <v>0782010019</v>
      </c>
      <c r="E24" s="15" t="str">
        <f>IF($A24="","",MASTER_REGISTER!G21)</f>
        <v>sifiso.ramushu.demo9008@gmail.com</v>
      </c>
      <c r="F24" s="15" t="str">
        <f>IF($A24="","",MASTER_REGISTER!I21)</f>
        <v>Senior Phase Support Package</v>
      </c>
      <c r="G24" s="16">
        <f>IF($A24="","",MASTER_REGISTER!J21)</f>
        <v>3400</v>
      </c>
      <c r="H24" s="16">
        <f>IF($A24="","",MASTER_REGISTER!L21)</f>
        <v>1539.4699999999998</v>
      </c>
      <c r="I24" s="16">
        <f>IF($A24="","",MASTER_REGISTER!M21)</f>
        <v>1860.5300000000002</v>
      </c>
      <c r="J24" s="15" t="str">
        <f>IF($A24="","",MASTER_REGISTER!N21)</f>
        <v>Part Paid</v>
      </c>
    </row>
    <row r="25" spans="1:10" x14ac:dyDescent="0.3">
      <c r="A25" s="15" t="str">
        <f>IF(MASTER_REGISTER!E22="","",MASTER_REGISTER!E22)</f>
        <v>MSH202609009</v>
      </c>
      <c r="B25" s="15" t="str">
        <f>IF($A25="","",MASTER_REGISTER!F22)</f>
        <v>Nandi Ngobeni</v>
      </c>
      <c r="C25" s="15">
        <f>IF($A25="","",MASTER_REGISTER!C22)</f>
        <v>9</v>
      </c>
      <c r="D25" s="15" t="str">
        <f>IF($A25="","",MASTER_REGISTER!H22)</f>
        <v>0782010020</v>
      </c>
      <c r="E25" s="15" t="str">
        <f>IF($A25="","",MASTER_REGISTER!G22)</f>
        <v>nandi.ngobeni.demo9009@gmail.com</v>
      </c>
      <c r="F25" s="15" t="str">
        <f>IF($A25="","",MASTER_REGISTER!I22)</f>
        <v>Senior Phase Support Package</v>
      </c>
      <c r="G25" s="16">
        <f>IF($A25="","",MASTER_REGISTER!J22)</f>
        <v>2400</v>
      </c>
      <c r="H25" s="16">
        <f>IF($A25="","",MASTER_REGISTER!L22)</f>
        <v>1493.75</v>
      </c>
      <c r="I25" s="16">
        <f>IF($A25="","",MASTER_REGISTER!M22)</f>
        <v>906.25</v>
      </c>
      <c r="J25" s="15" t="str">
        <f>IF($A25="","",MASTER_REGISTER!N22)</f>
        <v>Part Paid</v>
      </c>
    </row>
    <row r="26" spans="1:10" x14ac:dyDescent="0.3">
      <c r="A26" s="15" t="str">
        <f>IF(MASTER_REGISTER!E23="","",MASTER_REGISTER!E23)</f>
        <v>MSH202609010</v>
      </c>
      <c r="B26" s="15" t="str">
        <f>IF($A26="","",MASTER_REGISTER!F23)</f>
        <v>Karabo Mokgadi</v>
      </c>
      <c r="C26" s="15">
        <f>IF($A26="","",MASTER_REGISTER!C23)</f>
        <v>9</v>
      </c>
      <c r="D26" s="15" t="str">
        <f>IF($A26="","",MASTER_REGISTER!H23)</f>
        <v>0782010021</v>
      </c>
      <c r="E26" s="15" t="str">
        <f>IF($A26="","",MASTER_REGISTER!G23)</f>
        <v>karabo.mokgadi.demo9010@gmail.com</v>
      </c>
      <c r="F26" s="15" t="str">
        <f>IF($A26="","",MASTER_REGISTER!I23)</f>
        <v>Senior Phase Support Package</v>
      </c>
      <c r="G26" s="16">
        <f>IF($A26="","",MASTER_REGISTER!J23)</f>
        <v>3400</v>
      </c>
      <c r="H26" s="16">
        <f>IF($A26="","",MASTER_REGISTER!L23)</f>
        <v>1393.09</v>
      </c>
      <c r="I26" s="16">
        <f>IF($A26="","",MASTER_REGISTER!M23)</f>
        <v>2006.91</v>
      </c>
      <c r="J26" s="15" t="str">
        <f>IF($A26="","",MASTER_REGISTER!N23)</f>
        <v>Part Paid</v>
      </c>
    </row>
    <row r="27" spans="1:10" x14ac:dyDescent="0.3">
      <c r="A27" s="15" t="str">
        <f>IF(MASTER_REGISTER!E24="","",MASTER_REGISTER!E24)</f>
        <v>MSH202609011</v>
      </c>
      <c r="B27" s="15" t="str">
        <f>IF($A27="","",MASTER_REGISTER!F24)</f>
        <v>Sifiso Mahlangu</v>
      </c>
      <c r="C27" s="15">
        <f>IF($A27="","",MASTER_REGISTER!C24)</f>
        <v>9</v>
      </c>
      <c r="D27" s="15" t="str">
        <f>IF($A27="","",MASTER_REGISTER!H24)</f>
        <v>0782010022</v>
      </c>
      <c r="E27" s="15" t="str">
        <f>IF($A27="","",MASTER_REGISTER!G24)</f>
        <v>sifiso.mahlangu.demo9011@gmail.com</v>
      </c>
      <c r="F27" s="15" t="str">
        <f>IF($A27="","",MASTER_REGISTER!I24)</f>
        <v>Senior Phase Support Package</v>
      </c>
      <c r="G27" s="16">
        <f>IF($A27="","",MASTER_REGISTER!J24)</f>
        <v>2400</v>
      </c>
      <c r="H27" s="16">
        <f>IF($A27="","",MASTER_REGISTER!L24)</f>
        <v>1608.0899999999997</v>
      </c>
      <c r="I27" s="16">
        <f>IF($A27="","",MASTER_REGISTER!M24)</f>
        <v>791.91000000000031</v>
      </c>
      <c r="J27" s="15" t="str">
        <f>IF($A27="","",MASTER_REGISTER!N24)</f>
        <v>Part Paid</v>
      </c>
    </row>
    <row r="28" spans="1:10" x14ac:dyDescent="0.3">
      <c r="A28" s="15" t="str">
        <f>IF(MASTER_REGISTER!E25="","",MASTER_REGISTER!E25)</f>
        <v>MSH202609012</v>
      </c>
      <c r="B28" s="15" t="str">
        <f>IF($A28="","",MASTER_REGISTER!F25)</f>
        <v>Kgothatso Radebe</v>
      </c>
      <c r="C28" s="15">
        <f>IF($A28="","",MASTER_REGISTER!C25)</f>
        <v>9</v>
      </c>
      <c r="D28" s="15" t="str">
        <f>IF($A28="","",MASTER_REGISTER!H25)</f>
        <v>0782010023</v>
      </c>
      <c r="E28" s="15" t="str">
        <f>IF($A28="","",MASTER_REGISTER!G25)</f>
        <v>kgothatso.radebe.demo9012@gmail.com</v>
      </c>
      <c r="F28" s="15" t="str">
        <f>IF($A28="","",MASTER_REGISTER!I25)</f>
        <v>Senior Phase Support Package</v>
      </c>
      <c r="G28" s="16">
        <f>IF($A28="","",MASTER_REGISTER!J25)</f>
        <v>2400</v>
      </c>
      <c r="H28" s="16">
        <f>IF($A28="","",MASTER_REGISTER!L25)</f>
        <v>1423.57</v>
      </c>
      <c r="I28" s="16">
        <f>IF($A28="","",MASTER_REGISTER!M25)</f>
        <v>976.43000000000006</v>
      </c>
      <c r="J28" s="15" t="str">
        <f>IF($A28="","",MASTER_REGISTER!N25)</f>
        <v>Part Paid</v>
      </c>
    </row>
    <row r="29" spans="1:10" x14ac:dyDescent="0.3">
      <c r="A29" s="15" t="str">
        <f>IF(MASTER_REGISTER!E26="","",MASTER_REGISTER!E26)</f>
        <v>MSH202610001</v>
      </c>
      <c r="B29" s="15" t="str">
        <f>IF($A29="","",MASTER_REGISTER!F26)</f>
        <v>Lerato Maseko</v>
      </c>
      <c r="C29" s="15">
        <f>IF($A29="","",MASTER_REGISTER!C26)</f>
        <v>10</v>
      </c>
      <c r="D29" s="15" t="str">
        <f>IF($A29="","",MASTER_REGISTER!H26)</f>
        <v>0782010024</v>
      </c>
      <c r="E29" s="15" t="str">
        <f>IF($A29="","",MASTER_REGISTER!G26)</f>
        <v>lerato.maseko.demo10001@gmail.com</v>
      </c>
      <c r="F29" s="15" t="str">
        <f>IF($A29="","",MASTER_REGISTER!I26)</f>
        <v>Commerce Package</v>
      </c>
      <c r="G29" s="16">
        <f>IF($A29="","",MASTER_REGISTER!J26)</f>
        <v>3200</v>
      </c>
      <c r="H29" s="16">
        <f>IF($A29="","",MASTER_REGISTER!L26)</f>
        <v>2713.25</v>
      </c>
      <c r="I29" s="16">
        <f>IF($A29="","",MASTER_REGISTER!M26)</f>
        <v>486.75</v>
      </c>
      <c r="J29" s="15" t="str">
        <f>IF($A29="","",MASTER_REGISTER!N26)</f>
        <v>Part Paid</v>
      </c>
    </row>
    <row r="30" spans="1:10" x14ac:dyDescent="0.3">
      <c r="A30" s="15" t="str">
        <f>IF(MASTER_REGISTER!E27="","",MASTER_REGISTER!E27)</f>
        <v>MSH202610002</v>
      </c>
      <c r="B30" s="15" t="str">
        <f>IF($A30="","",MASTER_REGISTER!F27)</f>
        <v>Sibusiso Molefe</v>
      </c>
      <c r="C30" s="15">
        <f>IF($A30="","",MASTER_REGISTER!C27)</f>
        <v>10</v>
      </c>
      <c r="D30" s="15" t="str">
        <f>IF($A30="","",MASTER_REGISTER!H27)</f>
        <v>0782010025</v>
      </c>
      <c r="E30" s="15" t="str">
        <f>IF($A30="","",MASTER_REGISTER!G27)</f>
        <v>sibusiso.molefe.demo10002@gmail.com</v>
      </c>
      <c r="F30" s="15" t="str">
        <f>IF($A30="","",MASTER_REGISTER!I27)</f>
        <v>STEM Package</v>
      </c>
      <c r="G30" s="16">
        <f>IF($A30="","",MASTER_REGISTER!J27)</f>
        <v>3200</v>
      </c>
      <c r="H30" s="16">
        <f>IF($A30="","",MASTER_REGISTER!L27)</f>
        <v>1177.51</v>
      </c>
      <c r="I30" s="16">
        <f>IF($A30="","",MASTER_REGISTER!M27)</f>
        <v>2022.49</v>
      </c>
      <c r="J30" s="15" t="str">
        <f>IF($A30="","",MASTER_REGISTER!N27)</f>
        <v>Part Paid</v>
      </c>
    </row>
    <row r="31" spans="1:10" x14ac:dyDescent="0.3">
      <c r="A31" s="15" t="str">
        <f>IF(MASTER_REGISTER!E28="","",MASTER_REGISTER!E28)</f>
        <v>MSH202610003</v>
      </c>
      <c r="B31" s="15" t="str">
        <f>IF($A31="","",MASTER_REGISTER!F28)</f>
        <v>Nandi Molefe</v>
      </c>
      <c r="C31" s="15">
        <f>IF($A31="","",MASTER_REGISTER!C28)</f>
        <v>10</v>
      </c>
      <c r="D31" s="15" t="str">
        <f>IF($A31="","",MASTER_REGISTER!H28)</f>
        <v>0782010026</v>
      </c>
      <c r="E31" s="15" t="str">
        <f>IF($A31="","",MASTER_REGISTER!G28)</f>
        <v>nandi.molefe.demo10003@gmail.com</v>
      </c>
      <c r="F31" s="15" t="str">
        <f>IF($A31="","",MASTER_REGISTER!I28)</f>
        <v>General Support Package</v>
      </c>
      <c r="G31" s="16">
        <f>IF($A31="","",MASTER_REGISTER!J28)</f>
        <v>1900</v>
      </c>
      <c r="H31" s="16">
        <f>IF($A31="","",MASTER_REGISTER!L28)</f>
        <v>1358.6999999999998</v>
      </c>
      <c r="I31" s="16">
        <f>IF($A31="","",MASTER_REGISTER!M28)</f>
        <v>541.30000000000018</v>
      </c>
      <c r="J31" s="15" t="str">
        <f>IF($A31="","",MASTER_REGISTER!N28)</f>
        <v>Part Paid</v>
      </c>
    </row>
    <row r="32" spans="1:10" x14ac:dyDescent="0.3">
      <c r="A32" s="15" t="str">
        <f>IF(MASTER_REGISTER!E29="","",MASTER_REGISTER!E29)</f>
        <v>MSH202610004</v>
      </c>
      <c r="B32" s="15" t="str">
        <f>IF($A32="","",MASTER_REGISTER!F29)</f>
        <v>Kgothatso Baloyi</v>
      </c>
      <c r="C32" s="15">
        <f>IF($A32="","",MASTER_REGISTER!C29)</f>
        <v>10</v>
      </c>
      <c r="D32" s="15" t="str">
        <f>IF($A32="","",MASTER_REGISTER!H29)</f>
        <v>0782010027</v>
      </c>
      <c r="E32" s="15" t="str">
        <f>IF($A32="","",MASTER_REGISTER!G29)</f>
        <v>kgothatso.baloyi.demo10004@gmail.com</v>
      </c>
      <c r="F32" s="15" t="str">
        <f>IF($A32="","",MASTER_REGISTER!I29)</f>
        <v>General Support Package</v>
      </c>
      <c r="G32" s="16">
        <f>IF($A32="","",MASTER_REGISTER!J29)</f>
        <v>1900</v>
      </c>
      <c r="H32" s="16">
        <f>IF($A32="","",MASTER_REGISTER!L29)</f>
        <v>1169.75</v>
      </c>
      <c r="I32" s="16">
        <f>IF($A32="","",MASTER_REGISTER!M29)</f>
        <v>730.25</v>
      </c>
      <c r="J32" s="15" t="str">
        <f>IF($A32="","",MASTER_REGISTER!N29)</f>
        <v>Part Paid</v>
      </c>
    </row>
    <row r="33" spans="1:10" x14ac:dyDescent="0.3">
      <c r="A33" s="15" t="str">
        <f>IF(MASTER_REGISTER!E30="","",MASTER_REGISTER!E30)</f>
        <v>MSH202610005</v>
      </c>
      <c r="B33" s="15" t="str">
        <f>IF($A33="","",MASTER_REGISTER!F30)</f>
        <v>Ayanda Mokoena</v>
      </c>
      <c r="C33" s="15">
        <f>IF($A33="","",MASTER_REGISTER!C30)</f>
        <v>10</v>
      </c>
      <c r="D33" s="15" t="str">
        <f>IF($A33="","",MASTER_REGISTER!H30)</f>
        <v>0782010028</v>
      </c>
      <c r="E33" s="15" t="str">
        <f>IF($A33="","",MASTER_REGISTER!G30)</f>
        <v>ayanda.mokoena.demo10005@gmail.com</v>
      </c>
      <c r="F33" s="15" t="str">
        <f>IF($A33="","",MASTER_REGISTER!I30)</f>
        <v>Commerce Package</v>
      </c>
      <c r="G33" s="16">
        <f>IF($A33="","",MASTER_REGISTER!J30)</f>
        <v>3200</v>
      </c>
      <c r="H33" s="16">
        <f>IF($A33="","",MASTER_REGISTER!L30)</f>
        <v>2380.29</v>
      </c>
      <c r="I33" s="16">
        <f>IF($A33="","",MASTER_REGISTER!M30)</f>
        <v>819.71</v>
      </c>
      <c r="J33" s="15" t="str">
        <f>IF($A33="","",MASTER_REGISTER!N30)</f>
        <v>Part Paid</v>
      </c>
    </row>
    <row r="34" spans="1:10" x14ac:dyDescent="0.3">
      <c r="A34" s="15" t="str">
        <f>IF(MASTER_REGISTER!E31="","",MASTER_REGISTER!E31)</f>
        <v>MSH202610006</v>
      </c>
      <c r="B34" s="15" t="str">
        <f>IF($A34="","",MASTER_REGISTER!F31)</f>
        <v>Lwazi Baloyi</v>
      </c>
      <c r="C34" s="15">
        <f>IF($A34="","",MASTER_REGISTER!C31)</f>
        <v>10</v>
      </c>
      <c r="D34" s="15" t="str">
        <f>IF($A34="","",MASTER_REGISTER!H31)</f>
        <v>0782010029</v>
      </c>
      <c r="E34" s="15" t="str">
        <f>IF($A34="","",MASTER_REGISTER!G31)</f>
        <v>lwazi.baloyi.demo10006@gmail.com</v>
      </c>
      <c r="F34" s="15" t="str">
        <f>IF($A34="","",MASTER_REGISTER!I31)</f>
        <v>General Support Package</v>
      </c>
      <c r="G34" s="16">
        <f>IF($A34="","",MASTER_REGISTER!J31)</f>
        <v>1900</v>
      </c>
      <c r="H34" s="16">
        <f>IF($A34="","",MASTER_REGISTER!L31)</f>
        <v>760.56</v>
      </c>
      <c r="I34" s="16">
        <f>IF($A34="","",MASTER_REGISTER!M31)</f>
        <v>1139.44</v>
      </c>
      <c r="J34" s="15" t="str">
        <f>IF($A34="","",MASTER_REGISTER!N31)</f>
        <v>Part Paid</v>
      </c>
    </row>
    <row r="35" spans="1:10" x14ac:dyDescent="0.3">
      <c r="A35" s="15" t="str">
        <f>IF(MASTER_REGISTER!E32="","",MASTER_REGISTER!E32)</f>
        <v>MSH202610007</v>
      </c>
      <c r="B35" s="15" t="str">
        <f>IF($A35="","",MASTER_REGISTER!F32)</f>
        <v>Siyanda Mokoena</v>
      </c>
      <c r="C35" s="15">
        <f>IF($A35="","",MASTER_REGISTER!C32)</f>
        <v>10</v>
      </c>
      <c r="D35" s="15" t="str">
        <f>IF($A35="","",MASTER_REGISTER!H32)</f>
        <v>0782010030</v>
      </c>
      <c r="E35" s="15" t="str">
        <f>IF($A35="","",MASTER_REGISTER!G32)</f>
        <v>siyanda.mokoena.demo10007@gmail.com</v>
      </c>
      <c r="F35" s="15" t="str">
        <f>IF($A35="","",MASTER_REGISTER!I32)</f>
        <v>STEM Package</v>
      </c>
      <c r="G35" s="16">
        <f>IF($A35="","",MASTER_REGISTER!J32)</f>
        <v>3200</v>
      </c>
      <c r="H35" s="16">
        <f>IF($A35="","",MASTER_REGISTER!L32)</f>
        <v>1895.0200000000002</v>
      </c>
      <c r="I35" s="16">
        <f>IF($A35="","",MASTER_REGISTER!M32)</f>
        <v>1304.9799999999998</v>
      </c>
      <c r="J35" s="15" t="str">
        <f>IF($A35="","",MASTER_REGISTER!N32)</f>
        <v>Part Paid</v>
      </c>
    </row>
    <row r="36" spans="1:10" x14ac:dyDescent="0.3">
      <c r="A36" s="15" t="str">
        <f>IF(MASTER_REGISTER!E33="","",MASTER_REGISTER!E33)</f>
        <v>MSH202610008</v>
      </c>
      <c r="B36" s="15" t="str">
        <f>IF($A36="","",MASTER_REGISTER!F33)</f>
        <v>Mpho Ngobeni</v>
      </c>
      <c r="C36" s="15">
        <f>IF($A36="","",MASTER_REGISTER!C33)</f>
        <v>10</v>
      </c>
      <c r="D36" s="15" t="str">
        <f>IF($A36="","",MASTER_REGISTER!H33)</f>
        <v>0782010031</v>
      </c>
      <c r="E36" s="15" t="str">
        <f>IF($A36="","",MASTER_REGISTER!G33)</f>
        <v>mpho.ngobeni.demo10008@gmail.com</v>
      </c>
      <c r="F36" s="15" t="str">
        <f>IF($A36="","",MASTER_REGISTER!I33)</f>
        <v>STEM Package</v>
      </c>
      <c r="G36" s="16">
        <f>IF($A36="","",MASTER_REGISTER!J33)</f>
        <v>3200</v>
      </c>
      <c r="H36" s="16">
        <f>IF($A36="","",MASTER_REGISTER!L33)</f>
        <v>2218.44</v>
      </c>
      <c r="I36" s="16">
        <f>IF($A36="","",MASTER_REGISTER!M33)</f>
        <v>981.56</v>
      </c>
      <c r="J36" s="15" t="str">
        <f>IF($A36="","",MASTER_REGISTER!N33)</f>
        <v>Part Paid</v>
      </c>
    </row>
    <row r="37" spans="1:10" x14ac:dyDescent="0.3">
      <c r="A37" s="15" t="str">
        <f>IF(MASTER_REGISTER!E34="","",MASTER_REGISTER!E34)</f>
        <v>MSH202610009</v>
      </c>
      <c r="B37" s="15" t="str">
        <f>IF($A37="","",MASTER_REGISTER!F34)</f>
        <v>Naledi Makhubela</v>
      </c>
      <c r="C37" s="15">
        <f>IF($A37="","",MASTER_REGISTER!C34)</f>
        <v>10</v>
      </c>
      <c r="D37" s="15" t="str">
        <f>IF($A37="","",MASTER_REGISTER!H34)</f>
        <v>0782010032</v>
      </c>
      <c r="E37" s="15" t="str">
        <f>IF($A37="","",MASTER_REGISTER!G34)</f>
        <v>naledi.makhubela.demo10009@gmail.com</v>
      </c>
      <c r="F37" s="15" t="str">
        <f>IF($A37="","",MASTER_REGISTER!I34)</f>
        <v>General Support Package</v>
      </c>
      <c r="G37" s="16">
        <f>IF($A37="","",MASTER_REGISTER!J34)</f>
        <v>1900</v>
      </c>
      <c r="H37" s="16">
        <f>IF($A37="","",MASTER_REGISTER!L34)</f>
        <v>1705.6400000000003</v>
      </c>
      <c r="I37" s="16">
        <f>IF($A37="","",MASTER_REGISTER!M34)</f>
        <v>194.35999999999967</v>
      </c>
      <c r="J37" s="15" t="str">
        <f>IF($A37="","",MASTER_REGISTER!N34)</f>
        <v>Part Paid</v>
      </c>
    </row>
    <row r="38" spans="1:10" x14ac:dyDescent="0.3">
      <c r="A38" s="15" t="str">
        <f>IF(MASTER_REGISTER!E35="","",MASTER_REGISTER!E35)</f>
        <v>MSH202610010</v>
      </c>
      <c r="B38" s="15" t="str">
        <f>IF($A38="","",MASTER_REGISTER!F35)</f>
        <v>Kgothatso Mokoena</v>
      </c>
      <c r="C38" s="15">
        <f>IF($A38="","",MASTER_REGISTER!C35)</f>
        <v>10</v>
      </c>
      <c r="D38" s="15" t="str">
        <f>IF($A38="","",MASTER_REGISTER!H35)</f>
        <v>0782010033</v>
      </c>
      <c r="E38" s="15" t="str">
        <f>IF($A38="","",MASTER_REGISTER!G35)</f>
        <v>kgothatso.mokoena.demo10010@gmail.com</v>
      </c>
      <c r="F38" s="15" t="str">
        <f>IF($A38="","",MASTER_REGISTER!I35)</f>
        <v>General Support Package</v>
      </c>
      <c r="G38" s="16">
        <f>IF($A38="","",MASTER_REGISTER!J35)</f>
        <v>1900</v>
      </c>
      <c r="H38" s="16">
        <f>IF($A38="","",MASTER_REGISTER!L35)</f>
        <v>1580.78</v>
      </c>
      <c r="I38" s="16">
        <f>IF($A38="","",MASTER_REGISTER!M35)</f>
        <v>319.22000000000003</v>
      </c>
      <c r="J38" s="15" t="str">
        <f>IF($A38="","",MASTER_REGISTER!N35)</f>
        <v>Part Paid</v>
      </c>
    </row>
    <row r="39" spans="1:10" x14ac:dyDescent="0.3">
      <c r="A39" s="15" t="str">
        <f>IF(MASTER_REGISTER!E36="","",MASTER_REGISTER!E36)</f>
        <v>MSH202610011</v>
      </c>
      <c r="B39" s="15" t="str">
        <f>IF($A39="","",MASTER_REGISTER!F36)</f>
        <v>Bongani Makhubela</v>
      </c>
      <c r="C39" s="15">
        <f>IF($A39="","",MASTER_REGISTER!C36)</f>
        <v>10</v>
      </c>
      <c r="D39" s="15" t="str">
        <f>IF($A39="","",MASTER_REGISTER!H36)</f>
        <v>0782010034</v>
      </c>
      <c r="E39" s="15" t="str">
        <f>IF($A39="","",MASTER_REGISTER!G36)</f>
        <v>bongani.makhubela.demo10011@gmail.com</v>
      </c>
      <c r="F39" s="15" t="str">
        <f>IF($A39="","",MASTER_REGISTER!I36)</f>
        <v>Commerce Package</v>
      </c>
      <c r="G39" s="16">
        <f>IF($A39="","",MASTER_REGISTER!J36)</f>
        <v>3200</v>
      </c>
      <c r="H39" s="16">
        <f>IF($A39="","",MASTER_REGISTER!L36)</f>
        <v>3045.36</v>
      </c>
      <c r="I39" s="16">
        <f>IF($A39="","",MASTER_REGISTER!M36)</f>
        <v>154.63999999999987</v>
      </c>
      <c r="J39" s="15" t="str">
        <f>IF($A39="","",MASTER_REGISTER!N36)</f>
        <v>Part Paid</v>
      </c>
    </row>
    <row r="40" spans="1:10" x14ac:dyDescent="0.3">
      <c r="A40" s="15" t="str">
        <f>IF(MASTER_REGISTER!E37="","",MASTER_REGISTER!E37)</f>
        <v>MSH202610012</v>
      </c>
      <c r="B40" s="15" t="str">
        <f>IF($A40="","",MASTER_REGISTER!F37)</f>
        <v>Kagiso Kekana</v>
      </c>
      <c r="C40" s="15">
        <f>IF($A40="","",MASTER_REGISTER!C37)</f>
        <v>10</v>
      </c>
      <c r="D40" s="15" t="str">
        <f>IF($A40="","",MASTER_REGISTER!H37)</f>
        <v>0782010035</v>
      </c>
      <c r="E40" s="15" t="str">
        <f>IF($A40="","",MASTER_REGISTER!G37)</f>
        <v>kagiso.kekana.demo10012@gmail.com</v>
      </c>
      <c r="F40" s="15" t="str">
        <f>IF($A40="","",MASTER_REGISTER!I37)</f>
        <v>General Support Package</v>
      </c>
      <c r="G40" s="16">
        <f>IF($A40="","",MASTER_REGISTER!J37)</f>
        <v>1900</v>
      </c>
      <c r="H40" s="16">
        <f>IF($A40="","",MASTER_REGISTER!L37)</f>
        <v>872.2</v>
      </c>
      <c r="I40" s="16">
        <f>IF($A40="","",MASTER_REGISTER!M37)</f>
        <v>1027.8</v>
      </c>
      <c r="J40" s="15" t="str">
        <f>IF($A40="","",MASTER_REGISTER!N37)</f>
        <v>Part Paid</v>
      </c>
    </row>
    <row r="41" spans="1:10" x14ac:dyDescent="0.3">
      <c r="A41" s="15" t="str">
        <f>IF(MASTER_REGISTER!E38="","",MASTER_REGISTER!E38)</f>
        <v>MSH202611001</v>
      </c>
      <c r="B41" s="15" t="str">
        <f>IF($A41="","",MASTER_REGISTER!F38)</f>
        <v>Lwazi Makhubela</v>
      </c>
      <c r="C41" s="15">
        <f>IF($A41="","",MASTER_REGISTER!C38)</f>
        <v>11</v>
      </c>
      <c r="D41" s="15" t="str">
        <f>IF($A41="","",MASTER_REGISTER!H38)</f>
        <v>0782010036</v>
      </c>
      <c r="E41" s="15" t="str">
        <f>IF($A41="","",MASTER_REGISTER!G38)</f>
        <v>lwazi.makhubela.demo11001@gmail.com</v>
      </c>
      <c r="F41" s="15" t="str">
        <f>IF($A41="","",MASTER_REGISTER!I38)</f>
        <v>General Support Package</v>
      </c>
      <c r="G41" s="16">
        <f>IF($A41="","",MASTER_REGISTER!J38)</f>
        <v>1900</v>
      </c>
      <c r="H41" s="16">
        <f>IF($A41="","",MASTER_REGISTER!L38)</f>
        <v>687.73</v>
      </c>
      <c r="I41" s="16">
        <f>IF($A41="","",MASTER_REGISTER!M38)</f>
        <v>1212.27</v>
      </c>
      <c r="J41" s="15" t="str">
        <f>IF($A41="","",MASTER_REGISTER!N38)</f>
        <v>Part Paid</v>
      </c>
    </row>
    <row r="42" spans="1:10" x14ac:dyDescent="0.3">
      <c r="A42" s="15" t="str">
        <f>IF(MASTER_REGISTER!E39="","",MASTER_REGISTER!E39)</f>
        <v>MSH202611002</v>
      </c>
      <c r="B42" s="15" t="str">
        <f>IF($A42="","",MASTER_REGISTER!F39)</f>
        <v>Lebogang Ramushu</v>
      </c>
      <c r="C42" s="15">
        <f>IF($A42="","",MASTER_REGISTER!C39)</f>
        <v>11</v>
      </c>
      <c r="D42" s="15" t="str">
        <f>IF($A42="","",MASTER_REGISTER!H39)</f>
        <v>0782010037</v>
      </c>
      <c r="E42" s="15" t="str">
        <f>IF($A42="","",MASTER_REGISTER!G39)</f>
        <v>lebogang.ramushu.demo11002@gmail.com</v>
      </c>
      <c r="F42" s="15" t="str">
        <f>IF($A42="","",MASTER_REGISTER!I39)</f>
        <v>Commerce Package</v>
      </c>
      <c r="G42" s="16">
        <f>IF($A42="","",MASTER_REGISTER!J39)</f>
        <v>3200</v>
      </c>
      <c r="H42" s="16">
        <f>IF($A42="","",MASTER_REGISTER!L39)</f>
        <v>2144.06</v>
      </c>
      <c r="I42" s="16">
        <f>IF($A42="","",MASTER_REGISTER!M39)</f>
        <v>1055.94</v>
      </c>
      <c r="J42" s="15" t="str">
        <f>IF($A42="","",MASTER_REGISTER!N39)</f>
        <v>Part Paid</v>
      </c>
    </row>
    <row r="43" spans="1:10" x14ac:dyDescent="0.3">
      <c r="A43" s="15" t="str">
        <f>IF(MASTER_REGISTER!E40="","",MASTER_REGISTER!E40)</f>
        <v>MSH202611003</v>
      </c>
      <c r="B43" s="15" t="str">
        <f>IF($A43="","",MASTER_REGISTER!F40)</f>
        <v>Lerato Kekana</v>
      </c>
      <c r="C43" s="15">
        <f>IF($A43="","",MASTER_REGISTER!C40)</f>
        <v>11</v>
      </c>
      <c r="D43" s="15" t="str">
        <f>IF($A43="","",MASTER_REGISTER!H40)</f>
        <v>0782010038</v>
      </c>
      <c r="E43" s="15" t="str">
        <f>IF($A43="","",MASTER_REGISTER!G40)</f>
        <v>lerato.kekana.demo11003@gmail.com</v>
      </c>
      <c r="F43" s="15" t="str">
        <f>IF($A43="","",MASTER_REGISTER!I40)</f>
        <v>General Support Package</v>
      </c>
      <c r="G43" s="16">
        <f>IF($A43="","",MASTER_REGISTER!J40)</f>
        <v>1900</v>
      </c>
      <c r="H43" s="16">
        <f>IF($A43="","",MASTER_REGISTER!L40)</f>
        <v>762.22</v>
      </c>
      <c r="I43" s="16">
        <f>IF($A43="","",MASTER_REGISTER!M40)</f>
        <v>1137.78</v>
      </c>
      <c r="J43" s="15" t="str">
        <f>IF($A43="","",MASTER_REGISTER!N40)</f>
        <v>Part Paid</v>
      </c>
    </row>
    <row r="44" spans="1:10" x14ac:dyDescent="0.3">
      <c r="A44" s="15" t="str">
        <f>IF(MASTER_REGISTER!E41="","",MASTER_REGISTER!E41)</f>
        <v>MSH202611004</v>
      </c>
      <c r="B44" s="15" t="str">
        <f>IF($A44="","",MASTER_REGISTER!F41)</f>
        <v>Bongani Ndlovu</v>
      </c>
      <c r="C44" s="15">
        <f>IF($A44="","",MASTER_REGISTER!C41)</f>
        <v>11</v>
      </c>
      <c r="D44" s="15" t="str">
        <f>IF($A44="","",MASTER_REGISTER!H41)</f>
        <v>0782010039</v>
      </c>
      <c r="E44" s="15" t="str">
        <f>IF($A44="","",MASTER_REGISTER!G41)</f>
        <v>bongani.ndlovu.demo11004@gmail.com</v>
      </c>
      <c r="F44" s="15" t="str">
        <f>IF($A44="","",MASTER_REGISTER!I41)</f>
        <v>STEM Package</v>
      </c>
      <c r="G44" s="16">
        <f>IF($A44="","",MASTER_REGISTER!J41)</f>
        <v>3200</v>
      </c>
      <c r="H44" s="16">
        <f>IF($A44="","",MASTER_REGISTER!L41)</f>
        <v>1702.1499999999999</v>
      </c>
      <c r="I44" s="16">
        <f>IF($A44="","",MASTER_REGISTER!M41)</f>
        <v>1497.8500000000001</v>
      </c>
      <c r="J44" s="15" t="str">
        <f>IF($A44="","",MASTER_REGISTER!N41)</f>
        <v>Part Paid</v>
      </c>
    </row>
    <row r="45" spans="1:10" x14ac:dyDescent="0.3">
      <c r="A45" s="15" t="str">
        <f>IF(MASTER_REGISTER!E42="","",MASTER_REGISTER!E42)</f>
        <v>MSH202611005</v>
      </c>
      <c r="B45" s="15" t="str">
        <f>IF($A45="","",MASTER_REGISTER!F42)</f>
        <v>Sifiso Dlamini</v>
      </c>
      <c r="C45" s="15">
        <f>IF($A45="","",MASTER_REGISTER!C42)</f>
        <v>11</v>
      </c>
      <c r="D45" s="15" t="str">
        <f>IF($A45="","",MASTER_REGISTER!H42)</f>
        <v>0782010040</v>
      </c>
      <c r="E45" s="15" t="str">
        <f>IF($A45="","",MASTER_REGISTER!G42)</f>
        <v>sifiso.dlamini.demo11005@gmail.com</v>
      </c>
      <c r="F45" s="15" t="str">
        <f>IF($A45="","",MASTER_REGISTER!I42)</f>
        <v>STEM Package</v>
      </c>
      <c r="G45" s="16">
        <f>IF($A45="","",MASTER_REGISTER!J42)</f>
        <v>3200</v>
      </c>
      <c r="H45" s="16">
        <f>IF($A45="","",MASTER_REGISTER!L42)</f>
        <v>2361.92</v>
      </c>
      <c r="I45" s="16">
        <f>IF($A45="","",MASTER_REGISTER!M42)</f>
        <v>838.07999999999993</v>
      </c>
      <c r="J45" s="15" t="str">
        <f>IF($A45="","",MASTER_REGISTER!N42)</f>
        <v>Part Paid</v>
      </c>
    </row>
    <row r="46" spans="1:10" x14ac:dyDescent="0.3">
      <c r="A46" s="15" t="str">
        <f>IF(MASTER_REGISTER!E43="","",MASTER_REGISTER!E43)</f>
        <v>MSH202611006</v>
      </c>
      <c r="B46" s="15" t="str">
        <f>IF($A46="","",MASTER_REGISTER!F43)</f>
        <v>Refilwe Dlamini</v>
      </c>
      <c r="C46" s="15">
        <f>IF($A46="","",MASTER_REGISTER!C43)</f>
        <v>11</v>
      </c>
      <c r="D46" s="15" t="str">
        <f>IF($A46="","",MASTER_REGISTER!H43)</f>
        <v>0782010041</v>
      </c>
      <c r="E46" s="15" t="str">
        <f>IF($A46="","",MASTER_REGISTER!G43)</f>
        <v>refilwe.dlamini.demo11006@gmail.com</v>
      </c>
      <c r="F46" s="15" t="str">
        <f>IF($A46="","",MASTER_REGISTER!I43)</f>
        <v>General Support Package</v>
      </c>
      <c r="G46" s="16">
        <f>IF($A46="","",MASTER_REGISTER!J43)</f>
        <v>1900</v>
      </c>
      <c r="H46" s="16">
        <f>IF($A46="","",MASTER_REGISTER!L43)</f>
        <v>920.12</v>
      </c>
      <c r="I46" s="16">
        <f>IF($A46="","",MASTER_REGISTER!M43)</f>
        <v>979.88</v>
      </c>
      <c r="J46" s="15" t="str">
        <f>IF($A46="","",MASTER_REGISTER!N43)</f>
        <v>Part Paid</v>
      </c>
    </row>
    <row r="47" spans="1:10" x14ac:dyDescent="0.3">
      <c r="A47" s="15" t="str">
        <f>IF(MASTER_REGISTER!E44="","",MASTER_REGISTER!E44)</f>
        <v>MSH202611007</v>
      </c>
      <c r="B47" s="15" t="str">
        <f>IF($A47="","",MASTER_REGISTER!F44)</f>
        <v>Lwazi Maseko</v>
      </c>
      <c r="C47" s="15">
        <f>IF($A47="","",MASTER_REGISTER!C44)</f>
        <v>11</v>
      </c>
      <c r="D47" s="15" t="str">
        <f>IF($A47="","",MASTER_REGISTER!H44)</f>
        <v>0782010042</v>
      </c>
      <c r="E47" s="15" t="str">
        <f>IF($A47="","",MASTER_REGISTER!G44)</f>
        <v>lwazi.maseko.demo11007@gmail.com</v>
      </c>
      <c r="F47" s="15" t="str">
        <f>IF($A47="","",MASTER_REGISTER!I44)</f>
        <v>STEM Package</v>
      </c>
      <c r="G47" s="16">
        <f>IF($A47="","",MASTER_REGISTER!J44)</f>
        <v>3200</v>
      </c>
      <c r="H47" s="16">
        <f>IF($A47="","",MASTER_REGISTER!L44)</f>
        <v>3000.55</v>
      </c>
      <c r="I47" s="16">
        <f>IF($A47="","",MASTER_REGISTER!M44)</f>
        <v>199.44999999999982</v>
      </c>
      <c r="J47" s="15" t="str">
        <f>IF($A47="","",MASTER_REGISTER!N44)</f>
        <v>Part Paid</v>
      </c>
    </row>
    <row r="48" spans="1:10" x14ac:dyDescent="0.3">
      <c r="A48" s="15" t="str">
        <f>IF(MASTER_REGISTER!E45="","",MASTER_REGISTER!E45)</f>
        <v>MSH202611008</v>
      </c>
      <c r="B48" s="15" t="str">
        <f>IF($A48="","",MASTER_REGISTER!F45)</f>
        <v>Refilwe Mokgadi</v>
      </c>
      <c r="C48" s="15">
        <f>IF($A48="","",MASTER_REGISTER!C45)</f>
        <v>11</v>
      </c>
      <c r="D48" s="15" t="str">
        <f>IF($A48="","",MASTER_REGISTER!H45)</f>
        <v>0782010043</v>
      </c>
      <c r="E48" s="15" t="str">
        <f>IF($A48="","",MASTER_REGISTER!G45)</f>
        <v>refilwe.mokgadi.demo11008@gmail.com</v>
      </c>
      <c r="F48" s="15" t="str">
        <f>IF($A48="","",MASTER_REGISTER!I45)</f>
        <v>STEM Package</v>
      </c>
      <c r="G48" s="16">
        <f>IF($A48="","",MASTER_REGISTER!J45)</f>
        <v>3200</v>
      </c>
      <c r="H48" s="16">
        <f>IF($A48="","",MASTER_REGISTER!L45)</f>
        <v>1209.4099999999999</v>
      </c>
      <c r="I48" s="16">
        <f>IF($A48="","",MASTER_REGISTER!M45)</f>
        <v>1990.5900000000001</v>
      </c>
      <c r="J48" s="15" t="str">
        <f>IF($A48="","",MASTER_REGISTER!N45)</f>
        <v>Part Paid</v>
      </c>
    </row>
    <row r="49" spans="1:10" x14ac:dyDescent="0.3">
      <c r="A49" s="15" t="str">
        <f>IF(MASTER_REGISTER!E46="","",MASTER_REGISTER!E46)</f>
        <v>MSH202611009</v>
      </c>
      <c r="B49" s="15" t="str">
        <f>IF($A49="","",MASTER_REGISTER!F46)</f>
        <v>Kgothatso Molefe</v>
      </c>
      <c r="C49" s="15">
        <f>IF($A49="","",MASTER_REGISTER!C46)</f>
        <v>11</v>
      </c>
      <c r="D49" s="15" t="str">
        <f>IF($A49="","",MASTER_REGISTER!H46)</f>
        <v>0782010044</v>
      </c>
      <c r="E49" s="15" t="str">
        <f>IF($A49="","",MASTER_REGISTER!G46)</f>
        <v>kgothatso.molefe.demo11009@gmail.com</v>
      </c>
      <c r="F49" s="15" t="str">
        <f>IF($A49="","",MASTER_REGISTER!I46)</f>
        <v>Commerce Package</v>
      </c>
      <c r="G49" s="16">
        <f>IF($A49="","",MASTER_REGISTER!J46)</f>
        <v>3200</v>
      </c>
      <c r="H49" s="16">
        <f>IF($A49="","",MASTER_REGISTER!L46)</f>
        <v>1694.02</v>
      </c>
      <c r="I49" s="16">
        <f>IF($A49="","",MASTER_REGISTER!M46)</f>
        <v>1505.98</v>
      </c>
      <c r="J49" s="15" t="str">
        <f>IF($A49="","",MASTER_REGISTER!N46)</f>
        <v>Part Paid</v>
      </c>
    </row>
    <row r="50" spans="1:10" x14ac:dyDescent="0.3">
      <c r="A50" s="15" t="str">
        <f>IF(MASTER_REGISTER!E47="","",MASTER_REGISTER!E47)</f>
        <v>MSH202611010</v>
      </c>
      <c r="B50" s="15" t="str">
        <f>IF($A50="","",MASTER_REGISTER!F47)</f>
        <v>Tshepo Mokgadi</v>
      </c>
      <c r="C50" s="15">
        <f>IF($A50="","",MASTER_REGISTER!C47)</f>
        <v>11</v>
      </c>
      <c r="D50" s="15" t="str">
        <f>IF($A50="","",MASTER_REGISTER!H47)</f>
        <v>0782010045</v>
      </c>
      <c r="E50" s="15" t="str">
        <f>IF($A50="","",MASTER_REGISTER!G47)</f>
        <v>tshepo.mokgadi.demo11010@gmail.com</v>
      </c>
      <c r="F50" s="15" t="str">
        <f>IF($A50="","",MASTER_REGISTER!I47)</f>
        <v>General Support Package</v>
      </c>
      <c r="G50" s="16">
        <f>IF($A50="","",MASTER_REGISTER!J47)</f>
        <v>1900</v>
      </c>
      <c r="H50" s="16">
        <f>IF($A50="","",MASTER_REGISTER!L47)</f>
        <v>954.24999999999989</v>
      </c>
      <c r="I50" s="16">
        <f>IF($A50="","",MASTER_REGISTER!M47)</f>
        <v>945.75000000000011</v>
      </c>
      <c r="J50" s="15" t="str">
        <f>IF($A50="","",MASTER_REGISTER!N47)</f>
        <v>Part Paid</v>
      </c>
    </row>
    <row r="51" spans="1:10" x14ac:dyDescent="0.3">
      <c r="A51" s="15" t="str">
        <f>IF(MASTER_REGISTER!E48="","",MASTER_REGISTER!E48)</f>
        <v>MSH202611011</v>
      </c>
      <c r="B51" s="15" t="str">
        <f>IF($A51="","",MASTER_REGISTER!F48)</f>
        <v>Tshepo Phiri</v>
      </c>
      <c r="C51" s="15">
        <f>IF($A51="","",MASTER_REGISTER!C48)</f>
        <v>11</v>
      </c>
      <c r="D51" s="15" t="str">
        <f>IF($A51="","",MASTER_REGISTER!H48)</f>
        <v>0782010046</v>
      </c>
      <c r="E51" s="15" t="str">
        <f>IF($A51="","",MASTER_REGISTER!G48)</f>
        <v>tshepo.phiri.demo11011@gmail.com</v>
      </c>
      <c r="F51" s="15" t="str">
        <f>IF($A51="","",MASTER_REGISTER!I48)</f>
        <v>STEM Package</v>
      </c>
      <c r="G51" s="16">
        <f>IF($A51="","",MASTER_REGISTER!J48)</f>
        <v>3200</v>
      </c>
      <c r="H51" s="16">
        <f>IF($A51="","",MASTER_REGISTER!L48)</f>
        <v>1992.0900000000001</v>
      </c>
      <c r="I51" s="16">
        <f>IF($A51="","",MASTER_REGISTER!M48)</f>
        <v>1207.9099999999999</v>
      </c>
      <c r="J51" s="15" t="str">
        <f>IF($A51="","",MASTER_REGISTER!N48)</f>
        <v>Part Paid</v>
      </c>
    </row>
    <row r="52" spans="1:10" x14ac:dyDescent="0.3">
      <c r="A52" s="15" t="str">
        <f>IF(MASTER_REGISTER!E49="","",MASTER_REGISTER!E49)</f>
        <v>MSH202611012</v>
      </c>
      <c r="B52" s="15" t="str">
        <f>IF($A52="","",MASTER_REGISTER!F49)</f>
        <v>Zanele Ngobeni</v>
      </c>
      <c r="C52" s="15">
        <f>IF($A52="","",MASTER_REGISTER!C49)</f>
        <v>11</v>
      </c>
      <c r="D52" s="15" t="str">
        <f>IF($A52="","",MASTER_REGISTER!H49)</f>
        <v>0782010047</v>
      </c>
      <c r="E52" s="15" t="str">
        <f>IF($A52="","",MASTER_REGISTER!G49)</f>
        <v>zanele.ngobeni.demo11012@gmail.com</v>
      </c>
      <c r="F52" s="15" t="str">
        <f>IF($A52="","",MASTER_REGISTER!I49)</f>
        <v>General Support Package</v>
      </c>
      <c r="G52" s="16">
        <f>IF($A52="","",MASTER_REGISTER!J49)</f>
        <v>1900</v>
      </c>
      <c r="H52" s="16">
        <f>IF($A52="","",MASTER_REGISTER!L49)</f>
        <v>1195.72</v>
      </c>
      <c r="I52" s="16">
        <f>IF($A52="","",MASTER_REGISTER!M49)</f>
        <v>704.28</v>
      </c>
      <c r="J52" s="15" t="str">
        <f>IF($A52="","",MASTER_REGISTER!N49)</f>
        <v>Part Paid</v>
      </c>
    </row>
    <row r="53" spans="1:10" x14ac:dyDescent="0.3">
      <c r="A53" s="15" t="str">
        <f>IF(MASTER_REGISTER!E50="","",MASTER_REGISTER!E50)</f>
        <v>MSH202612001</v>
      </c>
      <c r="B53" s="15" t="str">
        <f>IF($A53="","",MASTER_REGISTER!F50)</f>
        <v>Palesa Mokoena</v>
      </c>
      <c r="C53" s="15">
        <f>IF($A53="","",MASTER_REGISTER!C50)</f>
        <v>12</v>
      </c>
      <c r="D53" s="15" t="str">
        <f>IF($A53="","",MASTER_REGISTER!H50)</f>
        <v>0782010048</v>
      </c>
      <c r="E53" s="15" t="str">
        <f>IF($A53="","",MASTER_REGISTER!G50)</f>
        <v>palesa.mokoena.demo12001@gmail.com</v>
      </c>
      <c r="F53" s="15" t="str">
        <f>IF($A53="","",MASTER_REGISTER!I50)</f>
        <v>STEM Package</v>
      </c>
      <c r="G53" s="16">
        <f>IF($A53="","",MASTER_REGISTER!J50)</f>
        <v>3200</v>
      </c>
      <c r="H53" s="16">
        <f>IF($A53="","",MASTER_REGISTER!L50)</f>
        <v>2382.64</v>
      </c>
      <c r="I53" s="16">
        <f>IF($A53="","",MASTER_REGISTER!M50)</f>
        <v>817.36000000000013</v>
      </c>
      <c r="J53" s="15" t="str">
        <f>IF($A53="","",MASTER_REGISTER!N50)</f>
        <v>Part Paid</v>
      </c>
    </row>
    <row r="54" spans="1:10" x14ac:dyDescent="0.3">
      <c r="A54" s="15" t="str">
        <f>IF(MASTER_REGISTER!E51="","",MASTER_REGISTER!E51)</f>
        <v>MSH202612002</v>
      </c>
      <c r="B54" s="15" t="str">
        <f>IF($A54="","",MASTER_REGISTER!F51)</f>
        <v>Thabo Ramushu</v>
      </c>
      <c r="C54" s="15">
        <f>IF($A54="","",MASTER_REGISTER!C51)</f>
        <v>12</v>
      </c>
      <c r="D54" s="15" t="str">
        <f>IF($A54="","",MASTER_REGISTER!H51)</f>
        <v>0782010049</v>
      </c>
      <c r="E54" s="15" t="str">
        <f>IF($A54="","",MASTER_REGISTER!G51)</f>
        <v>thabo.ramushu.demo12002@gmail.com</v>
      </c>
      <c r="F54" s="15" t="str">
        <f>IF($A54="","",MASTER_REGISTER!I51)</f>
        <v>STEM Package</v>
      </c>
      <c r="G54" s="16">
        <f>IF($A54="","",MASTER_REGISTER!J51)</f>
        <v>3200</v>
      </c>
      <c r="H54" s="16">
        <f>IF($A54="","",MASTER_REGISTER!L51)</f>
        <v>1998.85</v>
      </c>
      <c r="I54" s="16">
        <f>IF($A54="","",MASTER_REGISTER!M51)</f>
        <v>1201.1500000000001</v>
      </c>
      <c r="J54" s="15" t="str">
        <f>IF($A54="","",MASTER_REGISTER!N51)</f>
        <v>Part Paid</v>
      </c>
    </row>
    <row r="55" spans="1:10" x14ac:dyDescent="0.3">
      <c r="A55" s="15" t="str">
        <f>IF(MASTER_REGISTER!E52="","",MASTER_REGISTER!E52)</f>
        <v>MSH202612003</v>
      </c>
      <c r="B55" s="15" t="str">
        <f>IF($A55="","",MASTER_REGISTER!F52)</f>
        <v>Lwazi Ndlovu</v>
      </c>
      <c r="C55" s="15">
        <f>IF($A55="","",MASTER_REGISTER!C52)</f>
        <v>12</v>
      </c>
      <c r="D55" s="15" t="str">
        <f>IF($A55="","",MASTER_REGISTER!H52)</f>
        <v>0782010050</v>
      </c>
      <c r="E55" s="15" t="str">
        <f>IF($A55="","",MASTER_REGISTER!G52)</f>
        <v>lwazi.ndlovu.demo12003@gmail.com</v>
      </c>
      <c r="F55" s="15" t="str">
        <f>IF($A55="","",MASTER_REGISTER!I52)</f>
        <v>Commerce Package</v>
      </c>
      <c r="G55" s="16">
        <f>IF($A55="","",MASTER_REGISTER!J52)</f>
        <v>3200</v>
      </c>
      <c r="H55" s="16">
        <f>IF($A55="","",MASTER_REGISTER!L52)</f>
        <v>2200.69</v>
      </c>
      <c r="I55" s="16">
        <f>IF($A55="","",MASTER_REGISTER!M52)</f>
        <v>999.31</v>
      </c>
      <c r="J55" s="15" t="str">
        <f>IF($A55="","",MASTER_REGISTER!N52)</f>
        <v>Part Paid</v>
      </c>
    </row>
    <row r="56" spans="1:10" x14ac:dyDescent="0.3">
      <c r="A56" s="15" t="str">
        <f>IF(MASTER_REGISTER!E53="","",MASTER_REGISTER!E53)</f>
        <v>MSH202612004</v>
      </c>
      <c r="B56" s="15" t="str">
        <f>IF($A56="","",MASTER_REGISTER!F53)</f>
        <v>Ayanda Dlamini</v>
      </c>
      <c r="C56" s="15">
        <f>IF($A56="","",MASTER_REGISTER!C53)</f>
        <v>12</v>
      </c>
      <c r="D56" s="15" t="str">
        <f>IF($A56="","",MASTER_REGISTER!H53)</f>
        <v>0782010051</v>
      </c>
      <c r="E56" s="15" t="str">
        <f>IF($A56="","",MASTER_REGISTER!G53)</f>
        <v>ayanda.dlamini.demo12004@gmail.com</v>
      </c>
      <c r="F56" s="15" t="str">
        <f>IF($A56="","",MASTER_REGISTER!I53)</f>
        <v>General Support Package</v>
      </c>
      <c r="G56" s="16">
        <f>IF($A56="","",MASTER_REGISTER!J53)</f>
        <v>1900</v>
      </c>
      <c r="H56" s="16">
        <f>IF($A56="","",MASTER_REGISTER!L53)</f>
        <v>1558.0600000000002</v>
      </c>
      <c r="I56" s="16">
        <f>IF($A56="","",MASTER_REGISTER!M53)</f>
        <v>341.93999999999983</v>
      </c>
      <c r="J56" s="15" t="str">
        <f>IF($A56="","",MASTER_REGISTER!N53)</f>
        <v>Part Paid</v>
      </c>
    </row>
    <row r="57" spans="1:10" x14ac:dyDescent="0.3">
      <c r="A57" s="15" t="str">
        <f>IF(MASTER_REGISTER!E54="","",MASTER_REGISTER!E54)</f>
        <v>MSH202612005</v>
      </c>
      <c r="B57" s="15" t="str">
        <f>IF($A57="","",MASTER_REGISTER!F54)</f>
        <v>Neo Ndlovu</v>
      </c>
      <c r="C57" s="15">
        <f>IF($A57="","",MASTER_REGISTER!C54)</f>
        <v>12</v>
      </c>
      <c r="D57" s="15" t="str">
        <f>IF($A57="","",MASTER_REGISTER!H54)</f>
        <v>0782010052</v>
      </c>
      <c r="E57" s="15" t="str">
        <f>IF($A57="","",MASTER_REGISTER!G54)</f>
        <v>neo.ndlovu.demo12005@gmail.com</v>
      </c>
      <c r="F57" s="15" t="str">
        <f>IF($A57="","",MASTER_REGISTER!I54)</f>
        <v>STEM Package</v>
      </c>
      <c r="G57" s="16">
        <f>IF($A57="","",MASTER_REGISTER!J54)</f>
        <v>3200</v>
      </c>
      <c r="H57" s="16">
        <f>IF($A57="","",MASTER_REGISTER!L54)</f>
        <v>1748.18</v>
      </c>
      <c r="I57" s="16">
        <f>IF($A57="","",MASTER_REGISTER!M54)</f>
        <v>1451.82</v>
      </c>
      <c r="J57" s="15" t="str">
        <f>IF($A57="","",MASTER_REGISTER!N54)</f>
        <v>Part Paid</v>
      </c>
    </row>
    <row r="58" spans="1:10" x14ac:dyDescent="0.3">
      <c r="A58" s="15" t="str">
        <f>IF(MASTER_REGISTER!E55="","",MASTER_REGISTER!E55)</f>
        <v>MSH202612006</v>
      </c>
      <c r="B58" s="15" t="str">
        <f>IF($A58="","",MASTER_REGISTER!F55)</f>
        <v>Neo Ramushu</v>
      </c>
      <c r="C58" s="15">
        <f>IF($A58="","",MASTER_REGISTER!C55)</f>
        <v>12</v>
      </c>
      <c r="D58" s="15" t="str">
        <f>IF($A58="","",MASTER_REGISTER!H55)</f>
        <v>0782010053</v>
      </c>
      <c r="E58" s="15" t="str">
        <f>IF($A58="","",MASTER_REGISTER!G55)</f>
        <v>neo.ramushu.demo12006@gmail.com</v>
      </c>
      <c r="F58" s="15" t="str">
        <f>IF($A58="","",MASTER_REGISTER!I55)</f>
        <v>STEM Package</v>
      </c>
      <c r="G58" s="16">
        <f>IF($A58="","",MASTER_REGISTER!J55)</f>
        <v>3200</v>
      </c>
      <c r="H58" s="16">
        <f>IF($A58="","",MASTER_REGISTER!L55)</f>
        <v>1903.18</v>
      </c>
      <c r="I58" s="16">
        <f>IF($A58="","",MASTER_REGISTER!M55)</f>
        <v>1296.82</v>
      </c>
      <c r="J58" s="15" t="str">
        <f>IF($A58="","",MASTER_REGISTER!N55)</f>
        <v>Part Paid</v>
      </c>
    </row>
    <row r="59" spans="1:10" x14ac:dyDescent="0.3">
      <c r="A59" s="15" t="str">
        <f>IF(MASTER_REGISTER!E56="","",MASTER_REGISTER!E56)</f>
        <v>MSH202612007</v>
      </c>
      <c r="B59" s="15" t="str">
        <f>IF($A59="","",MASTER_REGISTER!F56)</f>
        <v>Karabo Baloyi</v>
      </c>
      <c r="C59" s="15">
        <f>IF($A59="","",MASTER_REGISTER!C56)</f>
        <v>12</v>
      </c>
      <c r="D59" s="15" t="str">
        <f>IF($A59="","",MASTER_REGISTER!H56)</f>
        <v>0782010054</v>
      </c>
      <c r="E59" s="15" t="str">
        <f>IF($A59="","",MASTER_REGISTER!G56)</f>
        <v>karabo.baloyi.demo12007@gmail.com</v>
      </c>
      <c r="F59" s="15" t="str">
        <f>IF($A59="","",MASTER_REGISTER!I56)</f>
        <v>Commerce Package</v>
      </c>
      <c r="G59" s="16">
        <f>IF($A59="","",MASTER_REGISTER!J56)</f>
        <v>3200</v>
      </c>
      <c r="H59" s="16">
        <f>IF($A59="","",MASTER_REGISTER!L56)</f>
        <v>1929.59</v>
      </c>
      <c r="I59" s="16">
        <f>IF($A59="","",MASTER_REGISTER!M56)</f>
        <v>1270.4100000000001</v>
      </c>
      <c r="J59" s="15" t="str">
        <f>IF($A59="","",MASTER_REGISTER!N56)</f>
        <v>Part Paid</v>
      </c>
    </row>
    <row r="60" spans="1:10" x14ac:dyDescent="0.3">
      <c r="A60" s="15" t="str">
        <f>IF(MASTER_REGISTER!E57="","",MASTER_REGISTER!E57)</f>
        <v>MSH202612008</v>
      </c>
      <c r="B60" s="15" t="str">
        <f>IF($A60="","",MASTER_REGISTER!F57)</f>
        <v>Tshepo Mokgadi</v>
      </c>
      <c r="C60" s="15">
        <f>IF($A60="","",MASTER_REGISTER!C57)</f>
        <v>12</v>
      </c>
      <c r="D60" s="15" t="str">
        <f>IF($A60="","",MASTER_REGISTER!H57)</f>
        <v>0782010055</v>
      </c>
      <c r="E60" s="15" t="str">
        <f>IF($A60="","",MASTER_REGISTER!G57)</f>
        <v>tshepo.mokgadi.demo12008@gmail.com</v>
      </c>
      <c r="F60" s="15" t="str">
        <f>IF($A60="","",MASTER_REGISTER!I57)</f>
        <v>STEM Package</v>
      </c>
      <c r="G60" s="16">
        <f>IF($A60="","",MASTER_REGISTER!J57)</f>
        <v>3200</v>
      </c>
      <c r="H60" s="16">
        <f>IF($A60="","",MASTER_REGISTER!L57)</f>
        <v>2371.6799999999998</v>
      </c>
      <c r="I60" s="16">
        <f>IF($A60="","",MASTER_REGISTER!M57)</f>
        <v>828.32000000000016</v>
      </c>
      <c r="J60" s="15" t="str">
        <f>IF($A60="","",MASTER_REGISTER!N57)</f>
        <v>Part Paid</v>
      </c>
    </row>
    <row r="61" spans="1:10" x14ac:dyDescent="0.3">
      <c r="A61" s="15" t="str">
        <f>IF(MASTER_REGISTER!E58="","",MASTER_REGISTER!E58)</f>
        <v>MSH202612009</v>
      </c>
      <c r="B61" s="15" t="str">
        <f>IF($A61="","",MASTER_REGISTER!F58)</f>
        <v>Sifiso Mavuso</v>
      </c>
      <c r="C61" s="15">
        <f>IF($A61="","",MASTER_REGISTER!C58)</f>
        <v>12</v>
      </c>
      <c r="D61" s="15" t="str">
        <f>IF($A61="","",MASTER_REGISTER!H58)</f>
        <v>0782010056</v>
      </c>
      <c r="E61" s="15" t="str">
        <f>IF($A61="","",MASTER_REGISTER!G58)</f>
        <v>sifiso.mavuso.demo12009@gmail.com</v>
      </c>
      <c r="F61" s="15" t="str">
        <f>IF($A61="","",MASTER_REGISTER!I58)</f>
        <v>Commerce Package</v>
      </c>
      <c r="G61" s="16">
        <f>IF($A61="","",MASTER_REGISTER!J58)</f>
        <v>3200</v>
      </c>
      <c r="H61" s="16">
        <f>IF($A61="","",MASTER_REGISTER!L58)</f>
        <v>2481.0500000000002</v>
      </c>
      <c r="I61" s="16">
        <f>IF($A61="","",MASTER_REGISTER!M58)</f>
        <v>718.94999999999982</v>
      </c>
      <c r="J61" s="15" t="str">
        <f>IF($A61="","",MASTER_REGISTER!N58)</f>
        <v>Part Paid</v>
      </c>
    </row>
    <row r="62" spans="1:10" x14ac:dyDescent="0.3">
      <c r="A62" s="15" t="str">
        <f>IF(MASTER_REGISTER!E59="","",MASTER_REGISTER!E59)</f>
        <v>MSH202612010</v>
      </c>
      <c r="B62" s="15" t="str">
        <f>IF($A62="","",MASTER_REGISTER!F59)</f>
        <v>Refilwe Sithole</v>
      </c>
      <c r="C62" s="15">
        <f>IF($A62="","",MASTER_REGISTER!C59)</f>
        <v>12</v>
      </c>
      <c r="D62" s="15" t="str">
        <f>IF($A62="","",MASTER_REGISTER!H59)</f>
        <v>0782010057</v>
      </c>
      <c r="E62" s="15" t="str">
        <f>IF($A62="","",MASTER_REGISTER!G59)</f>
        <v>refilwe.sithole.demo12010@gmail.com</v>
      </c>
      <c r="F62" s="15" t="str">
        <f>IF($A62="","",MASTER_REGISTER!I59)</f>
        <v>STEM Package</v>
      </c>
      <c r="G62" s="16">
        <f>IF($A62="","",MASTER_REGISTER!J59)</f>
        <v>3200</v>
      </c>
      <c r="H62" s="16">
        <f>IF($A62="","",MASTER_REGISTER!L59)</f>
        <v>1890.53</v>
      </c>
      <c r="I62" s="16">
        <f>IF($A62="","",MASTER_REGISTER!M59)</f>
        <v>1309.47</v>
      </c>
      <c r="J62" s="15" t="str">
        <f>IF($A62="","",MASTER_REGISTER!N59)</f>
        <v>Part Paid</v>
      </c>
    </row>
    <row r="63" spans="1:10" x14ac:dyDescent="0.3">
      <c r="A63" s="15" t="str">
        <f>IF(MASTER_REGISTER!E60="","",MASTER_REGISTER!E60)</f>
        <v>MSH202612011</v>
      </c>
      <c r="B63" s="15" t="str">
        <f>IF($A63="","",MASTER_REGISTER!F60)</f>
        <v>Lerato Sithole</v>
      </c>
      <c r="C63" s="15">
        <f>IF($A63="","",MASTER_REGISTER!C60)</f>
        <v>12</v>
      </c>
      <c r="D63" s="15" t="str">
        <f>IF($A63="","",MASTER_REGISTER!H60)</f>
        <v>0782010058</v>
      </c>
      <c r="E63" s="15" t="str">
        <f>IF($A63="","",MASTER_REGISTER!G60)</f>
        <v>lerato.sithole.demo12011@gmail.com</v>
      </c>
      <c r="F63" s="15" t="str">
        <f>IF($A63="","",MASTER_REGISTER!I60)</f>
        <v>STEM Package</v>
      </c>
      <c r="G63" s="16">
        <f>IF($A63="","",MASTER_REGISTER!J60)</f>
        <v>3200</v>
      </c>
      <c r="H63" s="16">
        <f>IF($A63="","",MASTER_REGISTER!L60)</f>
        <v>2839.15</v>
      </c>
      <c r="I63" s="16">
        <f>IF($A63="","",MASTER_REGISTER!M60)</f>
        <v>360.84999999999991</v>
      </c>
      <c r="J63" s="15" t="str">
        <f>IF($A63="","",MASTER_REGISTER!N60)</f>
        <v>Part Paid</v>
      </c>
    </row>
    <row r="64" spans="1:10" x14ac:dyDescent="0.3">
      <c r="A64" s="15" t="str">
        <f>IF(MASTER_REGISTER!E61="","",MASTER_REGISTER!E61)</f>
        <v>MSH202612012</v>
      </c>
      <c r="B64" s="15" t="str">
        <f>IF($A64="","",MASTER_REGISTER!F61)</f>
        <v>Sibusiso Ngobeni</v>
      </c>
      <c r="C64" s="15">
        <f>IF($A64="","",MASTER_REGISTER!C61)</f>
        <v>12</v>
      </c>
      <c r="D64" s="15" t="str">
        <f>IF($A64="","",MASTER_REGISTER!H61)</f>
        <v>0782010059</v>
      </c>
      <c r="E64" s="15" t="str">
        <f>IF($A64="","",MASTER_REGISTER!G61)</f>
        <v>sibusiso.ngobeni.demo12012@gmail.com</v>
      </c>
      <c r="F64" s="15" t="str">
        <f>IF($A64="","",MASTER_REGISTER!I61)</f>
        <v>General Support Package</v>
      </c>
      <c r="G64" s="16">
        <f>IF($A64="","",MASTER_REGISTER!J61)</f>
        <v>1900</v>
      </c>
      <c r="H64" s="16">
        <f>IF($A64="","",MASTER_REGISTER!L61)</f>
        <v>1419.3400000000001</v>
      </c>
      <c r="I64" s="16">
        <f>IF($A64="","",MASTER_REGISTER!M61)</f>
        <v>480.65999999999985</v>
      </c>
      <c r="J64" s="15" t="str">
        <f>IF($A64="","",MASTER_REGISTER!N61)</f>
        <v>Part Paid</v>
      </c>
    </row>
    <row r="65" spans="1:10" x14ac:dyDescent="0.3">
      <c r="A65" s="15" t="str">
        <f>IF(MASTER_REGISTER!E62="","",MASTER_REGISTER!E62)</f>
        <v/>
      </c>
      <c r="B65" s="15" t="str">
        <f>IF($A65="","",MASTER_REGISTER!F62)</f>
        <v/>
      </c>
      <c r="C65" s="15" t="str">
        <f>IF($A65="","",MASTER_REGISTER!C62)</f>
        <v/>
      </c>
      <c r="D65" s="15" t="str">
        <f>IF($A65="","",MASTER_REGISTER!H62)</f>
        <v/>
      </c>
      <c r="E65" s="15" t="str">
        <f>IF($A65="","",MASTER_REGISTER!G62)</f>
        <v/>
      </c>
      <c r="F65" s="15" t="str">
        <f>IF($A65="","",MASTER_REGISTER!I62)</f>
        <v/>
      </c>
      <c r="G65" s="16" t="str">
        <f>IF($A65="","",MASTER_REGISTER!J62)</f>
        <v/>
      </c>
      <c r="H65" s="16" t="str">
        <f>IF($A65="","",MASTER_REGISTER!L62)</f>
        <v/>
      </c>
      <c r="I65" s="16" t="str">
        <f>IF($A65="","",MASTER_REGISTER!M62)</f>
        <v/>
      </c>
      <c r="J65" s="15" t="str">
        <f>IF($A65="","",MASTER_REGISTER!N62)</f>
        <v/>
      </c>
    </row>
    <row r="66" spans="1:10" x14ac:dyDescent="0.3">
      <c r="A66" s="15" t="str">
        <f>IF(MASTER_REGISTER!E63="","",MASTER_REGISTER!E63)</f>
        <v/>
      </c>
      <c r="B66" s="15" t="str">
        <f>IF($A66="","",MASTER_REGISTER!F63)</f>
        <v/>
      </c>
      <c r="C66" s="15" t="str">
        <f>IF($A66="","",MASTER_REGISTER!C63)</f>
        <v/>
      </c>
      <c r="D66" s="15" t="str">
        <f>IF($A66="","",MASTER_REGISTER!H63)</f>
        <v/>
      </c>
      <c r="E66" s="15" t="str">
        <f>IF($A66="","",MASTER_REGISTER!G63)</f>
        <v/>
      </c>
      <c r="F66" s="15" t="str">
        <f>IF($A66="","",MASTER_REGISTER!I63)</f>
        <v/>
      </c>
      <c r="G66" s="16" t="str">
        <f>IF($A66="","",MASTER_REGISTER!J63)</f>
        <v/>
      </c>
      <c r="H66" s="16" t="str">
        <f>IF($A66="","",MASTER_REGISTER!L63)</f>
        <v/>
      </c>
      <c r="I66" s="16" t="str">
        <f>IF($A66="","",MASTER_REGISTER!M63)</f>
        <v/>
      </c>
      <c r="J66" s="15" t="str">
        <f>IF($A66="","",MASTER_REGISTER!N63)</f>
        <v/>
      </c>
    </row>
    <row r="67" spans="1:10" x14ac:dyDescent="0.3">
      <c r="A67" s="15" t="str">
        <f>IF(MASTER_REGISTER!E64="","",MASTER_REGISTER!E64)</f>
        <v/>
      </c>
      <c r="B67" s="15" t="str">
        <f>IF($A67="","",MASTER_REGISTER!F64)</f>
        <v/>
      </c>
      <c r="C67" s="15" t="str">
        <f>IF($A67="","",MASTER_REGISTER!C64)</f>
        <v/>
      </c>
      <c r="D67" s="15" t="str">
        <f>IF($A67="","",MASTER_REGISTER!H64)</f>
        <v/>
      </c>
      <c r="E67" s="15" t="str">
        <f>IF($A67="","",MASTER_REGISTER!G64)</f>
        <v/>
      </c>
      <c r="F67" s="15" t="str">
        <f>IF($A67="","",MASTER_REGISTER!I64)</f>
        <v/>
      </c>
      <c r="G67" s="16" t="str">
        <f>IF($A67="","",MASTER_REGISTER!J64)</f>
        <v/>
      </c>
      <c r="H67" s="16" t="str">
        <f>IF($A67="","",MASTER_REGISTER!L64)</f>
        <v/>
      </c>
      <c r="I67" s="16" t="str">
        <f>IF($A67="","",MASTER_REGISTER!M64)</f>
        <v/>
      </c>
      <c r="J67" s="15" t="str">
        <f>IF($A67="","",MASTER_REGISTER!N64)</f>
        <v/>
      </c>
    </row>
    <row r="68" spans="1:10" x14ac:dyDescent="0.3">
      <c r="A68" s="15" t="str">
        <f>IF(MASTER_REGISTER!E65="","",MASTER_REGISTER!E65)</f>
        <v/>
      </c>
      <c r="B68" s="15" t="str">
        <f>IF($A68="","",MASTER_REGISTER!F65)</f>
        <v/>
      </c>
      <c r="C68" s="15" t="str">
        <f>IF($A68="","",MASTER_REGISTER!C65)</f>
        <v/>
      </c>
      <c r="D68" s="15" t="str">
        <f>IF($A68="","",MASTER_REGISTER!H65)</f>
        <v/>
      </c>
      <c r="E68" s="15" t="str">
        <f>IF($A68="","",MASTER_REGISTER!G65)</f>
        <v/>
      </c>
      <c r="F68" s="15" t="str">
        <f>IF($A68="","",MASTER_REGISTER!I65)</f>
        <v/>
      </c>
      <c r="G68" s="16" t="str">
        <f>IF($A68="","",MASTER_REGISTER!J65)</f>
        <v/>
      </c>
      <c r="H68" s="16" t="str">
        <f>IF($A68="","",MASTER_REGISTER!L65)</f>
        <v/>
      </c>
      <c r="I68" s="16" t="str">
        <f>IF($A68="","",MASTER_REGISTER!M65)</f>
        <v/>
      </c>
      <c r="J68" s="15" t="str">
        <f>IF($A68="","",MASTER_REGISTER!N65)</f>
        <v/>
      </c>
    </row>
    <row r="69" spans="1:10" x14ac:dyDescent="0.3">
      <c r="A69" s="15" t="str">
        <f>IF(MASTER_REGISTER!E66="","",MASTER_REGISTER!E66)</f>
        <v/>
      </c>
      <c r="B69" s="15" t="str">
        <f>IF($A69="","",MASTER_REGISTER!F66)</f>
        <v/>
      </c>
      <c r="C69" s="15" t="str">
        <f>IF($A69="","",MASTER_REGISTER!C66)</f>
        <v/>
      </c>
      <c r="D69" s="15" t="str">
        <f>IF($A69="","",MASTER_REGISTER!H66)</f>
        <v/>
      </c>
      <c r="E69" s="15" t="str">
        <f>IF($A69="","",MASTER_REGISTER!G66)</f>
        <v/>
      </c>
      <c r="F69" s="15" t="str">
        <f>IF($A69="","",MASTER_REGISTER!I66)</f>
        <v/>
      </c>
      <c r="G69" s="16" t="str">
        <f>IF($A69="","",MASTER_REGISTER!J66)</f>
        <v/>
      </c>
      <c r="H69" s="16" t="str">
        <f>IF($A69="","",MASTER_REGISTER!L66)</f>
        <v/>
      </c>
      <c r="I69" s="16" t="str">
        <f>IF($A69="","",MASTER_REGISTER!M66)</f>
        <v/>
      </c>
      <c r="J69" s="15" t="str">
        <f>IF($A69="","",MASTER_REGISTER!N66)</f>
        <v/>
      </c>
    </row>
    <row r="70" spans="1:10" x14ac:dyDescent="0.3">
      <c r="A70" s="15" t="str">
        <f>IF(MASTER_REGISTER!E67="","",MASTER_REGISTER!E67)</f>
        <v/>
      </c>
      <c r="B70" s="15" t="str">
        <f>IF($A70="","",MASTER_REGISTER!F67)</f>
        <v/>
      </c>
      <c r="C70" s="15" t="str">
        <f>IF($A70="","",MASTER_REGISTER!C67)</f>
        <v/>
      </c>
      <c r="D70" s="15" t="str">
        <f>IF($A70="","",MASTER_REGISTER!H67)</f>
        <v/>
      </c>
      <c r="E70" s="15" t="str">
        <f>IF($A70="","",MASTER_REGISTER!G67)</f>
        <v/>
      </c>
      <c r="F70" s="15" t="str">
        <f>IF($A70="","",MASTER_REGISTER!I67)</f>
        <v/>
      </c>
      <c r="G70" s="16" t="str">
        <f>IF($A70="","",MASTER_REGISTER!J67)</f>
        <v/>
      </c>
      <c r="H70" s="16" t="str">
        <f>IF($A70="","",MASTER_REGISTER!L67)</f>
        <v/>
      </c>
      <c r="I70" s="16" t="str">
        <f>IF($A70="","",MASTER_REGISTER!M67)</f>
        <v/>
      </c>
      <c r="J70" s="15" t="str">
        <f>IF($A70="","",MASTER_REGISTER!N67)</f>
        <v/>
      </c>
    </row>
    <row r="71" spans="1:10" x14ac:dyDescent="0.3">
      <c r="A71" s="15" t="str">
        <f>IF(MASTER_REGISTER!E68="","",MASTER_REGISTER!E68)</f>
        <v/>
      </c>
      <c r="B71" s="15" t="str">
        <f>IF($A71="","",MASTER_REGISTER!F68)</f>
        <v/>
      </c>
      <c r="C71" s="15" t="str">
        <f>IF($A71="","",MASTER_REGISTER!C68)</f>
        <v/>
      </c>
      <c r="D71" s="15" t="str">
        <f>IF($A71="","",MASTER_REGISTER!H68)</f>
        <v/>
      </c>
      <c r="E71" s="15" t="str">
        <f>IF($A71="","",MASTER_REGISTER!G68)</f>
        <v/>
      </c>
      <c r="F71" s="15" t="str">
        <f>IF($A71="","",MASTER_REGISTER!I68)</f>
        <v/>
      </c>
      <c r="G71" s="16" t="str">
        <f>IF($A71="","",MASTER_REGISTER!J68)</f>
        <v/>
      </c>
      <c r="H71" s="16" t="str">
        <f>IF($A71="","",MASTER_REGISTER!L68)</f>
        <v/>
      </c>
      <c r="I71" s="16" t="str">
        <f>IF($A71="","",MASTER_REGISTER!M68)</f>
        <v/>
      </c>
      <c r="J71" s="15" t="str">
        <f>IF($A71="","",MASTER_REGISTER!N68)</f>
        <v/>
      </c>
    </row>
    <row r="72" spans="1:10" x14ac:dyDescent="0.3">
      <c r="A72" s="15" t="str">
        <f>IF(MASTER_REGISTER!E69="","",MASTER_REGISTER!E69)</f>
        <v/>
      </c>
      <c r="B72" s="15" t="str">
        <f>IF($A72="","",MASTER_REGISTER!F69)</f>
        <v/>
      </c>
      <c r="C72" s="15" t="str">
        <f>IF($A72="","",MASTER_REGISTER!C69)</f>
        <v/>
      </c>
      <c r="D72" s="15" t="str">
        <f>IF($A72="","",MASTER_REGISTER!H69)</f>
        <v/>
      </c>
      <c r="E72" s="15" t="str">
        <f>IF($A72="","",MASTER_REGISTER!G69)</f>
        <v/>
      </c>
      <c r="F72" s="15" t="str">
        <f>IF($A72="","",MASTER_REGISTER!I69)</f>
        <v/>
      </c>
      <c r="G72" s="16" t="str">
        <f>IF($A72="","",MASTER_REGISTER!J69)</f>
        <v/>
      </c>
      <c r="H72" s="16" t="str">
        <f>IF($A72="","",MASTER_REGISTER!L69)</f>
        <v/>
      </c>
      <c r="I72" s="16" t="str">
        <f>IF($A72="","",MASTER_REGISTER!M69)</f>
        <v/>
      </c>
      <c r="J72" s="15" t="str">
        <f>IF($A72="","",MASTER_REGISTER!N69)</f>
        <v/>
      </c>
    </row>
    <row r="73" spans="1:10" x14ac:dyDescent="0.3">
      <c r="A73" s="15" t="str">
        <f>IF(MASTER_REGISTER!E70="","",MASTER_REGISTER!E70)</f>
        <v/>
      </c>
      <c r="B73" s="15" t="str">
        <f>IF($A73="","",MASTER_REGISTER!F70)</f>
        <v/>
      </c>
      <c r="C73" s="15" t="str">
        <f>IF($A73="","",MASTER_REGISTER!C70)</f>
        <v/>
      </c>
      <c r="D73" s="15" t="str">
        <f>IF($A73="","",MASTER_REGISTER!H70)</f>
        <v/>
      </c>
      <c r="E73" s="15" t="str">
        <f>IF($A73="","",MASTER_REGISTER!G70)</f>
        <v/>
      </c>
      <c r="F73" s="15" t="str">
        <f>IF($A73="","",MASTER_REGISTER!I70)</f>
        <v/>
      </c>
      <c r="G73" s="16" t="str">
        <f>IF($A73="","",MASTER_REGISTER!J70)</f>
        <v/>
      </c>
      <c r="H73" s="16" t="str">
        <f>IF($A73="","",MASTER_REGISTER!L70)</f>
        <v/>
      </c>
      <c r="I73" s="16" t="str">
        <f>IF($A73="","",MASTER_REGISTER!M70)</f>
        <v/>
      </c>
      <c r="J73" s="15" t="str">
        <f>IF($A73="","",MASTER_REGISTER!N70)</f>
        <v/>
      </c>
    </row>
    <row r="74" spans="1:10" x14ac:dyDescent="0.3">
      <c r="A74" s="15" t="str">
        <f>IF(MASTER_REGISTER!E71="","",MASTER_REGISTER!E71)</f>
        <v/>
      </c>
      <c r="B74" s="15" t="str">
        <f>IF($A74="","",MASTER_REGISTER!F71)</f>
        <v/>
      </c>
      <c r="C74" s="15" t="str">
        <f>IF($A74="","",MASTER_REGISTER!C71)</f>
        <v/>
      </c>
      <c r="D74" s="15" t="str">
        <f>IF($A74="","",MASTER_REGISTER!H71)</f>
        <v/>
      </c>
      <c r="E74" s="15" t="str">
        <f>IF($A74="","",MASTER_REGISTER!G71)</f>
        <v/>
      </c>
      <c r="F74" s="15" t="str">
        <f>IF($A74="","",MASTER_REGISTER!I71)</f>
        <v/>
      </c>
      <c r="G74" s="16" t="str">
        <f>IF($A74="","",MASTER_REGISTER!J71)</f>
        <v/>
      </c>
      <c r="H74" s="16" t="str">
        <f>IF($A74="","",MASTER_REGISTER!L71)</f>
        <v/>
      </c>
      <c r="I74" s="16" t="str">
        <f>IF($A74="","",MASTER_REGISTER!M71)</f>
        <v/>
      </c>
      <c r="J74" s="15" t="str">
        <f>IF($A74="","",MASTER_REGISTER!N71)</f>
        <v/>
      </c>
    </row>
    <row r="75" spans="1:10" x14ac:dyDescent="0.3">
      <c r="A75" s="15" t="str">
        <f>IF(MASTER_REGISTER!E72="","",MASTER_REGISTER!E72)</f>
        <v/>
      </c>
      <c r="B75" s="15" t="str">
        <f>IF($A75="","",MASTER_REGISTER!F72)</f>
        <v/>
      </c>
      <c r="C75" s="15" t="str">
        <f>IF($A75="","",MASTER_REGISTER!C72)</f>
        <v/>
      </c>
      <c r="D75" s="15" t="str">
        <f>IF($A75="","",MASTER_REGISTER!H72)</f>
        <v/>
      </c>
      <c r="E75" s="15" t="str">
        <f>IF($A75="","",MASTER_REGISTER!G72)</f>
        <v/>
      </c>
      <c r="F75" s="15" t="str">
        <f>IF($A75="","",MASTER_REGISTER!I72)</f>
        <v/>
      </c>
      <c r="G75" s="16" t="str">
        <f>IF($A75="","",MASTER_REGISTER!J72)</f>
        <v/>
      </c>
      <c r="H75" s="16" t="str">
        <f>IF($A75="","",MASTER_REGISTER!L72)</f>
        <v/>
      </c>
      <c r="I75" s="16" t="str">
        <f>IF($A75="","",MASTER_REGISTER!M72)</f>
        <v/>
      </c>
      <c r="J75" s="15" t="str">
        <f>IF($A75="","",MASTER_REGISTER!N72)</f>
        <v/>
      </c>
    </row>
    <row r="76" spans="1:10" x14ac:dyDescent="0.3">
      <c r="A76" s="15" t="str">
        <f>IF(MASTER_REGISTER!E73="","",MASTER_REGISTER!E73)</f>
        <v/>
      </c>
      <c r="B76" s="15" t="str">
        <f>IF($A76="","",MASTER_REGISTER!F73)</f>
        <v/>
      </c>
      <c r="C76" s="15" t="str">
        <f>IF($A76="","",MASTER_REGISTER!C73)</f>
        <v/>
      </c>
      <c r="D76" s="15" t="str">
        <f>IF($A76="","",MASTER_REGISTER!H73)</f>
        <v/>
      </c>
      <c r="E76" s="15" t="str">
        <f>IF($A76="","",MASTER_REGISTER!G73)</f>
        <v/>
      </c>
      <c r="F76" s="15" t="str">
        <f>IF($A76="","",MASTER_REGISTER!I73)</f>
        <v/>
      </c>
      <c r="G76" s="16" t="str">
        <f>IF($A76="","",MASTER_REGISTER!J73)</f>
        <v/>
      </c>
      <c r="H76" s="16" t="str">
        <f>IF($A76="","",MASTER_REGISTER!L73)</f>
        <v/>
      </c>
      <c r="I76" s="16" t="str">
        <f>IF($A76="","",MASTER_REGISTER!M73)</f>
        <v/>
      </c>
      <c r="J76" s="15" t="str">
        <f>IF($A76="","",MASTER_REGISTER!N73)</f>
        <v/>
      </c>
    </row>
    <row r="77" spans="1:10" x14ac:dyDescent="0.3">
      <c r="A77" s="15" t="str">
        <f>IF(MASTER_REGISTER!E74="","",MASTER_REGISTER!E74)</f>
        <v/>
      </c>
      <c r="B77" s="15" t="str">
        <f>IF($A77="","",MASTER_REGISTER!F74)</f>
        <v/>
      </c>
      <c r="C77" s="15" t="str">
        <f>IF($A77="","",MASTER_REGISTER!C74)</f>
        <v/>
      </c>
      <c r="D77" s="15" t="str">
        <f>IF($A77="","",MASTER_REGISTER!H74)</f>
        <v/>
      </c>
      <c r="E77" s="15" t="str">
        <f>IF($A77="","",MASTER_REGISTER!G74)</f>
        <v/>
      </c>
      <c r="F77" s="15" t="str">
        <f>IF($A77="","",MASTER_REGISTER!I74)</f>
        <v/>
      </c>
      <c r="G77" s="16" t="str">
        <f>IF($A77="","",MASTER_REGISTER!J74)</f>
        <v/>
      </c>
      <c r="H77" s="16" t="str">
        <f>IF($A77="","",MASTER_REGISTER!L74)</f>
        <v/>
      </c>
      <c r="I77" s="16" t="str">
        <f>IF($A77="","",MASTER_REGISTER!M74)</f>
        <v/>
      </c>
      <c r="J77" s="15" t="str">
        <f>IF($A77="","",MASTER_REGISTER!N74)</f>
        <v/>
      </c>
    </row>
    <row r="78" spans="1:10" x14ac:dyDescent="0.3">
      <c r="A78" s="15" t="str">
        <f>IF(MASTER_REGISTER!E75="","",MASTER_REGISTER!E75)</f>
        <v/>
      </c>
      <c r="B78" s="15" t="str">
        <f>IF($A78="","",MASTER_REGISTER!F75)</f>
        <v/>
      </c>
      <c r="C78" s="15" t="str">
        <f>IF($A78="","",MASTER_REGISTER!C75)</f>
        <v/>
      </c>
      <c r="D78" s="15" t="str">
        <f>IF($A78="","",MASTER_REGISTER!H75)</f>
        <v/>
      </c>
      <c r="E78" s="15" t="str">
        <f>IF($A78="","",MASTER_REGISTER!G75)</f>
        <v/>
      </c>
      <c r="F78" s="15" t="str">
        <f>IF($A78="","",MASTER_REGISTER!I75)</f>
        <v/>
      </c>
      <c r="G78" s="16" t="str">
        <f>IF($A78="","",MASTER_REGISTER!J75)</f>
        <v/>
      </c>
      <c r="H78" s="16" t="str">
        <f>IF($A78="","",MASTER_REGISTER!L75)</f>
        <v/>
      </c>
      <c r="I78" s="16" t="str">
        <f>IF($A78="","",MASTER_REGISTER!M75)</f>
        <v/>
      </c>
      <c r="J78" s="15" t="str">
        <f>IF($A78="","",MASTER_REGISTER!N75)</f>
        <v/>
      </c>
    </row>
    <row r="79" spans="1:10" x14ac:dyDescent="0.3">
      <c r="A79" s="15" t="str">
        <f>IF(MASTER_REGISTER!E76="","",MASTER_REGISTER!E76)</f>
        <v/>
      </c>
      <c r="B79" s="15" t="str">
        <f>IF($A79="","",MASTER_REGISTER!F76)</f>
        <v/>
      </c>
      <c r="C79" s="15" t="str">
        <f>IF($A79="","",MASTER_REGISTER!C76)</f>
        <v/>
      </c>
      <c r="D79" s="15" t="str">
        <f>IF($A79="","",MASTER_REGISTER!H76)</f>
        <v/>
      </c>
      <c r="E79" s="15" t="str">
        <f>IF($A79="","",MASTER_REGISTER!G76)</f>
        <v/>
      </c>
      <c r="F79" s="15" t="str">
        <f>IF($A79="","",MASTER_REGISTER!I76)</f>
        <v/>
      </c>
      <c r="G79" s="16" t="str">
        <f>IF($A79="","",MASTER_REGISTER!J76)</f>
        <v/>
      </c>
      <c r="H79" s="16" t="str">
        <f>IF($A79="","",MASTER_REGISTER!L76)</f>
        <v/>
      </c>
      <c r="I79" s="16" t="str">
        <f>IF($A79="","",MASTER_REGISTER!M76)</f>
        <v/>
      </c>
      <c r="J79" s="15" t="str">
        <f>IF($A79="","",MASTER_REGISTER!N76)</f>
        <v/>
      </c>
    </row>
    <row r="80" spans="1:10" x14ac:dyDescent="0.3">
      <c r="A80" s="15" t="str">
        <f>IF(MASTER_REGISTER!E77="","",MASTER_REGISTER!E77)</f>
        <v/>
      </c>
      <c r="B80" s="15" t="str">
        <f>IF($A80="","",MASTER_REGISTER!F77)</f>
        <v/>
      </c>
      <c r="C80" s="15" t="str">
        <f>IF($A80="","",MASTER_REGISTER!C77)</f>
        <v/>
      </c>
      <c r="D80" s="15" t="str">
        <f>IF($A80="","",MASTER_REGISTER!H77)</f>
        <v/>
      </c>
      <c r="E80" s="15" t="str">
        <f>IF($A80="","",MASTER_REGISTER!G77)</f>
        <v/>
      </c>
      <c r="F80" s="15" t="str">
        <f>IF($A80="","",MASTER_REGISTER!I77)</f>
        <v/>
      </c>
      <c r="G80" s="16" t="str">
        <f>IF($A80="","",MASTER_REGISTER!J77)</f>
        <v/>
      </c>
      <c r="H80" s="16" t="str">
        <f>IF($A80="","",MASTER_REGISTER!L77)</f>
        <v/>
      </c>
      <c r="I80" s="16" t="str">
        <f>IF($A80="","",MASTER_REGISTER!M77)</f>
        <v/>
      </c>
      <c r="J80" s="15" t="str">
        <f>IF($A80="","",MASTER_REGISTER!N77)</f>
        <v/>
      </c>
    </row>
    <row r="81" spans="1:10" x14ac:dyDescent="0.3">
      <c r="A81" s="15" t="str">
        <f>IF(MASTER_REGISTER!E78="","",MASTER_REGISTER!E78)</f>
        <v/>
      </c>
      <c r="B81" s="15" t="str">
        <f>IF($A81="","",MASTER_REGISTER!F78)</f>
        <v/>
      </c>
      <c r="C81" s="15" t="str">
        <f>IF($A81="","",MASTER_REGISTER!C78)</f>
        <v/>
      </c>
      <c r="D81" s="15" t="str">
        <f>IF($A81="","",MASTER_REGISTER!H78)</f>
        <v/>
      </c>
      <c r="E81" s="15" t="str">
        <f>IF($A81="","",MASTER_REGISTER!G78)</f>
        <v/>
      </c>
      <c r="F81" s="15" t="str">
        <f>IF($A81="","",MASTER_REGISTER!I78)</f>
        <v/>
      </c>
      <c r="G81" s="16" t="str">
        <f>IF($A81="","",MASTER_REGISTER!J78)</f>
        <v/>
      </c>
      <c r="H81" s="16" t="str">
        <f>IF($A81="","",MASTER_REGISTER!L78)</f>
        <v/>
      </c>
      <c r="I81" s="16" t="str">
        <f>IF($A81="","",MASTER_REGISTER!M78)</f>
        <v/>
      </c>
      <c r="J81" s="15" t="str">
        <f>IF($A81="","",MASTER_REGISTER!N78)</f>
        <v/>
      </c>
    </row>
    <row r="82" spans="1:10" x14ac:dyDescent="0.3">
      <c r="A82" s="15" t="str">
        <f>IF(MASTER_REGISTER!E79="","",MASTER_REGISTER!E79)</f>
        <v/>
      </c>
      <c r="B82" s="15" t="str">
        <f>IF($A82="","",MASTER_REGISTER!F79)</f>
        <v/>
      </c>
      <c r="C82" s="15" t="str">
        <f>IF($A82="","",MASTER_REGISTER!C79)</f>
        <v/>
      </c>
      <c r="D82" s="15" t="str">
        <f>IF($A82="","",MASTER_REGISTER!H79)</f>
        <v/>
      </c>
      <c r="E82" s="15" t="str">
        <f>IF($A82="","",MASTER_REGISTER!G79)</f>
        <v/>
      </c>
      <c r="F82" s="15" t="str">
        <f>IF($A82="","",MASTER_REGISTER!I79)</f>
        <v/>
      </c>
      <c r="G82" s="16" t="str">
        <f>IF($A82="","",MASTER_REGISTER!J79)</f>
        <v/>
      </c>
      <c r="H82" s="16" t="str">
        <f>IF($A82="","",MASTER_REGISTER!L79)</f>
        <v/>
      </c>
      <c r="I82" s="16" t="str">
        <f>IF($A82="","",MASTER_REGISTER!M79)</f>
        <v/>
      </c>
      <c r="J82" s="15" t="str">
        <f>IF($A82="","",MASTER_REGISTER!N79)</f>
        <v/>
      </c>
    </row>
    <row r="83" spans="1:10" x14ac:dyDescent="0.3">
      <c r="A83" s="15" t="str">
        <f>IF(MASTER_REGISTER!E80="","",MASTER_REGISTER!E80)</f>
        <v/>
      </c>
      <c r="B83" s="15" t="str">
        <f>IF($A83="","",MASTER_REGISTER!F80)</f>
        <v/>
      </c>
      <c r="C83" s="15" t="str">
        <f>IF($A83="","",MASTER_REGISTER!C80)</f>
        <v/>
      </c>
      <c r="D83" s="15" t="str">
        <f>IF($A83="","",MASTER_REGISTER!H80)</f>
        <v/>
      </c>
      <c r="E83" s="15" t="str">
        <f>IF($A83="","",MASTER_REGISTER!G80)</f>
        <v/>
      </c>
      <c r="F83" s="15" t="str">
        <f>IF($A83="","",MASTER_REGISTER!I80)</f>
        <v/>
      </c>
      <c r="G83" s="16" t="str">
        <f>IF($A83="","",MASTER_REGISTER!J80)</f>
        <v/>
      </c>
      <c r="H83" s="16" t="str">
        <f>IF($A83="","",MASTER_REGISTER!L80)</f>
        <v/>
      </c>
      <c r="I83" s="16" t="str">
        <f>IF($A83="","",MASTER_REGISTER!M80)</f>
        <v/>
      </c>
      <c r="J83" s="15" t="str">
        <f>IF($A83="","",MASTER_REGISTER!N80)</f>
        <v/>
      </c>
    </row>
    <row r="84" spans="1:10" x14ac:dyDescent="0.3">
      <c r="A84" s="15" t="str">
        <f>IF(MASTER_REGISTER!E81="","",MASTER_REGISTER!E81)</f>
        <v/>
      </c>
      <c r="B84" s="15" t="str">
        <f>IF($A84="","",MASTER_REGISTER!F81)</f>
        <v/>
      </c>
      <c r="C84" s="15" t="str">
        <f>IF($A84="","",MASTER_REGISTER!C81)</f>
        <v/>
      </c>
      <c r="D84" s="15" t="str">
        <f>IF($A84="","",MASTER_REGISTER!H81)</f>
        <v/>
      </c>
      <c r="E84" s="15" t="str">
        <f>IF($A84="","",MASTER_REGISTER!G81)</f>
        <v/>
      </c>
      <c r="F84" s="15" t="str">
        <f>IF($A84="","",MASTER_REGISTER!I81)</f>
        <v/>
      </c>
      <c r="G84" s="16" t="str">
        <f>IF($A84="","",MASTER_REGISTER!J81)</f>
        <v/>
      </c>
      <c r="H84" s="16" t="str">
        <f>IF($A84="","",MASTER_REGISTER!L81)</f>
        <v/>
      </c>
      <c r="I84" s="16" t="str">
        <f>IF($A84="","",MASTER_REGISTER!M81)</f>
        <v/>
      </c>
      <c r="J84" s="15" t="str">
        <f>IF($A84="","",MASTER_REGISTER!N81)</f>
        <v/>
      </c>
    </row>
    <row r="85" spans="1:10" x14ac:dyDescent="0.3">
      <c r="A85" s="15" t="str">
        <f>IF(MASTER_REGISTER!E82="","",MASTER_REGISTER!E82)</f>
        <v/>
      </c>
      <c r="B85" s="15" t="str">
        <f>IF($A85="","",MASTER_REGISTER!F82)</f>
        <v/>
      </c>
      <c r="C85" s="15" t="str">
        <f>IF($A85="","",MASTER_REGISTER!C82)</f>
        <v/>
      </c>
      <c r="D85" s="15" t="str">
        <f>IF($A85="","",MASTER_REGISTER!H82)</f>
        <v/>
      </c>
      <c r="E85" s="15" t="str">
        <f>IF($A85="","",MASTER_REGISTER!G82)</f>
        <v/>
      </c>
      <c r="F85" s="15" t="str">
        <f>IF($A85="","",MASTER_REGISTER!I82)</f>
        <v/>
      </c>
      <c r="G85" s="16" t="str">
        <f>IF($A85="","",MASTER_REGISTER!J82)</f>
        <v/>
      </c>
      <c r="H85" s="16" t="str">
        <f>IF($A85="","",MASTER_REGISTER!L82)</f>
        <v/>
      </c>
      <c r="I85" s="16" t="str">
        <f>IF($A85="","",MASTER_REGISTER!M82)</f>
        <v/>
      </c>
      <c r="J85" s="15" t="str">
        <f>IF($A85="","",MASTER_REGISTER!N82)</f>
        <v/>
      </c>
    </row>
    <row r="86" spans="1:10" x14ac:dyDescent="0.3">
      <c r="A86" s="15" t="str">
        <f>IF(MASTER_REGISTER!E83="","",MASTER_REGISTER!E83)</f>
        <v/>
      </c>
      <c r="B86" s="15" t="str">
        <f>IF($A86="","",MASTER_REGISTER!F83)</f>
        <v/>
      </c>
      <c r="C86" s="15" t="str">
        <f>IF($A86="","",MASTER_REGISTER!C83)</f>
        <v/>
      </c>
      <c r="D86" s="15" t="str">
        <f>IF($A86="","",MASTER_REGISTER!H83)</f>
        <v/>
      </c>
      <c r="E86" s="15" t="str">
        <f>IF($A86="","",MASTER_REGISTER!G83)</f>
        <v/>
      </c>
      <c r="F86" s="15" t="str">
        <f>IF($A86="","",MASTER_REGISTER!I83)</f>
        <v/>
      </c>
      <c r="G86" s="16" t="str">
        <f>IF($A86="","",MASTER_REGISTER!J83)</f>
        <v/>
      </c>
      <c r="H86" s="16" t="str">
        <f>IF($A86="","",MASTER_REGISTER!L83)</f>
        <v/>
      </c>
      <c r="I86" s="16" t="str">
        <f>IF($A86="","",MASTER_REGISTER!M83)</f>
        <v/>
      </c>
      <c r="J86" s="15" t="str">
        <f>IF($A86="","",MASTER_REGISTER!N83)</f>
        <v/>
      </c>
    </row>
    <row r="87" spans="1:10" x14ac:dyDescent="0.3">
      <c r="A87" s="15" t="str">
        <f>IF(MASTER_REGISTER!E84="","",MASTER_REGISTER!E84)</f>
        <v/>
      </c>
      <c r="B87" s="15" t="str">
        <f>IF($A87="","",MASTER_REGISTER!F84)</f>
        <v/>
      </c>
      <c r="C87" s="15" t="str">
        <f>IF($A87="","",MASTER_REGISTER!C84)</f>
        <v/>
      </c>
      <c r="D87" s="15" t="str">
        <f>IF($A87="","",MASTER_REGISTER!H84)</f>
        <v/>
      </c>
      <c r="E87" s="15" t="str">
        <f>IF($A87="","",MASTER_REGISTER!G84)</f>
        <v/>
      </c>
      <c r="F87" s="15" t="str">
        <f>IF($A87="","",MASTER_REGISTER!I84)</f>
        <v/>
      </c>
      <c r="G87" s="16" t="str">
        <f>IF($A87="","",MASTER_REGISTER!J84)</f>
        <v/>
      </c>
      <c r="H87" s="16" t="str">
        <f>IF($A87="","",MASTER_REGISTER!L84)</f>
        <v/>
      </c>
      <c r="I87" s="16" t="str">
        <f>IF($A87="","",MASTER_REGISTER!M84)</f>
        <v/>
      </c>
      <c r="J87" s="15" t="str">
        <f>IF($A87="","",MASTER_REGISTER!N84)</f>
        <v/>
      </c>
    </row>
    <row r="88" spans="1:10" x14ac:dyDescent="0.3">
      <c r="A88" s="15" t="str">
        <f>IF(MASTER_REGISTER!E85="","",MASTER_REGISTER!E85)</f>
        <v/>
      </c>
      <c r="B88" s="15" t="str">
        <f>IF($A88="","",MASTER_REGISTER!F85)</f>
        <v/>
      </c>
      <c r="C88" s="15" t="str">
        <f>IF($A88="","",MASTER_REGISTER!C85)</f>
        <v/>
      </c>
      <c r="D88" s="15" t="str">
        <f>IF($A88="","",MASTER_REGISTER!H85)</f>
        <v/>
      </c>
      <c r="E88" s="15" t="str">
        <f>IF($A88="","",MASTER_REGISTER!G85)</f>
        <v/>
      </c>
      <c r="F88" s="15" t="str">
        <f>IF($A88="","",MASTER_REGISTER!I85)</f>
        <v/>
      </c>
      <c r="G88" s="16" t="str">
        <f>IF($A88="","",MASTER_REGISTER!J85)</f>
        <v/>
      </c>
      <c r="H88" s="16" t="str">
        <f>IF($A88="","",MASTER_REGISTER!L85)</f>
        <v/>
      </c>
      <c r="I88" s="16" t="str">
        <f>IF($A88="","",MASTER_REGISTER!M85)</f>
        <v/>
      </c>
      <c r="J88" s="15" t="str">
        <f>IF($A88="","",MASTER_REGISTER!N85)</f>
        <v/>
      </c>
    </row>
    <row r="89" spans="1:10" x14ac:dyDescent="0.3">
      <c r="A89" s="15" t="str">
        <f>IF(MASTER_REGISTER!E86="","",MASTER_REGISTER!E86)</f>
        <v/>
      </c>
      <c r="B89" s="15" t="str">
        <f>IF($A89="","",MASTER_REGISTER!F86)</f>
        <v/>
      </c>
      <c r="C89" s="15" t="str">
        <f>IF($A89="","",MASTER_REGISTER!C86)</f>
        <v/>
      </c>
      <c r="D89" s="15" t="str">
        <f>IF($A89="","",MASTER_REGISTER!H86)</f>
        <v/>
      </c>
      <c r="E89" s="15" t="str">
        <f>IF($A89="","",MASTER_REGISTER!G86)</f>
        <v/>
      </c>
      <c r="F89" s="15" t="str">
        <f>IF($A89="","",MASTER_REGISTER!I86)</f>
        <v/>
      </c>
      <c r="G89" s="16" t="str">
        <f>IF($A89="","",MASTER_REGISTER!J86)</f>
        <v/>
      </c>
      <c r="H89" s="16" t="str">
        <f>IF($A89="","",MASTER_REGISTER!L86)</f>
        <v/>
      </c>
      <c r="I89" s="16" t="str">
        <f>IF($A89="","",MASTER_REGISTER!M86)</f>
        <v/>
      </c>
      <c r="J89" s="15" t="str">
        <f>IF($A89="","",MASTER_REGISTER!N86)</f>
        <v/>
      </c>
    </row>
    <row r="90" spans="1:10" x14ac:dyDescent="0.3">
      <c r="A90" s="15" t="str">
        <f>IF(MASTER_REGISTER!E87="","",MASTER_REGISTER!E87)</f>
        <v/>
      </c>
      <c r="B90" s="15" t="str">
        <f>IF($A90="","",MASTER_REGISTER!F87)</f>
        <v/>
      </c>
      <c r="C90" s="15" t="str">
        <f>IF($A90="","",MASTER_REGISTER!C87)</f>
        <v/>
      </c>
      <c r="D90" s="15" t="str">
        <f>IF($A90="","",MASTER_REGISTER!H87)</f>
        <v/>
      </c>
      <c r="E90" s="15" t="str">
        <f>IF($A90="","",MASTER_REGISTER!G87)</f>
        <v/>
      </c>
      <c r="F90" s="15" t="str">
        <f>IF($A90="","",MASTER_REGISTER!I87)</f>
        <v/>
      </c>
      <c r="G90" s="16" t="str">
        <f>IF($A90="","",MASTER_REGISTER!J87)</f>
        <v/>
      </c>
      <c r="H90" s="16" t="str">
        <f>IF($A90="","",MASTER_REGISTER!L87)</f>
        <v/>
      </c>
      <c r="I90" s="16" t="str">
        <f>IF($A90="","",MASTER_REGISTER!M87)</f>
        <v/>
      </c>
      <c r="J90" s="15" t="str">
        <f>IF($A90="","",MASTER_REGISTER!N87)</f>
        <v/>
      </c>
    </row>
    <row r="91" spans="1:10" x14ac:dyDescent="0.3">
      <c r="A91" s="15" t="str">
        <f>IF(MASTER_REGISTER!E88="","",MASTER_REGISTER!E88)</f>
        <v/>
      </c>
      <c r="B91" s="15" t="str">
        <f>IF($A91="","",MASTER_REGISTER!F88)</f>
        <v/>
      </c>
      <c r="C91" s="15" t="str">
        <f>IF($A91="","",MASTER_REGISTER!C88)</f>
        <v/>
      </c>
      <c r="D91" s="15" t="str">
        <f>IF($A91="","",MASTER_REGISTER!H88)</f>
        <v/>
      </c>
      <c r="E91" s="15" t="str">
        <f>IF($A91="","",MASTER_REGISTER!G88)</f>
        <v/>
      </c>
      <c r="F91" s="15" t="str">
        <f>IF($A91="","",MASTER_REGISTER!I88)</f>
        <v/>
      </c>
      <c r="G91" s="16" t="str">
        <f>IF($A91="","",MASTER_REGISTER!J88)</f>
        <v/>
      </c>
      <c r="H91" s="16" t="str">
        <f>IF($A91="","",MASTER_REGISTER!L88)</f>
        <v/>
      </c>
      <c r="I91" s="16" t="str">
        <f>IF($A91="","",MASTER_REGISTER!M88)</f>
        <v/>
      </c>
      <c r="J91" s="15" t="str">
        <f>IF($A91="","",MASTER_REGISTER!N88)</f>
        <v/>
      </c>
    </row>
    <row r="92" spans="1:10" x14ac:dyDescent="0.3">
      <c r="A92" s="15" t="str">
        <f>IF(MASTER_REGISTER!E89="","",MASTER_REGISTER!E89)</f>
        <v/>
      </c>
      <c r="B92" s="15" t="str">
        <f>IF($A92="","",MASTER_REGISTER!F89)</f>
        <v/>
      </c>
      <c r="C92" s="15" t="str">
        <f>IF($A92="","",MASTER_REGISTER!C89)</f>
        <v/>
      </c>
      <c r="D92" s="15" t="str">
        <f>IF($A92="","",MASTER_REGISTER!H89)</f>
        <v/>
      </c>
      <c r="E92" s="15" t="str">
        <f>IF($A92="","",MASTER_REGISTER!G89)</f>
        <v/>
      </c>
      <c r="F92" s="15" t="str">
        <f>IF($A92="","",MASTER_REGISTER!I89)</f>
        <v/>
      </c>
      <c r="G92" s="16" t="str">
        <f>IF($A92="","",MASTER_REGISTER!J89)</f>
        <v/>
      </c>
      <c r="H92" s="16" t="str">
        <f>IF($A92="","",MASTER_REGISTER!L89)</f>
        <v/>
      </c>
      <c r="I92" s="16" t="str">
        <f>IF($A92="","",MASTER_REGISTER!M89)</f>
        <v/>
      </c>
      <c r="J92" s="15" t="str">
        <f>IF($A92="","",MASTER_REGISTER!N89)</f>
        <v/>
      </c>
    </row>
    <row r="93" spans="1:10" x14ac:dyDescent="0.3">
      <c r="A93" s="15" t="str">
        <f>IF(MASTER_REGISTER!E90="","",MASTER_REGISTER!E90)</f>
        <v/>
      </c>
      <c r="B93" s="15" t="str">
        <f>IF($A93="","",MASTER_REGISTER!F90)</f>
        <v/>
      </c>
      <c r="C93" s="15" t="str">
        <f>IF($A93="","",MASTER_REGISTER!C90)</f>
        <v/>
      </c>
      <c r="D93" s="15" t="str">
        <f>IF($A93="","",MASTER_REGISTER!H90)</f>
        <v/>
      </c>
      <c r="E93" s="15" t="str">
        <f>IF($A93="","",MASTER_REGISTER!G90)</f>
        <v/>
      </c>
      <c r="F93" s="15" t="str">
        <f>IF($A93="","",MASTER_REGISTER!I90)</f>
        <v/>
      </c>
      <c r="G93" s="16" t="str">
        <f>IF($A93="","",MASTER_REGISTER!J90)</f>
        <v/>
      </c>
      <c r="H93" s="16" t="str">
        <f>IF($A93="","",MASTER_REGISTER!L90)</f>
        <v/>
      </c>
      <c r="I93" s="16" t="str">
        <f>IF($A93="","",MASTER_REGISTER!M90)</f>
        <v/>
      </c>
      <c r="J93" s="15" t="str">
        <f>IF($A93="","",MASTER_REGISTER!N90)</f>
        <v/>
      </c>
    </row>
    <row r="94" spans="1:10" x14ac:dyDescent="0.3">
      <c r="A94" s="15" t="str">
        <f>IF(MASTER_REGISTER!E91="","",MASTER_REGISTER!E91)</f>
        <v/>
      </c>
      <c r="B94" s="15" t="str">
        <f>IF($A94="","",MASTER_REGISTER!F91)</f>
        <v/>
      </c>
      <c r="C94" s="15" t="str">
        <f>IF($A94="","",MASTER_REGISTER!C91)</f>
        <v/>
      </c>
      <c r="D94" s="15" t="str">
        <f>IF($A94="","",MASTER_REGISTER!H91)</f>
        <v/>
      </c>
      <c r="E94" s="15" t="str">
        <f>IF($A94="","",MASTER_REGISTER!G91)</f>
        <v/>
      </c>
      <c r="F94" s="15" t="str">
        <f>IF($A94="","",MASTER_REGISTER!I91)</f>
        <v/>
      </c>
      <c r="G94" s="16" t="str">
        <f>IF($A94="","",MASTER_REGISTER!J91)</f>
        <v/>
      </c>
      <c r="H94" s="16" t="str">
        <f>IF($A94="","",MASTER_REGISTER!L91)</f>
        <v/>
      </c>
      <c r="I94" s="16" t="str">
        <f>IF($A94="","",MASTER_REGISTER!M91)</f>
        <v/>
      </c>
      <c r="J94" s="15" t="str">
        <f>IF($A94="","",MASTER_REGISTER!N91)</f>
        <v/>
      </c>
    </row>
    <row r="95" spans="1:10" x14ac:dyDescent="0.3">
      <c r="A95" s="15" t="str">
        <f>IF(MASTER_REGISTER!E92="","",MASTER_REGISTER!E92)</f>
        <v/>
      </c>
      <c r="B95" s="15" t="str">
        <f>IF($A95="","",MASTER_REGISTER!F92)</f>
        <v/>
      </c>
      <c r="C95" s="15" t="str">
        <f>IF($A95="","",MASTER_REGISTER!C92)</f>
        <v/>
      </c>
      <c r="D95" s="15" t="str">
        <f>IF($A95="","",MASTER_REGISTER!H92)</f>
        <v/>
      </c>
      <c r="E95" s="15" t="str">
        <f>IF($A95="","",MASTER_REGISTER!G92)</f>
        <v/>
      </c>
      <c r="F95" s="15" t="str">
        <f>IF($A95="","",MASTER_REGISTER!I92)</f>
        <v/>
      </c>
      <c r="G95" s="16" t="str">
        <f>IF($A95="","",MASTER_REGISTER!J92)</f>
        <v/>
      </c>
      <c r="H95" s="16" t="str">
        <f>IF($A95="","",MASTER_REGISTER!L92)</f>
        <v/>
      </c>
      <c r="I95" s="16" t="str">
        <f>IF($A95="","",MASTER_REGISTER!M92)</f>
        <v/>
      </c>
      <c r="J95" s="15" t="str">
        <f>IF($A95="","",MASTER_REGISTER!N92)</f>
        <v/>
      </c>
    </row>
    <row r="96" spans="1:10" x14ac:dyDescent="0.3">
      <c r="A96" s="15" t="str">
        <f>IF(MASTER_REGISTER!E93="","",MASTER_REGISTER!E93)</f>
        <v/>
      </c>
      <c r="B96" s="15" t="str">
        <f>IF($A96="","",MASTER_REGISTER!F93)</f>
        <v/>
      </c>
      <c r="C96" s="15" t="str">
        <f>IF($A96="","",MASTER_REGISTER!C93)</f>
        <v/>
      </c>
      <c r="D96" s="15" t="str">
        <f>IF($A96="","",MASTER_REGISTER!H93)</f>
        <v/>
      </c>
      <c r="E96" s="15" t="str">
        <f>IF($A96="","",MASTER_REGISTER!G93)</f>
        <v/>
      </c>
      <c r="F96" s="15" t="str">
        <f>IF($A96="","",MASTER_REGISTER!I93)</f>
        <v/>
      </c>
      <c r="G96" s="16" t="str">
        <f>IF($A96="","",MASTER_REGISTER!J93)</f>
        <v/>
      </c>
      <c r="H96" s="16" t="str">
        <f>IF($A96="","",MASTER_REGISTER!L93)</f>
        <v/>
      </c>
      <c r="I96" s="16" t="str">
        <f>IF($A96="","",MASTER_REGISTER!M93)</f>
        <v/>
      </c>
      <c r="J96" s="15" t="str">
        <f>IF($A96="","",MASTER_REGISTER!N93)</f>
        <v/>
      </c>
    </row>
    <row r="97" spans="1:10" x14ac:dyDescent="0.3">
      <c r="A97" s="15" t="str">
        <f>IF(MASTER_REGISTER!E94="","",MASTER_REGISTER!E94)</f>
        <v/>
      </c>
      <c r="B97" s="15" t="str">
        <f>IF($A97="","",MASTER_REGISTER!F94)</f>
        <v/>
      </c>
      <c r="C97" s="15" t="str">
        <f>IF($A97="","",MASTER_REGISTER!C94)</f>
        <v/>
      </c>
      <c r="D97" s="15" t="str">
        <f>IF($A97="","",MASTER_REGISTER!H94)</f>
        <v/>
      </c>
      <c r="E97" s="15" t="str">
        <f>IF($A97="","",MASTER_REGISTER!G94)</f>
        <v/>
      </c>
      <c r="F97" s="15" t="str">
        <f>IF($A97="","",MASTER_REGISTER!I94)</f>
        <v/>
      </c>
      <c r="G97" s="16" t="str">
        <f>IF($A97="","",MASTER_REGISTER!J94)</f>
        <v/>
      </c>
      <c r="H97" s="16" t="str">
        <f>IF($A97="","",MASTER_REGISTER!L94)</f>
        <v/>
      </c>
      <c r="I97" s="16" t="str">
        <f>IF($A97="","",MASTER_REGISTER!M94)</f>
        <v/>
      </c>
      <c r="J97" s="15" t="str">
        <f>IF($A97="","",MASTER_REGISTER!N94)</f>
        <v/>
      </c>
    </row>
    <row r="98" spans="1:10" x14ac:dyDescent="0.3">
      <c r="A98" s="15" t="str">
        <f>IF(MASTER_REGISTER!E95="","",MASTER_REGISTER!E95)</f>
        <v/>
      </c>
      <c r="B98" s="15" t="str">
        <f>IF($A98="","",MASTER_REGISTER!F95)</f>
        <v/>
      </c>
      <c r="C98" s="15" t="str">
        <f>IF($A98="","",MASTER_REGISTER!C95)</f>
        <v/>
      </c>
      <c r="D98" s="15" t="str">
        <f>IF($A98="","",MASTER_REGISTER!H95)</f>
        <v/>
      </c>
      <c r="E98" s="15" t="str">
        <f>IF($A98="","",MASTER_REGISTER!G95)</f>
        <v/>
      </c>
      <c r="F98" s="15" t="str">
        <f>IF($A98="","",MASTER_REGISTER!I95)</f>
        <v/>
      </c>
      <c r="G98" s="16" t="str">
        <f>IF($A98="","",MASTER_REGISTER!J95)</f>
        <v/>
      </c>
      <c r="H98" s="16" t="str">
        <f>IF($A98="","",MASTER_REGISTER!L95)</f>
        <v/>
      </c>
      <c r="I98" s="16" t="str">
        <f>IF($A98="","",MASTER_REGISTER!M95)</f>
        <v/>
      </c>
      <c r="J98" s="15" t="str">
        <f>IF($A98="","",MASTER_REGISTER!N95)</f>
        <v/>
      </c>
    </row>
    <row r="99" spans="1:10" x14ac:dyDescent="0.3">
      <c r="A99" s="15" t="str">
        <f>IF(MASTER_REGISTER!E96="","",MASTER_REGISTER!E96)</f>
        <v/>
      </c>
      <c r="B99" s="15" t="str">
        <f>IF($A99="","",MASTER_REGISTER!F96)</f>
        <v/>
      </c>
      <c r="C99" s="15" t="str">
        <f>IF($A99="","",MASTER_REGISTER!C96)</f>
        <v/>
      </c>
      <c r="D99" s="15" t="str">
        <f>IF($A99="","",MASTER_REGISTER!H96)</f>
        <v/>
      </c>
      <c r="E99" s="15" t="str">
        <f>IF($A99="","",MASTER_REGISTER!G96)</f>
        <v/>
      </c>
      <c r="F99" s="15" t="str">
        <f>IF($A99="","",MASTER_REGISTER!I96)</f>
        <v/>
      </c>
      <c r="G99" s="16" t="str">
        <f>IF($A99="","",MASTER_REGISTER!J96)</f>
        <v/>
      </c>
      <c r="H99" s="16" t="str">
        <f>IF($A99="","",MASTER_REGISTER!L96)</f>
        <v/>
      </c>
      <c r="I99" s="16" t="str">
        <f>IF($A99="","",MASTER_REGISTER!M96)</f>
        <v/>
      </c>
      <c r="J99" s="15" t="str">
        <f>IF($A99="","",MASTER_REGISTER!N96)</f>
        <v/>
      </c>
    </row>
    <row r="100" spans="1:10" x14ac:dyDescent="0.3">
      <c r="A100" s="15" t="str">
        <f>IF(MASTER_REGISTER!E97="","",MASTER_REGISTER!E97)</f>
        <v/>
      </c>
      <c r="B100" s="15" t="str">
        <f>IF($A100="","",MASTER_REGISTER!F97)</f>
        <v/>
      </c>
      <c r="C100" s="15" t="str">
        <f>IF($A100="","",MASTER_REGISTER!C97)</f>
        <v/>
      </c>
      <c r="D100" s="15" t="str">
        <f>IF($A100="","",MASTER_REGISTER!H97)</f>
        <v/>
      </c>
      <c r="E100" s="15" t="str">
        <f>IF($A100="","",MASTER_REGISTER!G97)</f>
        <v/>
      </c>
      <c r="F100" s="15" t="str">
        <f>IF($A100="","",MASTER_REGISTER!I97)</f>
        <v/>
      </c>
      <c r="G100" s="16" t="str">
        <f>IF($A100="","",MASTER_REGISTER!J97)</f>
        <v/>
      </c>
      <c r="H100" s="16" t="str">
        <f>IF($A100="","",MASTER_REGISTER!L97)</f>
        <v/>
      </c>
      <c r="I100" s="16" t="str">
        <f>IF($A100="","",MASTER_REGISTER!M97)</f>
        <v/>
      </c>
      <c r="J100" s="15" t="str">
        <f>IF($A100="","",MASTER_REGISTER!N97)</f>
        <v/>
      </c>
    </row>
    <row r="101" spans="1:10" x14ac:dyDescent="0.3">
      <c r="A101" s="15" t="str">
        <f>IF(MASTER_REGISTER!E98="","",MASTER_REGISTER!E98)</f>
        <v/>
      </c>
      <c r="B101" s="15" t="str">
        <f>IF($A101="","",MASTER_REGISTER!F98)</f>
        <v/>
      </c>
      <c r="C101" s="15" t="str">
        <f>IF($A101="","",MASTER_REGISTER!C98)</f>
        <v/>
      </c>
      <c r="D101" s="15" t="str">
        <f>IF($A101="","",MASTER_REGISTER!H98)</f>
        <v/>
      </c>
      <c r="E101" s="15" t="str">
        <f>IF($A101="","",MASTER_REGISTER!G98)</f>
        <v/>
      </c>
      <c r="F101" s="15" t="str">
        <f>IF($A101="","",MASTER_REGISTER!I98)</f>
        <v/>
      </c>
      <c r="G101" s="16" t="str">
        <f>IF($A101="","",MASTER_REGISTER!J98)</f>
        <v/>
      </c>
      <c r="H101" s="16" t="str">
        <f>IF($A101="","",MASTER_REGISTER!L98)</f>
        <v/>
      </c>
      <c r="I101" s="16" t="str">
        <f>IF($A101="","",MASTER_REGISTER!M98)</f>
        <v/>
      </c>
      <c r="J101" s="15" t="str">
        <f>IF($A101="","",MASTER_REGISTER!N98)</f>
        <v/>
      </c>
    </row>
    <row r="102" spans="1:10" x14ac:dyDescent="0.3">
      <c r="A102" s="15" t="str">
        <f>IF(MASTER_REGISTER!E99="","",MASTER_REGISTER!E99)</f>
        <v/>
      </c>
      <c r="B102" s="15" t="str">
        <f>IF($A102="","",MASTER_REGISTER!F99)</f>
        <v/>
      </c>
      <c r="C102" s="15" t="str">
        <f>IF($A102="","",MASTER_REGISTER!C99)</f>
        <v/>
      </c>
      <c r="D102" s="15" t="str">
        <f>IF($A102="","",MASTER_REGISTER!H99)</f>
        <v/>
      </c>
      <c r="E102" s="15" t="str">
        <f>IF($A102="","",MASTER_REGISTER!G99)</f>
        <v/>
      </c>
      <c r="F102" s="15" t="str">
        <f>IF($A102="","",MASTER_REGISTER!I99)</f>
        <v/>
      </c>
      <c r="G102" s="16" t="str">
        <f>IF($A102="","",MASTER_REGISTER!J99)</f>
        <v/>
      </c>
      <c r="H102" s="16" t="str">
        <f>IF($A102="","",MASTER_REGISTER!L99)</f>
        <v/>
      </c>
      <c r="I102" s="16" t="str">
        <f>IF($A102="","",MASTER_REGISTER!M99)</f>
        <v/>
      </c>
      <c r="J102" s="15" t="str">
        <f>IF($A102="","",MASTER_REGISTER!N99)</f>
        <v/>
      </c>
    </row>
    <row r="103" spans="1:10" x14ac:dyDescent="0.3">
      <c r="A103" s="15" t="str">
        <f>IF(MASTER_REGISTER!E100="","",MASTER_REGISTER!E100)</f>
        <v/>
      </c>
      <c r="B103" s="15" t="str">
        <f>IF($A103="","",MASTER_REGISTER!F100)</f>
        <v/>
      </c>
      <c r="C103" s="15" t="str">
        <f>IF($A103="","",MASTER_REGISTER!C100)</f>
        <v/>
      </c>
      <c r="D103" s="15" t="str">
        <f>IF($A103="","",MASTER_REGISTER!H100)</f>
        <v/>
      </c>
      <c r="E103" s="15" t="str">
        <f>IF($A103="","",MASTER_REGISTER!G100)</f>
        <v/>
      </c>
      <c r="F103" s="15" t="str">
        <f>IF($A103="","",MASTER_REGISTER!I100)</f>
        <v/>
      </c>
      <c r="G103" s="16" t="str">
        <f>IF($A103="","",MASTER_REGISTER!J100)</f>
        <v/>
      </c>
      <c r="H103" s="16" t="str">
        <f>IF($A103="","",MASTER_REGISTER!L100)</f>
        <v/>
      </c>
      <c r="I103" s="16" t="str">
        <f>IF($A103="","",MASTER_REGISTER!M100)</f>
        <v/>
      </c>
      <c r="J103" s="15" t="str">
        <f>IF($A103="","",MASTER_REGISTER!N100)</f>
        <v/>
      </c>
    </row>
    <row r="104" spans="1:10" x14ac:dyDescent="0.3">
      <c r="A104" s="15" t="str">
        <f>IF(MASTER_REGISTER!E101="","",MASTER_REGISTER!E101)</f>
        <v/>
      </c>
      <c r="B104" s="15" t="str">
        <f>IF($A104="","",MASTER_REGISTER!F101)</f>
        <v/>
      </c>
      <c r="C104" s="15" t="str">
        <f>IF($A104="","",MASTER_REGISTER!C101)</f>
        <v/>
      </c>
      <c r="D104" s="15" t="str">
        <f>IF($A104="","",MASTER_REGISTER!H101)</f>
        <v/>
      </c>
      <c r="E104" s="15" t="str">
        <f>IF($A104="","",MASTER_REGISTER!G101)</f>
        <v/>
      </c>
      <c r="F104" s="15" t="str">
        <f>IF($A104="","",MASTER_REGISTER!I101)</f>
        <v/>
      </c>
      <c r="G104" s="16" t="str">
        <f>IF($A104="","",MASTER_REGISTER!J101)</f>
        <v/>
      </c>
      <c r="H104" s="16" t="str">
        <f>IF($A104="","",MASTER_REGISTER!L101)</f>
        <v/>
      </c>
      <c r="I104" s="16" t="str">
        <f>IF($A104="","",MASTER_REGISTER!M101)</f>
        <v/>
      </c>
      <c r="J104" s="15" t="str">
        <f>IF($A104="","",MASTER_REGISTER!N101)</f>
        <v/>
      </c>
    </row>
    <row r="105" spans="1:10" x14ac:dyDescent="0.3">
      <c r="A105" s="15" t="str">
        <f>IF(MASTER_REGISTER!E102="","",MASTER_REGISTER!E102)</f>
        <v/>
      </c>
      <c r="B105" s="15" t="str">
        <f>IF($A105="","",MASTER_REGISTER!F102)</f>
        <v/>
      </c>
      <c r="C105" s="15" t="str">
        <f>IF($A105="","",MASTER_REGISTER!C102)</f>
        <v/>
      </c>
      <c r="D105" s="15" t="str">
        <f>IF($A105="","",MASTER_REGISTER!H102)</f>
        <v/>
      </c>
      <c r="E105" s="15" t="str">
        <f>IF($A105="","",MASTER_REGISTER!G102)</f>
        <v/>
      </c>
      <c r="F105" s="15" t="str">
        <f>IF($A105="","",MASTER_REGISTER!I102)</f>
        <v/>
      </c>
      <c r="G105" s="16" t="str">
        <f>IF($A105="","",MASTER_REGISTER!J102)</f>
        <v/>
      </c>
      <c r="H105" s="16" t="str">
        <f>IF($A105="","",MASTER_REGISTER!L102)</f>
        <v/>
      </c>
      <c r="I105" s="16" t="str">
        <f>IF($A105="","",MASTER_REGISTER!M102)</f>
        <v/>
      </c>
      <c r="J105" s="15" t="str">
        <f>IF($A105="","",MASTER_REGISTER!N102)</f>
        <v/>
      </c>
    </row>
    <row r="106" spans="1:10" x14ac:dyDescent="0.3">
      <c r="A106" s="15" t="str">
        <f>IF(MASTER_REGISTER!E103="","",MASTER_REGISTER!E103)</f>
        <v/>
      </c>
      <c r="B106" s="15" t="str">
        <f>IF($A106="","",MASTER_REGISTER!F103)</f>
        <v/>
      </c>
      <c r="C106" s="15" t="str">
        <f>IF($A106="","",MASTER_REGISTER!C103)</f>
        <v/>
      </c>
      <c r="D106" s="15" t="str">
        <f>IF($A106="","",MASTER_REGISTER!H103)</f>
        <v/>
      </c>
      <c r="E106" s="15" t="str">
        <f>IF($A106="","",MASTER_REGISTER!G103)</f>
        <v/>
      </c>
      <c r="F106" s="15" t="str">
        <f>IF($A106="","",MASTER_REGISTER!I103)</f>
        <v/>
      </c>
      <c r="G106" s="16" t="str">
        <f>IF($A106="","",MASTER_REGISTER!J103)</f>
        <v/>
      </c>
      <c r="H106" s="16" t="str">
        <f>IF($A106="","",MASTER_REGISTER!L103)</f>
        <v/>
      </c>
      <c r="I106" s="16" t="str">
        <f>IF($A106="","",MASTER_REGISTER!M103)</f>
        <v/>
      </c>
      <c r="J106" s="15" t="str">
        <f>IF($A106="","",MASTER_REGISTER!N103)</f>
        <v/>
      </c>
    </row>
    <row r="107" spans="1:10" x14ac:dyDescent="0.3">
      <c r="A107" s="15" t="str">
        <f>IF(MASTER_REGISTER!E104="","",MASTER_REGISTER!E104)</f>
        <v/>
      </c>
      <c r="B107" s="15" t="str">
        <f>IF($A107="","",MASTER_REGISTER!F104)</f>
        <v/>
      </c>
      <c r="C107" s="15" t="str">
        <f>IF($A107="","",MASTER_REGISTER!C104)</f>
        <v/>
      </c>
      <c r="D107" s="15" t="str">
        <f>IF($A107="","",MASTER_REGISTER!H104)</f>
        <v/>
      </c>
      <c r="E107" s="15" t="str">
        <f>IF($A107="","",MASTER_REGISTER!G104)</f>
        <v/>
      </c>
      <c r="F107" s="15" t="str">
        <f>IF($A107="","",MASTER_REGISTER!I104)</f>
        <v/>
      </c>
      <c r="G107" s="16" t="str">
        <f>IF($A107="","",MASTER_REGISTER!J104)</f>
        <v/>
      </c>
      <c r="H107" s="16" t="str">
        <f>IF($A107="","",MASTER_REGISTER!L104)</f>
        <v/>
      </c>
      <c r="I107" s="16" t="str">
        <f>IF($A107="","",MASTER_REGISTER!M104)</f>
        <v/>
      </c>
      <c r="J107" s="15" t="str">
        <f>IF($A107="","",MASTER_REGISTER!N104)</f>
        <v/>
      </c>
    </row>
    <row r="108" spans="1:10" x14ac:dyDescent="0.3">
      <c r="A108" s="15" t="str">
        <f>IF(MASTER_REGISTER!E105="","",MASTER_REGISTER!E105)</f>
        <v/>
      </c>
      <c r="B108" s="15" t="str">
        <f>IF($A108="","",MASTER_REGISTER!F105)</f>
        <v/>
      </c>
      <c r="C108" s="15" t="str">
        <f>IF($A108="","",MASTER_REGISTER!C105)</f>
        <v/>
      </c>
      <c r="D108" s="15" t="str">
        <f>IF($A108="","",MASTER_REGISTER!H105)</f>
        <v/>
      </c>
      <c r="E108" s="15" t="str">
        <f>IF($A108="","",MASTER_REGISTER!G105)</f>
        <v/>
      </c>
      <c r="F108" s="15" t="str">
        <f>IF($A108="","",MASTER_REGISTER!I105)</f>
        <v/>
      </c>
      <c r="G108" s="16" t="str">
        <f>IF($A108="","",MASTER_REGISTER!J105)</f>
        <v/>
      </c>
      <c r="H108" s="16" t="str">
        <f>IF($A108="","",MASTER_REGISTER!L105)</f>
        <v/>
      </c>
      <c r="I108" s="16" t="str">
        <f>IF($A108="","",MASTER_REGISTER!M105)</f>
        <v/>
      </c>
      <c r="J108" s="15" t="str">
        <f>IF($A108="","",MASTER_REGISTER!N105)</f>
        <v/>
      </c>
    </row>
    <row r="109" spans="1:10" x14ac:dyDescent="0.3">
      <c r="A109" s="15" t="str">
        <f>IF(MASTER_REGISTER!E106="","",MASTER_REGISTER!E106)</f>
        <v/>
      </c>
      <c r="B109" s="15" t="str">
        <f>IF($A109="","",MASTER_REGISTER!F106)</f>
        <v/>
      </c>
      <c r="C109" s="15" t="str">
        <f>IF($A109="","",MASTER_REGISTER!C106)</f>
        <v/>
      </c>
      <c r="D109" s="15" t="str">
        <f>IF($A109="","",MASTER_REGISTER!H106)</f>
        <v/>
      </c>
      <c r="E109" s="15" t="str">
        <f>IF($A109="","",MASTER_REGISTER!G106)</f>
        <v/>
      </c>
      <c r="F109" s="15" t="str">
        <f>IF($A109="","",MASTER_REGISTER!I106)</f>
        <v/>
      </c>
      <c r="G109" s="16" t="str">
        <f>IF($A109="","",MASTER_REGISTER!J106)</f>
        <v/>
      </c>
      <c r="H109" s="16" t="str">
        <f>IF($A109="","",MASTER_REGISTER!L106)</f>
        <v/>
      </c>
      <c r="I109" s="16" t="str">
        <f>IF($A109="","",MASTER_REGISTER!M106)</f>
        <v/>
      </c>
      <c r="J109" s="15" t="str">
        <f>IF($A109="","",MASTER_REGISTER!N106)</f>
        <v/>
      </c>
    </row>
    <row r="110" spans="1:10" x14ac:dyDescent="0.3">
      <c r="A110" s="15" t="str">
        <f>IF(MASTER_REGISTER!E107="","",MASTER_REGISTER!E107)</f>
        <v/>
      </c>
      <c r="B110" s="15" t="str">
        <f>IF($A110="","",MASTER_REGISTER!F107)</f>
        <v/>
      </c>
      <c r="C110" s="15" t="str">
        <f>IF($A110="","",MASTER_REGISTER!C107)</f>
        <v/>
      </c>
      <c r="D110" s="15" t="str">
        <f>IF($A110="","",MASTER_REGISTER!H107)</f>
        <v/>
      </c>
      <c r="E110" s="15" t="str">
        <f>IF($A110="","",MASTER_REGISTER!G107)</f>
        <v/>
      </c>
      <c r="F110" s="15" t="str">
        <f>IF($A110="","",MASTER_REGISTER!I107)</f>
        <v/>
      </c>
      <c r="G110" s="16" t="str">
        <f>IF($A110="","",MASTER_REGISTER!J107)</f>
        <v/>
      </c>
      <c r="H110" s="16" t="str">
        <f>IF($A110="","",MASTER_REGISTER!L107)</f>
        <v/>
      </c>
      <c r="I110" s="16" t="str">
        <f>IF($A110="","",MASTER_REGISTER!M107)</f>
        <v/>
      </c>
      <c r="J110" s="15" t="str">
        <f>IF($A110="","",MASTER_REGISTER!N107)</f>
        <v/>
      </c>
    </row>
    <row r="111" spans="1:10" x14ac:dyDescent="0.3">
      <c r="A111" s="15" t="str">
        <f>IF(MASTER_REGISTER!E108="","",MASTER_REGISTER!E108)</f>
        <v/>
      </c>
      <c r="B111" s="15" t="str">
        <f>IF($A111="","",MASTER_REGISTER!F108)</f>
        <v/>
      </c>
      <c r="C111" s="15" t="str">
        <f>IF($A111="","",MASTER_REGISTER!C108)</f>
        <v/>
      </c>
      <c r="D111" s="15" t="str">
        <f>IF($A111="","",MASTER_REGISTER!H108)</f>
        <v/>
      </c>
      <c r="E111" s="15" t="str">
        <f>IF($A111="","",MASTER_REGISTER!G108)</f>
        <v/>
      </c>
      <c r="F111" s="15" t="str">
        <f>IF($A111="","",MASTER_REGISTER!I108)</f>
        <v/>
      </c>
      <c r="G111" s="16" t="str">
        <f>IF($A111="","",MASTER_REGISTER!J108)</f>
        <v/>
      </c>
      <c r="H111" s="16" t="str">
        <f>IF($A111="","",MASTER_REGISTER!L108)</f>
        <v/>
      </c>
      <c r="I111" s="16" t="str">
        <f>IF($A111="","",MASTER_REGISTER!M108)</f>
        <v/>
      </c>
      <c r="J111" s="15" t="str">
        <f>IF($A111="","",MASTER_REGISTER!N108)</f>
        <v/>
      </c>
    </row>
    <row r="112" spans="1:10" x14ac:dyDescent="0.3">
      <c r="A112" s="15" t="str">
        <f>IF(MASTER_REGISTER!E109="","",MASTER_REGISTER!E109)</f>
        <v/>
      </c>
      <c r="B112" s="15" t="str">
        <f>IF($A112="","",MASTER_REGISTER!F109)</f>
        <v/>
      </c>
      <c r="C112" s="15" t="str">
        <f>IF($A112="","",MASTER_REGISTER!C109)</f>
        <v/>
      </c>
      <c r="D112" s="15" t="str">
        <f>IF($A112="","",MASTER_REGISTER!H109)</f>
        <v/>
      </c>
      <c r="E112" s="15" t="str">
        <f>IF($A112="","",MASTER_REGISTER!G109)</f>
        <v/>
      </c>
      <c r="F112" s="15" t="str">
        <f>IF($A112="","",MASTER_REGISTER!I109)</f>
        <v/>
      </c>
      <c r="G112" s="16" t="str">
        <f>IF($A112="","",MASTER_REGISTER!J109)</f>
        <v/>
      </c>
      <c r="H112" s="16" t="str">
        <f>IF($A112="","",MASTER_REGISTER!L109)</f>
        <v/>
      </c>
      <c r="I112" s="16" t="str">
        <f>IF($A112="","",MASTER_REGISTER!M109)</f>
        <v/>
      </c>
      <c r="J112" s="15" t="str">
        <f>IF($A112="","",MASTER_REGISTER!N109)</f>
        <v/>
      </c>
    </row>
    <row r="113" spans="1:10" x14ac:dyDescent="0.3">
      <c r="A113" s="15" t="str">
        <f>IF(MASTER_REGISTER!E110="","",MASTER_REGISTER!E110)</f>
        <v/>
      </c>
      <c r="B113" s="15" t="str">
        <f>IF($A113="","",MASTER_REGISTER!F110)</f>
        <v/>
      </c>
      <c r="C113" s="15" t="str">
        <f>IF($A113="","",MASTER_REGISTER!C110)</f>
        <v/>
      </c>
      <c r="D113" s="15" t="str">
        <f>IF($A113="","",MASTER_REGISTER!H110)</f>
        <v/>
      </c>
      <c r="E113" s="15" t="str">
        <f>IF($A113="","",MASTER_REGISTER!G110)</f>
        <v/>
      </c>
      <c r="F113" s="15" t="str">
        <f>IF($A113="","",MASTER_REGISTER!I110)</f>
        <v/>
      </c>
      <c r="G113" s="16" t="str">
        <f>IF($A113="","",MASTER_REGISTER!J110)</f>
        <v/>
      </c>
      <c r="H113" s="16" t="str">
        <f>IF($A113="","",MASTER_REGISTER!L110)</f>
        <v/>
      </c>
      <c r="I113" s="16" t="str">
        <f>IF($A113="","",MASTER_REGISTER!M110)</f>
        <v/>
      </c>
      <c r="J113" s="15" t="str">
        <f>IF($A113="","",MASTER_REGISTER!N110)</f>
        <v/>
      </c>
    </row>
    <row r="114" spans="1:10" x14ac:dyDescent="0.3">
      <c r="A114" s="15" t="str">
        <f>IF(MASTER_REGISTER!E111="","",MASTER_REGISTER!E111)</f>
        <v/>
      </c>
      <c r="B114" s="15" t="str">
        <f>IF($A114="","",MASTER_REGISTER!F111)</f>
        <v/>
      </c>
      <c r="C114" s="15" t="str">
        <f>IF($A114="","",MASTER_REGISTER!C111)</f>
        <v/>
      </c>
      <c r="D114" s="15" t="str">
        <f>IF($A114="","",MASTER_REGISTER!H111)</f>
        <v/>
      </c>
      <c r="E114" s="15" t="str">
        <f>IF($A114="","",MASTER_REGISTER!G111)</f>
        <v/>
      </c>
      <c r="F114" s="15" t="str">
        <f>IF($A114="","",MASTER_REGISTER!I111)</f>
        <v/>
      </c>
      <c r="G114" s="16" t="str">
        <f>IF($A114="","",MASTER_REGISTER!J111)</f>
        <v/>
      </c>
      <c r="H114" s="16" t="str">
        <f>IF($A114="","",MASTER_REGISTER!L111)</f>
        <v/>
      </c>
      <c r="I114" s="16" t="str">
        <f>IF($A114="","",MASTER_REGISTER!M111)</f>
        <v/>
      </c>
      <c r="J114" s="15" t="str">
        <f>IF($A114="","",MASTER_REGISTER!N111)</f>
        <v/>
      </c>
    </row>
    <row r="115" spans="1:10" x14ac:dyDescent="0.3">
      <c r="A115" s="15" t="str">
        <f>IF(MASTER_REGISTER!E112="","",MASTER_REGISTER!E112)</f>
        <v/>
      </c>
      <c r="B115" s="15" t="str">
        <f>IF($A115="","",MASTER_REGISTER!F112)</f>
        <v/>
      </c>
      <c r="C115" s="15" t="str">
        <f>IF($A115="","",MASTER_REGISTER!C112)</f>
        <v/>
      </c>
      <c r="D115" s="15" t="str">
        <f>IF($A115="","",MASTER_REGISTER!H112)</f>
        <v/>
      </c>
      <c r="E115" s="15" t="str">
        <f>IF($A115="","",MASTER_REGISTER!G112)</f>
        <v/>
      </c>
      <c r="F115" s="15" t="str">
        <f>IF($A115="","",MASTER_REGISTER!I112)</f>
        <v/>
      </c>
      <c r="G115" s="16" t="str">
        <f>IF($A115="","",MASTER_REGISTER!J112)</f>
        <v/>
      </c>
      <c r="H115" s="16" t="str">
        <f>IF($A115="","",MASTER_REGISTER!L112)</f>
        <v/>
      </c>
      <c r="I115" s="16" t="str">
        <f>IF($A115="","",MASTER_REGISTER!M112)</f>
        <v/>
      </c>
      <c r="J115" s="15" t="str">
        <f>IF($A115="","",MASTER_REGISTER!N112)</f>
        <v/>
      </c>
    </row>
    <row r="116" spans="1:10" x14ac:dyDescent="0.3">
      <c r="A116" s="15" t="str">
        <f>IF(MASTER_REGISTER!E113="","",MASTER_REGISTER!E113)</f>
        <v/>
      </c>
      <c r="B116" s="15" t="str">
        <f>IF($A116="","",MASTER_REGISTER!F113)</f>
        <v/>
      </c>
      <c r="C116" s="15" t="str">
        <f>IF($A116="","",MASTER_REGISTER!C113)</f>
        <v/>
      </c>
      <c r="D116" s="15" t="str">
        <f>IF($A116="","",MASTER_REGISTER!H113)</f>
        <v/>
      </c>
      <c r="E116" s="15" t="str">
        <f>IF($A116="","",MASTER_REGISTER!G113)</f>
        <v/>
      </c>
      <c r="F116" s="15" t="str">
        <f>IF($A116="","",MASTER_REGISTER!I113)</f>
        <v/>
      </c>
      <c r="G116" s="16" t="str">
        <f>IF($A116="","",MASTER_REGISTER!J113)</f>
        <v/>
      </c>
      <c r="H116" s="16" t="str">
        <f>IF($A116="","",MASTER_REGISTER!L113)</f>
        <v/>
      </c>
      <c r="I116" s="16" t="str">
        <f>IF($A116="","",MASTER_REGISTER!M113)</f>
        <v/>
      </c>
      <c r="J116" s="15" t="str">
        <f>IF($A116="","",MASTER_REGISTER!N113)</f>
        <v/>
      </c>
    </row>
    <row r="117" spans="1:10" x14ac:dyDescent="0.3">
      <c r="A117" s="15" t="str">
        <f>IF(MASTER_REGISTER!E114="","",MASTER_REGISTER!E114)</f>
        <v/>
      </c>
      <c r="B117" s="15" t="str">
        <f>IF($A117="","",MASTER_REGISTER!F114)</f>
        <v/>
      </c>
      <c r="C117" s="15" t="str">
        <f>IF($A117="","",MASTER_REGISTER!C114)</f>
        <v/>
      </c>
      <c r="D117" s="15" t="str">
        <f>IF($A117="","",MASTER_REGISTER!H114)</f>
        <v/>
      </c>
      <c r="E117" s="15" t="str">
        <f>IF($A117="","",MASTER_REGISTER!G114)</f>
        <v/>
      </c>
      <c r="F117" s="15" t="str">
        <f>IF($A117="","",MASTER_REGISTER!I114)</f>
        <v/>
      </c>
      <c r="G117" s="16" t="str">
        <f>IF($A117="","",MASTER_REGISTER!J114)</f>
        <v/>
      </c>
      <c r="H117" s="16" t="str">
        <f>IF($A117="","",MASTER_REGISTER!L114)</f>
        <v/>
      </c>
      <c r="I117" s="16" t="str">
        <f>IF($A117="","",MASTER_REGISTER!M114)</f>
        <v/>
      </c>
      <c r="J117" s="15" t="str">
        <f>IF($A117="","",MASTER_REGISTER!N114)</f>
        <v/>
      </c>
    </row>
    <row r="118" spans="1:10" x14ac:dyDescent="0.3">
      <c r="A118" s="15" t="str">
        <f>IF(MASTER_REGISTER!E115="","",MASTER_REGISTER!E115)</f>
        <v/>
      </c>
      <c r="B118" s="15" t="str">
        <f>IF($A118="","",MASTER_REGISTER!F115)</f>
        <v/>
      </c>
      <c r="C118" s="15" t="str">
        <f>IF($A118="","",MASTER_REGISTER!C115)</f>
        <v/>
      </c>
      <c r="D118" s="15" t="str">
        <f>IF($A118="","",MASTER_REGISTER!H115)</f>
        <v/>
      </c>
      <c r="E118" s="15" t="str">
        <f>IF($A118="","",MASTER_REGISTER!G115)</f>
        <v/>
      </c>
      <c r="F118" s="15" t="str">
        <f>IF($A118="","",MASTER_REGISTER!I115)</f>
        <v/>
      </c>
      <c r="G118" s="16" t="str">
        <f>IF($A118="","",MASTER_REGISTER!J115)</f>
        <v/>
      </c>
      <c r="H118" s="16" t="str">
        <f>IF($A118="","",MASTER_REGISTER!L115)</f>
        <v/>
      </c>
      <c r="I118" s="16" t="str">
        <f>IF($A118="","",MASTER_REGISTER!M115)</f>
        <v/>
      </c>
      <c r="J118" s="15" t="str">
        <f>IF($A118="","",MASTER_REGISTER!N115)</f>
        <v/>
      </c>
    </row>
    <row r="119" spans="1:10" x14ac:dyDescent="0.3">
      <c r="A119" s="15" t="str">
        <f>IF(MASTER_REGISTER!E116="","",MASTER_REGISTER!E116)</f>
        <v/>
      </c>
      <c r="B119" s="15" t="str">
        <f>IF($A119="","",MASTER_REGISTER!F116)</f>
        <v/>
      </c>
      <c r="C119" s="15" t="str">
        <f>IF($A119="","",MASTER_REGISTER!C116)</f>
        <v/>
      </c>
      <c r="D119" s="15" t="str">
        <f>IF($A119="","",MASTER_REGISTER!H116)</f>
        <v/>
      </c>
      <c r="E119" s="15" t="str">
        <f>IF($A119="","",MASTER_REGISTER!G116)</f>
        <v/>
      </c>
      <c r="F119" s="15" t="str">
        <f>IF($A119="","",MASTER_REGISTER!I116)</f>
        <v/>
      </c>
      <c r="G119" s="16" t="str">
        <f>IF($A119="","",MASTER_REGISTER!J116)</f>
        <v/>
      </c>
      <c r="H119" s="16" t="str">
        <f>IF($A119="","",MASTER_REGISTER!L116)</f>
        <v/>
      </c>
      <c r="I119" s="16" t="str">
        <f>IF($A119="","",MASTER_REGISTER!M116)</f>
        <v/>
      </c>
      <c r="J119" s="15" t="str">
        <f>IF($A119="","",MASTER_REGISTER!N116)</f>
        <v/>
      </c>
    </row>
    <row r="120" spans="1:10" x14ac:dyDescent="0.3">
      <c r="A120" s="15" t="str">
        <f>IF(MASTER_REGISTER!E117="","",MASTER_REGISTER!E117)</f>
        <v/>
      </c>
      <c r="B120" s="15" t="str">
        <f>IF($A120="","",MASTER_REGISTER!F117)</f>
        <v/>
      </c>
      <c r="C120" s="15" t="str">
        <f>IF($A120="","",MASTER_REGISTER!C117)</f>
        <v/>
      </c>
      <c r="D120" s="15" t="str">
        <f>IF($A120="","",MASTER_REGISTER!H117)</f>
        <v/>
      </c>
      <c r="E120" s="15" t="str">
        <f>IF($A120="","",MASTER_REGISTER!G117)</f>
        <v/>
      </c>
      <c r="F120" s="15" t="str">
        <f>IF($A120="","",MASTER_REGISTER!I117)</f>
        <v/>
      </c>
      <c r="G120" s="16" t="str">
        <f>IF($A120="","",MASTER_REGISTER!J117)</f>
        <v/>
      </c>
      <c r="H120" s="16" t="str">
        <f>IF($A120="","",MASTER_REGISTER!L117)</f>
        <v/>
      </c>
      <c r="I120" s="16" t="str">
        <f>IF($A120="","",MASTER_REGISTER!M117)</f>
        <v/>
      </c>
      <c r="J120" s="15" t="str">
        <f>IF($A120="","",MASTER_REGISTER!N117)</f>
        <v/>
      </c>
    </row>
    <row r="121" spans="1:10" x14ac:dyDescent="0.3">
      <c r="A121" s="15" t="str">
        <f>IF(MASTER_REGISTER!E118="","",MASTER_REGISTER!E118)</f>
        <v/>
      </c>
      <c r="B121" s="15" t="str">
        <f>IF($A121="","",MASTER_REGISTER!F118)</f>
        <v/>
      </c>
      <c r="C121" s="15" t="str">
        <f>IF($A121="","",MASTER_REGISTER!C118)</f>
        <v/>
      </c>
      <c r="D121" s="15" t="str">
        <f>IF($A121="","",MASTER_REGISTER!H118)</f>
        <v/>
      </c>
      <c r="E121" s="15" t="str">
        <f>IF($A121="","",MASTER_REGISTER!G118)</f>
        <v/>
      </c>
      <c r="F121" s="15" t="str">
        <f>IF($A121="","",MASTER_REGISTER!I118)</f>
        <v/>
      </c>
      <c r="G121" s="16" t="str">
        <f>IF($A121="","",MASTER_REGISTER!J118)</f>
        <v/>
      </c>
      <c r="H121" s="16" t="str">
        <f>IF($A121="","",MASTER_REGISTER!L118)</f>
        <v/>
      </c>
      <c r="I121" s="16" t="str">
        <f>IF($A121="","",MASTER_REGISTER!M118)</f>
        <v/>
      </c>
      <c r="J121" s="15" t="str">
        <f>IF($A121="","",MASTER_REGISTER!N118)</f>
        <v/>
      </c>
    </row>
    <row r="122" spans="1:10" x14ac:dyDescent="0.3">
      <c r="A122" s="15" t="str">
        <f>IF(MASTER_REGISTER!E119="","",MASTER_REGISTER!E119)</f>
        <v/>
      </c>
      <c r="B122" s="15" t="str">
        <f>IF($A122="","",MASTER_REGISTER!F119)</f>
        <v/>
      </c>
      <c r="C122" s="15" t="str">
        <f>IF($A122="","",MASTER_REGISTER!C119)</f>
        <v/>
      </c>
      <c r="D122" s="15" t="str">
        <f>IF($A122="","",MASTER_REGISTER!H119)</f>
        <v/>
      </c>
      <c r="E122" s="15" t="str">
        <f>IF($A122="","",MASTER_REGISTER!G119)</f>
        <v/>
      </c>
      <c r="F122" s="15" t="str">
        <f>IF($A122="","",MASTER_REGISTER!I119)</f>
        <v/>
      </c>
      <c r="G122" s="16" t="str">
        <f>IF($A122="","",MASTER_REGISTER!J119)</f>
        <v/>
      </c>
      <c r="H122" s="16" t="str">
        <f>IF($A122="","",MASTER_REGISTER!L119)</f>
        <v/>
      </c>
      <c r="I122" s="16" t="str">
        <f>IF($A122="","",MASTER_REGISTER!M119)</f>
        <v/>
      </c>
      <c r="J122" s="15" t="str">
        <f>IF($A122="","",MASTER_REGISTER!N119)</f>
        <v/>
      </c>
    </row>
    <row r="123" spans="1:10" x14ac:dyDescent="0.3">
      <c r="A123" s="15" t="str">
        <f>IF(MASTER_REGISTER!E120="","",MASTER_REGISTER!E120)</f>
        <v/>
      </c>
      <c r="B123" s="15" t="str">
        <f>IF($A123="","",MASTER_REGISTER!F120)</f>
        <v/>
      </c>
      <c r="C123" s="15" t="str">
        <f>IF($A123="","",MASTER_REGISTER!C120)</f>
        <v/>
      </c>
      <c r="D123" s="15" t="str">
        <f>IF($A123="","",MASTER_REGISTER!H120)</f>
        <v/>
      </c>
      <c r="E123" s="15" t="str">
        <f>IF($A123="","",MASTER_REGISTER!G120)</f>
        <v/>
      </c>
      <c r="F123" s="15" t="str">
        <f>IF($A123="","",MASTER_REGISTER!I120)</f>
        <v/>
      </c>
      <c r="G123" s="16" t="str">
        <f>IF($A123="","",MASTER_REGISTER!J120)</f>
        <v/>
      </c>
      <c r="H123" s="16" t="str">
        <f>IF($A123="","",MASTER_REGISTER!L120)</f>
        <v/>
      </c>
      <c r="I123" s="16" t="str">
        <f>IF($A123="","",MASTER_REGISTER!M120)</f>
        <v/>
      </c>
      <c r="J123" s="15" t="str">
        <f>IF($A123="","",MASTER_REGISTER!N120)</f>
        <v/>
      </c>
    </row>
    <row r="124" spans="1:10" x14ac:dyDescent="0.3">
      <c r="A124" s="15" t="str">
        <f>IF(MASTER_REGISTER!E121="","",MASTER_REGISTER!E121)</f>
        <v/>
      </c>
      <c r="B124" s="15" t="str">
        <f>IF($A124="","",MASTER_REGISTER!F121)</f>
        <v/>
      </c>
      <c r="C124" s="15" t="str">
        <f>IF($A124="","",MASTER_REGISTER!C121)</f>
        <v/>
      </c>
      <c r="D124" s="15" t="str">
        <f>IF($A124="","",MASTER_REGISTER!H121)</f>
        <v/>
      </c>
      <c r="E124" s="15" t="str">
        <f>IF($A124="","",MASTER_REGISTER!G121)</f>
        <v/>
      </c>
      <c r="F124" s="15" t="str">
        <f>IF($A124="","",MASTER_REGISTER!I121)</f>
        <v/>
      </c>
      <c r="G124" s="16" t="str">
        <f>IF($A124="","",MASTER_REGISTER!J121)</f>
        <v/>
      </c>
      <c r="H124" s="16" t="str">
        <f>IF($A124="","",MASTER_REGISTER!L121)</f>
        <v/>
      </c>
      <c r="I124" s="16" t="str">
        <f>IF($A124="","",MASTER_REGISTER!M121)</f>
        <v/>
      </c>
      <c r="J124" s="15" t="str">
        <f>IF($A124="","",MASTER_REGISTER!N121)</f>
        <v/>
      </c>
    </row>
    <row r="125" spans="1:10" x14ac:dyDescent="0.3">
      <c r="A125" s="15" t="str">
        <f>IF(MASTER_REGISTER!E122="","",MASTER_REGISTER!E122)</f>
        <v/>
      </c>
      <c r="B125" s="15" t="str">
        <f>IF($A125="","",MASTER_REGISTER!F122)</f>
        <v/>
      </c>
      <c r="C125" s="15" t="str">
        <f>IF($A125="","",MASTER_REGISTER!C122)</f>
        <v/>
      </c>
      <c r="D125" s="15" t="str">
        <f>IF($A125="","",MASTER_REGISTER!H122)</f>
        <v/>
      </c>
      <c r="E125" s="15" t="str">
        <f>IF($A125="","",MASTER_REGISTER!G122)</f>
        <v/>
      </c>
      <c r="F125" s="15" t="str">
        <f>IF($A125="","",MASTER_REGISTER!I122)</f>
        <v/>
      </c>
      <c r="G125" s="16" t="str">
        <f>IF($A125="","",MASTER_REGISTER!J122)</f>
        <v/>
      </c>
      <c r="H125" s="16" t="str">
        <f>IF($A125="","",MASTER_REGISTER!L122)</f>
        <v/>
      </c>
      <c r="I125" s="16" t="str">
        <f>IF($A125="","",MASTER_REGISTER!M122)</f>
        <v/>
      </c>
      <c r="J125" s="15" t="str">
        <f>IF($A125="","",MASTER_REGISTER!N122)</f>
        <v/>
      </c>
    </row>
    <row r="126" spans="1:10" x14ac:dyDescent="0.3">
      <c r="A126" s="15" t="str">
        <f>IF(MASTER_REGISTER!E123="","",MASTER_REGISTER!E123)</f>
        <v/>
      </c>
      <c r="B126" s="15" t="str">
        <f>IF($A126="","",MASTER_REGISTER!F123)</f>
        <v/>
      </c>
      <c r="C126" s="15" t="str">
        <f>IF($A126="","",MASTER_REGISTER!C123)</f>
        <v/>
      </c>
      <c r="D126" s="15" t="str">
        <f>IF($A126="","",MASTER_REGISTER!H123)</f>
        <v/>
      </c>
      <c r="E126" s="15" t="str">
        <f>IF($A126="","",MASTER_REGISTER!G123)</f>
        <v/>
      </c>
      <c r="F126" s="15" t="str">
        <f>IF($A126="","",MASTER_REGISTER!I123)</f>
        <v/>
      </c>
      <c r="G126" s="16" t="str">
        <f>IF($A126="","",MASTER_REGISTER!J123)</f>
        <v/>
      </c>
      <c r="H126" s="16" t="str">
        <f>IF($A126="","",MASTER_REGISTER!L123)</f>
        <v/>
      </c>
      <c r="I126" s="16" t="str">
        <f>IF($A126="","",MASTER_REGISTER!M123)</f>
        <v/>
      </c>
      <c r="J126" s="15" t="str">
        <f>IF($A126="","",MASTER_REGISTER!N123)</f>
        <v/>
      </c>
    </row>
    <row r="127" spans="1:10" x14ac:dyDescent="0.3">
      <c r="A127" s="15" t="str">
        <f>IF(MASTER_REGISTER!E124="","",MASTER_REGISTER!E124)</f>
        <v/>
      </c>
      <c r="B127" s="15" t="str">
        <f>IF($A127="","",MASTER_REGISTER!F124)</f>
        <v/>
      </c>
      <c r="C127" s="15" t="str">
        <f>IF($A127="","",MASTER_REGISTER!C124)</f>
        <v/>
      </c>
      <c r="D127" s="15" t="str">
        <f>IF($A127="","",MASTER_REGISTER!H124)</f>
        <v/>
      </c>
      <c r="E127" s="15" t="str">
        <f>IF($A127="","",MASTER_REGISTER!G124)</f>
        <v/>
      </c>
      <c r="F127" s="15" t="str">
        <f>IF($A127="","",MASTER_REGISTER!I124)</f>
        <v/>
      </c>
      <c r="G127" s="16" t="str">
        <f>IF($A127="","",MASTER_REGISTER!J124)</f>
        <v/>
      </c>
      <c r="H127" s="16" t="str">
        <f>IF($A127="","",MASTER_REGISTER!L124)</f>
        <v/>
      </c>
      <c r="I127" s="16" t="str">
        <f>IF($A127="","",MASTER_REGISTER!M124)</f>
        <v/>
      </c>
      <c r="J127" s="15" t="str">
        <f>IF($A127="","",MASTER_REGISTER!N124)</f>
        <v/>
      </c>
    </row>
    <row r="128" spans="1:10" x14ac:dyDescent="0.3">
      <c r="A128" s="15" t="str">
        <f>IF(MASTER_REGISTER!E125="","",MASTER_REGISTER!E125)</f>
        <v/>
      </c>
      <c r="B128" s="15" t="str">
        <f>IF($A128="","",MASTER_REGISTER!F125)</f>
        <v/>
      </c>
      <c r="C128" s="15" t="str">
        <f>IF($A128="","",MASTER_REGISTER!C125)</f>
        <v/>
      </c>
      <c r="D128" s="15" t="str">
        <f>IF($A128="","",MASTER_REGISTER!H125)</f>
        <v/>
      </c>
      <c r="E128" s="15" t="str">
        <f>IF($A128="","",MASTER_REGISTER!G125)</f>
        <v/>
      </c>
      <c r="F128" s="15" t="str">
        <f>IF($A128="","",MASTER_REGISTER!I125)</f>
        <v/>
      </c>
      <c r="G128" s="16" t="str">
        <f>IF($A128="","",MASTER_REGISTER!J125)</f>
        <v/>
      </c>
      <c r="H128" s="16" t="str">
        <f>IF($A128="","",MASTER_REGISTER!L125)</f>
        <v/>
      </c>
      <c r="I128" s="16" t="str">
        <f>IF($A128="","",MASTER_REGISTER!M125)</f>
        <v/>
      </c>
      <c r="J128" s="15" t="str">
        <f>IF($A128="","",MASTER_REGISTER!N125)</f>
        <v/>
      </c>
    </row>
    <row r="129" spans="1:10" x14ac:dyDescent="0.3">
      <c r="A129" s="15" t="str">
        <f>IF(MASTER_REGISTER!E126="","",MASTER_REGISTER!E126)</f>
        <v/>
      </c>
      <c r="B129" s="15" t="str">
        <f>IF($A129="","",MASTER_REGISTER!F126)</f>
        <v/>
      </c>
      <c r="C129" s="15" t="str">
        <f>IF($A129="","",MASTER_REGISTER!C126)</f>
        <v/>
      </c>
      <c r="D129" s="15" t="str">
        <f>IF($A129="","",MASTER_REGISTER!H126)</f>
        <v/>
      </c>
      <c r="E129" s="15" t="str">
        <f>IF($A129="","",MASTER_REGISTER!G126)</f>
        <v/>
      </c>
      <c r="F129" s="15" t="str">
        <f>IF($A129="","",MASTER_REGISTER!I126)</f>
        <v/>
      </c>
      <c r="G129" s="16" t="str">
        <f>IF($A129="","",MASTER_REGISTER!J126)</f>
        <v/>
      </c>
      <c r="H129" s="16" t="str">
        <f>IF($A129="","",MASTER_REGISTER!L126)</f>
        <v/>
      </c>
      <c r="I129" s="16" t="str">
        <f>IF($A129="","",MASTER_REGISTER!M126)</f>
        <v/>
      </c>
      <c r="J129" s="15" t="str">
        <f>IF($A129="","",MASTER_REGISTER!N126)</f>
        <v/>
      </c>
    </row>
    <row r="130" spans="1:10" x14ac:dyDescent="0.3">
      <c r="A130" s="15" t="str">
        <f>IF(MASTER_REGISTER!E127="","",MASTER_REGISTER!E127)</f>
        <v/>
      </c>
      <c r="B130" s="15" t="str">
        <f>IF($A130="","",MASTER_REGISTER!F127)</f>
        <v/>
      </c>
      <c r="C130" s="15" t="str">
        <f>IF($A130="","",MASTER_REGISTER!C127)</f>
        <v/>
      </c>
      <c r="D130" s="15" t="str">
        <f>IF($A130="","",MASTER_REGISTER!H127)</f>
        <v/>
      </c>
      <c r="E130" s="15" t="str">
        <f>IF($A130="","",MASTER_REGISTER!G127)</f>
        <v/>
      </c>
      <c r="F130" s="15" t="str">
        <f>IF($A130="","",MASTER_REGISTER!I127)</f>
        <v/>
      </c>
      <c r="G130" s="16" t="str">
        <f>IF($A130="","",MASTER_REGISTER!J127)</f>
        <v/>
      </c>
      <c r="H130" s="16" t="str">
        <f>IF($A130="","",MASTER_REGISTER!L127)</f>
        <v/>
      </c>
      <c r="I130" s="16" t="str">
        <f>IF($A130="","",MASTER_REGISTER!M127)</f>
        <v/>
      </c>
      <c r="J130" s="15" t="str">
        <f>IF($A130="","",MASTER_REGISTER!N127)</f>
        <v/>
      </c>
    </row>
    <row r="131" spans="1:10" x14ac:dyDescent="0.3">
      <c r="A131" s="15" t="str">
        <f>IF(MASTER_REGISTER!E128="","",MASTER_REGISTER!E128)</f>
        <v/>
      </c>
      <c r="B131" s="15" t="str">
        <f>IF($A131="","",MASTER_REGISTER!F128)</f>
        <v/>
      </c>
      <c r="C131" s="15" t="str">
        <f>IF($A131="","",MASTER_REGISTER!C128)</f>
        <v/>
      </c>
      <c r="D131" s="15" t="str">
        <f>IF($A131="","",MASTER_REGISTER!H128)</f>
        <v/>
      </c>
      <c r="E131" s="15" t="str">
        <f>IF($A131="","",MASTER_REGISTER!G128)</f>
        <v/>
      </c>
      <c r="F131" s="15" t="str">
        <f>IF($A131="","",MASTER_REGISTER!I128)</f>
        <v/>
      </c>
      <c r="G131" s="16" t="str">
        <f>IF($A131="","",MASTER_REGISTER!J128)</f>
        <v/>
      </c>
      <c r="H131" s="16" t="str">
        <f>IF($A131="","",MASTER_REGISTER!L128)</f>
        <v/>
      </c>
      <c r="I131" s="16" t="str">
        <f>IF($A131="","",MASTER_REGISTER!M128)</f>
        <v/>
      </c>
      <c r="J131" s="15" t="str">
        <f>IF($A131="","",MASTER_REGISTER!N128)</f>
        <v/>
      </c>
    </row>
    <row r="132" spans="1:10" x14ac:dyDescent="0.3">
      <c r="A132" s="15" t="str">
        <f>IF(MASTER_REGISTER!E129="","",MASTER_REGISTER!E129)</f>
        <v/>
      </c>
      <c r="B132" s="15" t="str">
        <f>IF($A132="","",MASTER_REGISTER!F129)</f>
        <v/>
      </c>
      <c r="C132" s="15" t="str">
        <f>IF($A132="","",MASTER_REGISTER!C129)</f>
        <v/>
      </c>
      <c r="D132" s="15" t="str">
        <f>IF($A132="","",MASTER_REGISTER!H129)</f>
        <v/>
      </c>
      <c r="E132" s="15" t="str">
        <f>IF($A132="","",MASTER_REGISTER!G129)</f>
        <v/>
      </c>
      <c r="F132" s="15" t="str">
        <f>IF($A132="","",MASTER_REGISTER!I129)</f>
        <v/>
      </c>
      <c r="G132" s="16" t="str">
        <f>IF($A132="","",MASTER_REGISTER!J129)</f>
        <v/>
      </c>
      <c r="H132" s="16" t="str">
        <f>IF($A132="","",MASTER_REGISTER!L129)</f>
        <v/>
      </c>
      <c r="I132" s="16" t="str">
        <f>IF($A132="","",MASTER_REGISTER!M129)</f>
        <v/>
      </c>
      <c r="J132" s="15" t="str">
        <f>IF($A132="","",MASTER_REGISTER!N129)</f>
        <v/>
      </c>
    </row>
    <row r="133" spans="1:10" x14ac:dyDescent="0.3">
      <c r="A133" s="15" t="str">
        <f>IF(MASTER_REGISTER!E130="","",MASTER_REGISTER!E130)</f>
        <v/>
      </c>
      <c r="B133" s="15" t="str">
        <f>IF($A133="","",MASTER_REGISTER!F130)</f>
        <v/>
      </c>
      <c r="C133" s="15" t="str">
        <f>IF($A133="","",MASTER_REGISTER!C130)</f>
        <v/>
      </c>
      <c r="D133" s="15" t="str">
        <f>IF($A133="","",MASTER_REGISTER!H130)</f>
        <v/>
      </c>
      <c r="E133" s="15" t="str">
        <f>IF($A133="","",MASTER_REGISTER!G130)</f>
        <v/>
      </c>
      <c r="F133" s="15" t="str">
        <f>IF($A133="","",MASTER_REGISTER!I130)</f>
        <v/>
      </c>
      <c r="G133" s="16" t="str">
        <f>IF($A133="","",MASTER_REGISTER!J130)</f>
        <v/>
      </c>
      <c r="H133" s="16" t="str">
        <f>IF($A133="","",MASTER_REGISTER!L130)</f>
        <v/>
      </c>
      <c r="I133" s="16" t="str">
        <f>IF($A133="","",MASTER_REGISTER!M130)</f>
        <v/>
      </c>
      <c r="J133" s="15" t="str">
        <f>IF($A133="","",MASTER_REGISTER!N130)</f>
        <v/>
      </c>
    </row>
    <row r="134" spans="1:10" x14ac:dyDescent="0.3">
      <c r="A134" s="15" t="str">
        <f>IF(MASTER_REGISTER!E131="","",MASTER_REGISTER!E131)</f>
        <v/>
      </c>
      <c r="B134" s="15" t="str">
        <f>IF($A134="","",MASTER_REGISTER!F131)</f>
        <v/>
      </c>
      <c r="C134" s="15" t="str">
        <f>IF($A134="","",MASTER_REGISTER!C131)</f>
        <v/>
      </c>
      <c r="D134" s="15" t="str">
        <f>IF($A134="","",MASTER_REGISTER!H131)</f>
        <v/>
      </c>
      <c r="E134" s="15" t="str">
        <f>IF($A134="","",MASTER_REGISTER!G131)</f>
        <v/>
      </c>
      <c r="F134" s="15" t="str">
        <f>IF($A134="","",MASTER_REGISTER!I131)</f>
        <v/>
      </c>
      <c r="G134" s="16" t="str">
        <f>IF($A134="","",MASTER_REGISTER!J131)</f>
        <v/>
      </c>
      <c r="H134" s="16" t="str">
        <f>IF($A134="","",MASTER_REGISTER!L131)</f>
        <v/>
      </c>
      <c r="I134" s="16" t="str">
        <f>IF($A134="","",MASTER_REGISTER!M131)</f>
        <v/>
      </c>
      <c r="J134" s="15" t="str">
        <f>IF($A134="","",MASTER_REGISTER!N131)</f>
        <v/>
      </c>
    </row>
    <row r="135" spans="1:10" x14ac:dyDescent="0.3">
      <c r="A135" s="15" t="str">
        <f>IF(MASTER_REGISTER!E132="","",MASTER_REGISTER!E132)</f>
        <v/>
      </c>
      <c r="B135" s="15" t="str">
        <f>IF($A135="","",MASTER_REGISTER!F132)</f>
        <v/>
      </c>
      <c r="C135" s="15" t="str">
        <f>IF($A135="","",MASTER_REGISTER!C132)</f>
        <v/>
      </c>
      <c r="D135" s="15" t="str">
        <f>IF($A135="","",MASTER_REGISTER!H132)</f>
        <v/>
      </c>
      <c r="E135" s="15" t="str">
        <f>IF($A135="","",MASTER_REGISTER!G132)</f>
        <v/>
      </c>
      <c r="F135" s="15" t="str">
        <f>IF($A135="","",MASTER_REGISTER!I132)</f>
        <v/>
      </c>
      <c r="G135" s="16" t="str">
        <f>IF($A135="","",MASTER_REGISTER!J132)</f>
        <v/>
      </c>
      <c r="H135" s="16" t="str">
        <f>IF($A135="","",MASTER_REGISTER!L132)</f>
        <v/>
      </c>
      <c r="I135" s="16" t="str">
        <f>IF($A135="","",MASTER_REGISTER!M132)</f>
        <v/>
      </c>
      <c r="J135" s="15" t="str">
        <f>IF($A135="","",MASTER_REGISTER!N132)</f>
        <v/>
      </c>
    </row>
    <row r="136" spans="1:10" x14ac:dyDescent="0.3">
      <c r="A136" s="15" t="str">
        <f>IF(MASTER_REGISTER!E133="","",MASTER_REGISTER!E133)</f>
        <v/>
      </c>
      <c r="B136" s="15" t="str">
        <f>IF($A136="","",MASTER_REGISTER!F133)</f>
        <v/>
      </c>
      <c r="C136" s="15" t="str">
        <f>IF($A136="","",MASTER_REGISTER!C133)</f>
        <v/>
      </c>
      <c r="D136" s="15" t="str">
        <f>IF($A136="","",MASTER_REGISTER!H133)</f>
        <v/>
      </c>
      <c r="E136" s="15" t="str">
        <f>IF($A136="","",MASTER_REGISTER!G133)</f>
        <v/>
      </c>
      <c r="F136" s="15" t="str">
        <f>IF($A136="","",MASTER_REGISTER!I133)</f>
        <v/>
      </c>
      <c r="G136" s="16" t="str">
        <f>IF($A136="","",MASTER_REGISTER!J133)</f>
        <v/>
      </c>
      <c r="H136" s="16" t="str">
        <f>IF($A136="","",MASTER_REGISTER!L133)</f>
        <v/>
      </c>
      <c r="I136" s="16" t="str">
        <f>IF($A136="","",MASTER_REGISTER!M133)</f>
        <v/>
      </c>
      <c r="J136" s="15" t="str">
        <f>IF($A136="","",MASTER_REGISTER!N133)</f>
        <v/>
      </c>
    </row>
    <row r="137" spans="1:10" x14ac:dyDescent="0.3">
      <c r="A137" s="15" t="str">
        <f>IF(MASTER_REGISTER!E134="","",MASTER_REGISTER!E134)</f>
        <v/>
      </c>
      <c r="B137" s="15" t="str">
        <f>IF($A137="","",MASTER_REGISTER!F134)</f>
        <v/>
      </c>
      <c r="C137" s="15" t="str">
        <f>IF($A137="","",MASTER_REGISTER!C134)</f>
        <v/>
      </c>
      <c r="D137" s="15" t="str">
        <f>IF($A137="","",MASTER_REGISTER!H134)</f>
        <v/>
      </c>
      <c r="E137" s="15" t="str">
        <f>IF($A137="","",MASTER_REGISTER!G134)</f>
        <v/>
      </c>
      <c r="F137" s="15" t="str">
        <f>IF($A137="","",MASTER_REGISTER!I134)</f>
        <v/>
      </c>
      <c r="G137" s="16" t="str">
        <f>IF($A137="","",MASTER_REGISTER!J134)</f>
        <v/>
      </c>
      <c r="H137" s="16" t="str">
        <f>IF($A137="","",MASTER_REGISTER!L134)</f>
        <v/>
      </c>
      <c r="I137" s="16" t="str">
        <f>IF($A137="","",MASTER_REGISTER!M134)</f>
        <v/>
      </c>
      <c r="J137" s="15" t="str">
        <f>IF($A137="","",MASTER_REGISTER!N134)</f>
        <v/>
      </c>
    </row>
    <row r="138" spans="1:10" x14ac:dyDescent="0.3">
      <c r="A138" s="15" t="str">
        <f>IF(MASTER_REGISTER!E135="","",MASTER_REGISTER!E135)</f>
        <v/>
      </c>
      <c r="B138" s="15" t="str">
        <f>IF($A138="","",MASTER_REGISTER!F135)</f>
        <v/>
      </c>
      <c r="C138" s="15" t="str">
        <f>IF($A138="","",MASTER_REGISTER!C135)</f>
        <v/>
      </c>
      <c r="D138" s="15" t="str">
        <f>IF($A138="","",MASTER_REGISTER!H135)</f>
        <v/>
      </c>
      <c r="E138" s="15" t="str">
        <f>IF($A138="","",MASTER_REGISTER!G135)</f>
        <v/>
      </c>
      <c r="F138" s="15" t="str">
        <f>IF($A138="","",MASTER_REGISTER!I135)</f>
        <v/>
      </c>
      <c r="G138" s="16" t="str">
        <f>IF($A138="","",MASTER_REGISTER!J135)</f>
        <v/>
      </c>
      <c r="H138" s="16" t="str">
        <f>IF($A138="","",MASTER_REGISTER!L135)</f>
        <v/>
      </c>
      <c r="I138" s="16" t="str">
        <f>IF($A138="","",MASTER_REGISTER!M135)</f>
        <v/>
      </c>
      <c r="J138" s="15" t="str">
        <f>IF($A138="","",MASTER_REGISTER!N135)</f>
        <v/>
      </c>
    </row>
    <row r="139" spans="1:10" x14ac:dyDescent="0.3">
      <c r="A139" s="15" t="str">
        <f>IF(MASTER_REGISTER!E136="","",MASTER_REGISTER!E136)</f>
        <v/>
      </c>
      <c r="B139" s="15" t="str">
        <f>IF($A139="","",MASTER_REGISTER!F136)</f>
        <v/>
      </c>
      <c r="C139" s="15" t="str">
        <f>IF($A139="","",MASTER_REGISTER!C136)</f>
        <v/>
      </c>
      <c r="D139" s="15" t="str">
        <f>IF($A139="","",MASTER_REGISTER!H136)</f>
        <v/>
      </c>
      <c r="E139" s="15" t="str">
        <f>IF($A139="","",MASTER_REGISTER!G136)</f>
        <v/>
      </c>
      <c r="F139" s="15" t="str">
        <f>IF($A139="","",MASTER_REGISTER!I136)</f>
        <v/>
      </c>
      <c r="G139" s="16" t="str">
        <f>IF($A139="","",MASTER_REGISTER!J136)</f>
        <v/>
      </c>
      <c r="H139" s="16" t="str">
        <f>IF($A139="","",MASTER_REGISTER!L136)</f>
        <v/>
      </c>
      <c r="I139" s="16" t="str">
        <f>IF($A139="","",MASTER_REGISTER!M136)</f>
        <v/>
      </c>
      <c r="J139" s="15" t="str">
        <f>IF($A139="","",MASTER_REGISTER!N136)</f>
        <v/>
      </c>
    </row>
    <row r="140" spans="1:10" x14ac:dyDescent="0.3">
      <c r="A140" s="15" t="str">
        <f>IF(MASTER_REGISTER!E137="","",MASTER_REGISTER!E137)</f>
        <v/>
      </c>
      <c r="B140" s="15" t="str">
        <f>IF($A140="","",MASTER_REGISTER!F137)</f>
        <v/>
      </c>
      <c r="C140" s="15" t="str">
        <f>IF($A140="","",MASTER_REGISTER!C137)</f>
        <v/>
      </c>
      <c r="D140" s="15" t="str">
        <f>IF($A140="","",MASTER_REGISTER!H137)</f>
        <v/>
      </c>
      <c r="E140" s="15" t="str">
        <f>IF($A140="","",MASTER_REGISTER!G137)</f>
        <v/>
      </c>
      <c r="F140" s="15" t="str">
        <f>IF($A140="","",MASTER_REGISTER!I137)</f>
        <v/>
      </c>
      <c r="G140" s="16" t="str">
        <f>IF($A140="","",MASTER_REGISTER!J137)</f>
        <v/>
      </c>
      <c r="H140" s="16" t="str">
        <f>IF($A140="","",MASTER_REGISTER!L137)</f>
        <v/>
      </c>
      <c r="I140" s="16" t="str">
        <f>IF($A140="","",MASTER_REGISTER!M137)</f>
        <v/>
      </c>
      <c r="J140" s="15" t="str">
        <f>IF($A140="","",MASTER_REGISTER!N137)</f>
        <v/>
      </c>
    </row>
    <row r="141" spans="1:10" x14ac:dyDescent="0.3">
      <c r="A141" s="15" t="str">
        <f>IF(MASTER_REGISTER!E138="","",MASTER_REGISTER!E138)</f>
        <v/>
      </c>
      <c r="B141" s="15" t="str">
        <f>IF($A141="","",MASTER_REGISTER!F138)</f>
        <v/>
      </c>
      <c r="C141" s="15" t="str">
        <f>IF($A141="","",MASTER_REGISTER!C138)</f>
        <v/>
      </c>
      <c r="D141" s="15" t="str">
        <f>IF($A141="","",MASTER_REGISTER!H138)</f>
        <v/>
      </c>
      <c r="E141" s="15" t="str">
        <f>IF($A141="","",MASTER_REGISTER!G138)</f>
        <v/>
      </c>
      <c r="F141" s="15" t="str">
        <f>IF($A141="","",MASTER_REGISTER!I138)</f>
        <v/>
      </c>
      <c r="G141" s="16" t="str">
        <f>IF($A141="","",MASTER_REGISTER!J138)</f>
        <v/>
      </c>
      <c r="H141" s="16" t="str">
        <f>IF($A141="","",MASTER_REGISTER!L138)</f>
        <v/>
      </c>
      <c r="I141" s="16" t="str">
        <f>IF($A141="","",MASTER_REGISTER!M138)</f>
        <v/>
      </c>
      <c r="J141" s="15" t="str">
        <f>IF($A141="","",MASTER_REGISTER!N138)</f>
        <v/>
      </c>
    </row>
    <row r="142" spans="1:10" x14ac:dyDescent="0.3">
      <c r="A142" s="15" t="str">
        <f>IF(MASTER_REGISTER!E139="","",MASTER_REGISTER!E139)</f>
        <v/>
      </c>
      <c r="B142" s="15" t="str">
        <f>IF($A142="","",MASTER_REGISTER!F139)</f>
        <v/>
      </c>
      <c r="C142" s="15" t="str">
        <f>IF($A142="","",MASTER_REGISTER!C139)</f>
        <v/>
      </c>
      <c r="D142" s="15" t="str">
        <f>IF($A142="","",MASTER_REGISTER!H139)</f>
        <v/>
      </c>
      <c r="E142" s="15" t="str">
        <f>IF($A142="","",MASTER_REGISTER!G139)</f>
        <v/>
      </c>
      <c r="F142" s="15" t="str">
        <f>IF($A142="","",MASTER_REGISTER!I139)</f>
        <v/>
      </c>
      <c r="G142" s="16" t="str">
        <f>IF($A142="","",MASTER_REGISTER!J139)</f>
        <v/>
      </c>
      <c r="H142" s="16" t="str">
        <f>IF($A142="","",MASTER_REGISTER!L139)</f>
        <v/>
      </c>
      <c r="I142" s="16" t="str">
        <f>IF($A142="","",MASTER_REGISTER!M139)</f>
        <v/>
      </c>
      <c r="J142" s="15" t="str">
        <f>IF($A142="","",MASTER_REGISTER!N139)</f>
        <v/>
      </c>
    </row>
    <row r="143" spans="1:10" x14ac:dyDescent="0.3">
      <c r="A143" s="15" t="str">
        <f>IF(MASTER_REGISTER!E140="","",MASTER_REGISTER!E140)</f>
        <v/>
      </c>
      <c r="B143" s="15" t="str">
        <f>IF($A143="","",MASTER_REGISTER!F140)</f>
        <v/>
      </c>
      <c r="C143" s="15" t="str">
        <f>IF($A143="","",MASTER_REGISTER!C140)</f>
        <v/>
      </c>
      <c r="D143" s="15" t="str">
        <f>IF($A143="","",MASTER_REGISTER!H140)</f>
        <v/>
      </c>
      <c r="E143" s="15" t="str">
        <f>IF($A143="","",MASTER_REGISTER!G140)</f>
        <v/>
      </c>
      <c r="F143" s="15" t="str">
        <f>IF($A143="","",MASTER_REGISTER!I140)</f>
        <v/>
      </c>
      <c r="G143" s="16" t="str">
        <f>IF($A143="","",MASTER_REGISTER!J140)</f>
        <v/>
      </c>
      <c r="H143" s="16" t="str">
        <f>IF($A143="","",MASTER_REGISTER!L140)</f>
        <v/>
      </c>
      <c r="I143" s="16" t="str">
        <f>IF($A143="","",MASTER_REGISTER!M140)</f>
        <v/>
      </c>
      <c r="J143" s="15" t="str">
        <f>IF($A143="","",MASTER_REGISTER!N140)</f>
        <v/>
      </c>
    </row>
    <row r="144" spans="1:10" x14ac:dyDescent="0.3">
      <c r="A144" s="15" t="str">
        <f>IF(MASTER_REGISTER!E141="","",MASTER_REGISTER!E141)</f>
        <v/>
      </c>
      <c r="B144" s="15" t="str">
        <f>IF($A144="","",MASTER_REGISTER!F141)</f>
        <v/>
      </c>
      <c r="C144" s="15" t="str">
        <f>IF($A144="","",MASTER_REGISTER!C141)</f>
        <v/>
      </c>
      <c r="D144" s="15" t="str">
        <f>IF($A144="","",MASTER_REGISTER!H141)</f>
        <v/>
      </c>
      <c r="E144" s="15" t="str">
        <f>IF($A144="","",MASTER_REGISTER!G141)</f>
        <v/>
      </c>
      <c r="F144" s="15" t="str">
        <f>IF($A144="","",MASTER_REGISTER!I141)</f>
        <v/>
      </c>
      <c r="G144" s="16" t="str">
        <f>IF($A144="","",MASTER_REGISTER!J141)</f>
        <v/>
      </c>
      <c r="H144" s="16" t="str">
        <f>IF($A144="","",MASTER_REGISTER!L141)</f>
        <v/>
      </c>
      <c r="I144" s="16" t="str">
        <f>IF($A144="","",MASTER_REGISTER!M141)</f>
        <v/>
      </c>
      <c r="J144" s="15" t="str">
        <f>IF($A144="","",MASTER_REGISTER!N141)</f>
        <v/>
      </c>
    </row>
    <row r="145" spans="1:10" x14ac:dyDescent="0.3">
      <c r="A145" s="15" t="str">
        <f>IF(MASTER_REGISTER!E142="","",MASTER_REGISTER!E142)</f>
        <v/>
      </c>
      <c r="B145" s="15" t="str">
        <f>IF($A145="","",MASTER_REGISTER!F142)</f>
        <v/>
      </c>
      <c r="C145" s="15" t="str">
        <f>IF($A145="","",MASTER_REGISTER!C142)</f>
        <v/>
      </c>
      <c r="D145" s="15" t="str">
        <f>IF($A145="","",MASTER_REGISTER!H142)</f>
        <v/>
      </c>
      <c r="E145" s="15" t="str">
        <f>IF($A145="","",MASTER_REGISTER!G142)</f>
        <v/>
      </c>
      <c r="F145" s="15" t="str">
        <f>IF($A145="","",MASTER_REGISTER!I142)</f>
        <v/>
      </c>
      <c r="G145" s="16" t="str">
        <f>IF($A145="","",MASTER_REGISTER!J142)</f>
        <v/>
      </c>
      <c r="H145" s="16" t="str">
        <f>IF($A145="","",MASTER_REGISTER!L142)</f>
        <v/>
      </c>
      <c r="I145" s="16" t="str">
        <f>IF($A145="","",MASTER_REGISTER!M142)</f>
        <v/>
      </c>
      <c r="J145" s="15" t="str">
        <f>IF($A145="","",MASTER_REGISTER!N142)</f>
        <v/>
      </c>
    </row>
    <row r="146" spans="1:10" x14ac:dyDescent="0.3">
      <c r="A146" s="15" t="str">
        <f>IF(MASTER_REGISTER!E143="","",MASTER_REGISTER!E143)</f>
        <v/>
      </c>
      <c r="B146" s="15" t="str">
        <f>IF($A146="","",MASTER_REGISTER!F143)</f>
        <v/>
      </c>
      <c r="C146" s="15" t="str">
        <f>IF($A146="","",MASTER_REGISTER!C143)</f>
        <v/>
      </c>
      <c r="D146" s="15" t="str">
        <f>IF($A146="","",MASTER_REGISTER!H143)</f>
        <v/>
      </c>
      <c r="E146" s="15" t="str">
        <f>IF($A146="","",MASTER_REGISTER!G143)</f>
        <v/>
      </c>
      <c r="F146" s="15" t="str">
        <f>IF($A146="","",MASTER_REGISTER!I143)</f>
        <v/>
      </c>
      <c r="G146" s="16" t="str">
        <f>IF($A146="","",MASTER_REGISTER!J143)</f>
        <v/>
      </c>
      <c r="H146" s="16" t="str">
        <f>IF($A146="","",MASTER_REGISTER!L143)</f>
        <v/>
      </c>
      <c r="I146" s="16" t="str">
        <f>IF($A146="","",MASTER_REGISTER!M143)</f>
        <v/>
      </c>
      <c r="J146" s="15" t="str">
        <f>IF($A146="","",MASTER_REGISTER!N143)</f>
        <v/>
      </c>
    </row>
    <row r="147" spans="1:10" x14ac:dyDescent="0.3">
      <c r="A147" s="15" t="str">
        <f>IF(MASTER_REGISTER!E144="","",MASTER_REGISTER!E144)</f>
        <v/>
      </c>
      <c r="B147" s="15" t="str">
        <f>IF($A147="","",MASTER_REGISTER!F144)</f>
        <v/>
      </c>
      <c r="C147" s="15" t="str">
        <f>IF($A147="","",MASTER_REGISTER!C144)</f>
        <v/>
      </c>
      <c r="D147" s="15" t="str">
        <f>IF($A147="","",MASTER_REGISTER!H144)</f>
        <v/>
      </c>
      <c r="E147" s="15" t="str">
        <f>IF($A147="","",MASTER_REGISTER!G144)</f>
        <v/>
      </c>
      <c r="F147" s="15" t="str">
        <f>IF($A147="","",MASTER_REGISTER!I144)</f>
        <v/>
      </c>
      <c r="G147" s="16" t="str">
        <f>IF($A147="","",MASTER_REGISTER!J144)</f>
        <v/>
      </c>
      <c r="H147" s="16" t="str">
        <f>IF($A147="","",MASTER_REGISTER!L144)</f>
        <v/>
      </c>
      <c r="I147" s="16" t="str">
        <f>IF($A147="","",MASTER_REGISTER!M144)</f>
        <v/>
      </c>
      <c r="J147" s="15" t="str">
        <f>IF($A147="","",MASTER_REGISTER!N144)</f>
        <v/>
      </c>
    </row>
    <row r="148" spans="1:10" x14ac:dyDescent="0.3">
      <c r="A148" s="15" t="str">
        <f>IF(MASTER_REGISTER!E145="","",MASTER_REGISTER!E145)</f>
        <v/>
      </c>
      <c r="B148" s="15" t="str">
        <f>IF($A148="","",MASTER_REGISTER!F145)</f>
        <v/>
      </c>
      <c r="C148" s="15" t="str">
        <f>IF($A148="","",MASTER_REGISTER!C145)</f>
        <v/>
      </c>
      <c r="D148" s="15" t="str">
        <f>IF($A148="","",MASTER_REGISTER!H145)</f>
        <v/>
      </c>
      <c r="E148" s="15" t="str">
        <f>IF($A148="","",MASTER_REGISTER!G145)</f>
        <v/>
      </c>
      <c r="F148" s="15" t="str">
        <f>IF($A148="","",MASTER_REGISTER!I145)</f>
        <v/>
      </c>
      <c r="G148" s="16" t="str">
        <f>IF($A148="","",MASTER_REGISTER!J145)</f>
        <v/>
      </c>
      <c r="H148" s="16" t="str">
        <f>IF($A148="","",MASTER_REGISTER!L145)</f>
        <v/>
      </c>
      <c r="I148" s="16" t="str">
        <f>IF($A148="","",MASTER_REGISTER!M145)</f>
        <v/>
      </c>
      <c r="J148" s="15" t="str">
        <f>IF($A148="","",MASTER_REGISTER!N145)</f>
        <v/>
      </c>
    </row>
    <row r="149" spans="1:10" x14ac:dyDescent="0.3">
      <c r="A149" s="15" t="str">
        <f>IF(MASTER_REGISTER!E146="","",MASTER_REGISTER!E146)</f>
        <v/>
      </c>
      <c r="B149" s="15" t="str">
        <f>IF($A149="","",MASTER_REGISTER!F146)</f>
        <v/>
      </c>
      <c r="C149" s="15" t="str">
        <f>IF($A149="","",MASTER_REGISTER!C146)</f>
        <v/>
      </c>
      <c r="D149" s="15" t="str">
        <f>IF($A149="","",MASTER_REGISTER!H146)</f>
        <v/>
      </c>
      <c r="E149" s="15" t="str">
        <f>IF($A149="","",MASTER_REGISTER!G146)</f>
        <v/>
      </c>
      <c r="F149" s="15" t="str">
        <f>IF($A149="","",MASTER_REGISTER!I146)</f>
        <v/>
      </c>
      <c r="G149" s="16" t="str">
        <f>IF($A149="","",MASTER_REGISTER!J146)</f>
        <v/>
      </c>
      <c r="H149" s="16" t="str">
        <f>IF($A149="","",MASTER_REGISTER!L146)</f>
        <v/>
      </c>
      <c r="I149" s="16" t="str">
        <f>IF($A149="","",MASTER_REGISTER!M146)</f>
        <v/>
      </c>
      <c r="J149" s="15" t="str">
        <f>IF($A149="","",MASTER_REGISTER!N146)</f>
        <v/>
      </c>
    </row>
    <row r="150" spans="1:10" x14ac:dyDescent="0.3">
      <c r="A150" s="15" t="str">
        <f>IF(MASTER_REGISTER!E147="","",MASTER_REGISTER!E147)</f>
        <v/>
      </c>
      <c r="B150" s="15" t="str">
        <f>IF($A150="","",MASTER_REGISTER!F147)</f>
        <v/>
      </c>
      <c r="C150" s="15" t="str">
        <f>IF($A150="","",MASTER_REGISTER!C147)</f>
        <v/>
      </c>
      <c r="D150" s="15" t="str">
        <f>IF($A150="","",MASTER_REGISTER!H147)</f>
        <v/>
      </c>
      <c r="E150" s="15" t="str">
        <f>IF($A150="","",MASTER_REGISTER!G147)</f>
        <v/>
      </c>
      <c r="F150" s="15" t="str">
        <f>IF($A150="","",MASTER_REGISTER!I147)</f>
        <v/>
      </c>
      <c r="G150" s="16" t="str">
        <f>IF($A150="","",MASTER_REGISTER!J147)</f>
        <v/>
      </c>
      <c r="H150" s="16" t="str">
        <f>IF($A150="","",MASTER_REGISTER!L147)</f>
        <v/>
      </c>
      <c r="I150" s="16" t="str">
        <f>IF($A150="","",MASTER_REGISTER!M147)</f>
        <v/>
      </c>
      <c r="J150" s="15" t="str">
        <f>IF($A150="","",MASTER_REGISTER!N147)</f>
        <v/>
      </c>
    </row>
    <row r="151" spans="1:10" x14ac:dyDescent="0.3">
      <c r="A151" s="15" t="str">
        <f>IF(MASTER_REGISTER!E148="","",MASTER_REGISTER!E148)</f>
        <v/>
      </c>
      <c r="B151" s="15" t="str">
        <f>IF($A151="","",MASTER_REGISTER!F148)</f>
        <v/>
      </c>
      <c r="C151" s="15" t="str">
        <f>IF($A151="","",MASTER_REGISTER!C148)</f>
        <v/>
      </c>
      <c r="D151" s="15" t="str">
        <f>IF($A151="","",MASTER_REGISTER!H148)</f>
        <v/>
      </c>
      <c r="E151" s="15" t="str">
        <f>IF($A151="","",MASTER_REGISTER!G148)</f>
        <v/>
      </c>
      <c r="F151" s="15" t="str">
        <f>IF($A151="","",MASTER_REGISTER!I148)</f>
        <v/>
      </c>
      <c r="G151" s="16" t="str">
        <f>IF($A151="","",MASTER_REGISTER!J148)</f>
        <v/>
      </c>
      <c r="H151" s="16" t="str">
        <f>IF($A151="","",MASTER_REGISTER!L148)</f>
        <v/>
      </c>
      <c r="I151" s="16" t="str">
        <f>IF($A151="","",MASTER_REGISTER!M148)</f>
        <v/>
      </c>
      <c r="J151" s="15" t="str">
        <f>IF($A151="","",MASTER_REGISTER!N148)</f>
        <v/>
      </c>
    </row>
    <row r="152" spans="1:10" x14ac:dyDescent="0.3">
      <c r="A152" s="15" t="str">
        <f>IF(MASTER_REGISTER!E149="","",MASTER_REGISTER!E149)</f>
        <v/>
      </c>
      <c r="B152" s="15" t="str">
        <f>IF($A152="","",MASTER_REGISTER!F149)</f>
        <v/>
      </c>
      <c r="C152" s="15" t="str">
        <f>IF($A152="","",MASTER_REGISTER!C149)</f>
        <v/>
      </c>
      <c r="D152" s="15" t="str">
        <f>IF($A152="","",MASTER_REGISTER!H149)</f>
        <v/>
      </c>
      <c r="E152" s="15" t="str">
        <f>IF($A152="","",MASTER_REGISTER!G149)</f>
        <v/>
      </c>
      <c r="F152" s="15" t="str">
        <f>IF($A152="","",MASTER_REGISTER!I149)</f>
        <v/>
      </c>
      <c r="G152" s="16" t="str">
        <f>IF($A152="","",MASTER_REGISTER!J149)</f>
        <v/>
      </c>
      <c r="H152" s="16" t="str">
        <f>IF($A152="","",MASTER_REGISTER!L149)</f>
        <v/>
      </c>
      <c r="I152" s="16" t="str">
        <f>IF($A152="","",MASTER_REGISTER!M149)</f>
        <v/>
      </c>
      <c r="J152" s="15" t="str">
        <f>IF($A152="","",MASTER_REGISTER!N149)</f>
        <v/>
      </c>
    </row>
    <row r="153" spans="1:10" x14ac:dyDescent="0.3">
      <c r="A153" s="15" t="str">
        <f>IF(MASTER_REGISTER!E150="","",MASTER_REGISTER!E150)</f>
        <v/>
      </c>
      <c r="B153" s="15" t="str">
        <f>IF($A153="","",MASTER_REGISTER!F150)</f>
        <v/>
      </c>
      <c r="C153" s="15" t="str">
        <f>IF($A153="","",MASTER_REGISTER!C150)</f>
        <v/>
      </c>
      <c r="D153" s="15" t="str">
        <f>IF($A153="","",MASTER_REGISTER!H150)</f>
        <v/>
      </c>
      <c r="E153" s="15" t="str">
        <f>IF($A153="","",MASTER_REGISTER!G150)</f>
        <v/>
      </c>
      <c r="F153" s="15" t="str">
        <f>IF($A153="","",MASTER_REGISTER!I150)</f>
        <v/>
      </c>
      <c r="G153" s="16" t="str">
        <f>IF($A153="","",MASTER_REGISTER!J150)</f>
        <v/>
      </c>
      <c r="H153" s="16" t="str">
        <f>IF($A153="","",MASTER_REGISTER!L150)</f>
        <v/>
      </c>
      <c r="I153" s="16" t="str">
        <f>IF($A153="","",MASTER_REGISTER!M150)</f>
        <v/>
      </c>
      <c r="J153" s="15" t="str">
        <f>IF($A153="","",MASTER_REGISTER!N150)</f>
        <v/>
      </c>
    </row>
    <row r="154" spans="1:10" x14ac:dyDescent="0.3">
      <c r="A154" s="15" t="str">
        <f>IF(MASTER_REGISTER!E151="","",MASTER_REGISTER!E151)</f>
        <v/>
      </c>
      <c r="B154" s="15" t="str">
        <f>IF($A154="","",MASTER_REGISTER!F151)</f>
        <v/>
      </c>
      <c r="C154" s="15" t="str">
        <f>IF($A154="","",MASTER_REGISTER!C151)</f>
        <v/>
      </c>
      <c r="D154" s="15" t="str">
        <f>IF($A154="","",MASTER_REGISTER!H151)</f>
        <v/>
      </c>
      <c r="E154" s="15" t="str">
        <f>IF($A154="","",MASTER_REGISTER!G151)</f>
        <v/>
      </c>
      <c r="F154" s="15" t="str">
        <f>IF($A154="","",MASTER_REGISTER!I151)</f>
        <v/>
      </c>
      <c r="G154" s="16" t="str">
        <f>IF($A154="","",MASTER_REGISTER!J151)</f>
        <v/>
      </c>
      <c r="H154" s="16" t="str">
        <f>IF($A154="","",MASTER_REGISTER!L151)</f>
        <v/>
      </c>
      <c r="I154" s="16" t="str">
        <f>IF($A154="","",MASTER_REGISTER!M151)</f>
        <v/>
      </c>
      <c r="J154" s="15" t="str">
        <f>IF($A154="","",MASTER_REGISTER!N151)</f>
        <v/>
      </c>
    </row>
    <row r="155" spans="1:10" x14ac:dyDescent="0.3">
      <c r="A155" s="15" t="str">
        <f>IF(MASTER_REGISTER!E152="","",MASTER_REGISTER!E152)</f>
        <v/>
      </c>
      <c r="B155" s="15" t="str">
        <f>IF($A155="","",MASTER_REGISTER!F152)</f>
        <v/>
      </c>
      <c r="C155" s="15" t="str">
        <f>IF($A155="","",MASTER_REGISTER!C152)</f>
        <v/>
      </c>
      <c r="D155" s="15" t="str">
        <f>IF($A155="","",MASTER_REGISTER!H152)</f>
        <v/>
      </c>
      <c r="E155" s="15" t="str">
        <f>IF($A155="","",MASTER_REGISTER!G152)</f>
        <v/>
      </c>
      <c r="F155" s="15" t="str">
        <f>IF($A155="","",MASTER_REGISTER!I152)</f>
        <v/>
      </c>
      <c r="G155" s="16" t="str">
        <f>IF($A155="","",MASTER_REGISTER!J152)</f>
        <v/>
      </c>
      <c r="H155" s="16" t="str">
        <f>IF($A155="","",MASTER_REGISTER!L152)</f>
        <v/>
      </c>
      <c r="I155" s="16" t="str">
        <f>IF($A155="","",MASTER_REGISTER!M152)</f>
        <v/>
      </c>
      <c r="J155" s="15" t="str">
        <f>IF($A155="","",MASTER_REGISTER!N152)</f>
        <v/>
      </c>
    </row>
    <row r="156" spans="1:10" x14ac:dyDescent="0.3">
      <c r="A156" s="15" t="str">
        <f>IF(MASTER_REGISTER!E153="","",MASTER_REGISTER!E153)</f>
        <v/>
      </c>
      <c r="B156" s="15" t="str">
        <f>IF($A156="","",MASTER_REGISTER!F153)</f>
        <v/>
      </c>
      <c r="C156" s="15" t="str">
        <f>IF($A156="","",MASTER_REGISTER!C153)</f>
        <v/>
      </c>
      <c r="D156" s="15" t="str">
        <f>IF($A156="","",MASTER_REGISTER!H153)</f>
        <v/>
      </c>
      <c r="E156" s="15" t="str">
        <f>IF($A156="","",MASTER_REGISTER!G153)</f>
        <v/>
      </c>
      <c r="F156" s="15" t="str">
        <f>IF($A156="","",MASTER_REGISTER!I153)</f>
        <v/>
      </c>
      <c r="G156" s="16" t="str">
        <f>IF($A156="","",MASTER_REGISTER!J153)</f>
        <v/>
      </c>
      <c r="H156" s="16" t="str">
        <f>IF($A156="","",MASTER_REGISTER!L153)</f>
        <v/>
      </c>
      <c r="I156" s="16" t="str">
        <f>IF($A156="","",MASTER_REGISTER!M153)</f>
        <v/>
      </c>
      <c r="J156" s="15" t="str">
        <f>IF($A156="","",MASTER_REGISTER!N153)</f>
        <v/>
      </c>
    </row>
    <row r="157" spans="1:10" x14ac:dyDescent="0.3">
      <c r="A157" s="15" t="str">
        <f>IF(MASTER_REGISTER!E154="","",MASTER_REGISTER!E154)</f>
        <v/>
      </c>
      <c r="B157" s="15" t="str">
        <f>IF($A157="","",MASTER_REGISTER!F154)</f>
        <v/>
      </c>
      <c r="C157" s="15" t="str">
        <f>IF($A157="","",MASTER_REGISTER!C154)</f>
        <v/>
      </c>
      <c r="D157" s="15" t="str">
        <f>IF($A157="","",MASTER_REGISTER!H154)</f>
        <v/>
      </c>
      <c r="E157" s="15" t="str">
        <f>IF($A157="","",MASTER_REGISTER!G154)</f>
        <v/>
      </c>
      <c r="F157" s="15" t="str">
        <f>IF($A157="","",MASTER_REGISTER!I154)</f>
        <v/>
      </c>
      <c r="G157" s="16" t="str">
        <f>IF($A157="","",MASTER_REGISTER!J154)</f>
        <v/>
      </c>
      <c r="H157" s="16" t="str">
        <f>IF($A157="","",MASTER_REGISTER!L154)</f>
        <v/>
      </c>
      <c r="I157" s="16" t="str">
        <f>IF($A157="","",MASTER_REGISTER!M154)</f>
        <v/>
      </c>
      <c r="J157" s="15" t="str">
        <f>IF($A157="","",MASTER_REGISTER!N154)</f>
        <v/>
      </c>
    </row>
    <row r="158" spans="1:10" x14ac:dyDescent="0.3">
      <c r="A158" s="15" t="str">
        <f>IF(MASTER_REGISTER!E155="","",MASTER_REGISTER!E155)</f>
        <v/>
      </c>
      <c r="B158" s="15" t="str">
        <f>IF($A158="","",MASTER_REGISTER!F155)</f>
        <v/>
      </c>
      <c r="C158" s="15" t="str">
        <f>IF($A158="","",MASTER_REGISTER!C155)</f>
        <v/>
      </c>
      <c r="D158" s="15" t="str">
        <f>IF($A158="","",MASTER_REGISTER!H155)</f>
        <v/>
      </c>
      <c r="E158" s="15" t="str">
        <f>IF($A158="","",MASTER_REGISTER!G155)</f>
        <v/>
      </c>
      <c r="F158" s="15" t="str">
        <f>IF($A158="","",MASTER_REGISTER!I155)</f>
        <v/>
      </c>
      <c r="G158" s="16" t="str">
        <f>IF($A158="","",MASTER_REGISTER!J155)</f>
        <v/>
      </c>
      <c r="H158" s="16" t="str">
        <f>IF($A158="","",MASTER_REGISTER!L155)</f>
        <v/>
      </c>
      <c r="I158" s="16" t="str">
        <f>IF($A158="","",MASTER_REGISTER!M155)</f>
        <v/>
      </c>
      <c r="J158" s="15" t="str">
        <f>IF($A158="","",MASTER_REGISTER!N155)</f>
        <v/>
      </c>
    </row>
    <row r="159" spans="1:10" x14ac:dyDescent="0.3">
      <c r="A159" s="15" t="str">
        <f>IF(MASTER_REGISTER!E156="","",MASTER_REGISTER!E156)</f>
        <v/>
      </c>
      <c r="B159" s="15" t="str">
        <f>IF($A159="","",MASTER_REGISTER!F156)</f>
        <v/>
      </c>
      <c r="C159" s="15" t="str">
        <f>IF($A159="","",MASTER_REGISTER!C156)</f>
        <v/>
      </c>
      <c r="D159" s="15" t="str">
        <f>IF($A159="","",MASTER_REGISTER!H156)</f>
        <v/>
      </c>
      <c r="E159" s="15" t="str">
        <f>IF($A159="","",MASTER_REGISTER!G156)</f>
        <v/>
      </c>
      <c r="F159" s="15" t="str">
        <f>IF($A159="","",MASTER_REGISTER!I156)</f>
        <v/>
      </c>
      <c r="G159" s="16" t="str">
        <f>IF($A159="","",MASTER_REGISTER!J156)</f>
        <v/>
      </c>
      <c r="H159" s="16" t="str">
        <f>IF($A159="","",MASTER_REGISTER!L156)</f>
        <v/>
      </c>
      <c r="I159" s="16" t="str">
        <f>IF($A159="","",MASTER_REGISTER!M156)</f>
        <v/>
      </c>
      <c r="J159" s="15" t="str">
        <f>IF($A159="","",MASTER_REGISTER!N156)</f>
        <v/>
      </c>
    </row>
    <row r="160" spans="1:10" x14ac:dyDescent="0.3">
      <c r="A160" s="15" t="str">
        <f>IF(MASTER_REGISTER!E157="","",MASTER_REGISTER!E157)</f>
        <v/>
      </c>
      <c r="B160" s="15" t="str">
        <f>IF($A160="","",MASTER_REGISTER!F157)</f>
        <v/>
      </c>
      <c r="C160" s="15" t="str">
        <f>IF($A160="","",MASTER_REGISTER!C157)</f>
        <v/>
      </c>
      <c r="D160" s="15" t="str">
        <f>IF($A160="","",MASTER_REGISTER!H157)</f>
        <v/>
      </c>
      <c r="E160" s="15" t="str">
        <f>IF($A160="","",MASTER_REGISTER!G157)</f>
        <v/>
      </c>
      <c r="F160" s="15" t="str">
        <f>IF($A160="","",MASTER_REGISTER!I157)</f>
        <v/>
      </c>
      <c r="G160" s="16" t="str">
        <f>IF($A160="","",MASTER_REGISTER!J157)</f>
        <v/>
      </c>
      <c r="H160" s="16" t="str">
        <f>IF($A160="","",MASTER_REGISTER!L157)</f>
        <v/>
      </c>
      <c r="I160" s="16" t="str">
        <f>IF($A160="","",MASTER_REGISTER!M157)</f>
        <v/>
      </c>
      <c r="J160" s="15" t="str">
        <f>IF($A160="","",MASTER_REGISTER!N157)</f>
        <v/>
      </c>
    </row>
    <row r="161" spans="1:10" x14ac:dyDescent="0.3">
      <c r="A161" s="15" t="str">
        <f>IF(MASTER_REGISTER!E158="","",MASTER_REGISTER!E158)</f>
        <v/>
      </c>
      <c r="B161" s="15" t="str">
        <f>IF($A161="","",MASTER_REGISTER!F158)</f>
        <v/>
      </c>
      <c r="C161" s="15" t="str">
        <f>IF($A161="","",MASTER_REGISTER!C158)</f>
        <v/>
      </c>
      <c r="D161" s="15" t="str">
        <f>IF($A161="","",MASTER_REGISTER!H158)</f>
        <v/>
      </c>
      <c r="E161" s="15" t="str">
        <f>IF($A161="","",MASTER_REGISTER!G158)</f>
        <v/>
      </c>
      <c r="F161" s="15" t="str">
        <f>IF($A161="","",MASTER_REGISTER!I158)</f>
        <v/>
      </c>
      <c r="G161" s="16" t="str">
        <f>IF($A161="","",MASTER_REGISTER!J158)</f>
        <v/>
      </c>
      <c r="H161" s="16" t="str">
        <f>IF($A161="","",MASTER_REGISTER!L158)</f>
        <v/>
      </c>
      <c r="I161" s="16" t="str">
        <f>IF($A161="","",MASTER_REGISTER!M158)</f>
        <v/>
      </c>
      <c r="J161" s="15" t="str">
        <f>IF($A161="","",MASTER_REGISTER!N158)</f>
        <v/>
      </c>
    </row>
    <row r="162" spans="1:10" x14ac:dyDescent="0.3">
      <c r="A162" s="15" t="str">
        <f>IF(MASTER_REGISTER!E159="","",MASTER_REGISTER!E159)</f>
        <v/>
      </c>
      <c r="B162" s="15" t="str">
        <f>IF($A162="","",MASTER_REGISTER!F159)</f>
        <v/>
      </c>
      <c r="C162" s="15" t="str">
        <f>IF($A162="","",MASTER_REGISTER!C159)</f>
        <v/>
      </c>
      <c r="D162" s="15" t="str">
        <f>IF($A162="","",MASTER_REGISTER!H159)</f>
        <v/>
      </c>
      <c r="E162" s="15" t="str">
        <f>IF($A162="","",MASTER_REGISTER!G159)</f>
        <v/>
      </c>
      <c r="F162" s="15" t="str">
        <f>IF($A162="","",MASTER_REGISTER!I159)</f>
        <v/>
      </c>
      <c r="G162" s="16" t="str">
        <f>IF($A162="","",MASTER_REGISTER!J159)</f>
        <v/>
      </c>
      <c r="H162" s="16" t="str">
        <f>IF($A162="","",MASTER_REGISTER!L159)</f>
        <v/>
      </c>
      <c r="I162" s="16" t="str">
        <f>IF($A162="","",MASTER_REGISTER!M159)</f>
        <v/>
      </c>
      <c r="J162" s="15" t="str">
        <f>IF($A162="","",MASTER_REGISTER!N159)</f>
        <v/>
      </c>
    </row>
    <row r="163" spans="1:10" x14ac:dyDescent="0.3">
      <c r="A163" s="15" t="str">
        <f>IF(MASTER_REGISTER!E160="","",MASTER_REGISTER!E160)</f>
        <v/>
      </c>
      <c r="B163" s="15" t="str">
        <f>IF($A163="","",MASTER_REGISTER!F160)</f>
        <v/>
      </c>
      <c r="C163" s="15" t="str">
        <f>IF($A163="","",MASTER_REGISTER!C160)</f>
        <v/>
      </c>
      <c r="D163" s="15" t="str">
        <f>IF($A163="","",MASTER_REGISTER!H160)</f>
        <v/>
      </c>
      <c r="E163" s="15" t="str">
        <f>IF($A163="","",MASTER_REGISTER!G160)</f>
        <v/>
      </c>
      <c r="F163" s="15" t="str">
        <f>IF($A163="","",MASTER_REGISTER!I160)</f>
        <v/>
      </c>
      <c r="G163" s="16" t="str">
        <f>IF($A163="","",MASTER_REGISTER!J160)</f>
        <v/>
      </c>
      <c r="H163" s="16" t="str">
        <f>IF($A163="","",MASTER_REGISTER!L160)</f>
        <v/>
      </c>
      <c r="I163" s="16" t="str">
        <f>IF($A163="","",MASTER_REGISTER!M160)</f>
        <v/>
      </c>
      <c r="J163" s="15" t="str">
        <f>IF($A163="","",MASTER_REGISTER!N160)</f>
        <v/>
      </c>
    </row>
    <row r="164" spans="1:10" x14ac:dyDescent="0.3">
      <c r="A164" s="15" t="str">
        <f>IF(MASTER_REGISTER!E161="","",MASTER_REGISTER!E161)</f>
        <v/>
      </c>
      <c r="B164" s="15" t="str">
        <f>IF($A164="","",MASTER_REGISTER!F161)</f>
        <v/>
      </c>
      <c r="C164" s="15" t="str">
        <f>IF($A164="","",MASTER_REGISTER!C161)</f>
        <v/>
      </c>
      <c r="D164" s="15" t="str">
        <f>IF($A164="","",MASTER_REGISTER!H161)</f>
        <v/>
      </c>
      <c r="E164" s="15" t="str">
        <f>IF($A164="","",MASTER_REGISTER!G161)</f>
        <v/>
      </c>
      <c r="F164" s="15" t="str">
        <f>IF($A164="","",MASTER_REGISTER!I161)</f>
        <v/>
      </c>
      <c r="G164" s="16" t="str">
        <f>IF($A164="","",MASTER_REGISTER!J161)</f>
        <v/>
      </c>
      <c r="H164" s="16" t="str">
        <f>IF($A164="","",MASTER_REGISTER!L161)</f>
        <v/>
      </c>
      <c r="I164" s="16" t="str">
        <f>IF($A164="","",MASTER_REGISTER!M161)</f>
        <v/>
      </c>
      <c r="J164" s="15" t="str">
        <f>IF($A164="","",MASTER_REGISTER!N161)</f>
        <v/>
      </c>
    </row>
    <row r="165" spans="1:10" x14ac:dyDescent="0.3">
      <c r="A165" s="15" t="str">
        <f>IF(MASTER_REGISTER!E162="","",MASTER_REGISTER!E162)</f>
        <v/>
      </c>
      <c r="B165" s="15" t="str">
        <f>IF($A165="","",MASTER_REGISTER!F162)</f>
        <v/>
      </c>
      <c r="C165" s="15" t="str">
        <f>IF($A165="","",MASTER_REGISTER!C162)</f>
        <v/>
      </c>
      <c r="D165" s="15" t="str">
        <f>IF($A165="","",MASTER_REGISTER!H162)</f>
        <v/>
      </c>
      <c r="E165" s="15" t="str">
        <f>IF($A165="","",MASTER_REGISTER!G162)</f>
        <v/>
      </c>
      <c r="F165" s="15" t="str">
        <f>IF($A165="","",MASTER_REGISTER!I162)</f>
        <v/>
      </c>
      <c r="G165" s="16" t="str">
        <f>IF($A165="","",MASTER_REGISTER!J162)</f>
        <v/>
      </c>
      <c r="H165" s="16" t="str">
        <f>IF($A165="","",MASTER_REGISTER!L162)</f>
        <v/>
      </c>
      <c r="I165" s="16" t="str">
        <f>IF($A165="","",MASTER_REGISTER!M162)</f>
        <v/>
      </c>
      <c r="J165" s="15" t="str">
        <f>IF($A165="","",MASTER_REGISTER!N162)</f>
        <v/>
      </c>
    </row>
    <row r="166" spans="1:10" x14ac:dyDescent="0.3">
      <c r="A166" s="15" t="str">
        <f>IF(MASTER_REGISTER!E163="","",MASTER_REGISTER!E163)</f>
        <v/>
      </c>
      <c r="B166" s="15" t="str">
        <f>IF($A166="","",MASTER_REGISTER!F163)</f>
        <v/>
      </c>
      <c r="C166" s="15" t="str">
        <f>IF($A166="","",MASTER_REGISTER!C163)</f>
        <v/>
      </c>
      <c r="D166" s="15" t="str">
        <f>IF($A166="","",MASTER_REGISTER!H163)</f>
        <v/>
      </c>
      <c r="E166" s="15" t="str">
        <f>IF($A166="","",MASTER_REGISTER!G163)</f>
        <v/>
      </c>
      <c r="F166" s="15" t="str">
        <f>IF($A166="","",MASTER_REGISTER!I163)</f>
        <v/>
      </c>
      <c r="G166" s="16" t="str">
        <f>IF($A166="","",MASTER_REGISTER!J163)</f>
        <v/>
      </c>
      <c r="H166" s="16" t="str">
        <f>IF($A166="","",MASTER_REGISTER!L163)</f>
        <v/>
      </c>
      <c r="I166" s="16" t="str">
        <f>IF($A166="","",MASTER_REGISTER!M163)</f>
        <v/>
      </c>
      <c r="J166" s="15" t="str">
        <f>IF($A166="","",MASTER_REGISTER!N163)</f>
        <v/>
      </c>
    </row>
    <row r="167" spans="1:10" x14ac:dyDescent="0.3">
      <c r="A167" s="15" t="str">
        <f>IF(MASTER_REGISTER!E164="","",MASTER_REGISTER!E164)</f>
        <v/>
      </c>
      <c r="B167" s="15" t="str">
        <f>IF($A167="","",MASTER_REGISTER!F164)</f>
        <v/>
      </c>
      <c r="C167" s="15" t="str">
        <f>IF($A167="","",MASTER_REGISTER!C164)</f>
        <v/>
      </c>
      <c r="D167" s="15" t="str">
        <f>IF($A167="","",MASTER_REGISTER!H164)</f>
        <v/>
      </c>
      <c r="E167" s="15" t="str">
        <f>IF($A167="","",MASTER_REGISTER!G164)</f>
        <v/>
      </c>
      <c r="F167" s="15" t="str">
        <f>IF($A167="","",MASTER_REGISTER!I164)</f>
        <v/>
      </c>
      <c r="G167" s="16" t="str">
        <f>IF($A167="","",MASTER_REGISTER!J164)</f>
        <v/>
      </c>
      <c r="H167" s="16" t="str">
        <f>IF($A167="","",MASTER_REGISTER!L164)</f>
        <v/>
      </c>
      <c r="I167" s="16" t="str">
        <f>IF($A167="","",MASTER_REGISTER!M164)</f>
        <v/>
      </c>
      <c r="J167" s="15" t="str">
        <f>IF($A167="","",MASTER_REGISTER!N164)</f>
        <v/>
      </c>
    </row>
    <row r="168" spans="1:10" x14ac:dyDescent="0.3">
      <c r="A168" s="15" t="str">
        <f>IF(MASTER_REGISTER!E165="","",MASTER_REGISTER!E165)</f>
        <v/>
      </c>
      <c r="B168" s="15" t="str">
        <f>IF($A168="","",MASTER_REGISTER!F165)</f>
        <v/>
      </c>
      <c r="C168" s="15" t="str">
        <f>IF($A168="","",MASTER_REGISTER!C165)</f>
        <v/>
      </c>
      <c r="D168" s="15" t="str">
        <f>IF($A168="","",MASTER_REGISTER!H165)</f>
        <v/>
      </c>
      <c r="E168" s="15" t="str">
        <f>IF($A168="","",MASTER_REGISTER!G165)</f>
        <v/>
      </c>
      <c r="F168" s="15" t="str">
        <f>IF($A168="","",MASTER_REGISTER!I165)</f>
        <v/>
      </c>
      <c r="G168" s="16" t="str">
        <f>IF($A168="","",MASTER_REGISTER!J165)</f>
        <v/>
      </c>
      <c r="H168" s="16" t="str">
        <f>IF($A168="","",MASTER_REGISTER!L165)</f>
        <v/>
      </c>
      <c r="I168" s="16" t="str">
        <f>IF($A168="","",MASTER_REGISTER!M165)</f>
        <v/>
      </c>
      <c r="J168" s="15" t="str">
        <f>IF($A168="","",MASTER_REGISTER!N165)</f>
        <v/>
      </c>
    </row>
    <row r="169" spans="1:10" x14ac:dyDescent="0.3">
      <c r="A169" s="15" t="str">
        <f>IF(MASTER_REGISTER!E166="","",MASTER_REGISTER!E166)</f>
        <v/>
      </c>
      <c r="B169" s="15" t="str">
        <f>IF($A169="","",MASTER_REGISTER!F166)</f>
        <v/>
      </c>
      <c r="C169" s="15" t="str">
        <f>IF($A169="","",MASTER_REGISTER!C166)</f>
        <v/>
      </c>
      <c r="D169" s="15" t="str">
        <f>IF($A169="","",MASTER_REGISTER!H166)</f>
        <v/>
      </c>
      <c r="E169" s="15" t="str">
        <f>IF($A169="","",MASTER_REGISTER!G166)</f>
        <v/>
      </c>
      <c r="F169" s="15" t="str">
        <f>IF($A169="","",MASTER_REGISTER!I166)</f>
        <v/>
      </c>
      <c r="G169" s="16" t="str">
        <f>IF($A169="","",MASTER_REGISTER!J166)</f>
        <v/>
      </c>
      <c r="H169" s="16" t="str">
        <f>IF($A169="","",MASTER_REGISTER!L166)</f>
        <v/>
      </c>
      <c r="I169" s="16" t="str">
        <f>IF($A169="","",MASTER_REGISTER!M166)</f>
        <v/>
      </c>
      <c r="J169" s="15" t="str">
        <f>IF($A169="","",MASTER_REGISTER!N166)</f>
        <v/>
      </c>
    </row>
    <row r="170" spans="1:10" x14ac:dyDescent="0.3">
      <c r="A170" s="15" t="str">
        <f>IF(MASTER_REGISTER!E167="","",MASTER_REGISTER!E167)</f>
        <v/>
      </c>
      <c r="B170" s="15" t="str">
        <f>IF($A170="","",MASTER_REGISTER!F167)</f>
        <v/>
      </c>
      <c r="C170" s="15" t="str">
        <f>IF($A170="","",MASTER_REGISTER!C167)</f>
        <v/>
      </c>
      <c r="D170" s="15" t="str">
        <f>IF($A170="","",MASTER_REGISTER!H167)</f>
        <v/>
      </c>
      <c r="E170" s="15" t="str">
        <f>IF($A170="","",MASTER_REGISTER!G167)</f>
        <v/>
      </c>
      <c r="F170" s="15" t="str">
        <f>IF($A170="","",MASTER_REGISTER!I167)</f>
        <v/>
      </c>
      <c r="G170" s="16" t="str">
        <f>IF($A170="","",MASTER_REGISTER!J167)</f>
        <v/>
      </c>
      <c r="H170" s="16" t="str">
        <f>IF($A170="","",MASTER_REGISTER!L167)</f>
        <v/>
      </c>
      <c r="I170" s="16" t="str">
        <f>IF($A170="","",MASTER_REGISTER!M167)</f>
        <v/>
      </c>
      <c r="J170" s="15" t="str">
        <f>IF($A170="","",MASTER_REGISTER!N167)</f>
        <v/>
      </c>
    </row>
    <row r="171" spans="1:10" x14ac:dyDescent="0.3">
      <c r="A171" s="15" t="str">
        <f>IF(MASTER_REGISTER!E168="","",MASTER_REGISTER!E168)</f>
        <v/>
      </c>
      <c r="B171" s="15" t="str">
        <f>IF($A171="","",MASTER_REGISTER!F168)</f>
        <v/>
      </c>
      <c r="C171" s="15" t="str">
        <f>IF($A171="","",MASTER_REGISTER!C168)</f>
        <v/>
      </c>
      <c r="D171" s="15" t="str">
        <f>IF($A171="","",MASTER_REGISTER!H168)</f>
        <v/>
      </c>
      <c r="E171" s="15" t="str">
        <f>IF($A171="","",MASTER_REGISTER!G168)</f>
        <v/>
      </c>
      <c r="F171" s="15" t="str">
        <f>IF($A171="","",MASTER_REGISTER!I168)</f>
        <v/>
      </c>
      <c r="G171" s="16" t="str">
        <f>IF($A171="","",MASTER_REGISTER!J168)</f>
        <v/>
      </c>
      <c r="H171" s="16" t="str">
        <f>IF($A171="","",MASTER_REGISTER!L168)</f>
        <v/>
      </c>
      <c r="I171" s="16" t="str">
        <f>IF($A171="","",MASTER_REGISTER!M168)</f>
        <v/>
      </c>
      <c r="J171" s="15" t="str">
        <f>IF($A171="","",MASTER_REGISTER!N168)</f>
        <v/>
      </c>
    </row>
    <row r="172" spans="1:10" x14ac:dyDescent="0.3">
      <c r="A172" s="15" t="str">
        <f>IF(MASTER_REGISTER!E169="","",MASTER_REGISTER!E169)</f>
        <v/>
      </c>
      <c r="B172" s="15" t="str">
        <f>IF($A172="","",MASTER_REGISTER!F169)</f>
        <v/>
      </c>
      <c r="C172" s="15" t="str">
        <f>IF($A172="","",MASTER_REGISTER!C169)</f>
        <v/>
      </c>
      <c r="D172" s="15" t="str">
        <f>IF($A172="","",MASTER_REGISTER!H169)</f>
        <v/>
      </c>
      <c r="E172" s="15" t="str">
        <f>IF($A172="","",MASTER_REGISTER!G169)</f>
        <v/>
      </c>
      <c r="F172" s="15" t="str">
        <f>IF($A172="","",MASTER_REGISTER!I169)</f>
        <v/>
      </c>
      <c r="G172" s="16" t="str">
        <f>IF($A172="","",MASTER_REGISTER!J169)</f>
        <v/>
      </c>
      <c r="H172" s="16" t="str">
        <f>IF($A172="","",MASTER_REGISTER!L169)</f>
        <v/>
      </c>
      <c r="I172" s="16" t="str">
        <f>IF($A172="","",MASTER_REGISTER!M169)</f>
        <v/>
      </c>
      <c r="J172" s="15" t="str">
        <f>IF($A172="","",MASTER_REGISTER!N169)</f>
        <v/>
      </c>
    </row>
    <row r="173" spans="1:10" x14ac:dyDescent="0.3">
      <c r="A173" s="15" t="str">
        <f>IF(MASTER_REGISTER!E170="","",MASTER_REGISTER!E170)</f>
        <v/>
      </c>
      <c r="B173" s="15" t="str">
        <f>IF($A173="","",MASTER_REGISTER!F170)</f>
        <v/>
      </c>
      <c r="C173" s="15" t="str">
        <f>IF($A173="","",MASTER_REGISTER!C170)</f>
        <v/>
      </c>
      <c r="D173" s="15" t="str">
        <f>IF($A173="","",MASTER_REGISTER!H170)</f>
        <v/>
      </c>
      <c r="E173" s="15" t="str">
        <f>IF($A173="","",MASTER_REGISTER!G170)</f>
        <v/>
      </c>
      <c r="F173" s="15" t="str">
        <f>IF($A173="","",MASTER_REGISTER!I170)</f>
        <v/>
      </c>
      <c r="G173" s="16" t="str">
        <f>IF($A173="","",MASTER_REGISTER!J170)</f>
        <v/>
      </c>
      <c r="H173" s="16" t="str">
        <f>IF($A173="","",MASTER_REGISTER!L170)</f>
        <v/>
      </c>
      <c r="I173" s="16" t="str">
        <f>IF($A173="","",MASTER_REGISTER!M170)</f>
        <v/>
      </c>
      <c r="J173" s="15" t="str">
        <f>IF($A173="","",MASTER_REGISTER!N170)</f>
        <v/>
      </c>
    </row>
    <row r="174" spans="1:10" x14ac:dyDescent="0.3">
      <c r="A174" s="15" t="str">
        <f>IF(MASTER_REGISTER!E171="","",MASTER_REGISTER!E171)</f>
        <v/>
      </c>
      <c r="B174" s="15" t="str">
        <f>IF($A174="","",MASTER_REGISTER!F171)</f>
        <v/>
      </c>
      <c r="C174" s="15" t="str">
        <f>IF($A174="","",MASTER_REGISTER!C171)</f>
        <v/>
      </c>
      <c r="D174" s="15" t="str">
        <f>IF($A174="","",MASTER_REGISTER!H171)</f>
        <v/>
      </c>
      <c r="E174" s="15" t="str">
        <f>IF($A174="","",MASTER_REGISTER!G171)</f>
        <v/>
      </c>
      <c r="F174" s="15" t="str">
        <f>IF($A174="","",MASTER_REGISTER!I171)</f>
        <v/>
      </c>
      <c r="G174" s="16" t="str">
        <f>IF($A174="","",MASTER_REGISTER!J171)</f>
        <v/>
      </c>
      <c r="H174" s="16" t="str">
        <f>IF($A174="","",MASTER_REGISTER!L171)</f>
        <v/>
      </c>
      <c r="I174" s="16" t="str">
        <f>IF($A174="","",MASTER_REGISTER!M171)</f>
        <v/>
      </c>
      <c r="J174" s="15" t="str">
        <f>IF($A174="","",MASTER_REGISTER!N171)</f>
        <v/>
      </c>
    </row>
    <row r="175" spans="1:10" x14ac:dyDescent="0.3">
      <c r="A175" s="15" t="str">
        <f>IF(MASTER_REGISTER!E172="","",MASTER_REGISTER!E172)</f>
        <v/>
      </c>
      <c r="B175" s="15" t="str">
        <f>IF($A175="","",MASTER_REGISTER!F172)</f>
        <v/>
      </c>
      <c r="C175" s="15" t="str">
        <f>IF($A175="","",MASTER_REGISTER!C172)</f>
        <v/>
      </c>
      <c r="D175" s="15" t="str">
        <f>IF($A175="","",MASTER_REGISTER!H172)</f>
        <v/>
      </c>
      <c r="E175" s="15" t="str">
        <f>IF($A175="","",MASTER_REGISTER!G172)</f>
        <v/>
      </c>
      <c r="F175" s="15" t="str">
        <f>IF($A175="","",MASTER_REGISTER!I172)</f>
        <v/>
      </c>
      <c r="G175" s="16" t="str">
        <f>IF($A175="","",MASTER_REGISTER!J172)</f>
        <v/>
      </c>
      <c r="H175" s="16" t="str">
        <f>IF($A175="","",MASTER_REGISTER!L172)</f>
        <v/>
      </c>
      <c r="I175" s="16" t="str">
        <f>IF($A175="","",MASTER_REGISTER!M172)</f>
        <v/>
      </c>
      <c r="J175" s="15" t="str">
        <f>IF($A175="","",MASTER_REGISTER!N172)</f>
        <v/>
      </c>
    </row>
    <row r="176" spans="1:10" x14ac:dyDescent="0.3">
      <c r="A176" s="15" t="str">
        <f>IF(MASTER_REGISTER!E173="","",MASTER_REGISTER!E173)</f>
        <v/>
      </c>
      <c r="B176" s="15" t="str">
        <f>IF($A176="","",MASTER_REGISTER!F173)</f>
        <v/>
      </c>
      <c r="C176" s="15" t="str">
        <f>IF($A176="","",MASTER_REGISTER!C173)</f>
        <v/>
      </c>
      <c r="D176" s="15" t="str">
        <f>IF($A176="","",MASTER_REGISTER!H173)</f>
        <v/>
      </c>
      <c r="E176" s="15" t="str">
        <f>IF($A176="","",MASTER_REGISTER!G173)</f>
        <v/>
      </c>
      <c r="F176" s="15" t="str">
        <f>IF($A176="","",MASTER_REGISTER!I173)</f>
        <v/>
      </c>
      <c r="G176" s="16" t="str">
        <f>IF($A176="","",MASTER_REGISTER!J173)</f>
        <v/>
      </c>
      <c r="H176" s="16" t="str">
        <f>IF($A176="","",MASTER_REGISTER!L173)</f>
        <v/>
      </c>
      <c r="I176" s="16" t="str">
        <f>IF($A176="","",MASTER_REGISTER!M173)</f>
        <v/>
      </c>
      <c r="J176" s="15" t="str">
        <f>IF($A176="","",MASTER_REGISTER!N173)</f>
        <v/>
      </c>
    </row>
    <row r="177" spans="1:10" x14ac:dyDescent="0.3">
      <c r="A177" s="15" t="str">
        <f>IF(MASTER_REGISTER!E174="","",MASTER_REGISTER!E174)</f>
        <v/>
      </c>
      <c r="B177" s="15" t="str">
        <f>IF($A177="","",MASTER_REGISTER!F174)</f>
        <v/>
      </c>
      <c r="C177" s="15" t="str">
        <f>IF($A177="","",MASTER_REGISTER!C174)</f>
        <v/>
      </c>
      <c r="D177" s="15" t="str">
        <f>IF($A177="","",MASTER_REGISTER!H174)</f>
        <v/>
      </c>
      <c r="E177" s="15" t="str">
        <f>IF($A177="","",MASTER_REGISTER!G174)</f>
        <v/>
      </c>
      <c r="F177" s="15" t="str">
        <f>IF($A177="","",MASTER_REGISTER!I174)</f>
        <v/>
      </c>
      <c r="G177" s="16" t="str">
        <f>IF($A177="","",MASTER_REGISTER!J174)</f>
        <v/>
      </c>
      <c r="H177" s="16" t="str">
        <f>IF($A177="","",MASTER_REGISTER!L174)</f>
        <v/>
      </c>
      <c r="I177" s="16" t="str">
        <f>IF($A177="","",MASTER_REGISTER!M174)</f>
        <v/>
      </c>
      <c r="J177" s="15" t="str">
        <f>IF($A177="","",MASTER_REGISTER!N174)</f>
        <v/>
      </c>
    </row>
    <row r="178" spans="1:10" x14ac:dyDescent="0.3">
      <c r="A178" s="15" t="str">
        <f>IF(MASTER_REGISTER!E175="","",MASTER_REGISTER!E175)</f>
        <v/>
      </c>
      <c r="B178" s="15" t="str">
        <f>IF($A178="","",MASTER_REGISTER!F175)</f>
        <v/>
      </c>
      <c r="C178" s="15" t="str">
        <f>IF($A178="","",MASTER_REGISTER!C175)</f>
        <v/>
      </c>
      <c r="D178" s="15" t="str">
        <f>IF($A178="","",MASTER_REGISTER!H175)</f>
        <v/>
      </c>
      <c r="E178" s="15" t="str">
        <f>IF($A178="","",MASTER_REGISTER!G175)</f>
        <v/>
      </c>
      <c r="F178" s="15" t="str">
        <f>IF($A178="","",MASTER_REGISTER!I175)</f>
        <v/>
      </c>
      <c r="G178" s="16" t="str">
        <f>IF($A178="","",MASTER_REGISTER!J175)</f>
        <v/>
      </c>
      <c r="H178" s="16" t="str">
        <f>IF($A178="","",MASTER_REGISTER!L175)</f>
        <v/>
      </c>
      <c r="I178" s="16" t="str">
        <f>IF($A178="","",MASTER_REGISTER!M175)</f>
        <v/>
      </c>
      <c r="J178" s="15" t="str">
        <f>IF($A178="","",MASTER_REGISTER!N175)</f>
        <v/>
      </c>
    </row>
    <row r="179" spans="1:10" x14ac:dyDescent="0.3">
      <c r="A179" s="15" t="str">
        <f>IF(MASTER_REGISTER!E176="","",MASTER_REGISTER!E176)</f>
        <v/>
      </c>
      <c r="B179" s="15" t="str">
        <f>IF($A179="","",MASTER_REGISTER!F176)</f>
        <v/>
      </c>
      <c r="C179" s="15" t="str">
        <f>IF($A179="","",MASTER_REGISTER!C176)</f>
        <v/>
      </c>
      <c r="D179" s="15" t="str">
        <f>IF($A179="","",MASTER_REGISTER!H176)</f>
        <v/>
      </c>
      <c r="E179" s="15" t="str">
        <f>IF($A179="","",MASTER_REGISTER!G176)</f>
        <v/>
      </c>
      <c r="F179" s="15" t="str">
        <f>IF($A179="","",MASTER_REGISTER!I176)</f>
        <v/>
      </c>
      <c r="G179" s="16" t="str">
        <f>IF($A179="","",MASTER_REGISTER!J176)</f>
        <v/>
      </c>
      <c r="H179" s="16" t="str">
        <f>IF($A179="","",MASTER_REGISTER!L176)</f>
        <v/>
      </c>
      <c r="I179" s="16" t="str">
        <f>IF($A179="","",MASTER_REGISTER!M176)</f>
        <v/>
      </c>
      <c r="J179" s="15" t="str">
        <f>IF($A179="","",MASTER_REGISTER!N176)</f>
        <v/>
      </c>
    </row>
    <row r="180" spans="1:10" x14ac:dyDescent="0.3">
      <c r="A180" s="15" t="str">
        <f>IF(MASTER_REGISTER!E177="","",MASTER_REGISTER!E177)</f>
        <v/>
      </c>
      <c r="B180" s="15" t="str">
        <f>IF($A180="","",MASTER_REGISTER!F177)</f>
        <v/>
      </c>
      <c r="C180" s="15" t="str">
        <f>IF($A180="","",MASTER_REGISTER!C177)</f>
        <v/>
      </c>
      <c r="D180" s="15" t="str">
        <f>IF($A180="","",MASTER_REGISTER!H177)</f>
        <v/>
      </c>
      <c r="E180" s="15" t="str">
        <f>IF($A180="","",MASTER_REGISTER!G177)</f>
        <v/>
      </c>
      <c r="F180" s="15" t="str">
        <f>IF($A180="","",MASTER_REGISTER!I177)</f>
        <v/>
      </c>
      <c r="G180" s="16" t="str">
        <f>IF($A180="","",MASTER_REGISTER!J177)</f>
        <v/>
      </c>
      <c r="H180" s="16" t="str">
        <f>IF($A180="","",MASTER_REGISTER!L177)</f>
        <v/>
      </c>
      <c r="I180" s="16" t="str">
        <f>IF($A180="","",MASTER_REGISTER!M177)</f>
        <v/>
      </c>
      <c r="J180" s="15" t="str">
        <f>IF($A180="","",MASTER_REGISTER!N177)</f>
        <v/>
      </c>
    </row>
    <row r="181" spans="1:10" x14ac:dyDescent="0.3">
      <c r="A181" s="15" t="str">
        <f>IF(MASTER_REGISTER!E178="","",MASTER_REGISTER!E178)</f>
        <v/>
      </c>
      <c r="B181" s="15" t="str">
        <f>IF($A181="","",MASTER_REGISTER!F178)</f>
        <v/>
      </c>
      <c r="C181" s="15" t="str">
        <f>IF($A181="","",MASTER_REGISTER!C178)</f>
        <v/>
      </c>
      <c r="D181" s="15" t="str">
        <f>IF($A181="","",MASTER_REGISTER!H178)</f>
        <v/>
      </c>
      <c r="E181" s="15" t="str">
        <f>IF($A181="","",MASTER_REGISTER!G178)</f>
        <v/>
      </c>
      <c r="F181" s="15" t="str">
        <f>IF($A181="","",MASTER_REGISTER!I178)</f>
        <v/>
      </c>
      <c r="G181" s="16" t="str">
        <f>IF($A181="","",MASTER_REGISTER!J178)</f>
        <v/>
      </c>
      <c r="H181" s="16" t="str">
        <f>IF($A181="","",MASTER_REGISTER!L178)</f>
        <v/>
      </c>
      <c r="I181" s="16" t="str">
        <f>IF($A181="","",MASTER_REGISTER!M178)</f>
        <v/>
      </c>
      <c r="J181" s="15" t="str">
        <f>IF($A181="","",MASTER_REGISTER!N178)</f>
        <v/>
      </c>
    </row>
    <row r="182" spans="1:10" x14ac:dyDescent="0.3">
      <c r="A182" s="15" t="str">
        <f>IF(MASTER_REGISTER!E179="","",MASTER_REGISTER!E179)</f>
        <v/>
      </c>
      <c r="B182" s="15" t="str">
        <f>IF($A182="","",MASTER_REGISTER!F179)</f>
        <v/>
      </c>
      <c r="C182" s="15" t="str">
        <f>IF($A182="","",MASTER_REGISTER!C179)</f>
        <v/>
      </c>
      <c r="D182" s="15" t="str">
        <f>IF($A182="","",MASTER_REGISTER!H179)</f>
        <v/>
      </c>
      <c r="E182" s="15" t="str">
        <f>IF($A182="","",MASTER_REGISTER!G179)</f>
        <v/>
      </c>
      <c r="F182" s="15" t="str">
        <f>IF($A182="","",MASTER_REGISTER!I179)</f>
        <v/>
      </c>
      <c r="G182" s="16" t="str">
        <f>IF($A182="","",MASTER_REGISTER!J179)</f>
        <v/>
      </c>
      <c r="H182" s="16" t="str">
        <f>IF($A182="","",MASTER_REGISTER!L179)</f>
        <v/>
      </c>
      <c r="I182" s="16" t="str">
        <f>IF($A182="","",MASTER_REGISTER!M179)</f>
        <v/>
      </c>
      <c r="J182" s="15" t="str">
        <f>IF($A182="","",MASTER_REGISTER!N179)</f>
        <v/>
      </c>
    </row>
    <row r="183" spans="1:10" x14ac:dyDescent="0.3">
      <c r="A183" s="15" t="str">
        <f>IF(MASTER_REGISTER!E180="","",MASTER_REGISTER!E180)</f>
        <v/>
      </c>
      <c r="B183" s="15" t="str">
        <f>IF($A183="","",MASTER_REGISTER!F180)</f>
        <v/>
      </c>
      <c r="C183" s="15" t="str">
        <f>IF($A183="","",MASTER_REGISTER!C180)</f>
        <v/>
      </c>
      <c r="D183" s="15" t="str">
        <f>IF($A183="","",MASTER_REGISTER!H180)</f>
        <v/>
      </c>
      <c r="E183" s="15" t="str">
        <f>IF($A183="","",MASTER_REGISTER!G180)</f>
        <v/>
      </c>
      <c r="F183" s="15" t="str">
        <f>IF($A183="","",MASTER_REGISTER!I180)</f>
        <v/>
      </c>
      <c r="G183" s="16" t="str">
        <f>IF($A183="","",MASTER_REGISTER!J180)</f>
        <v/>
      </c>
      <c r="H183" s="16" t="str">
        <f>IF($A183="","",MASTER_REGISTER!L180)</f>
        <v/>
      </c>
      <c r="I183" s="16" t="str">
        <f>IF($A183="","",MASTER_REGISTER!M180)</f>
        <v/>
      </c>
      <c r="J183" s="15" t="str">
        <f>IF($A183="","",MASTER_REGISTER!N180)</f>
        <v/>
      </c>
    </row>
    <row r="184" spans="1:10" x14ac:dyDescent="0.3">
      <c r="A184" s="15" t="str">
        <f>IF(MASTER_REGISTER!E181="","",MASTER_REGISTER!E181)</f>
        <v/>
      </c>
      <c r="B184" s="15" t="str">
        <f>IF($A184="","",MASTER_REGISTER!F181)</f>
        <v/>
      </c>
      <c r="C184" s="15" t="str">
        <f>IF($A184="","",MASTER_REGISTER!C181)</f>
        <v/>
      </c>
      <c r="D184" s="15" t="str">
        <f>IF($A184="","",MASTER_REGISTER!H181)</f>
        <v/>
      </c>
      <c r="E184" s="15" t="str">
        <f>IF($A184="","",MASTER_REGISTER!G181)</f>
        <v/>
      </c>
      <c r="F184" s="15" t="str">
        <f>IF($A184="","",MASTER_REGISTER!I181)</f>
        <v/>
      </c>
      <c r="G184" s="16" t="str">
        <f>IF($A184="","",MASTER_REGISTER!J181)</f>
        <v/>
      </c>
      <c r="H184" s="16" t="str">
        <f>IF($A184="","",MASTER_REGISTER!L181)</f>
        <v/>
      </c>
      <c r="I184" s="16" t="str">
        <f>IF($A184="","",MASTER_REGISTER!M181)</f>
        <v/>
      </c>
      <c r="J184" s="15" t="str">
        <f>IF($A184="","",MASTER_REGISTER!N181)</f>
        <v/>
      </c>
    </row>
    <row r="185" spans="1:10" x14ac:dyDescent="0.3">
      <c r="A185" s="15" t="str">
        <f>IF(MASTER_REGISTER!E182="","",MASTER_REGISTER!E182)</f>
        <v/>
      </c>
      <c r="B185" s="15" t="str">
        <f>IF($A185="","",MASTER_REGISTER!F182)</f>
        <v/>
      </c>
      <c r="C185" s="15" t="str">
        <f>IF($A185="","",MASTER_REGISTER!C182)</f>
        <v/>
      </c>
      <c r="D185" s="15" t="str">
        <f>IF($A185="","",MASTER_REGISTER!H182)</f>
        <v/>
      </c>
      <c r="E185" s="15" t="str">
        <f>IF($A185="","",MASTER_REGISTER!G182)</f>
        <v/>
      </c>
      <c r="F185" s="15" t="str">
        <f>IF($A185="","",MASTER_REGISTER!I182)</f>
        <v/>
      </c>
      <c r="G185" s="16" t="str">
        <f>IF($A185="","",MASTER_REGISTER!J182)</f>
        <v/>
      </c>
      <c r="H185" s="16" t="str">
        <f>IF($A185="","",MASTER_REGISTER!L182)</f>
        <v/>
      </c>
      <c r="I185" s="16" t="str">
        <f>IF($A185="","",MASTER_REGISTER!M182)</f>
        <v/>
      </c>
      <c r="J185" s="15" t="str">
        <f>IF($A185="","",MASTER_REGISTER!N182)</f>
        <v/>
      </c>
    </row>
    <row r="186" spans="1:10" x14ac:dyDescent="0.3">
      <c r="A186" s="15" t="str">
        <f>IF(MASTER_REGISTER!E183="","",MASTER_REGISTER!E183)</f>
        <v/>
      </c>
      <c r="B186" s="15" t="str">
        <f>IF($A186="","",MASTER_REGISTER!F183)</f>
        <v/>
      </c>
      <c r="C186" s="15" t="str">
        <f>IF($A186="","",MASTER_REGISTER!C183)</f>
        <v/>
      </c>
      <c r="D186" s="15" t="str">
        <f>IF($A186="","",MASTER_REGISTER!H183)</f>
        <v/>
      </c>
      <c r="E186" s="15" t="str">
        <f>IF($A186="","",MASTER_REGISTER!G183)</f>
        <v/>
      </c>
      <c r="F186" s="15" t="str">
        <f>IF($A186="","",MASTER_REGISTER!I183)</f>
        <v/>
      </c>
      <c r="G186" s="16" t="str">
        <f>IF($A186="","",MASTER_REGISTER!J183)</f>
        <v/>
      </c>
      <c r="H186" s="16" t="str">
        <f>IF($A186="","",MASTER_REGISTER!L183)</f>
        <v/>
      </c>
      <c r="I186" s="16" t="str">
        <f>IF($A186="","",MASTER_REGISTER!M183)</f>
        <v/>
      </c>
      <c r="J186" s="15" t="str">
        <f>IF($A186="","",MASTER_REGISTER!N183)</f>
        <v/>
      </c>
    </row>
    <row r="187" spans="1:10" x14ac:dyDescent="0.3">
      <c r="A187" s="15" t="str">
        <f>IF(MASTER_REGISTER!E184="","",MASTER_REGISTER!E184)</f>
        <v/>
      </c>
      <c r="B187" s="15" t="str">
        <f>IF($A187="","",MASTER_REGISTER!F184)</f>
        <v/>
      </c>
      <c r="C187" s="15" t="str">
        <f>IF($A187="","",MASTER_REGISTER!C184)</f>
        <v/>
      </c>
      <c r="D187" s="15" t="str">
        <f>IF($A187="","",MASTER_REGISTER!H184)</f>
        <v/>
      </c>
      <c r="E187" s="15" t="str">
        <f>IF($A187="","",MASTER_REGISTER!G184)</f>
        <v/>
      </c>
      <c r="F187" s="15" t="str">
        <f>IF($A187="","",MASTER_REGISTER!I184)</f>
        <v/>
      </c>
      <c r="G187" s="16" t="str">
        <f>IF($A187="","",MASTER_REGISTER!J184)</f>
        <v/>
      </c>
      <c r="H187" s="16" t="str">
        <f>IF($A187="","",MASTER_REGISTER!L184)</f>
        <v/>
      </c>
      <c r="I187" s="16" t="str">
        <f>IF($A187="","",MASTER_REGISTER!M184)</f>
        <v/>
      </c>
      <c r="J187" s="15" t="str">
        <f>IF($A187="","",MASTER_REGISTER!N184)</f>
        <v/>
      </c>
    </row>
    <row r="188" spans="1:10" x14ac:dyDescent="0.3">
      <c r="A188" s="15" t="str">
        <f>IF(MASTER_REGISTER!E185="","",MASTER_REGISTER!E185)</f>
        <v/>
      </c>
      <c r="B188" s="15" t="str">
        <f>IF($A188="","",MASTER_REGISTER!F185)</f>
        <v/>
      </c>
      <c r="C188" s="15" t="str">
        <f>IF($A188="","",MASTER_REGISTER!C185)</f>
        <v/>
      </c>
      <c r="D188" s="15" t="str">
        <f>IF($A188="","",MASTER_REGISTER!H185)</f>
        <v/>
      </c>
      <c r="E188" s="15" t="str">
        <f>IF($A188="","",MASTER_REGISTER!G185)</f>
        <v/>
      </c>
      <c r="F188" s="15" t="str">
        <f>IF($A188="","",MASTER_REGISTER!I185)</f>
        <v/>
      </c>
      <c r="G188" s="16" t="str">
        <f>IF($A188="","",MASTER_REGISTER!J185)</f>
        <v/>
      </c>
      <c r="H188" s="16" t="str">
        <f>IF($A188="","",MASTER_REGISTER!L185)</f>
        <v/>
      </c>
      <c r="I188" s="16" t="str">
        <f>IF($A188="","",MASTER_REGISTER!M185)</f>
        <v/>
      </c>
      <c r="J188" s="15" t="str">
        <f>IF($A188="","",MASTER_REGISTER!N185)</f>
        <v/>
      </c>
    </row>
    <row r="189" spans="1:10" x14ac:dyDescent="0.3">
      <c r="A189" s="15" t="str">
        <f>IF(MASTER_REGISTER!E186="","",MASTER_REGISTER!E186)</f>
        <v/>
      </c>
      <c r="B189" s="15" t="str">
        <f>IF($A189="","",MASTER_REGISTER!F186)</f>
        <v/>
      </c>
      <c r="C189" s="15" t="str">
        <f>IF($A189="","",MASTER_REGISTER!C186)</f>
        <v/>
      </c>
      <c r="D189" s="15" t="str">
        <f>IF($A189="","",MASTER_REGISTER!H186)</f>
        <v/>
      </c>
      <c r="E189" s="15" t="str">
        <f>IF($A189="","",MASTER_REGISTER!G186)</f>
        <v/>
      </c>
      <c r="F189" s="15" t="str">
        <f>IF($A189="","",MASTER_REGISTER!I186)</f>
        <v/>
      </c>
      <c r="G189" s="16" t="str">
        <f>IF($A189="","",MASTER_REGISTER!J186)</f>
        <v/>
      </c>
      <c r="H189" s="16" t="str">
        <f>IF($A189="","",MASTER_REGISTER!L186)</f>
        <v/>
      </c>
      <c r="I189" s="16" t="str">
        <f>IF($A189="","",MASTER_REGISTER!M186)</f>
        <v/>
      </c>
      <c r="J189" s="15" t="str">
        <f>IF($A189="","",MASTER_REGISTER!N186)</f>
        <v/>
      </c>
    </row>
    <row r="190" spans="1:10" x14ac:dyDescent="0.3">
      <c r="A190" s="15" t="str">
        <f>IF(MASTER_REGISTER!E187="","",MASTER_REGISTER!E187)</f>
        <v/>
      </c>
      <c r="B190" s="15" t="str">
        <f>IF($A190="","",MASTER_REGISTER!F187)</f>
        <v/>
      </c>
      <c r="C190" s="15" t="str">
        <f>IF($A190="","",MASTER_REGISTER!C187)</f>
        <v/>
      </c>
      <c r="D190" s="15" t="str">
        <f>IF($A190="","",MASTER_REGISTER!H187)</f>
        <v/>
      </c>
      <c r="E190" s="15" t="str">
        <f>IF($A190="","",MASTER_REGISTER!G187)</f>
        <v/>
      </c>
      <c r="F190" s="15" t="str">
        <f>IF($A190="","",MASTER_REGISTER!I187)</f>
        <v/>
      </c>
      <c r="G190" s="16" t="str">
        <f>IF($A190="","",MASTER_REGISTER!J187)</f>
        <v/>
      </c>
      <c r="H190" s="16" t="str">
        <f>IF($A190="","",MASTER_REGISTER!L187)</f>
        <v/>
      </c>
      <c r="I190" s="16" t="str">
        <f>IF($A190="","",MASTER_REGISTER!M187)</f>
        <v/>
      </c>
      <c r="J190" s="15" t="str">
        <f>IF($A190="","",MASTER_REGISTER!N187)</f>
        <v/>
      </c>
    </row>
    <row r="191" spans="1:10" x14ac:dyDescent="0.3">
      <c r="A191" s="15" t="str">
        <f>IF(MASTER_REGISTER!E188="","",MASTER_REGISTER!E188)</f>
        <v/>
      </c>
      <c r="B191" s="15" t="str">
        <f>IF($A191="","",MASTER_REGISTER!F188)</f>
        <v/>
      </c>
      <c r="C191" s="15" t="str">
        <f>IF($A191="","",MASTER_REGISTER!C188)</f>
        <v/>
      </c>
      <c r="D191" s="15" t="str">
        <f>IF($A191="","",MASTER_REGISTER!H188)</f>
        <v/>
      </c>
      <c r="E191" s="15" t="str">
        <f>IF($A191="","",MASTER_REGISTER!G188)</f>
        <v/>
      </c>
      <c r="F191" s="15" t="str">
        <f>IF($A191="","",MASTER_REGISTER!I188)</f>
        <v/>
      </c>
      <c r="G191" s="16" t="str">
        <f>IF($A191="","",MASTER_REGISTER!J188)</f>
        <v/>
      </c>
      <c r="H191" s="16" t="str">
        <f>IF($A191="","",MASTER_REGISTER!L188)</f>
        <v/>
      </c>
      <c r="I191" s="16" t="str">
        <f>IF($A191="","",MASTER_REGISTER!M188)</f>
        <v/>
      </c>
      <c r="J191" s="15" t="str">
        <f>IF($A191="","",MASTER_REGISTER!N188)</f>
        <v/>
      </c>
    </row>
    <row r="192" spans="1:10" x14ac:dyDescent="0.3">
      <c r="A192" s="15" t="str">
        <f>IF(MASTER_REGISTER!E189="","",MASTER_REGISTER!E189)</f>
        <v/>
      </c>
      <c r="B192" s="15" t="str">
        <f>IF($A192="","",MASTER_REGISTER!F189)</f>
        <v/>
      </c>
      <c r="C192" s="15" t="str">
        <f>IF($A192="","",MASTER_REGISTER!C189)</f>
        <v/>
      </c>
      <c r="D192" s="15" t="str">
        <f>IF($A192="","",MASTER_REGISTER!H189)</f>
        <v/>
      </c>
      <c r="E192" s="15" t="str">
        <f>IF($A192="","",MASTER_REGISTER!G189)</f>
        <v/>
      </c>
      <c r="F192" s="15" t="str">
        <f>IF($A192="","",MASTER_REGISTER!I189)</f>
        <v/>
      </c>
      <c r="G192" s="16" t="str">
        <f>IF($A192="","",MASTER_REGISTER!J189)</f>
        <v/>
      </c>
      <c r="H192" s="16" t="str">
        <f>IF($A192="","",MASTER_REGISTER!L189)</f>
        <v/>
      </c>
      <c r="I192" s="16" t="str">
        <f>IF($A192="","",MASTER_REGISTER!M189)</f>
        <v/>
      </c>
      <c r="J192" s="15" t="str">
        <f>IF($A192="","",MASTER_REGISTER!N189)</f>
        <v/>
      </c>
    </row>
    <row r="193" spans="1:10" x14ac:dyDescent="0.3">
      <c r="A193" s="15" t="str">
        <f>IF(MASTER_REGISTER!E190="","",MASTER_REGISTER!E190)</f>
        <v/>
      </c>
      <c r="B193" s="15" t="str">
        <f>IF($A193="","",MASTER_REGISTER!F190)</f>
        <v/>
      </c>
      <c r="C193" s="15" t="str">
        <f>IF($A193="","",MASTER_REGISTER!C190)</f>
        <v/>
      </c>
      <c r="D193" s="15" t="str">
        <f>IF($A193="","",MASTER_REGISTER!H190)</f>
        <v/>
      </c>
      <c r="E193" s="15" t="str">
        <f>IF($A193="","",MASTER_REGISTER!G190)</f>
        <v/>
      </c>
      <c r="F193" s="15" t="str">
        <f>IF($A193="","",MASTER_REGISTER!I190)</f>
        <v/>
      </c>
      <c r="G193" s="16" t="str">
        <f>IF($A193="","",MASTER_REGISTER!J190)</f>
        <v/>
      </c>
      <c r="H193" s="16" t="str">
        <f>IF($A193="","",MASTER_REGISTER!L190)</f>
        <v/>
      </c>
      <c r="I193" s="16" t="str">
        <f>IF($A193="","",MASTER_REGISTER!M190)</f>
        <v/>
      </c>
      <c r="J193" s="15" t="str">
        <f>IF($A193="","",MASTER_REGISTER!N190)</f>
        <v/>
      </c>
    </row>
    <row r="194" spans="1:10" x14ac:dyDescent="0.3">
      <c r="A194" s="15" t="str">
        <f>IF(MASTER_REGISTER!E191="","",MASTER_REGISTER!E191)</f>
        <v/>
      </c>
      <c r="B194" s="15" t="str">
        <f>IF($A194="","",MASTER_REGISTER!F191)</f>
        <v/>
      </c>
      <c r="C194" s="15" t="str">
        <f>IF($A194="","",MASTER_REGISTER!C191)</f>
        <v/>
      </c>
      <c r="D194" s="15" t="str">
        <f>IF($A194="","",MASTER_REGISTER!H191)</f>
        <v/>
      </c>
      <c r="E194" s="15" t="str">
        <f>IF($A194="","",MASTER_REGISTER!G191)</f>
        <v/>
      </c>
      <c r="F194" s="15" t="str">
        <f>IF($A194="","",MASTER_REGISTER!I191)</f>
        <v/>
      </c>
      <c r="G194" s="16" t="str">
        <f>IF($A194="","",MASTER_REGISTER!J191)</f>
        <v/>
      </c>
      <c r="H194" s="16" t="str">
        <f>IF($A194="","",MASTER_REGISTER!L191)</f>
        <v/>
      </c>
      <c r="I194" s="16" t="str">
        <f>IF($A194="","",MASTER_REGISTER!M191)</f>
        <v/>
      </c>
      <c r="J194" s="15" t="str">
        <f>IF($A194="","",MASTER_REGISTER!N191)</f>
        <v/>
      </c>
    </row>
    <row r="195" spans="1:10" x14ac:dyDescent="0.3">
      <c r="A195" s="15" t="str">
        <f>IF(MASTER_REGISTER!E192="","",MASTER_REGISTER!E192)</f>
        <v/>
      </c>
      <c r="B195" s="15" t="str">
        <f>IF($A195="","",MASTER_REGISTER!F192)</f>
        <v/>
      </c>
      <c r="C195" s="15" t="str">
        <f>IF($A195="","",MASTER_REGISTER!C192)</f>
        <v/>
      </c>
      <c r="D195" s="15" t="str">
        <f>IF($A195="","",MASTER_REGISTER!H192)</f>
        <v/>
      </c>
      <c r="E195" s="15" t="str">
        <f>IF($A195="","",MASTER_REGISTER!G192)</f>
        <v/>
      </c>
      <c r="F195" s="15" t="str">
        <f>IF($A195="","",MASTER_REGISTER!I192)</f>
        <v/>
      </c>
      <c r="G195" s="16" t="str">
        <f>IF($A195="","",MASTER_REGISTER!J192)</f>
        <v/>
      </c>
      <c r="H195" s="16" t="str">
        <f>IF($A195="","",MASTER_REGISTER!L192)</f>
        <v/>
      </c>
      <c r="I195" s="16" t="str">
        <f>IF($A195="","",MASTER_REGISTER!M192)</f>
        <v/>
      </c>
      <c r="J195" s="15" t="str">
        <f>IF($A195="","",MASTER_REGISTER!N192)</f>
        <v/>
      </c>
    </row>
    <row r="196" spans="1:10" x14ac:dyDescent="0.3">
      <c r="A196" s="15" t="str">
        <f>IF(MASTER_REGISTER!E193="","",MASTER_REGISTER!E193)</f>
        <v/>
      </c>
      <c r="B196" s="15" t="str">
        <f>IF($A196="","",MASTER_REGISTER!F193)</f>
        <v/>
      </c>
      <c r="C196" s="15" t="str">
        <f>IF($A196="","",MASTER_REGISTER!C193)</f>
        <v/>
      </c>
      <c r="D196" s="15" t="str">
        <f>IF($A196="","",MASTER_REGISTER!H193)</f>
        <v/>
      </c>
      <c r="E196" s="15" t="str">
        <f>IF($A196="","",MASTER_REGISTER!G193)</f>
        <v/>
      </c>
      <c r="F196" s="15" t="str">
        <f>IF($A196="","",MASTER_REGISTER!I193)</f>
        <v/>
      </c>
      <c r="G196" s="16" t="str">
        <f>IF($A196="","",MASTER_REGISTER!J193)</f>
        <v/>
      </c>
      <c r="H196" s="16" t="str">
        <f>IF($A196="","",MASTER_REGISTER!L193)</f>
        <v/>
      </c>
      <c r="I196" s="16" t="str">
        <f>IF($A196="","",MASTER_REGISTER!M193)</f>
        <v/>
      </c>
      <c r="J196" s="15" t="str">
        <f>IF($A196="","",MASTER_REGISTER!N193)</f>
        <v/>
      </c>
    </row>
    <row r="197" spans="1:10" x14ac:dyDescent="0.3">
      <c r="A197" s="15" t="str">
        <f>IF(MASTER_REGISTER!E194="","",MASTER_REGISTER!E194)</f>
        <v/>
      </c>
      <c r="B197" s="15" t="str">
        <f>IF($A197="","",MASTER_REGISTER!F194)</f>
        <v/>
      </c>
      <c r="C197" s="15" t="str">
        <f>IF($A197="","",MASTER_REGISTER!C194)</f>
        <v/>
      </c>
      <c r="D197" s="15" t="str">
        <f>IF($A197="","",MASTER_REGISTER!H194)</f>
        <v/>
      </c>
      <c r="E197" s="15" t="str">
        <f>IF($A197="","",MASTER_REGISTER!G194)</f>
        <v/>
      </c>
      <c r="F197" s="15" t="str">
        <f>IF($A197="","",MASTER_REGISTER!I194)</f>
        <v/>
      </c>
      <c r="G197" s="16" t="str">
        <f>IF($A197="","",MASTER_REGISTER!J194)</f>
        <v/>
      </c>
      <c r="H197" s="16" t="str">
        <f>IF($A197="","",MASTER_REGISTER!L194)</f>
        <v/>
      </c>
      <c r="I197" s="16" t="str">
        <f>IF($A197="","",MASTER_REGISTER!M194)</f>
        <v/>
      </c>
      <c r="J197" s="15" t="str">
        <f>IF($A197="","",MASTER_REGISTER!N194)</f>
        <v/>
      </c>
    </row>
    <row r="198" spans="1:10" x14ac:dyDescent="0.3">
      <c r="A198" s="15" t="str">
        <f>IF(MASTER_REGISTER!E195="","",MASTER_REGISTER!E195)</f>
        <v/>
      </c>
      <c r="B198" s="15" t="str">
        <f>IF($A198="","",MASTER_REGISTER!F195)</f>
        <v/>
      </c>
      <c r="C198" s="15" t="str">
        <f>IF($A198="","",MASTER_REGISTER!C195)</f>
        <v/>
      </c>
      <c r="D198" s="15" t="str">
        <f>IF($A198="","",MASTER_REGISTER!H195)</f>
        <v/>
      </c>
      <c r="E198" s="15" t="str">
        <f>IF($A198="","",MASTER_REGISTER!G195)</f>
        <v/>
      </c>
      <c r="F198" s="15" t="str">
        <f>IF($A198="","",MASTER_REGISTER!I195)</f>
        <v/>
      </c>
      <c r="G198" s="16" t="str">
        <f>IF($A198="","",MASTER_REGISTER!J195)</f>
        <v/>
      </c>
      <c r="H198" s="16" t="str">
        <f>IF($A198="","",MASTER_REGISTER!L195)</f>
        <v/>
      </c>
      <c r="I198" s="16" t="str">
        <f>IF($A198="","",MASTER_REGISTER!M195)</f>
        <v/>
      </c>
      <c r="J198" s="15" t="str">
        <f>IF($A198="","",MASTER_REGISTER!N195)</f>
        <v/>
      </c>
    </row>
    <row r="199" spans="1:10" x14ac:dyDescent="0.3">
      <c r="A199" s="15" t="str">
        <f>IF(MASTER_REGISTER!E196="","",MASTER_REGISTER!E196)</f>
        <v/>
      </c>
      <c r="B199" s="15" t="str">
        <f>IF($A199="","",MASTER_REGISTER!F196)</f>
        <v/>
      </c>
      <c r="C199" s="15" t="str">
        <f>IF($A199="","",MASTER_REGISTER!C196)</f>
        <v/>
      </c>
      <c r="D199" s="15" t="str">
        <f>IF($A199="","",MASTER_REGISTER!H196)</f>
        <v/>
      </c>
      <c r="E199" s="15" t="str">
        <f>IF($A199="","",MASTER_REGISTER!G196)</f>
        <v/>
      </c>
      <c r="F199" s="15" t="str">
        <f>IF($A199="","",MASTER_REGISTER!I196)</f>
        <v/>
      </c>
      <c r="G199" s="16" t="str">
        <f>IF($A199="","",MASTER_REGISTER!J196)</f>
        <v/>
      </c>
      <c r="H199" s="16" t="str">
        <f>IF($A199="","",MASTER_REGISTER!L196)</f>
        <v/>
      </c>
      <c r="I199" s="16" t="str">
        <f>IF($A199="","",MASTER_REGISTER!M196)</f>
        <v/>
      </c>
      <c r="J199" s="15" t="str">
        <f>IF($A199="","",MASTER_REGISTER!N196)</f>
        <v/>
      </c>
    </row>
    <row r="200" spans="1:10" x14ac:dyDescent="0.3">
      <c r="A200" s="15" t="str">
        <f>IF(MASTER_REGISTER!E197="","",MASTER_REGISTER!E197)</f>
        <v/>
      </c>
      <c r="B200" s="15" t="str">
        <f>IF($A200="","",MASTER_REGISTER!F197)</f>
        <v/>
      </c>
      <c r="C200" s="15" t="str">
        <f>IF($A200="","",MASTER_REGISTER!C197)</f>
        <v/>
      </c>
      <c r="D200" s="15" t="str">
        <f>IF($A200="","",MASTER_REGISTER!H197)</f>
        <v/>
      </c>
      <c r="E200" s="15" t="str">
        <f>IF($A200="","",MASTER_REGISTER!G197)</f>
        <v/>
      </c>
      <c r="F200" s="15" t="str">
        <f>IF($A200="","",MASTER_REGISTER!I197)</f>
        <v/>
      </c>
      <c r="G200" s="16" t="str">
        <f>IF($A200="","",MASTER_REGISTER!J197)</f>
        <v/>
      </c>
      <c r="H200" s="16" t="str">
        <f>IF($A200="","",MASTER_REGISTER!L197)</f>
        <v/>
      </c>
      <c r="I200" s="16" t="str">
        <f>IF($A200="","",MASTER_REGISTER!M197)</f>
        <v/>
      </c>
      <c r="J200" s="15" t="str">
        <f>IF($A200="","",MASTER_REGISTER!N197)</f>
        <v/>
      </c>
    </row>
    <row r="201" spans="1:10" x14ac:dyDescent="0.3">
      <c r="A201" s="15" t="str">
        <f>IF(MASTER_REGISTER!E198="","",MASTER_REGISTER!E198)</f>
        <v/>
      </c>
      <c r="B201" s="15" t="str">
        <f>IF($A201="","",MASTER_REGISTER!F198)</f>
        <v/>
      </c>
      <c r="C201" s="15" t="str">
        <f>IF($A201="","",MASTER_REGISTER!C198)</f>
        <v/>
      </c>
      <c r="D201" s="15" t="str">
        <f>IF($A201="","",MASTER_REGISTER!H198)</f>
        <v/>
      </c>
      <c r="E201" s="15" t="str">
        <f>IF($A201="","",MASTER_REGISTER!G198)</f>
        <v/>
      </c>
      <c r="F201" s="15" t="str">
        <f>IF($A201="","",MASTER_REGISTER!I198)</f>
        <v/>
      </c>
      <c r="G201" s="16" t="str">
        <f>IF($A201="","",MASTER_REGISTER!J198)</f>
        <v/>
      </c>
      <c r="H201" s="16" t="str">
        <f>IF($A201="","",MASTER_REGISTER!L198)</f>
        <v/>
      </c>
      <c r="I201" s="16" t="str">
        <f>IF($A201="","",MASTER_REGISTER!M198)</f>
        <v/>
      </c>
      <c r="J201" s="15" t="str">
        <f>IF($A201="","",MASTER_REGISTER!N198)</f>
        <v/>
      </c>
    </row>
    <row r="202" spans="1:10" x14ac:dyDescent="0.3">
      <c r="A202" s="15" t="str">
        <f>IF(MASTER_REGISTER!E199="","",MASTER_REGISTER!E199)</f>
        <v/>
      </c>
      <c r="B202" s="15" t="str">
        <f>IF($A202="","",MASTER_REGISTER!F199)</f>
        <v/>
      </c>
      <c r="C202" s="15" t="str">
        <f>IF($A202="","",MASTER_REGISTER!C199)</f>
        <v/>
      </c>
      <c r="D202" s="15" t="str">
        <f>IF($A202="","",MASTER_REGISTER!H199)</f>
        <v/>
      </c>
      <c r="E202" s="15" t="str">
        <f>IF($A202="","",MASTER_REGISTER!G199)</f>
        <v/>
      </c>
      <c r="F202" s="15" t="str">
        <f>IF($A202="","",MASTER_REGISTER!I199)</f>
        <v/>
      </c>
      <c r="G202" s="16" t="str">
        <f>IF($A202="","",MASTER_REGISTER!J199)</f>
        <v/>
      </c>
      <c r="H202" s="16" t="str">
        <f>IF($A202="","",MASTER_REGISTER!L199)</f>
        <v/>
      </c>
      <c r="I202" s="16" t="str">
        <f>IF($A202="","",MASTER_REGISTER!M199)</f>
        <v/>
      </c>
      <c r="J202" s="15" t="str">
        <f>IF($A202="","",MASTER_REGISTER!N199)</f>
        <v/>
      </c>
    </row>
    <row r="203" spans="1:10" x14ac:dyDescent="0.3">
      <c r="A203" s="15" t="str">
        <f>IF(MASTER_REGISTER!E200="","",MASTER_REGISTER!E200)</f>
        <v/>
      </c>
      <c r="B203" s="15" t="str">
        <f>IF($A203="","",MASTER_REGISTER!F200)</f>
        <v/>
      </c>
      <c r="C203" s="15" t="str">
        <f>IF($A203="","",MASTER_REGISTER!C200)</f>
        <v/>
      </c>
      <c r="D203" s="15" t="str">
        <f>IF($A203="","",MASTER_REGISTER!H200)</f>
        <v/>
      </c>
      <c r="E203" s="15" t="str">
        <f>IF($A203="","",MASTER_REGISTER!G200)</f>
        <v/>
      </c>
      <c r="F203" s="15" t="str">
        <f>IF($A203="","",MASTER_REGISTER!I200)</f>
        <v/>
      </c>
      <c r="G203" s="16" t="str">
        <f>IF($A203="","",MASTER_REGISTER!J200)</f>
        <v/>
      </c>
      <c r="H203" s="16" t="str">
        <f>IF($A203="","",MASTER_REGISTER!L200)</f>
        <v/>
      </c>
      <c r="I203" s="16" t="str">
        <f>IF($A203="","",MASTER_REGISTER!M200)</f>
        <v/>
      </c>
      <c r="J203" s="15" t="str">
        <f>IF($A203="","",MASTER_REGISTER!N200)</f>
        <v/>
      </c>
    </row>
    <row r="204" spans="1:10" x14ac:dyDescent="0.3">
      <c r="A204" s="15" t="str">
        <f>IF(MASTER_REGISTER!E201="","",MASTER_REGISTER!E201)</f>
        <v/>
      </c>
      <c r="B204" s="15" t="str">
        <f>IF($A204="","",MASTER_REGISTER!F201)</f>
        <v/>
      </c>
      <c r="C204" s="15" t="str">
        <f>IF($A204="","",MASTER_REGISTER!C201)</f>
        <v/>
      </c>
      <c r="D204" s="15" t="str">
        <f>IF($A204="","",MASTER_REGISTER!H201)</f>
        <v/>
      </c>
      <c r="E204" s="15" t="str">
        <f>IF($A204="","",MASTER_REGISTER!G201)</f>
        <v/>
      </c>
      <c r="F204" s="15" t="str">
        <f>IF($A204="","",MASTER_REGISTER!I201)</f>
        <v/>
      </c>
      <c r="G204" s="16" t="str">
        <f>IF($A204="","",MASTER_REGISTER!J201)</f>
        <v/>
      </c>
      <c r="H204" s="16" t="str">
        <f>IF($A204="","",MASTER_REGISTER!L201)</f>
        <v/>
      </c>
      <c r="I204" s="16" t="str">
        <f>IF($A204="","",MASTER_REGISTER!M201)</f>
        <v/>
      </c>
      <c r="J204" s="15" t="str">
        <f>IF($A204="","",MASTER_REGISTER!N201)</f>
        <v/>
      </c>
    </row>
    <row r="205" spans="1:10" x14ac:dyDescent="0.3">
      <c r="A205" s="15" t="str">
        <f>IF(MASTER_REGISTER!E202="","",MASTER_REGISTER!E202)</f>
        <v/>
      </c>
      <c r="B205" s="15" t="str">
        <f>IF($A205="","",MASTER_REGISTER!F202)</f>
        <v/>
      </c>
      <c r="C205" s="15" t="str">
        <f>IF($A205="","",MASTER_REGISTER!C202)</f>
        <v/>
      </c>
      <c r="D205" s="15" t="str">
        <f>IF($A205="","",MASTER_REGISTER!H202)</f>
        <v/>
      </c>
      <c r="E205" s="15" t="str">
        <f>IF($A205="","",MASTER_REGISTER!G202)</f>
        <v/>
      </c>
      <c r="F205" s="15" t="str">
        <f>IF($A205="","",MASTER_REGISTER!I202)</f>
        <v/>
      </c>
      <c r="G205" s="16" t="str">
        <f>IF($A205="","",MASTER_REGISTER!J202)</f>
        <v/>
      </c>
      <c r="H205" s="16" t="str">
        <f>IF($A205="","",MASTER_REGISTER!L202)</f>
        <v/>
      </c>
      <c r="I205" s="16" t="str">
        <f>IF($A205="","",MASTER_REGISTER!M202)</f>
        <v/>
      </c>
      <c r="J205" s="15" t="str">
        <f>IF($A205="","",MASTER_REGISTER!N202)</f>
        <v/>
      </c>
    </row>
    <row r="206" spans="1:10" x14ac:dyDescent="0.3">
      <c r="A206" s="15" t="str">
        <f>IF(MASTER_REGISTER!E203="","",MASTER_REGISTER!E203)</f>
        <v/>
      </c>
      <c r="B206" s="15" t="str">
        <f>IF($A206="","",MASTER_REGISTER!F203)</f>
        <v/>
      </c>
      <c r="C206" s="15" t="str">
        <f>IF($A206="","",MASTER_REGISTER!C203)</f>
        <v/>
      </c>
      <c r="D206" s="15" t="str">
        <f>IF($A206="","",MASTER_REGISTER!H203)</f>
        <v/>
      </c>
      <c r="E206" s="15" t="str">
        <f>IF($A206="","",MASTER_REGISTER!G203)</f>
        <v/>
      </c>
      <c r="F206" s="15" t="str">
        <f>IF($A206="","",MASTER_REGISTER!I203)</f>
        <v/>
      </c>
      <c r="G206" s="16" t="str">
        <f>IF($A206="","",MASTER_REGISTER!J203)</f>
        <v/>
      </c>
      <c r="H206" s="16" t="str">
        <f>IF($A206="","",MASTER_REGISTER!L203)</f>
        <v/>
      </c>
      <c r="I206" s="16" t="str">
        <f>IF($A206="","",MASTER_REGISTER!M203)</f>
        <v/>
      </c>
      <c r="J206" s="15" t="str">
        <f>IF($A206="","",MASTER_REGISTER!N203)</f>
        <v/>
      </c>
    </row>
    <row r="207" spans="1:10" x14ac:dyDescent="0.3">
      <c r="A207" s="15" t="str">
        <f>IF(MASTER_REGISTER!E204="","",MASTER_REGISTER!E204)</f>
        <v/>
      </c>
      <c r="B207" s="15" t="str">
        <f>IF($A207="","",MASTER_REGISTER!F204)</f>
        <v/>
      </c>
      <c r="C207" s="15" t="str">
        <f>IF($A207="","",MASTER_REGISTER!C204)</f>
        <v/>
      </c>
      <c r="D207" s="15" t="str">
        <f>IF($A207="","",MASTER_REGISTER!H204)</f>
        <v/>
      </c>
      <c r="E207" s="15" t="str">
        <f>IF($A207="","",MASTER_REGISTER!G204)</f>
        <v/>
      </c>
      <c r="F207" s="15" t="str">
        <f>IF($A207="","",MASTER_REGISTER!I204)</f>
        <v/>
      </c>
      <c r="G207" s="16" t="str">
        <f>IF($A207="","",MASTER_REGISTER!J204)</f>
        <v/>
      </c>
      <c r="H207" s="16" t="str">
        <f>IF($A207="","",MASTER_REGISTER!L204)</f>
        <v/>
      </c>
      <c r="I207" s="16" t="str">
        <f>IF($A207="","",MASTER_REGISTER!M204)</f>
        <v/>
      </c>
      <c r="J207" s="15" t="str">
        <f>IF($A207="","",MASTER_REGISTER!N204)</f>
        <v/>
      </c>
    </row>
    <row r="208" spans="1:10" x14ac:dyDescent="0.3">
      <c r="A208" s="15" t="str">
        <f>IF(MASTER_REGISTER!E205="","",MASTER_REGISTER!E205)</f>
        <v/>
      </c>
      <c r="B208" s="15" t="str">
        <f>IF($A208="","",MASTER_REGISTER!F205)</f>
        <v/>
      </c>
      <c r="C208" s="15" t="str">
        <f>IF($A208="","",MASTER_REGISTER!C205)</f>
        <v/>
      </c>
      <c r="D208" s="15" t="str">
        <f>IF($A208="","",MASTER_REGISTER!H205)</f>
        <v/>
      </c>
      <c r="E208" s="15" t="str">
        <f>IF($A208="","",MASTER_REGISTER!G205)</f>
        <v/>
      </c>
      <c r="F208" s="15" t="str">
        <f>IF($A208="","",MASTER_REGISTER!I205)</f>
        <v/>
      </c>
      <c r="G208" s="16" t="str">
        <f>IF($A208="","",MASTER_REGISTER!J205)</f>
        <v/>
      </c>
      <c r="H208" s="16" t="str">
        <f>IF($A208="","",MASTER_REGISTER!L205)</f>
        <v/>
      </c>
      <c r="I208" s="16" t="str">
        <f>IF($A208="","",MASTER_REGISTER!M205)</f>
        <v/>
      </c>
      <c r="J208" s="15" t="str">
        <f>IF($A208="","",MASTER_REGISTER!N205)</f>
        <v/>
      </c>
    </row>
    <row r="209" spans="1:10" x14ac:dyDescent="0.3">
      <c r="A209" s="15" t="str">
        <f>IF(MASTER_REGISTER!E206="","",MASTER_REGISTER!E206)</f>
        <v/>
      </c>
      <c r="B209" s="15" t="str">
        <f>IF($A209="","",MASTER_REGISTER!F206)</f>
        <v/>
      </c>
      <c r="C209" s="15" t="str">
        <f>IF($A209="","",MASTER_REGISTER!C206)</f>
        <v/>
      </c>
      <c r="D209" s="15" t="str">
        <f>IF($A209="","",MASTER_REGISTER!H206)</f>
        <v/>
      </c>
      <c r="E209" s="15" t="str">
        <f>IF($A209="","",MASTER_REGISTER!G206)</f>
        <v/>
      </c>
      <c r="F209" s="15" t="str">
        <f>IF($A209="","",MASTER_REGISTER!I206)</f>
        <v/>
      </c>
      <c r="G209" s="16" t="str">
        <f>IF($A209="","",MASTER_REGISTER!J206)</f>
        <v/>
      </c>
      <c r="H209" s="16" t="str">
        <f>IF($A209="","",MASTER_REGISTER!L206)</f>
        <v/>
      </c>
      <c r="I209" s="16" t="str">
        <f>IF($A209="","",MASTER_REGISTER!M206)</f>
        <v/>
      </c>
      <c r="J209" s="15" t="str">
        <f>IF($A209="","",MASTER_REGISTER!N206)</f>
        <v/>
      </c>
    </row>
    <row r="210" spans="1:10" x14ac:dyDescent="0.3">
      <c r="A210" s="15" t="str">
        <f>IF(MASTER_REGISTER!E207="","",MASTER_REGISTER!E207)</f>
        <v/>
      </c>
      <c r="B210" s="15" t="str">
        <f>IF($A210="","",MASTER_REGISTER!F207)</f>
        <v/>
      </c>
      <c r="C210" s="15" t="str">
        <f>IF($A210="","",MASTER_REGISTER!C207)</f>
        <v/>
      </c>
      <c r="D210" s="15" t="str">
        <f>IF($A210="","",MASTER_REGISTER!H207)</f>
        <v/>
      </c>
      <c r="E210" s="15" t="str">
        <f>IF($A210="","",MASTER_REGISTER!G207)</f>
        <v/>
      </c>
      <c r="F210" s="15" t="str">
        <f>IF($A210="","",MASTER_REGISTER!I207)</f>
        <v/>
      </c>
      <c r="G210" s="16" t="str">
        <f>IF($A210="","",MASTER_REGISTER!J207)</f>
        <v/>
      </c>
      <c r="H210" s="16" t="str">
        <f>IF($A210="","",MASTER_REGISTER!L207)</f>
        <v/>
      </c>
      <c r="I210" s="16" t="str">
        <f>IF($A210="","",MASTER_REGISTER!M207)</f>
        <v/>
      </c>
      <c r="J210" s="15" t="str">
        <f>IF($A210="","",MASTER_REGISTER!N207)</f>
        <v/>
      </c>
    </row>
    <row r="211" spans="1:10" x14ac:dyDescent="0.3">
      <c r="A211" s="15" t="str">
        <f>IF(MASTER_REGISTER!E208="","",MASTER_REGISTER!E208)</f>
        <v/>
      </c>
      <c r="B211" s="15" t="str">
        <f>IF($A211="","",MASTER_REGISTER!F208)</f>
        <v/>
      </c>
      <c r="C211" s="15" t="str">
        <f>IF($A211="","",MASTER_REGISTER!C208)</f>
        <v/>
      </c>
      <c r="D211" s="15" t="str">
        <f>IF($A211="","",MASTER_REGISTER!H208)</f>
        <v/>
      </c>
      <c r="E211" s="15" t="str">
        <f>IF($A211="","",MASTER_REGISTER!G208)</f>
        <v/>
      </c>
      <c r="F211" s="15" t="str">
        <f>IF($A211="","",MASTER_REGISTER!I208)</f>
        <v/>
      </c>
      <c r="G211" s="16" t="str">
        <f>IF($A211="","",MASTER_REGISTER!J208)</f>
        <v/>
      </c>
      <c r="H211" s="16" t="str">
        <f>IF($A211="","",MASTER_REGISTER!L208)</f>
        <v/>
      </c>
      <c r="I211" s="16" t="str">
        <f>IF($A211="","",MASTER_REGISTER!M208)</f>
        <v/>
      </c>
      <c r="J211" s="15" t="str">
        <f>IF($A211="","",MASTER_REGISTER!N208)</f>
        <v/>
      </c>
    </row>
    <row r="212" spans="1:10" x14ac:dyDescent="0.3">
      <c r="A212" s="15" t="str">
        <f>IF(MASTER_REGISTER!E209="","",MASTER_REGISTER!E209)</f>
        <v/>
      </c>
      <c r="B212" s="15" t="str">
        <f>IF($A212="","",MASTER_REGISTER!F209)</f>
        <v/>
      </c>
      <c r="C212" s="15" t="str">
        <f>IF($A212="","",MASTER_REGISTER!C209)</f>
        <v/>
      </c>
      <c r="D212" s="15" t="str">
        <f>IF($A212="","",MASTER_REGISTER!H209)</f>
        <v/>
      </c>
      <c r="E212" s="15" t="str">
        <f>IF($A212="","",MASTER_REGISTER!G209)</f>
        <v/>
      </c>
      <c r="F212" s="15" t="str">
        <f>IF($A212="","",MASTER_REGISTER!I209)</f>
        <v/>
      </c>
      <c r="G212" s="16" t="str">
        <f>IF($A212="","",MASTER_REGISTER!J209)</f>
        <v/>
      </c>
      <c r="H212" s="16" t="str">
        <f>IF($A212="","",MASTER_REGISTER!L209)</f>
        <v/>
      </c>
      <c r="I212" s="16" t="str">
        <f>IF($A212="","",MASTER_REGISTER!M209)</f>
        <v/>
      </c>
      <c r="J212" s="15" t="str">
        <f>IF($A212="","",MASTER_REGISTER!N209)</f>
        <v/>
      </c>
    </row>
    <row r="213" spans="1:10" x14ac:dyDescent="0.3">
      <c r="A213" s="15" t="str">
        <f>IF(MASTER_REGISTER!E210="","",MASTER_REGISTER!E210)</f>
        <v/>
      </c>
      <c r="B213" s="15" t="str">
        <f>IF($A213="","",MASTER_REGISTER!F210)</f>
        <v/>
      </c>
      <c r="C213" s="15" t="str">
        <f>IF($A213="","",MASTER_REGISTER!C210)</f>
        <v/>
      </c>
      <c r="D213" s="15" t="str">
        <f>IF($A213="","",MASTER_REGISTER!H210)</f>
        <v/>
      </c>
      <c r="E213" s="15" t="str">
        <f>IF($A213="","",MASTER_REGISTER!G210)</f>
        <v/>
      </c>
      <c r="F213" s="15" t="str">
        <f>IF($A213="","",MASTER_REGISTER!I210)</f>
        <v/>
      </c>
      <c r="G213" s="16" t="str">
        <f>IF($A213="","",MASTER_REGISTER!J210)</f>
        <v/>
      </c>
      <c r="H213" s="16" t="str">
        <f>IF($A213="","",MASTER_REGISTER!L210)</f>
        <v/>
      </c>
      <c r="I213" s="16" t="str">
        <f>IF($A213="","",MASTER_REGISTER!M210)</f>
        <v/>
      </c>
      <c r="J213" s="15" t="str">
        <f>IF($A213="","",MASTER_REGISTER!N210)</f>
        <v/>
      </c>
    </row>
    <row r="214" spans="1:10" x14ac:dyDescent="0.3">
      <c r="A214" s="15" t="str">
        <f>IF(MASTER_REGISTER!E211="","",MASTER_REGISTER!E211)</f>
        <v/>
      </c>
      <c r="B214" s="15" t="str">
        <f>IF($A214="","",MASTER_REGISTER!F211)</f>
        <v/>
      </c>
      <c r="C214" s="15" t="str">
        <f>IF($A214="","",MASTER_REGISTER!C211)</f>
        <v/>
      </c>
      <c r="D214" s="15" t="str">
        <f>IF($A214="","",MASTER_REGISTER!H211)</f>
        <v/>
      </c>
      <c r="E214" s="15" t="str">
        <f>IF($A214="","",MASTER_REGISTER!G211)</f>
        <v/>
      </c>
      <c r="F214" s="15" t="str">
        <f>IF($A214="","",MASTER_REGISTER!I211)</f>
        <v/>
      </c>
      <c r="G214" s="16" t="str">
        <f>IF($A214="","",MASTER_REGISTER!J211)</f>
        <v/>
      </c>
      <c r="H214" s="16" t="str">
        <f>IF($A214="","",MASTER_REGISTER!L211)</f>
        <v/>
      </c>
      <c r="I214" s="16" t="str">
        <f>IF($A214="","",MASTER_REGISTER!M211)</f>
        <v/>
      </c>
      <c r="J214" s="15" t="str">
        <f>IF($A214="","",MASTER_REGISTER!N211)</f>
        <v/>
      </c>
    </row>
    <row r="215" spans="1:10" x14ac:dyDescent="0.3">
      <c r="A215" s="15" t="str">
        <f>IF(MASTER_REGISTER!E212="","",MASTER_REGISTER!E212)</f>
        <v/>
      </c>
      <c r="B215" s="15" t="str">
        <f>IF($A215="","",MASTER_REGISTER!F212)</f>
        <v/>
      </c>
      <c r="C215" s="15" t="str">
        <f>IF($A215="","",MASTER_REGISTER!C212)</f>
        <v/>
      </c>
      <c r="D215" s="15" t="str">
        <f>IF($A215="","",MASTER_REGISTER!H212)</f>
        <v/>
      </c>
      <c r="E215" s="15" t="str">
        <f>IF($A215="","",MASTER_REGISTER!G212)</f>
        <v/>
      </c>
      <c r="F215" s="15" t="str">
        <f>IF($A215="","",MASTER_REGISTER!I212)</f>
        <v/>
      </c>
      <c r="G215" s="16" t="str">
        <f>IF($A215="","",MASTER_REGISTER!J212)</f>
        <v/>
      </c>
      <c r="H215" s="16" t="str">
        <f>IF($A215="","",MASTER_REGISTER!L212)</f>
        <v/>
      </c>
      <c r="I215" s="16" t="str">
        <f>IF($A215="","",MASTER_REGISTER!M212)</f>
        <v/>
      </c>
      <c r="J215" s="15" t="str">
        <f>IF($A215="","",MASTER_REGISTER!N212)</f>
        <v/>
      </c>
    </row>
    <row r="216" spans="1:10" x14ac:dyDescent="0.3">
      <c r="A216" s="15" t="str">
        <f>IF(MASTER_REGISTER!E213="","",MASTER_REGISTER!E213)</f>
        <v/>
      </c>
      <c r="B216" s="15" t="str">
        <f>IF($A216="","",MASTER_REGISTER!F213)</f>
        <v/>
      </c>
      <c r="C216" s="15" t="str">
        <f>IF($A216="","",MASTER_REGISTER!C213)</f>
        <v/>
      </c>
      <c r="D216" s="15" t="str">
        <f>IF($A216="","",MASTER_REGISTER!H213)</f>
        <v/>
      </c>
      <c r="E216" s="15" t="str">
        <f>IF($A216="","",MASTER_REGISTER!G213)</f>
        <v/>
      </c>
      <c r="F216" s="15" t="str">
        <f>IF($A216="","",MASTER_REGISTER!I213)</f>
        <v/>
      </c>
      <c r="G216" s="16" t="str">
        <f>IF($A216="","",MASTER_REGISTER!J213)</f>
        <v/>
      </c>
      <c r="H216" s="16" t="str">
        <f>IF($A216="","",MASTER_REGISTER!L213)</f>
        <v/>
      </c>
      <c r="I216" s="16" t="str">
        <f>IF($A216="","",MASTER_REGISTER!M213)</f>
        <v/>
      </c>
      <c r="J216" s="15" t="str">
        <f>IF($A216="","",MASTER_REGISTER!N213)</f>
        <v/>
      </c>
    </row>
    <row r="217" spans="1:10" x14ac:dyDescent="0.3">
      <c r="A217" s="15" t="str">
        <f>IF(MASTER_REGISTER!E214="","",MASTER_REGISTER!E214)</f>
        <v/>
      </c>
      <c r="B217" s="15" t="str">
        <f>IF($A217="","",MASTER_REGISTER!F214)</f>
        <v/>
      </c>
      <c r="C217" s="15" t="str">
        <f>IF($A217="","",MASTER_REGISTER!C214)</f>
        <v/>
      </c>
      <c r="D217" s="15" t="str">
        <f>IF($A217="","",MASTER_REGISTER!H214)</f>
        <v/>
      </c>
      <c r="E217" s="15" t="str">
        <f>IF($A217="","",MASTER_REGISTER!G214)</f>
        <v/>
      </c>
      <c r="F217" s="15" t="str">
        <f>IF($A217="","",MASTER_REGISTER!I214)</f>
        <v/>
      </c>
      <c r="G217" s="16" t="str">
        <f>IF($A217="","",MASTER_REGISTER!J214)</f>
        <v/>
      </c>
      <c r="H217" s="16" t="str">
        <f>IF($A217="","",MASTER_REGISTER!L214)</f>
        <v/>
      </c>
      <c r="I217" s="16" t="str">
        <f>IF($A217="","",MASTER_REGISTER!M214)</f>
        <v/>
      </c>
      <c r="J217" s="15" t="str">
        <f>IF($A217="","",MASTER_REGISTER!N214)</f>
        <v/>
      </c>
    </row>
    <row r="218" spans="1:10" x14ac:dyDescent="0.3">
      <c r="A218" s="15" t="str">
        <f>IF(MASTER_REGISTER!E215="","",MASTER_REGISTER!E215)</f>
        <v/>
      </c>
      <c r="B218" s="15" t="str">
        <f>IF($A218="","",MASTER_REGISTER!F215)</f>
        <v/>
      </c>
      <c r="C218" s="15" t="str">
        <f>IF($A218="","",MASTER_REGISTER!C215)</f>
        <v/>
      </c>
      <c r="D218" s="15" t="str">
        <f>IF($A218="","",MASTER_REGISTER!H215)</f>
        <v/>
      </c>
      <c r="E218" s="15" t="str">
        <f>IF($A218="","",MASTER_REGISTER!G215)</f>
        <v/>
      </c>
      <c r="F218" s="15" t="str">
        <f>IF($A218="","",MASTER_REGISTER!I215)</f>
        <v/>
      </c>
      <c r="G218" s="16" t="str">
        <f>IF($A218="","",MASTER_REGISTER!J215)</f>
        <v/>
      </c>
      <c r="H218" s="16" t="str">
        <f>IF($A218="","",MASTER_REGISTER!L215)</f>
        <v/>
      </c>
      <c r="I218" s="16" t="str">
        <f>IF($A218="","",MASTER_REGISTER!M215)</f>
        <v/>
      </c>
      <c r="J218" s="15" t="str">
        <f>IF($A218="","",MASTER_REGISTER!N215)</f>
        <v/>
      </c>
    </row>
    <row r="219" spans="1:10" x14ac:dyDescent="0.3">
      <c r="A219" s="15" t="str">
        <f>IF(MASTER_REGISTER!E216="","",MASTER_REGISTER!E216)</f>
        <v/>
      </c>
      <c r="B219" s="15" t="str">
        <f>IF($A219="","",MASTER_REGISTER!F216)</f>
        <v/>
      </c>
      <c r="C219" s="15" t="str">
        <f>IF($A219="","",MASTER_REGISTER!C216)</f>
        <v/>
      </c>
      <c r="D219" s="15" t="str">
        <f>IF($A219="","",MASTER_REGISTER!H216)</f>
        <v/>
      </c>
      <c r="E219" s="15" t="str">
        <f>IF($A219="","",MASTER_REGISTER!G216)</f>
        <v/>
      </c>
      <c r="F219" s="15" t="str">
        <f>IF($A219="","",MASTER_REGISTER!I216)</f>
        <v/>
      </c>
      <c r="G219" s="16" t="str">
        <f>IF($A219="","",MASTER_REGISTER!J216)</f>
        <v/>
      </c>
      <c r="H219" s="16" t="str">
        <f>IF($A219="","",MASTER_REGISTER!L216)</f>
        <v/>
      </c>
      <c r="I219" s="16" t="str">
        <f>IF($A219="","",MASTER_REGISTER!M216)</f>
        <v/>
      </c>
      <c r="J219" s="15" t="str">
        <f>IF($A219="","",MASTER_REGISTER!N216)</f>
        <v/>
      </c>
    </row>
    <row r="220" spans="1:10" x14ac:dyDescent="0.3">
      <c r="A220" s="15" t="str">
        <f>IF(MASTER_REGISTER!E217="","",MASTER_REGISTER!E217)</f>
        <v/>
      </c>
      <c r="B220" s="15" t="str">
        <f>IF($A220="","",MASTER_REGISTER!F217)</f>
        <v/>
      </c>
      <c r="C220" s="15" t="str">
        <f>IF($A220="","",MASTER_REGISTER!C217)</f>
        <v/>
      </c>
      <c r="D220" s="15" t="str">
        <f>IF($A220="","",MASTER_REGISTER!H217)</f>
        <v/>
      </c>
      <c r="E220" s="15" t="str">
        <f>IF($A220="","",MASTER_REGISTER!G217)</f>
        <v/>
      </c>
      <c r="F220" s="15" t="str">
        <f>IF($A220="","",MASTER_REGISTER!I217)</f>
        <v/>
      </c>
      <c r="G220" s="16" t="str">
        <f>IF($A220="","",MASTER_REGISTER!J217)</f>
        <v/>
      </c>
      <c r="H220" s="16" t="str">
        <f>IF($A220="","",MASTER_REGISTER!L217)</f>
        <v/>
      </c>
      <c r="I220" s="16" t="str">
        <f>IF($A220="","",MASTER_REGISTER!M217)</f>
        <v/>
      </c>
      <c r="J220" s="15" t="str">
        <f>IF($A220="","",MASTER_REGISTER!N217)</f>
        <v/>
      </c>
    </row>
    <row r="221" spans="1:10" x14ac:dyDescent="0.3">
      <c r="A221" s="15" t="str">
        <f>IF(MASTER_REGISTER!E218="","",MASTER_REGISTER!E218)</f>
        <v/>
      </c>
      <c r="B221" s="15" t="str">
        <f>IF($A221="","",MASTER_REGISTER!F218)</f>
        <v/>
      </c>
      <c r="C221" s="15" t="str">
        <f>IF($A221="","",MASTER_REGISTER!C218)</f>
        <v/>
      </c>
      <c r="D221" s="15" t="str">
        <f>IF($A221="","",MASTER_REGISTER!H218)</f>
        <v/>
      </c>
      <c r="E221" s="15" t="str">
        <f>IF($A221="","",MASTER_REGISTER!G218)</f>
        <v/>
      </c>
      <c r="F221" s="15" t="str">
        <f>IF($A221="","",MASTER_REGISTER!I218)</f>
        <v/>
      </c>
      <c r="G221" s="16" t="str">
        <f>IF($A221="","",MASTER_REGISTER!J218)</f>
        <v/>
      </c>
      <c r="H221" s="16" t="str">
        <f>IF($A221="","",MASTER_REGISTER!L218)</f>
        <v/>
      </c>
      <c r="I221" s="16" t="str">
        <f>IF($A221="","",MASTER_REGISTER!M218)</f>
        <v/>
      </c>
      <c r="J221" s="15" t="str">
        <f>IF($A221="","",MASTER_REGISTER!N218)</f>
        <v/>
      </c>
    </row>
    <row r="222" spans="1:10" x14ac:dyDescent="0.3">
      <c r="A222" s="15" t="str">
        <f>IF(MASTER_REGISTER!E219="","",MASTER_REGISTER!E219)</f>
        <v/>
      </c>
      <c r="B222" s="15" t="str">
        <f>IF($A222="","",MASTER_REGISTER!F219)</f>
        <v/>
      </c>
      <c r="C222" s="15" t="str">
        <f>IF($A222="","",MASTER_REGISTER!C219)</f>
        <v/>
      </c>
      <c r="D222" s="15" t="str">
        <f>IF($A222="","",MASTER_REGISTER!H219)</f>
        <v/>
      </c>
      <c r="E222" s="15" t="str">
        <f>IF($A222="","",MASTER_REGISTER!G219)</f>
        <v/>
      </c>
      <c r="F222" s="15" t="str">
        <f>IF($A222="","",MASTER_REGISTER!I219)</f>
        <v/>
      </c>
      <c r="G222" s="16" t="str">
        <f>IF($A222="","",MASTER_REGISTER!J219)</f>
        <v/>
      </c>
      <c r="H222" s="16" t="str">
        <f>IF($A222="","",MASTER_REGISTER!L219)</f>
        <v/>
      </c>
      <c r="I222" s="16" t="str">
        <f>IF($A222="","",MASTER_REGISTER!M219)</f>
        <v/>
      </c>
      <c r="J222" s="15" t="str">
        <f>IF($A222="","",MASTER_REGISTER!N219)</f>
        <v/>
      </c>
    </row>
    <row r="223" spans="1:10" x14ac:dyDescent="0.3">
      <c r="A223" s="15" t="str">
        <f>IF(MASTER_REGISTER!E220="","",MASTER_REGISTER!E220)</f>
        <v/>
      </c>
      <c r="B223" s="15" t="str">
        <f>IF($A223="","",MASTER_REGISTER!F220)</f>
        <v/>
      </c>
      <c r="C223" s="15" t="str">
        <f>IF($A223="","",MASTER_REGISTER!C220)</f>
        <v/>
      </c>
      <c r="D223" s="15" t="str">
        <f>IF($A223="","",MASTER_REGISTER!H220)</f>
        <v/>
      </c>
      <c r="E223" s="15" t="str">
        <f>IF($A223="","",MASTER_REGISTER!G220)</f>
        <v/>
      </c>
      <c r="F223" s="15" t="str">
        <f>IF($A223="","",MASTER_REGISTER!I220)</f>
        <v/>
      </c>
      <c r="G223" s="16" t="str">
        <f>IF($A223="","",MASTER_REGISTER!J220)</f>
        <v/>
      </c>
      <c r="H223" s="16" t="str">
        <f>IF($A223="","",MASTER_REGISTER!L220)</f>
        <v/>
      </c>
      <c r="I223" s="16" t="str">
        <f>IF($A223="","",MASTER_REGISTER!M220)</f>
        <v/>
      </c>
      <c r="J223" s="15" t="str">
        <f>IF($A223="","",MASTER_REGISTER!N220)</f>
        <v/>
      </c>
    </row>
    <row r="224" spans="1:10" x14ac:dyDescent="0.3">
      <c r="A224" s="15" t="str">
        <f>IF(MASTER_REGISTER!E221="","",MASTER_REGISTER!E221)</f>
        <v/>
      </c>
      <c r="B224" s="15" t="str">
        <f>IF($A224="","",MASTER_REGISTER!F221)</f>
        <v/>
      </c>
      <c r="C224" s="15" t="str">
        <f>IF($A224="","",MASTER_REGISTER!C221)</f>
        <v/>
      </c>
      <c r="D224" s="15" t="str">
        <f>IF($A224="","",MASTER_REGISTER!H221)</f>
        <v/>
      </c>
      <c r="E224" s="15" t="str">
        <f>IF($A224="","",MASTER_REGISTER!G221)</f>
        <v/>
      </c>
      <c r="F224" s="15" t="str">
        <f>IF($A224="","",MASTER_REGISTER!I221)</f>
        <v/>
      </c>
      <c r="G224" s="16" t="str">
        <f>IF($A224="","",MASTER_REGISTER!J221)</f>
        <v/>
      </c>
      <c r="H224" s="16" t="str">
        <f>IF($A224="","",MASTER_REGISTER!L221)</f>
        <v/>
      </c>
      <c r="I224" s="16" t="str">
        <f>IF($A224="","",MASTER_REGISTER!M221)</f>
        <v/>
      </c>
      <c r="J224" s="15" t="str">
        <f>IF($A224="","",MASTER_REGISTER!N221)</f>
        <v/>
      </c>
    </row>
    <row r="225" spans="1:10" x14ac:dyDescent="0.3">
      <c r="A225" s="15" t="str">
        <f>IF(MASTER_REGISTER!E222="","",MASTER_REGISTER!E222)</f>
        <v/>
      </c>
      <c r="B225" s="15" t="str">
        <f>IF($A225="","",MASTER_REGISTER!F222)</f>
        <v/>
      </c>
      <c r="C225" s="15" t="str">
        <f>IF($A225="","",MASTER_REGISTER!C222)</f>
        <v/>
      </c>
      <c r="D225" s="15" t="str">
        <f>IF($A225="","",MASTER_REGISTER!H222)</f>
        <v/>
      </c>
      <c r="E225" s="15" t="str">
        <f>IF($A225="","",MASTER_REGISTER!G222)</f>
        <v/>
      </c>
      <c r="F225" s="15" t="str">
        <f>IF($A225="","",MASTER_REGISTER!I222)</f>
        <v/>
      </c>
      <c r="G225" s="16" t="str">
        <f>IF($A225="","",MASTER_REGISTER!J222)</f>
        <v/>
      </c>
      <c r="H225" s="16" t="str">
        <f>IF($A225="","",MASTER_REGISTER!L222)</f>
        <v/>
      </c>
      <c r="I225" s="16" t="str">
        <f>IF($A225="","",MASTER_REGISTER!M222)</f>
        <v/>
      </c>
      <c r="J225" s="15" t="str">
        <f>IF($A225="","",MASTER_REGISTER!N222)</f>
        <v/>
      </c>
    </row>
    <row r="226" spans="1:10" x14ac:dyDescent="0.3">
      <c r="A226" s="15" t="str">
        <f>IF(MASTER_REGISTER!E223="","",MASTER_REGISTER!E223)</f>
        <v/>
      </c>
      <c r="B226" s="15" t="str">
        <f>IF($A226="","",MASTER_REGISTER!F223)</f>
        <v/>
      </c>
      <c r="C226" s="15" t="str">
        <f>IF($A226="","",MASTER_REGISTER!C223)</f>
        <v/>
      </c>
      <c r="D226" s="15" t="str">
        <f>IF($A226="","",MASTER_REGISTER!H223)</f>
        <v/>
      </c>
      <c r="E226" s="15" t="str">
        <f>IF($A226="","",MASTER_REGISTER!G223)</f>
        <v/>
      </c>
      <c r="F226" s="15" t="str">
        <f>IF($A226="","",MASTER_REGISTER!I223)</f>
        <v/>
      </c>
      <c r="G226" s="16" t="str">
        <f>IF($A226="","",MASTER_REGISTER!J223)</f>
        <v/>
      </c>
      <c r="H226" s="16" t="str">
        <f>IF($A226="","",MASTER_REGISTER!L223)</f>
        <v/>
      </c>
      <c r="I226" s="16" t="str">
        <f>IF($A226="","",MASTER_REGISTER!M223)</f>
        <v/>
      </c>
      <c r="J226" s="15" t="str">
        <f>IF($A226="","",MASTER_REGISTER!N223)</f>
        <v/>
      </c>
    </row>
    <row r="227" spans="1:10" x14ac:dyDescent="0.3">
      <c r="A227" s="15" t="str">
        <f>IF(MASTER_REGISTER!E224="","",MASTER_REGISTER!E224)</f>
        <v/>
      </c>
      <c r="B227" s="15" t="str">
        <f>IF($A227="","",MASTER_REGISTER!F224)</f>
        <v/>
      </c>
      <c r="C227" s="15" t="str">
        <f>IF($A227="","",MASTER_REGISTER!C224)</f>
        <v/>
      </c>
      <c r="D227" s="15" t="str">
        <f>IF($A227="","",MASTER_REGISTER!H224)</f>
        <v/>
      </c>
      <c r="E227" s="15" t="str">
        <f>IF($A227="","",MASTER_REGISTER!G224)</f>
        <v/>
      </c>
      <c r="F227" s="15" t="str">
        <f>IF($A227="","",MASTER_REGISTER!I224)</f>
        <v/>
      </c>
      <c r="G227" s="16" t="str">
        <f>IF($A227="","",MASTER_REGISTER!J224)</f>
        <v/>
      </c>
      <c r="H227" s="16" t="str">
        <f>IF($A227="","",MASTER_REGISTER!L224)</f>
        <v/>
      </c>
      <c r="I227" s="16" t="str">
        <f>IF($A227="","",MASTER_REGISTER!M224)</f>
        <v/>
      </c>
      <c r="J227" s="15" t="str">
        <f>IF($A227="","",MASTER_REGISTER!N224)</f>
        <v/>
      </c>
    </row>
    <row r="228" spans="1:10" x14ac:dyDescent="0.3">
      <c r="A228" s="15" t="str">
        <f>IF(MASTER_REGISTER!E225="","",MASTER_REGISTER!E225)</f>
        <v/>
      </c>
      <c r="B228" s="15" t="str">
        <f>IF($A228="","",MASTER_REGISTER!F225)</f>
        <v/>
      </c>
      <c r="C228" s="15" t="str">
        <f>IF($A228="","",MASTER_REGISTER!C225)</f>
        <v/>
      </c>
      <c r="D228" s="15" t="str">
        <f>IF($A228="","",MASTER_REGISTER!H225)</f>
        <v/>
      </c>
      <c r="E228" s="15" t="str">
        <f>IF($A228="","",MASTER_REGISTER!G225)</f>
        <v/>
      </c>
      <c r="F228" s="15" t="str">
        <f>IF($A228="","",MASTER_REGISTER!I225)</f>
        <v/>
      </c>
      <c r="G228" s="16" t="str">
        <f>IF($A228="","",MASTER_REGISTER!J225)</f>
        <v/>
      </c>
      <c r="H228" s="16" t="str">
        <f>IF($A228="","",MASTER_REGISTER!L225)</f>
        <v/>
      </c>
      <c r="I228" s="16" t="str">
        <f>IF($A228="","",MASTER_REGISTER!M225)</f>
        <v/>
      </c>
      <c r="J228" s="15" t="str">
        <f>IF($A228="","",MASTER_REGISTER!N225)</f>
        <v/>
      </c>
    </row>
    <row r="229" spans="1:10" x14ac:dyDescent="0.3">
      <c r="A229" s="15" t="str">
        <f>IF(MASTER_REGISTER!E226="","",MASTER_REGISTER!E226)</f>
        <v/>
      </c>
      <c r="B229" s="15" t="str">
        <f>IF($A229="","",MASTER_REGISTER!F226)</f>
        <v/>
      </c>
      <c r="C229" s="15" t="str">
        <f>IF($A229="","",MASTER_REGISTER!C226)</f>
        <v/>
      </c>
      <c r="D229" s="15" t="str">
        <f>IF($A229="","",MASTER_REGISTER!H226)</f>
        <v/>
      </c>
      <c r="E229" s="15" t="str">
        <f>IF($A229="","",MASTER_REGISTER!G226)</f>
        <v/>
      </c>
      <c r="F229" s="15" t="str">
        <f>IF($A229="","",MASTER_REGISTER!I226)</f>
        <v/>
      </c>
      <c r="G229" s="16" t="str">
        <f>IF($A229="","",MASTER_REGISTER!J226)</f>
        <v/>
      </c>
      <c r="H229" s="16" t="str">
        <f>IF($A229="","",MASTER_REGISTER!L226)</f>
        <v/>
      </c>
      <c r="I229" s="16" t="str">
        <f>IF($A229="","",MASTER_REGISTER!M226)</f>
        <v/>
      </c>
      <c r="J229" s="15" t="str">
        <f>IF($A229="","",MASTER_REGISTER!N226)</f>
        <v/>
      </c>
    </row>
    <row r="230" spans="1:10" x14ac:dyDescent="0.3">
      <c r="A230" s="15" t="str">
        <f>IF(MASTER_REGISTER!E227="","",MASTER_REGISTER!E227)</f>
        <v/>
      </c>
      <c r="B230" s="15" t="str">
        <f>IF($A230="","",MASTER_REGISTER!F227)</f>
        <v/>
      </c>
      <c r="C230" s="15" t="str">
        <f>IF($A230="","",MASTER_REGISTER!C227)</f>
        <v/>
      </c>
      <c r="D230" s="15" t="str">
        <f>IF($A230="","",MASTER_REGISTER!H227)</f>
        <v/>
      </c>
      <c r="E230" s="15" t="str">
        <f>IF($A230="","",MASTER_REGISTER!G227)</f>
        <v/>
      </c>
      <c r="F230" s="15" t="str">
        <f>IF($A230="","",MASTER_REGISTER!I227)</f>
        <v/>
      </c>
      <c r="G230" s="16" t="str">
        <f>IF($A230="","",MASTER_REGISTER!J227)</f>
        <v/>
      </c>
      <c r="H230" s="16" t="str">
        <f>IF($A230="","",MASTER_REGISTER!L227)</f>
        <v/>
      </c>
      <c r="I230" s="16" t="str">
        <f>IF($A230="","",MASTER_REGISTER!M227)</f>
        <v/>
      </c>
      <c r="J230" s="15" t="str">
        <f>IF($A230="","",MASTER_REGISTER!N227)</f>
        <v/>
      </c>
    </row>
    <row r="231" spans="1:10" x14ac:dyDescent="0.3">
      <c r="A231" s="15" t="str">
        <f>IF(MASTER_REGISTER!E228="","",MASTER_REGISTER!E228)</f>
        <v/>
      </c>
      <c r="B231" s="15" t="str">
        <f>IF($A231="","",MASTER_REGISTER!F228)</f>
        <v/>
      </c>
      <c r="C231" s="15" t="str">
        <f>IF($A231="","",MASTER_REGISTER!C228)</f>
        <v/>
      </c>
      <c r="D231" s="15" t="str">
        <f>IF($A231="","",MASTER_REGISTER!H228)</f>
        <v/>
      </c>
      <c r="E231" s="15" t="str">
        <f>IF($A231="","",MASTER_REGISTER!G228)</f>
        <v/>
      </c>
      <c r="F231" s="15" t="str">
        <f>IF($A231="","",MASTER_REGISTER!I228)</f>
        <v/>
      </c>
      <c r="G231" s="16" t="str">
        <f>IF($A231="","",MASTER_REGISTER!J228)</f>
        <v/>
      </c>
      <c r="H231" s="16" t="str">
        <f>IF($A231="","",MASTER_REGISTER!L228)</f>
        <v/>
      </c>
      <c r="I231" s="16" t="str">
        <f>IF($A231="","",MASTER_REGISTER!M228)</f>
        <v/>
      </c>
      <c r="J231" s="15" t="str">
        <f>IF($A231="","",MASTER_REGISTER!N228)</f>
        <v/>
      </c>
    </row>
    <row r="232" spans="1:10" x14ac:dyDescent="0.3">
      <c r="A232" s="15" t="str">
        <f>IF(MASTER_REGISTER!E229="","",MASTER_REGISTER!E229)</f>
        <v/>
      </c>
      <c r="B232" s="15" t="str">
        <f>IF($A232="","",MASTER_REGISTER!F229)</f>
        <v/>
      </c>
      <c r="C232" s="15" t="str">
        <f>IF($A232="","",MASTER_REGISTER!C229)</f>
        <v/>
      </c>
      <c r="D232" s="15" t="str">
        <f>IF($A232="","",MASTER_REGISTER!H229)</f>
        <v/>
      </c>
      <c r="E232" s="15" t="str">
        <f>IF($A232="","",MASTER_REGISTER!G229)</f>
        <v/>
      </c>
      <c r="F232" s="15" t="str">
        <f>IF($A232="","",MASTER_REGISTER!I229)</f>
        <v/>
      </c>
      <c r="G232" s="16" t="str">
        <f>IF($A232="","",MASTER_REGISTER!J229)</f>
        <v/>
      </c>
      <c r="H232" s="16" t="str">
        <f>IF($A232="","",MASTER_REGISTER!L229)</f>
        <v/>
      </c>
      <c r="I232" s="16" t="str">
        <f>IF($A232="","",MASTER_REGISTER!M229)</f>
        <v/>
      </c>
      <c r="J232" s="15" t="str">
        <f>IF($A232="","",MASTER_REGISTER!N229)</f>
        <v/>
      </c>
    </row>
    <row r="233" spans="1:10" x14ac:dyDescent="0.3">
      <c r="A233" s="15" t="str">
        <f>IF(MASTER_REGISTER!E230="","",MASTER_REGISTER!E230)</f>
        <v/>
      </c>
      <c r="B233" s="15" t="str">
        <f>IF($A233="","",MASTER_REGISTER!F230)</f>
        <v/>
      </c>
      <c r="C233" s="15" t="str">
        <f>IF($A233="","",MASTER_REGISTER!C230)</f>
        <v/>
      </c>
      <c r="D233" s="15" t="str">
        <f>IF($A233="","",MASTER_REGISTER!H230)</f>
        <v/>
      </c>
      <c r="E233" s="15" t="str">
        <f>IF($A233="","",MASTER_REGISTER!G230)</f>
        <v/>
      </c>
      <c r="F233" s="15" t="str">
        <f>IF($A233="","",MASTER_REGISTER!I230)</f>
        <v/>
      </c>
      <c r="G233" s="16" t="str">
        <f>IF($A233="","",MASTER_REGISTER!J230)</f>
        <v/>
      </c>
      <c r="H233" s="16" t="str">
        <f>IF($A233="","",MASTER_REGISTER!L230)</f>
        <v/>
      </c>
      <c r="I233" s="16" t="str">
        <f>IF($A233="","",MASTER_REGISTER!M230)</f>
        <v/>
      </c>
      <c r="J233" s="15" t="str">
        <f>IF($A233="","",MASTER_REGISTER!N230)</f>
        <v/>
      </c>
    </row>
    <row r="234" spans="1:10" x14ac:dyDescent="0.3">
      <c r="A234" s="15" t="str">
        <f>IF(MASTER_REGISTER!E231="","",MASTER_REGISTER!E231)</f>
        <v/>
      </c>
      <c r="B234" s="15" t="str">
        <f>IF($A234="","",MASTER_REGISTER!F231)</f>
        <v/>
      </c>
      <c r="C234" s="15" t="str">
        <f>IF($A234="","",MASTER_REGISTER!C231)</f>
        <v/>
      </c>
      <c r="D234" s="15" t="str">
        <f>IF($A234="","",MASTER_REGISTER!H231)</f>
        <v/>
      </c>
      <c r="E234" s="15" t="str">
        <f>IF($A234="","",MASTER_REGISTER!G231)</f>
        <v/>
      </c>
      <c r="F234" s="15" t="str">
        <f>IF($A234="","",MASTER_REGISTER!I231)</f>
        <v/>
      </c>
      <c r="G234" s="16" t="str">
        <f>IF($A234="","",MASTER_REGISTER!J231)</f>
        <v/>
      </c>
      <c r="H234" s="16" t="str">
        <f>IF($A234="","",MASTER_REGISTER!L231)</f>
        <v/>
      </c>
      <c r="I234" s="16" t="str">
        <f>IF($A234="","",MASTER_REGISTER!M231)</f>
        <v/>
      </c>
      <c r="J234" s="15" t="str">
        <f>IF($A234="","",MASTER_REGISTER!N231)</f>
        <v/>
      </c>
    </row>
    <row r="235" spans="1:10" x14ac:dyDescent="0.3">
      <c r="A235" s="15" t="str">
        <f>IF(MASTER_REGISTER!E232="","",MASTER_REGISTER!E232)</f>
        <v/>
      </c>
      <c r="B235" s="15" t="str">
        <f>IF($A235="","",MASTER_REGISTER!F232)</f>
        <v/>
      </c>
      <c r="C235" s="15" t="str">
        <f>IF($A235="","",MASTER_REGISTER!C232)</f>
        <v/>
      </c>
      <c r="D235" s="15" t="str">
        <f>IF($A235="","",MASTER_REGISTER!H232)</f>
        <v/>
      </c>
      <c r="E235" s="15" t="str">
        <f>IF($A235="","",MASTER_REGISTER!G232)</f>
        <v/>
      </c>
      <c r="F235" s="15" t="str">
        <f>IF($A235="","",MASTER_REGISTER!I232)</f>
        <v/>
      </c>
      <c r="G235" s="16" t="str">
        <f>IF($A235="","",MASTER_REGISTER!J232)</f>
        <v/>
      </c>
      <c r="H235" s="16" t="str">
        <f>IF($A235="","",MASTER_REGISTER!L232)</f>
        <v/>
      </c>
      <c r="I235" s="16" t="str">
        <f>IF($A235="","",MASTER_REGISTER!M232)</f>
        <v/>
      </c>
      <c r="J235" s="15" t="str">
        <f>IF($A235="","",MASTER_REGISTER!N232)</f>
        <v/>
      </c>
    </row>
    <row r="236" spans="1:10" x14ac:dyDescent="0.3">
      <c r="A236" s="15" t="str">
        <f>IF(MASTER_REGISTER!E233="","",MASTER_REGISTER!E233)</f>
        <v/>
      </c>
      <c r="B236" s="15" t="str">
        <f>IF($A236="","",MASTER_REGISTER!F233)</f>
        <v/>
      </c>
      <c r="C236" s="15" t="str">
        <f>IF($A236="","",MASTER_REGISTER!C233)</f>
        <v/>
      </c>
      <c r="D236" s="15" t="str">
        <f>IF($A236="","",MASTER_REGISTER!H233)</f>
        <v/>
      </c>
      <c r="E236" s="15" t="str">
        <f>IF($A236="","",MASTER_REGISTER!G233)</f>
        <v/>
      </c>
      <c r="F236" s="15" t="str">
        <f>IF($A236="","",MASTER_REGISTER!I233)</f>
        <v/>
      </c>
      <c r="G236" s="16" t="str">
        <f>IF($A236="","",MASTER_REGISTER!J233)</f>
        <v/>
      </c>
      <c r="H236" s="16" t="str">
        <f>IF($A236="","",MASTER_REGISTER!L233)</f>
        <v/>
      </c>
      <c r="I236" s="16" t="str">
        <f>IF($A236="","",MASTER_REGISTER!M233)</f>
        <v/>
      </c>
      <c r="J236" s="15" t="str">
        <f>IF($A236="","",MASTER_REGISTER!N233)</f>
        <v/>
      </c>
    </row>
    <row r="237" spans="1:10" x14ac:dyDescent="0.3">
      <c r="A237" s="15" t="str">
        <f>IF(MASTER_REGISTER!E234="","",MASTER_REGISTER!E234)</f>
        <v/>
      </c>
      <c r="B237" s="15" t="str">
        <f>IF($A237="","",MASTER_REGISTER!F234)</f>
        <v/>
      </c>
      <c r="C237" s="15" t="str">
        <f>IF($A237="","",MASTER_REGISTER!C234)</f>
        <v/>
      </c>
      <c r="D237" s="15" t="str">
        <f>IF($A237="","",MASTER_REGISTER!H234)</f>
        <v/>
      </c>
      <c r="E237" s="15" t="str">
        <f>IF($A237="","",MASTER_REGISTER!G234)</f>
        <v/>
      </c>
      <c r="F237" s="15" t="str">
        <f>IF($A237="","",MASTER_REGISTER!I234)</f>
        <v/>
      </c>
      <c r="G237" s="16" t="str">
        <f>IF($A237="","",MASTER_REGISTER!J234)</f>
        <v/>
      </c>
      <c r="H237" s="16" t="str">
        <f>IF($A237="","",MASTER_REGISTER!L234)</f>
        <v/>
      </c>
      <c r="I237" s="16" t="str">
        <f>IF($A237="","",MASTER_REGISTER!M234)</f>
        <v/>
      </c>
      <c r="J237" s="15" t="str">
        <f>IF($A237="","",MASTER_REGISTER!N234)</f>
        <v/>
      </c>
    </row>
    <row r="238" spans="1:10" x14ac:dyDescent="0.3">
      <c r="A238" s="15" t="str">
        <f>IF(MASTER_REGISTER!E235="","",MASTER_REGISTER!E235)</f>
        <v/>
      </c>
      <c r="B238" s="15" t="str">
        <f>IF($A238="","",MASTER_REGISTER!F235)</f>
        <v/>
      </c>
      <c r="C238" s="15" t="str">
        <f>IF($A238="","",MASTER_REGISTER!C235)</f>
        <v/>
      </c>
      <c r="D238" s="15" t="str">
        <f>IF($A238="","",MASTER_REGISTER!H235)</f>
        <v/>
      </c>
      <c r="E238" s="15" t="str">
        <f>IF($A238="","",MASTER_REGISTER!G235)</f>
        <v/>
      </c>
      <c r="F238" s="15" t="str">
        <f>IF($A238="","",MASTER_REGISTER!I235)</f>
        <v/>
      </c>
      <c r="G238" s="16" t="str">
        <f>IF($A238="","",MASTER_REGISTER!J235)</f>
        <v/>
      </c>
      <c r="H238" s="16" t="str">
        <f>IF($A238="","",MASTER_REGISTER!L235)</f>
        <v/>
      </c>
      <c r="I238" s="16" t="str">
        <f>IF($A238="","",MASTER_REGISTER!M235)</f>
        <v/>
      </c>
      <c r="J238" s="15" t="str">
        <f>IF($A238="","",MASTER_REGISTER!N235)</f>
        <v/>
      </c>
    </row>
    <row r="239" spans="1:10" x14ac:dyDescent="0.3">
      <c r="A239" s="15" t="str">
        <f>IF(MASTER_REGISTER!E236="","",MASTER_REGISTER!E236)</f>
        <v/>
      </c>
      <c r="B239" s="15" t="str">
        <f>IF($A239="","",MASTER_REGISTER!F236)</f>
        <v/>
      </c>
      <c r="C239" s="15" t="str">
        <f>IF($A239="","",MASTER_REGISTER!C236)</f>
        <v/>
      </c>
      <c r="D239" s="15" t="str">
        <f>IF($A239="","",MASTER_REGISTER!H236)</f>
        <v/>
      </c>
      <c r="E239" s="15" t="str">
        <f>IF($A239="","",MASTER_REGISTER!G236)</f>
        <v/>
      </c>
      <c r="F239" s="15" t="str">
        <f>IF($A239="","",MASTER_REGISTER!I236)</f>
        <v/>
      </c>
      <c r="G239" s="16" t="str">
        <f>IF($A239="","",MASTER_REGISTER!J236)</f>
        <v/>
      </c>
      <c r="H239" s="16" t="str">
        <f>IF($A239="","",MASTER_REGISTER!L236)</f>
        <v/>
      </c>
      <c r="I239" s="16" t="str">
        <f>IF($A239="","",MASTER_REGISTER!M236)</f>
        <v/>
      </c>
      <c r="J239" s="15" t="str">
        <f>IF($A239="","",MASTER_REGISTER!N236)</f>
        <v/>
      </c>
    </row>
    <row r="240" spans="1:10" x14ac:dyDescent="0.3">
      <c r="A240" s="15" t="str">
        <f>IF(MASTER_REGISTER!E237="","",MASTER_REGISTER!E237)</f>
        <v/>
      </c>
      <c r="B240" s="15" t="str">
        <f>IF($A240="","",MASTER_REGISTER!F237)</f>
        <v/>
      </c>
      <c r="C240" s="15" t="str">
        <f>IF($A240="","",MASTER_REGISTER!C237)</f>
        <v/>
      </c>
      <c r="D240" s="15" t="str">
        <f>IF($A240="","",MASTER_REGISTER!H237)</f>
        <v/>
      </c>
      <c r="E240" s="15" t="str">
        <f>IF($A240="","",MASTER_REGISTER!G237)</f>
        <v/>
      </c>
      <c r="F240" s="15" t="str">
        <f>IF($A240="","",MASTER_REGISTER!I237)</f>
        <v/>
      </c>
      <c r="G240" s="16" t="str">
        <f>IF($A240="","",MASTER_REGISTER!J237)</f>
        <v/>
      </c>
      <c r="H240" s="16" t="str">
        <f>IF($A240="","",MASTER_REGISTER!L237)</f>
        <v/>
      </c>
      <c r="I240" s="16" t="str">
        <f>IF($A240="","",MASTER_REGISTER!M237)</f>
        <v/>
      </c>
      <c r="J240" s="15" t="str">
        <f>IF($A240="","",MASTER_REGISTER!N237)</f>
        <v/>
      </c>
    </row>
    <row r="241" spans="1:10" x14ac:dyDescent="0.3">
      <c r="A241" s="15" t="str">
        <f>IF(MASTER_REGISTER!E238="","",MASTER_REGISTER!E238)</f>
        <v/>
      </c>
      <c r="B241" s="15" t="str">
        <f>IF($A241="","",MASTER_REGISTER!F238)</f>
        <v/>
      </c>
      <c r="C241" s="15" t="str">
        <f>IF($A241="","",MASTER_REGISTER!C238)</f>
        <v/>
      </c>
      <c r="D241" s="15" t="str">
        <f>IF($A241="","",MASTER_REGISTER!H238)</f>
        <v/>
      </c>
      <c r="E241" s="15" t="str">
        <f>IF($A241="","",MASTER_REGISTER!G238)</f>
        <v/>
      </c>
      <c r="F241" s="15" t="str">
        <f>IF($A241="","",MASTER_REGISTER!I238)</f>
        <v/>
      </c>
      <c r="G241" s="16" t="str">
        <f>IF($A241="","",MASTER_REGISTER!J238)</f>
        <v/>
      </c>
      <c r="H241" s="16" t="str">
        <f>IF($A241="","",MASTER_REGISTER!L238)</f>
        <v/>
      </c>
      <c r="I241" s="16" t="str">
        <f>IF($A241="","",MASTER_REGISTER!M238)</f>
        <v/>
      </c>
      <c r="J241" s="15" t="str">
        <f>IF($A241="","",MASTER_REGISTER!N238)</f>
        <v/>
      </c>
    </row>
    <row r="242" spans="1:10" x14ac:dyDescent="0.3">
      <c r="A242" s="15" t="str">
        <f>IF(MASTER_REGISTER!E239="","",MASTER_REGISTER!E239)</f>
        <v/>
      </c>
      <c r="B242" s="15" t="str">
        <f>IF($A242="","",MASTER_REGISTER!F239)</f>
        <v/>
      </c>
      <c r="C242" s="15" t="str">
        <f>IF($A242="","",MASTER_REGISTER!C239)</f>
        <v/>
      </c>
      <c r="D242" s="15" t="str">
        <f>IF($A242="","",MASTER_REGISTER!H239)</f>
        <v/>
      </c>
      <c r="E242" s="15" t="str">
        <f>IF($A242="","",MASTER_REGISTER!G239)</f>
        <v/>
      </c>
      <c r="F242" s="15" t="str">
        <f>IF($A242="","",MASTER_REGISTER!I239)</f>
        <v/>
      </c>
      <c r="G242" s="16" t="str">
        <f>IF($A242="","",MASTER_REGISTER!J239)</f>
        <v/>
      </c>
      <c r="H242" s="16" t="str">
        <f>IF($A242="","",MASTER_REGISTER!L239)</f>
        <v/>
      </c>
      <c r="I242" s="16" t="str">
        <f>IF($A242="","",MASTER_REGISTER!M239)</f>
        <v/>
      </c>
      <c r="J242" s="15" t="str">
        <f>IF($A242="","",MASTER_REGISTER!N239)</f>
        <v/>
      </c>
    </row>
    <row r="243" spans="1:10" x14ac:dyDescent="0.3">
      <c r="A243" s="15" t="str">
        <f>IF(MASTER_REGISTER!E240="","",MASTER_REGISTER!E240)</f>
        <v/>
      </c>
      <c r="B243" s="15" t="str">
        <f>IF($A243="","",MASTER_REGISTER!F240)</f>
        <v/>
      </c>
      <c r="C243" s="15" t="str">
        <f>IF($A243="","",MASTER_REGISTER!C240)</f>
        <v/>
      </c>
      <c r="D243" s="15" t="str">
        <f>IF($A243="","",MASTER_REGISTER!H240)</f>
        <v/>
      </c>
      <c r="E243" s="15" t="str">
        <f>IF($A243="","",MASTER_REGISTER!G240)</f>
        <v/>
      </c>
      <c r="F243" s="15" t="str">
        <f>IF($A243="","",MASTER_REGISTER!I240)</f>
        <v/>
      </c>
      <c r="G243" s="16" t="str">
        <f>IF($A243="","",MASTER_REGISTER!J240)</f>
        <v/>
      </c>
      <c r="H243" s="16" t="str">
        <f>IF($A243="","",MASTER_REGISTER!L240)</f>
        <v/>
      </c>
      <c r="I243" s="16" t="str">
        <f>IF($A243="","",MASTER_REGISTER!M240)</f>
        <v/>
      </c>
      <c r="J243" s="15" t="str">
        <f>IF($A243="","",MASTER_REGISTER!N240)</f>
        <v/>
      </c>
    </row>
    <row r="244" spans="1:10" x14ac:dyDescent="0.3">
      <c r="A244" s="15" t="str">
        <f>IF(MASTER_REGISTER!E241="","",MASTER_REGISTER!E241)</f>
        <v/>
      </c>
      <c r="B244" s="15" t="str">
        <f>IF($A244="","",MASTER_REGISTER!F241)</f>
        <v/>
      </c>
      <c r="C244" s="15" t="str">
        <f>IF($A244="","",MASTER_REGISTER!C241)</f>
        <v/>
      </c>
      <c r="D244" s="15" t="str">
        <f>IF($A244="","",MASTER_REGISTER!H241)</f>
        <v/>
      </c>
      <c r="E244" s="15" t="str">
        <f>IF($A244="","",MASTER_REGISTER!G241)</f>
        <v/>
      </c>
      <c r="F244" s="15" t="str">
        <f>IF($A244="","",MASTER_REGISTER!I241)</f>
        <v/>
      </c>
      <c r="G244" s="16" t="str">
        <f>IF($A244="","",MASTER_REGISTER!J241)</f>
        <v/>
      </c>
      <c r="H244" s="16" t="str">
        <f>IF($A244="","",MASTER_REGISTER!L241)</f>
        <v/>
      </c>
      <c r="I244" s="16" t="str">
        <f>IF($A244="","",MASTER_REGISTER!M241)</f>
        <v/>
      </c>
      <c r="J244" s="15" t="str">
        <f>IF($A244="","",MASTER_REGISTER!N241)</f>
        <v/>
      </c>
    </row>
    <row r="245" spans="1:10" x14ac:dyDescent="0.3">
      <c r="A245" s="15" t="str">
        <f>IF(MASTER_REGISTER!E242="","",MASTER_REGISTER!E242)</f>
        <v/>
      </c>
      <c r="B245" s="15" t="str">
        <f>IF($A245="","",MASTER_REGISTER!F242)</f>
        <v/>
      </c>
      <c r="C245" s="15" t="str">
        <f>IF($A245="","",MASTER_REGISTER!C242)</f>
        <v/>
      </c>
      <c r="D245" s="15" t="str">
        <f>IF($A245="","",MASTER_REGISTER!H242)</f>
        <v/>
      </c>
      <c r="E245" s="15" t="str">
        <f>IF($A245="","",MASTER_REGISTER!G242)</f>
        <v/>
      </c>
      <c r="F245" s="15" t="str">
        <f>IF($A245="","",MASTER_REGISTER!I242)</f>
        <v/>
      </c>
      <c r="G245" s="16" t="str">
        <f>IF($A245="","",MASTER_REGISTER!J242)</f>
        <v/>
      </c>
      <c r="H245" s="16" t="str">
        <f>IF($A245="","",MASTER_REGISTER!L242)</f>
        <v/>
      </c>
      <c r="I245" s="16" t="str">
        <f>IF($A245="","",MASTER_REGISTER!M242)</f>
        <v/>
      </c>
      <c r="J245" s="15" t="str">
        <f>IF($A245="","",MASTER_REGISTER!N242)</f>
        <v/>
      </c>
    </row>
    <row r="246" spans="1:10" x14ac:dyDescent="0.3">
      <c r="A246" s="15" t="str">
        <f>IF(MASTER_REGISTER!E243="","",MASTER_REGISTER!E243)</f>
        <v/>
      </c>
      <c r="B246" s="15" t="str">
        <f>IF($A246="","",MASTER_REGISTER!F243)</f>
        <v/>
      </c>
      <c r="C246" s="15" t="str">
        <f>IF($A246="","",MASTER_REGISTER!C243)</f>
        <v/>
      </c>
      <c r="D246" s="15" t="str">
        <f>IF($A246="","",MASTER_REGISTER!H243)</f>
        <v/>
      </c>
      <c r="E246" s="15" t="str">
        <f>IF($A246="","",MASTER_REGISTER!G243)</f>
        <v/>
      </c>
      <c r="F246" s="15" t="str">
        <f>IF($A246="","",MASTER_REGISTER!I243)</f>
        <v/>
      </c>
      <c r="G246" s="16" t="str">
        <f>IF($A246="","",MASTER_REGISTER!J243)</f>
        <v/>
      </c>
      <c r="H246" s="16" t="str">
        <f>IF($A246="","",MASTER_REGISTER!L243)</f>
        <v/>
      </c>
      <c r="I246" s="16" t="str">
        <f>IF($A246="","",MASTER_REGISTER!M243)</f>
        <v/>
      </c>
      <c r="J246" s="15" t="str">
        <f>IF($A246="","",MASTER_REGISTER!N243)</f>
        <v/>
      </c>
    </row>
    <row r="247" spans="1:10" x14ac:dyDescent="0.3">
      <c r="A247" s="15" t="str">
        <f>IF(MASTER_REGISTER!E244="","",MASTER_REGISTER!E244)</f>
        <v/>
      </c>
      <c r="B247" s="15" t="str">
        <f>IF($A247="","",MASTER_REGISTER!F244)</f>
        <v/>
      </c>
      <c r="C247" s="15" t="str">
        <f>IF($A247="","",MASTER_REGISTER!C244)</f>
        <v/>
      </c>
      <c r="D247" s="15" t="str">
        <f>IF($A247="","",MASTER_REGISTER!H244)</f>
        <v/>
      </c>
      <c r="E247" s="15" t="str">
        <f>IF($A247="","",MASTER_REGISTER!G244)</f>
        <v/>
      </c>
      <c r="F247" s="15" t="str">
        <f>IF($A247="","",MASTER_REGISTER!I244)</f>
        <v/>
      </c>
      <c r="G247" s="16" t="str">
        <f>IF($A247="","",MASTER_REGISTER!J244)</f>
        <v/>
      </c>
      <c r="H247" s="16" t="str">
        <f>IF($A247="","",MASTER_REGISTER!L244)</f>
        <v/>
      </c>
      <c r="I247" s="16" t="str">
        <f>IF($A247="","",MASTER_REGISTER!M244)</f>
        <v/>
      </c>
      <c r="J247" s="15" t="str">
        <f>IF($A247="","",MASTER_REGISTER!N244)</f>
        <v/>
      </c>
    </row>
    <row r="248" spans="1:10" x14ac:dyDescent="0.3">
      <c r="A248" s="15" t="str">
        <f>IF(MASTER_REGISTER!E245="","",MASTER_REGISTER!E245)</f>
        <v/>
      </c>
      <c r="B248" s="15" t="str">
        <f>IF($A248="","",MASTER_REGISTER!F245)</f>
        <v/>
      </c>
      <c r="C248" s="15" t="str">
        <f>IF($A248="","",MASTER_REGISTER!C245)</f>
        <v/>
      </c>
      <c r="D248" s="15" t="str">
        <f>IF($A248="","",MASTER_REGISTER!H245)</f>
        <v/>
      </c>
      <c r="E248" s="15" t="str">
        <f>IF($A248="","",MASTER_REGISTER!G245)</f>
        <v/>
      </c>
      <c r="F248" s="15" t="str">
        <f>IF($A248="","",MASTER_REGISTER!I245)</f>
        <v/>
      </c>
      <c r="G248" s="16" t="str">
        <f>IF($A248="","",MASTER_REGISTER!J245)</f>
        <v/>
      </c>
      <c r="H248" s="16" t="str">
        <f>IF($A248="","",MASTER_REGISTER!L245)</f>
        <v/>
      </c>
      <c r="I248" s="16" t="str">
        <f>IF($A248="","",MASTER_REGISTER!M245)</f>
        <v/>
      </c>
      <c r="J248" s="15" t="str">
        <f>IF($A248="","",MASTER_REGISTER!N245)</f>
        <v/>
      </c>
    </row>
    <row r="249" spans="1:10" x14ac:dyDescent="0.3">
      <c r="A249" s="15" t="str">
        <f>IF(MASTER_REGISTER!E246="","",MASTER_REGISTER!E246)</f>
        <v/>
      </c>
      <c r="B249" s="15" t="str">
        <f>IF($A249="","",MASTER_REGISTER!F246)</f>
        <v/>
      </c>
      <c r="C249" s="15" t="str">
        <f>IF($A249="","",MASTER_REGISTER!C246)</f>
        <v/>
      </c>
      <c r="D249" s="15" t="str">
        <f>IF($A249="","",MASTER_REGISTER!H246)</f>
        <v/>
      </c>
      <c r="E249" s="15" t="str">
        <f>IF($A249="","",MASTER_REGISTER!G246)</f>
        <v/>
      </c>
      <c r="F249" s="15" t="str">
        <f>IF($A249="","",MASTER_REGISTER!I246)</f>
        <v/>
      </c>
      <c r="G249" s="16" t="str">
        <f>IF($A249="","",MASTER_REGISTER!J246)</f>
        <v/>
      </c>
      <c r="H249" s="16" t="str">
        <f>IF($A249="","",MASTER_REGISTER!L246)</f>
        <v/>
      </c>
      <c r="I249" s="16" t="str">
        <f>IF($A249="","",MASTER_REGISTER!M246)</f>
        <v/>
      </c>
      <c r="J249" s="15" t="str">
        <f>IF($A249="","",MASTER_REGISTER!N246)</f>
        <v/>
      </c>
    </row>
    <row r="250" spans="1:10" x14ac:dyDescent="0.3">
      <c r="A250" s="15" t="str">
        <f>IF(MASTER_REGISTER!E247="","",MASTER_REGISTER!E247)</f>
        <v/>
      </c>
      <c r="B250" s="15" t="str">
        <f>IF($A250="","",MASTER_REGISTER!F247)</f>
        <v/>
      </c>
      <c r="C250" s="15" t="str">
        <f>IF($A250="","",MASTER_REGISTER!C247)</f>
        <v/>
      </c>
      <c r="D250" s="15" t="str">
        <f>IF($A250="","",MASTER_REGISTER!H247)</f>
        <v/>
      </c>
      <c r="E250" s="15" t="str">
        <f>IF($A250="","",MASTER_REGISTER!G247)</f>
        <v/>
      </c>
      <c r="F250" s="15" t="str">
        <f>IF($A250="","",MASTER_REGISTER!I247)</f>
        <v/>
      </c>
      <c r="G250" s="16" t="str">
        <f>IF($A250="","",MASTER_REGISTER!J247)</f>
        <v/>
      </c>
      <c r="H250" s="16" t="str">
        <f>IF($A250="","",MASTER_REGISTER!L247)</f>
        <v/>
      </c>
      <c r="I250" s="16" t="str">
        <f>IF($A250="","",MASTER_REGISTER!M247)</f>
        <v/>
      </c>
      <c r="J250" s="15" t="str">
        <f>IF($A250="","",MASTER_REGISTER!N247)</f>
        <v/>
      </c>
    </row>
    <row r="251" spans="1:10" x14ac:dyDescent="0.3">
      <c r="A251" s="15" t="str">
        <f>IF(MASTER_REGISTER!E248="","",MASTER_REGISTER!E248)</f>
        <v/>
      </c>
      <c r="B251" s="15" t="str">
        <f>IF($A251="","",MASTER_REGISTER!F248)</f>
        <v/>
      </c>
      <c r="C251" s="15" t="str">
        <f>IF($A251="","",MASTER_REGISTER!C248)</f>
        <v/>
      </c>
      <c r="D251" s="15" t="str">
        <f>IF($A251="","",MASTER_REGISTER!H248)</f>
        <v/>
      </c>
      <c r="E251" s="15" t="str">
        <f>IF($A251="","",MASTER_REGISTER!G248)</f>
        <v/>
      </c>
      <c r="F251" s="15" t="str">
        <f>IF($A251="","",MASTER_REGISTER!I248)</f>
        <v/>
      </c>
      <c r="G251" s="16" t="str">
        <f>IF($A251="","",MASTER_REGISTER!J248)</f>
        <v/>
      </c>
      <c r="H251" s="16" t="str">
        <f>IF($A251="","",MASTER_REGISTER!L248)</f>
        <v/>
      </c>
      <c r="I251" s="16" t="str">
        <f>IF($A251="","",MASTER_REGISTER!M248)</f>
        <v/>
      </c>
      <c r="J251" s="15" t="str">
        <f>IF($A251="","",MASTER_REGISTER!N248)</f>
        <v/>
      </c>
    </row>
    <row r="252" spans="1:10" x14ac:dyDescent="0.3">
      <c r="A252" s="15" t="str">
        <f>IF(MASTER_REGISTER!E249="","",MASTER_REGISTER!E249)</f>
        <v/>
      </c>
      <c r="B252" s="15" t="str">
        <f>IF($A252="","",MASTER_REGISTER!F249)</f>
        <v/>
      </c>
      <c r="C252" s="15" t="str">
        <f>IF($A252="","",MASTER_REGISTER!C249)</f>
        <v/>
      </c>
      <c r="D252" s="15" t="str">
        <f>IF($A252="","",MASTER_REGISTER!H249)</f>
        <v/>
      </c>
      <c r="E252" s="15" t="str">
        <f>IF($A252="","",MASTER_REGISTER!G249)</f>
        <v/>
      </c>
      <c r="F252" s="15" t="str">
        <f>IF($A252="","",MASTER_REGISTER!I249)</f>
        <v/>
      </c>
      <c r="G252" s="16" t="str">
        <f>IF($A252="","",MASTER_REGISTER!J249)</f>
        <v/>
      </c>
      <c r="H252" s="16" t="str">
        <f>IF($A252="","",MASTER_REGISTER!L249)</f>
        <v/>
      </c>
      <c r="I252" s="16" t="str">
        <f>IF($A252="","",MASTER_REGISTER!M249)</f>
        <v/>
      </c>
      <c r="J252" s="15" t="str">
        <f>IF($A252="","",MASTER_REGISTER!N249)</f>
        <v/>
      </c>
    </row>
    <row r="253" spans="1:10" x14ac:dyDescent="0.3">
      <c r="A253" s="15" t="str">
        <f>IF(MASTER_REGISTER!E250="","",MASTER_REGISTER!E250)</f>
        <v/>
      </c>
      <c r="B253" s="15" t="str">
        <f>IF($A253="","",MASTER_REGISTER!F250)</f>
        <v/>
      </c>
      <c r="C253" s="15" t="str">
        <f>IF($A253="","",MASTER_REGISTER!C250)</f>
        <v/>
      </c>
      <c r="D253" s="15" t="str">
        <f>IF($A253="","",MASTER_REGISTER!H250)</f>
        <v/>
      </c>
      <c r="E253" s="15" t="str">
        <f>IF($A253="","",MASTER_REGISTER!G250)</f>
        <v/>
      </c>
      <c r="F253" s="15" t="str">
        <f>IF($A253="","",MASTER_REGISTER!I250)</f>
        <v/>
      </c>
      <c r="G253" s="16" t="str">
        <f>IF($A253="","",MASTER_REGISTER!J250)</f>
        <v/>
      </c>
      <c r="H253" s="16" t="str">
        <f>IF($A253="","",MASTER_REGISTER!L250)</f>
        <v/>
      </c>
      <c r="I253" s="16" t="str">
        <f>IF($A253="","",MASTER_REGISTER!M250)</f>
        <v/>
      </c>
      <c r="J253" s="15" t="str">
        <f>IF($A253="","",MASTER_REGISTER!N250)</f>
        <v/>
      </c>
    </row>
    <row r="254" spans="1:10" x14ac:dyDescent="0.3">
      <c r="A254" s="15" t="str">
        <f>IF(MASTER_REGISTER!E251="","",MASTER_REGISTER!E251)</f>
        <v/>
      </c>
      <c r="B254" s="15" t="str">
        <f>IF($A254="","",MASTER_REGISTER!F251)</f>
        <v/>
      </c>
      <c r="C254" s="15" t="str">
        <f>IF($A254="","",MASTER_REGISTER!C251)</f>
        <v/>
      </c>
      <c r="D254" s="15" t="str">
        <f>IF($A254="","",MASTER_REGISTER!H251)</f>
        <v/>
      </c>
      <c r="E254" s="15" t="str">
        <f>IF($A254="","",MASTER_REGISTER!G251)</f>
        <v/>
      </c>
      <c r="F254" s="15" t="str">
        <f>IF($A254="","",MASTER_REGISTER!I251)</f>
        <v/>
      </c>
      <c r="G254" s="16" t="str">
        <f>IF($A254="","",MASTER_REGISTER!J251)</f>
        <v/>
      </c>
      <c r="H254" s="16" t="str">
        <f>IF($A254="","",MASTER_REGISTER!L251)</f>
        <v/>
      </c>
      <c r="I254" s="16" t="str">
        <f>IF($A254="","",MASTER_REGISTER!M251)</f>
        <v/>
      </c>
      <c r="J254" s="15" t="str">
        <f>IF($A254="","",MASTER_REGISTER!N251)</f>
        <v/>
      </c>
    </row>
    <row r="255" spans="1:10" x14ac:dyDescent="0.3">
      <c r="A255" s="15" t="str">
        <f>IF(MASTER_REGISTER!E252="","",MASTER_REGISTER!E252)</f>
        <v/>
      </c>
      <c r="B255" s="15" t="str">
        <f>IF($A255="","",MASTER_REGISTER!F252)</f>
        <v/>
      </c>
      <c r="C255" s="15" t="str">
        <f>IF($A255="","",MASTER_REGISTER!C252)</f>
        <v/>
      </c>
      <c r="D255" s="15" t="str">
        <f>IF($A255="","",MASTER_REGISTER!H252)</f>
        <v/>
      </c>
      <c r="E255" s="15" t="str">
        <f>IF($A255="","",MASTER_REGISTER!G252)</f>
        <v/>
      </c>
      <c r="F255" s="15" t="str">
        <f>IF($A255="","",MASTER_REGISTER!I252)</f>
        <v/>
      </c>
      <c r="G255" s="16" t="str">
        <f>IF($A255="","",MASTER_REGISTER!J252)</f>
        <v/>
      </c>
      <c r="H255" s="16" t="str">
        <f>IF($A255="","",MASTER_REGISTER!L252)</f>
        <v/>
      </c>
      <c r="I255" s="16" t="str">
        <f>IF($A255="","",MASTER_REGISTER!M252)</f>
        <v/>
      </c>
      <c r="J255" s="15" t="str">
        <f>IF($A255="","",MASTER_REGISTER!N252)</f>
        <v/>
      </c>
    </row>
    <row r="256" spans="1:10" x14ac:dyDescent="0.3">
      <c r="A256" s="15" t="str">
        <f>IF(MASTER_REGISTER!E253="","",MASTER_REGISTER!E253)</f>
        <v/>
      </c>
      <c r="B256" s="15" t="str">
        <f>IF($A256="","",MASTER_REGISTER!F253)</f>
        <v/>
      </c>
      <c r="C256" s="15" t="str">
        <f>IF($A256="","",MASTER_REGISTER!C253)</f>
        <v/>
      </c>
      <c r="D256" s="15" t="str">
        <f>IF($A256="","",MASTER_REGISTER!H253)</f>
        <v/>
      </c>
      <c r="E256" s="15" t="str">
        <f>IF($A256="","",MASTER_REGISTER!G253)</f>
        <v/>
      </c>
      <c r="F256" s="15" t="str">
        <f>IF($A256="","",MASTER_REGISTER!I253)</f>
        <v/>
      </c>
      <c r="G256" s="16" t="str">
        <f>IF($A256="","",MASTER_REGISTER!J253)</f>
        <v/>
      </c>
      <c r="H256" s="16" t="str">
        <f>IF($A256="","",MASTER_REGISTER!L253)</f>
        <v/>
      </c>
      <c r="I256" s="16" t="str">
        <f>IF($A256="","",MASTER_REGISTER!M253)</f>
        <v/>
      </c>
      <c r="J256" s="15" t="str">
        <f>IF($A256="","",MASTER_REGISTER!N253)</f>
        <v/>
      </c>
    </row>
    <row r="257" spans="1:10" x14ac:dyDescent="0.3">
      <c r="A257" s="15" t="str">
        <f>IF(MASTER_REGISTER!E254="","",MASTER_REGISTER!E254)</f>
        <v/>
      </c>
      <c r="B257" s="15" t="str">
        <f>IF($A257="","",MASTER_REGISTER!F254)</f>
        <v/>
      </c>
      <c r="C257" s="15" t="str">
        <f>IF($A257="","",MASTER_REGISTER!C254)</f>
        <v/>
      </c>
      <c r="D257" s="15" t="str">
        <f>IF($A257="","",MASTER_REGISTER!H254)</f>
        <v/>
      </c>
      <c r="E257" s="15" t="str">
        <f>IF($A257="","",MASTER_REGISTER!G254)</f>
        <v/>
      </c>
      <c r="F257" s="15" t="str">
        <f>IF($A257="","",MASTER_REGISTER!I254)</f>
        <v/>
      </c>
      <c r="G257" s="16" t="str">
        <f>IF($A257="","",MASTER_REGISTER!J254)</f>
        <v/>
      </c>
      <c r="H257" s="16" t="str">
        <f>IF($A257="","",MASTER_REGISTER!L254)</f>
        <v/>
      </c>
      <c r="I257" s="16" t="str">
        <f>IF($A257="","",MASTER_REGISTER!M254)</f>
        <v/>
      </c>
      <c r="J257" s="15" t="str">
        <f>IF($A257="","",MASTER_REGISTER!N254)</f>
        <v/>
      </c>
    </row>
    <row r="258" spans="1:10" x14ac:dyDescent="0.3">
      <c r="A258" s="15" t="str">
        <f>IF(MASTER_REGISTER!E255="","",MASTER_REGISTER!E255)</f>
        <v/>
      </c>
      <c r="B258" s="15" t="str">
        <f>IF($A258="","",MASTER_REGISTER!F255)</f>
        <v/>
      </c>
      <c r="C258" s="15" t="str">
        <f>IF($A258="","",MASTER_REGISTER!C255)</f>
        <v/>
      </c>
      <c r="D258" s="15" t="str">
        <f>IF($A258="","",MASTER_REGISTER!H255)</f>
        <v/>
      </c>
      <c r="E258" s="15" t="str">
        <f>IF($A258="","",MASTER_REGISTER!G255)</f>
        <v/>
      </c>
      <c r="F258" s="15" t="str">
        <f>IF($A258="","",MASTER_REGISTER!I255)</f>
        <v/>
      </c>
      <c r="G258" s="16" t="str">
        <f>IF($A258="","",MASTER_REGISTER!J255)</f>
        <v/>
      </c>
      <c r="H258" s="16" t="str">
        <f>IF($A258="","",MASTER_REGISTER!L255)</f>
        <v/>
      </c>
      <c r="I258" s="16" t="str">
        <f>IF($A258="","",MASTER_REGISTER!M255)</f>
        <v/>
      </c>
      <c r="J258" s="15" t="str">
        <f>IF($A258="","",MASTER_REGISTER!N255)</f>
        <v/>
      </c>
    </row>
    <row r="259" spans="1:10" x14ac:dyDescent="0.3">
      <c r="A259" s="15" t="str">
        <f>IF(MASTER_REGISTER!E256="","",MASTER_REGISTER!E256)</f>
        <v/>
      </c>
      <c r="B259" s="15" t="str">
        <f>IF($A259="","",MASTER_REGISTER!F256)</f>
        <v/>
      </c>
      <c r="C259" s="15" t="str">
        <f>IF($A259="","",MASTER_REGISTER!C256)</f>
        <v/>
      </c>
      <c r="D259" s="15" t="str">
        <f>IF($A259="","",MASTER_REGISTER!H256)</f>
        <v/>
      </c>
      <c r="E259" s="15" t="str">
        <f>IF($A259="","",MASTER_REGISTER!G256)</f>
        <v/>
      </c>
      <c r="F259" s="15" t="str">
        <f>IF($A259="","",MASTER_REGISTER!I256)</f>
        <v/>
      </c>
      <c r="G259" s="16" t="str">
        <f>IF($A259="","",MASTER_REGISTER!J256)</f>
        <v/>
      </c>
      <c r="H259" s="16" t="str">
        <f>IF($A259="","",MASTER_REGISTER!L256)</f>
        <v/>
      </c>
      <c r="I259" s="16" t="str">
        <f>IF($A259="","",MASTER_REGISTER!M256)</f>
        <v/>
      </c>
      <c r="J259" s="15" t="str">
        <f>IF($A259="","",MASTER_REGISTER!N256)</f>
        <v/>
      </c>
    </row>
    <row r="260" spans="1:10" x14ac:dyDescent="0.3">
      <c r="A260" s="15" t="str">
        <f>IF(MASTER_REGISTER!E257="","",MASTER_REGISTER!E257)</f>
        <v/>
      </c>
      <c r="B260" s="15" t="str">
        <f>IF($A260="","",MASTER_REGISTER!F257)</f>
        <v/>
      </c>
      <c r="C260" s="15" t="str">
        <f>IF($A260="","",MASTER_REGISTER!C257)</f>
        <v/>
      </c>
      <c r="D260" s="15" t="str">
        <f>IF($A260="","",MASTER_REGISTER!H257)</f>
        <v/>
      </c>
      <c r="E260" s="15" t="str">
        <f>IF($A260="","",MASTER_REGISTER!G257)</f>
        <v/>
      </c>
      <c r="F260" s="15" t="str">
        <f>IF($A260="","",MASTER_REGISTER!I257)</f>
        <v/>
      </c>
      <c r="G260" s="16" t="str">
        <f>IF($A260="","",MASTER_REGISTER!J257)</f>
        <v/>
      </c>
      <c r="H260" s="16" t="str">
        <f>IF($A260="","",MASTER_REGISTER!L257)</f>
        <v/>
      </c>
      <c r="I260" s="16" t="str">
        <f>IF($A260="","",MASTER_REGISTER!M257)</f>
        <v/>
      </c>
      <c r="J260" s="15" t="str">
        <f>IF($A260="","",MASTER_REGISTER!N257)</f>
        <v/>
      </c>
    </row>
    <row r="261" spans="1:10" x14ac:dyDescent="0.3">
      <c r="A261" s="15" t="str">
        <f>IF(MASTER_REGISTER!E258="","",MASTER_REGISTER!E258)</f>
        <v/>
      </c>
      <c r="B261" s="15" t="str">
        <f>IF($A261="","",MASTER_REGISTER!F258)</f>
        <v/>
      </c>
      <c r="C261" s="15" t="str">
        <f>IF($A261="","",MASTER_REGISTER!C258)</f>
        <v/>
      </c>
      <c r="D261" s="15" t="str">
        <f>IF($A261="","",MASTER_REGISTER!H258)</f>
        <v/>
      </c>
      <c r="E261" s="15" t="str">
        <f>IF($A261="","",MASTER_REGISTER!G258)</f>
        <v/>
      </c>
      <c r="F261" s="15" t="str">
        <f>IF($A261="","",MASTER_REGISTER!I258)</f>
        <v/>
      </c>
      <c r="G261" s="16" t="str">
        <f>IF($A261="","",MASTER_REGISTER!J258)</f>
        <v/>
      </c>
      <c r="H261" s="16" t="str">
        <f>IF($A261="","",MASTER_REGISTER!L258)</f>
        <v/>
      </c>
      <c r="I261" s="16" t="str">
        <f>IF($A261="","",MASTER_REGISTER!M258)</f>
        <v/>
      </c>
      <c r="J261" s="15" t="str">
        <f>IF($A261="","",MASTER_REGISTER!N258)</f>
        <v/>
      </c>
    </row>
    <row r="262" spans="1:10" x14ac:dyDescent="0.3">
      <c r="A262" s="15" t="str">
        <f>IF(MASTER_REGISTER!E259="","",MASTER_REGISTER!E259)</f>
        <v/>
      </c>
      <c r="B262" s="15" t="str">
        <f>IF($A262="","",MASTER_REGISTER!F259)</f>
        <v/>
      </c>
      <c r="C262" s="15" t="str">
        <f>IF($A262="","",MASTER_REGISTER!C259)</f>
        <v/>
      </c>
      <c r="D262" s="15" t="str">
        <f>IF($A262="","",MASTER_REGISTER!H259)</f>
        <v/>
      </c>
      <c r="E262" s="15" t="str">
        <f>IF($A262="","",MASTER_REGISTER!G259)</f>
        <v/>
      </c>
      <c r="F262" s="15" t="str">
        <f>IF($A262="","",MASTER_REGISTER!I259)</f>
        <v/>
      </c>
      <c r="G262" s="16" t="str">
        <f>IF($A262="","",MASTER_REGISTER!J259)</f>
        <v/>
      </c>
      <c r="H262" s="16" t="str">
        <f>IF($A262="","",MASTER_REGISTER!L259)</f>
        <v/>
      </c>
      <c r="I262" s="16" t="str">
        <f>IF($A262="","",MASTER_REGISTER!M259)</f>
        <v/>
      </c>
      <c r="J262" s="15" t="str">
        <f>IF($A262="","",MASTER_REGISTER!N259)</f>
        <v/>
      </c>
    </row>
    <row r="263" spans="1:10" x14ac:dyDescent="0.3">
      <c r="A263" s="15" t="str">
        <f>IF(MASTER_REGISTER!E260="","",MASTER_REGISTER!E260)</f>
        <v/>
      </c>
      <c r="B263" s="15" t="str">
        <f>IF($A263="","",MASTER_REGISTER!F260)</f>
        <v/>
      </c>
      <c r="C263" s="15" t="str">
        <f>IF($A263="","",MASTER_REGISTER!C260)</f>
        <v/>
      </c>
      <c r="D263" s="15" t="str">
        <f>IF($A263="","",MASTER_REGISTER!H260)</f>
        <v/>
      </c>
      <c r="E263" s="15" t="str">
        <f>IF($A263="","",MASTER_REGISTER!G260)</f>
        <v/>
      </c>
      <c r="F263" s="15" t="str">
        <f>IF($A263="","",MASTER_REGISTER!I260)</f>
        <v/>
      </c>
      <c r="G263" s="16" t="str">
        <f>IF($A263="","",MASTER_REGISTER!J260)</f>
        <v/>
      </c>
      <c r="H263" s="16" t="str">
        <f>IF($A263="","",MASTER_REGISTER!L260)</f>
        <v/>
      </c>
      <c r="I263" s="16" t="str">
        <f>IF($A263="","",MASTER_REGISTER!M260)</f>
        <v/>
      </c>
      <c r="J263" s="15" t="str">
        <f>IF($A263="","",MASTER_REGISTER!N260)</f>
        <v/>
      </c>
    </row>
    <row r="264" spans="1:10" x14ac:dyDescent="0.3">
      <c r="A264" s="15" t="str">
        <f>IF(MASTER_REGISTER!E261="","",MASTER_REGISTER!E261)</f>
        <v/>
      </c>
      <c r="B264" s="15" t="str">
        <f>IF($A264="","",MASTER_REGISTER!F261)</f>
        <v/>
      </c>
      <c r="C264" s="15" t="str">
        <f>IF($A264="","",MASTER_REGISTER!C261)</f>
        <v/>
      </c>
      <c r="D264" s="15" t="str">
        <f>IF($A264="","",MASTER_REGISTER!H261)</f>
        <v/>
      </c>
      <c r="E264" s="15" t="str">
        <f>IF($A264="","",MASTER_REGISTER!G261)</f>
        <v/>
      </c>
      <c r="F264" s="15" t="str">
        <f>IF($A264="","",MASTER_REGISTER!I261)</f>
        <v/>
      </c>
      <c r="G264" s="16" t="str">
        <f>IF($A264="","",MASTER_REGISTER!J261)</f>
        <v/>
      </c>
      <c r="H264" s="16" t="str">
        <f>IF($A264="","",MASTER_REGISTER!L261)</f>
        <v/>
      </c>
      <c r="I264" s="16" t="str">
        <f>IF($A264="","",MASTER_REGISTER!M261)</f>
        <v/>
      </c>
      <c r="J264" s="15" t="str">
        <f>IF($A264="","",MASTER_REGISTER!N261)</f>
        <v/>
      </c>
    </row>
    <row r="265" spans="1:10" x14ac:dyDescent="0.3">
      <c r="A265" s="15" t="str">
        <f>IF(MASTER_REGISTER!E262="","",MASTER_REGISTER!E262)</f>
        <v/>
      </c>
      <c r="B265" s="15" t="str">
        <f>IF($A265="","",MASTER_REGISTER!F262)</f>
        <v/>
      </c>
      <c r="C265" s="15" t="str">
        <f>IF($A265="","",MASTER_REGISTER!C262)</f>
        <v/>
      </c>
      <c r="D265" s="15" t="str">
        <f>IF($A265="","",MASTER_REGISTER!H262)</f>
        <v/>
      </c>
      <c r="E265" s="15" t="str">
        <f>IF($A265="","",MASTER_REGISTER!G262)</f>
        <v/>
      </c>
      <c r="F265" s="15" t="str">
        <f>IF($A265="","",MASTER_REGISTER!I262)</f>
        <v/>
      </c>
      <c r="G265" s="16" t="str">
        <f>IF($A265="","",MASTER_REGISTER!J262)</f>
        <v/>
      </c>
      <c r="H265" s="16" t="str">
        <f>IF($A265="","",MASTER_REGISTER!L262)</f>
        <v/>
      </c>
      <c r="I265" s="16" t="str">
        <f>IF($A265="","",MASTER_REGISTER!M262)</f>
        <v/>
      </c>
      <c r="J265" s="15" t="str">
        <f>IF($A265="","",MASTER_REGISTER!N262)</f>
        <v/>
      </c>
    </row>
    <row r="266" spans="1:10" x14ac:dyDescent="0.3">
      <c r="A266" s="15" t="str">
        <f>IF(MASTER_REGISTER!E263="","",MASTER_REGISTER!E263)</f>
        <v/>
      </c>
      <c r="B266" s="15" t="str">
        <f>IF($A266="","",MASTER_REGISTER!F263)</f>
        <v/>
      </c>
      <c r="C266" s="15" t="str">
        <f>IF($A266="","",MASTER_REGISTER!C263)</f>
        <v/>
      </c>
      <c r="D266" s="15" t="str">
        <f>IF($A266="","",MASTER_REGISTER!H263)</f>
        <v/>
      </c>
      <c r="E266" s="15" t="str">
        <f>IF($A266="","",MASTER_REGISTER!G263)</f>
        <v/>
      </c>
      <c r="F266" s="15" t="str">
        <f>IF($A266="","",MASTER_REGISTER!I263)</f>
        <v/>
      </c>
      <c r="G266" s="16" t="str">
        <f>IF($A266="","",MASTER_REGISTER!J263)</f>
        <v/>
      </c>
      <c r="H266" s="16" t="str">
        <f>IF($A266="","",MASTER_REGISTER!L263)</f>
        <v/>
      </c>
      <c r="I266" s="16" t="str">
        <f>IF($A266="","",MASTER_REGISTER!M263)</f>
        <v/>
      </c>
      <c r="J266" s="15" t="str">
        <f>IF($A266="","",MASTER_REGISTER!N263)</f>
        <v/>
      </c>
    </row>
    <row r="267" spans="1:10" x14ac:dyDescent="0.3">
      <c r="A267" s="15" t="str">
        <f>IF(MASTER_REGISTER!E264="","",MASTER_REGISTER!E264)</f>
        <v/>
      </c>
      <c r="B267" s="15" t="str">
        <f>IF($A267="","",MASTER_REGISTER!F264)</f>
        <v/>
      </c>
      <c r="C267" s="15" t="str">
        <f>IF($A267="","",MASTER_REGISTER!C264)</f>
        <v/>
      </c>
      <c r="D267" s="15" t="str">
        <f>IF($A267="","",MASTER_REGISTER!H264)</f>
        <v/>
      </c>
      <c r="E267" s="15" t="str">
        <f>IF($A267="","",MASTER_REGISTER!G264)</f>
        <v/>
      </c>
      <c r="F267" s="15" t="str">
        <f>IF($A267="","",MASTER_REGISTER!I264)</f>
        <v/>
      </c>
      <c r="G267" s="16" t="str">
        <f>IF($A267="","",MASTER_REGISTER!J264)</f>
        <v/>
      </c>
      <c r="H267" s="16" t="str">
        <f>IF($A267="","",MASTER_REGISTER!L264)</f>
        <v/>
      </c>
      <c r="I267" s="16" t="str">
        <f>IF($A267="","",MASTER_REGISTER!M264)</f>
        <v/>
      </c>
      <c r="J267" s="15" t="str">
        <f>IF($A267="","",MASTER_REGISTER!N264)</f>
        <v/>
      </c>
    </row>
    <row r="268" spans="1:10" x14ac:dyDescent="0.3">
      <c r="A268" s="15" t="str">
        <f>IF(MASTER_REGISTER!E265="","",MASTER_REGISTER!E265)</f>
        <v/>
      </c>
      <c r="B268" s="15" t="str">
        <f>IF($A268="","",MASTER_REGISTER!F265)</f>
        <v/>
      </c>
      <c r="C268" s="15" t="str">
        <f>IF($A268="","",MASTER_REGISTER!C265)</f>
        <v/>
      </c>
      <c r="D268" s="15" t="str">
        <f>IF($A268="","",MASTER_REGISTER!H265)</f>
        <v/>
      </c>
      <c r="E268" s="15" t="str">
        <f>IF($A268="","",MASTER_REGISTER!G265)</f>
        <v/>
      </c>
      <c r="F268" s="15" t="str">
        <f>IF($A268="","",MASTER_REGISTER!I265)</f>
        <v/>
      </c>
      <c r="G268" s="16" t="str">
        <f>IF($A268="","",MASTER_REGISTER!J265)</f>
        <v/>
      </c>
      <c r="H268" s="16" t="str">
        <f>IF($A268="","",MASTER_REGISTER!L265)</f>
        <v/>
      </c>
      <c r="I268" s="16" t="str">
        <f>IF($A268="","",MASTER_REGISTER!M265)</f>
        <v/>
      </c>
      <c r="J268" s="15" t="str">
        <f>IF($A268="","",MASTER_REGISTER!N265)</f>
        <v/>
      </c>
    </row>
    <row r="269" spans="1:10" x14ac:dyDescent="0.3">
      <c r="A269" s="15" t="str">
        <f>IF(MASTER_REGISTER!E266="","",MASTER_REGISTER!E266)</f>
        <v/>
      </c>
      <c r="B269" s="15" t="str">
        <f>IF($A269="","",MASTER_REGISTER!F266)</f>
        <v/>
      </c>
      <c r="C269" s="15" t="str">
        <f>IF($A269="","",MASTER_REGISTER!C266)</f>
        <v/>
      </c>
      <c r="D269" s="15" t="str">
        <f>IF($A269="","",MASTER_REGISTER!H266)</f>
        <v/>
      </c>
      <c r="E269" s="15" t="str">
        <f>IF($A269="","",MASTER_REGISTER!G266)</f>
        <v/>
      </c>
      <c r="F269" s="15" t="str">
        <f>IF($A269="","",MASTER_REGISTER!I266)</f>
        <v/>
      </c>
      <c r="G269" s="16" t="str">
        <f>IF($A269="","",MASTER_REGISTER!J266)</f>
        <v/>
      </c>
      <c r="H269" s="16" t="str">
        <f>IF($A269="","",MASTER_REGISTER!L266)</f>
        <v/>
      </c>
      <c r="I269" s="16" t="str">
        <f>IF($A269="","",MASTER_REGISTER!M266)</f>
        <v/>
      </c>
      <c r="J269" s="15" t="str">
        <f>IF($A269="","",MASTER_REGISTER!N266)</f>
        <v/>
      </c>
    </row>
    <row r="270" spans="1:10" x14ac:dyDescent="0.3">
      <c r="A270" s="15" t="str">
        <f>IF(MASTER_REGISTER!E267="","",MASTER_REGISTER!E267)</f>
        <v/>
      </c>
      <c r="B270" s="15" t="str">
        <f>IF($A270="","",MASTER_REGISTER!F267)</f>
        <v/>
      </c>
      <c r="C270" s="15" t="str">
        <f>IF($A270="","",MASTER_REGISTER!C267)</f>
        <v/>
      </c>
      <c r="D270" s="15" t="str">
        <f>IF($A270="","",MASTER_REGISTER!H267)</f>
        <v/>
      </c>
      <c r="E270" s="15" t="str">
        <f>IF($A270="","",MASTER_REGISTER!G267)</f>
        <v/>
      </c>
      <c r="F270" s="15" t="str">
        <f>IF($A270="","",MASTER_REGISTER!I267)</f>
        <v/>
      </c>
      <c r="G270" s="16" t="str">
        <f>IF($A270="","",MASTER_REGISTER!J267)</f>
        <v/>
      </c>
      <c r="H270" s="16" t="str">
        <f>IF($A270="","",MASTER_REGISTER!L267)</f>
        <v/>
      </c>
      <c r="I270" s="16" t="str">
        <f>IF($A270="","",MASTER_REGISTER!M267)</f>
        <v/>
      </c>
      <c r="J270" s="15" t="str">
        <f>IF($A270="","",MASTER_REGISTER!N267)</f>
        <v/>
      </c>
    </row>
    <row r="271" spans="1:10" x14ac:dyDescent="0.3">
      <c r="A271" s="15" t="str">
        <f>IF(MASTER_REGISTER!E268="","",MASTER_REGISTER!E268)</f>
        <v/>
      </c>
      <c r="B271" s="15" t="str">
        <f>IF($A271="","",MASTER_REGISTER!F268)</f>
        <v/>
      </c>
      <c r="C271" s="15" t="str">
        <f>IF($A271="","",MASTER_REGISTER!C268)</f>
        <v/>
      </c>
      <c r="D271" s="15" t="str">
        <f>IF($A271="","",MASTER_REGISTER!H268)</f>
        <v/>
      </c>
      <c r="E271" s="15" t="str">
        <f>IF($A271="","",MASTER_REGISTER!G268)</f>
        <v/>
      </c>
      <c r="F271" s="15" t="str">
        <f>IF($A271="","",MASTER_REGISTER!I268)</f>
        <v/>
      </c>
      <c r="G271" s="16" t="str">
        <f>IF($A271="","",MASTER_REGISTER!J268)</f>
        <v/>
      </c>
      <c r="H271" s="16" t="str">
        <f>IF($A271="","",MASTER_REGISTER!L268)</f>
        <v/>
      </c>
      <c r="I271" s="16" t="str">
        <f>IF($A271="","",MASTER_REGISTER!M268)</f>
        <v/>
      </c>
      <c r="J271" s="15" t="str">
        <f>IF($A271="","",MASTER_REGISTER!N268)</f>
        <v/>
      </c>
    </row>
    <row r="272" spans="1:10" x14ac:dyDescent="0.3">
      <c r="A272" s="15" t="str">
        <f>IF(MASTER_REGISTER!E269="","",MASTER_REGISTER!E269)</f>
        <v/>
      </c>
      <c r="B272" s="15" t="str">
        <f>IF($A272="","",MASTER_REGISTER!F269)</f>
        <v/>
      </c>
      <c r="C272" s="15" t="str">
        <f>IF($A272="","",MASTER_REGISTER!C269)</f>
        <v/>
      </c>
      <c r="D272" s="15" t="str">
        <f>IF($A272="","",MASTER_REGISTER!H269)</f>
        <v/>
      </c>
      <c r="E272" s="15" t="str">
        <f>IF($A272="","",MASTER_REGISTER!G269)</f>
        <v/>
      </c>
      <c r="F272" s="15" t="str">
        <f>IF($A272="","",MASTER_REGISTER!I269)</f>
        <v/>
      </c>
      <c r="G272" s="16" t="str">
        <f>IF($A272="","",MASTER_REGISTER!J269)</f>
        <v/>
      </c>
      <c r="H272" s="16" t="str">
        <f>IF($A272="","",MASTER_REGISTER!L269)</f>
        <v/>
      </c>
      <c r="I272" s="16" t="str">
        <f>IF($A272="","",MASTER_REGISTER!M269)</f>
        <v/>
      </c>
      <c r="J272" s="15" t="str">
        <f>IF($A272="","",MASTER_REGISTER!N269)</f>
        <v/>
      </c>
    </row>
    <row r="273" spans="1:10" x14ac:dyDescent="0.3">
      <c r="A273" s="15" t="str">
        <f>IF(MASTER_REGISTER!E270="","",MASTER_REGISTER!E270)</f>
        <v/>
      </c>
      <c r="B273" s="15" t="str">
        <f>IF($A273="","",MASTER_REGISTER!F270)</f>
        <v/>
      </c>
      <c r="C273" s="15" t="str">
        <f>IF($A273="","",MASTER_REGISTER!C270)</f>
        <v/>
      </c>
      <c r="D273" s="15" t="str">
        <f>IF($A273="","",MASTER_REGISTER!H270)</f>
        <v/>
      </c>
      <c r="E273" s="15" t="str">
        <f>IF($A273="","",MASTER_REGISTER!G270)</f>
        <v/>
      </c>
      <c r="F273" s="15" t="str">
        <f>IF($A273="","",MASTER_REGISTER!I270)</f>
        <v/>
      </c>
      <c r="G273" s="16" t="str">
        <f>IF($A273="","",MASTER_REGISTER!J270)</f>
        <v/>
      </c>
      <c r="H273" s="16" t="str">
        <f>IF($A273="","",MASTER_REGISTER!L270)</f>
        <v/>
      </c>
      <c r="I273" s="16" t="str">
        <f>IF($A273="","",MASTER_REGISTER!M270)</f>
        <v/>
      </c>
      <c r="J273" s="15" t="str">
        <f>IF($A273="","",MASTER_REGISTER!N270)</f>
        <v/>
      </c>
    </row>
    <row r="274" spans="1:10" x14ac:dyDescent="0.3">
      <c r="A274" s="15" t="str">
        <f>IF(MASTER_REGISTER!E271="","",MASTER_REGISTER!E271)</f>
        <v/>
      </c>
      <c r="B274" s="15" t="str">
        <f>IF($A274="","",MASTER_REGISTER!F271)</f>
        <v/>
      </c>
      <c r="C274" s="15" t="str">
        <f>IF($A274="","",MASTER_REGISTER!C271)</f>
        <v/>
      </c>
      <c r="D274" s="15" t="str">
        <f>IF($A274="","",MASTER_REGISTER!H271)</f>
        <v/>
      </c>
      <c r="E274" s="15" t="str">
        <f>IF($A274="","",MASTER_REGISTER!G271)</f>
        <v/>
      </c>
      <c r="F274" s="15" t="str">
        <f>IF($A274="","",MASTER_REGISTER!I271)</f>
        <v/>
      </c>
      <c r="G274" s="16" t="str">
        <f>IF($A274="","",MASTER_REGISTER!J271)</f>
        <v/>
      </c>
      <c r="H274" s="16" t="str">
        <f>IF($A274="","",MASTER_REGISTER!L271)</f>
        <v/>
      </c>
      <c r="I274" s="16" t="str">
        <f>IF($A274="","",MASTER_REGISTER!M271)</f>
        <v/>
      </c>
      <c r="J274" s="15" t="str">
        <f>IF($A274="","",MASTER_REGISTER!N271)</f>
        <v/>
      </c>
    </row>
    <row r="275" spans="1:10" x14ac:dyDescent="0.3">
      <c r="A275" s="15" t="str">
        <f>IF(MASTER_REGISTER!E272="","",MASTER_REGISTER!E272)</f>
        <v/>
      </c>
      <c r="B275" s="15" t="str">
        <f>IF($A275="","",MASTER_REGISTER!F272)</f>
        <v/>
      </c>
      <c r="C275" s="15" t="str">
        <f>IF($A275="","",MASTER_REGISTER!C272)</f>
        <v/>
      </c>
      <c r="D275" s="15" t="str">
        <f>IF($A275="","",MASTER_REGISTER!H272)</f>
        <v/>
      </c>
      <c r="E275" s="15" t="str">
        <f>IF($A275="","",MASTER_REGISTER!G272)</f>
        <v/>
      </c>
      <c r="F275" s="15" t="str">
        <f>IF($A275="","",MASTER_REGISTER!I272)</f>
        <v/>
      </c>
      <c r="G275" s="16" t="str">
        <f>IF($A275="","",MASTER_REGISTER!J272)</f>
        <v/>
      </c>
      <c r="H275" s="16" t="str">
        <f>IF($A275="","",MASTER_REGISTER!L272)</f>
        <v/>
      </c>
      <c r="I275" s="16" t="str">
        <f>IF($A275="","",MASTER_REGISTER!M272)</f>
        <v/>
      </c>
      <c r="J275" s="15" t="str">
        <f>IF($A275="","",MASTER_REGISTER!N272)</f>
        <v/>
      </c>
    </row>
    <row r="276" spans="1:10" x14ac:dyDescent="0.3">
      <c r="A276" s="15" t="str">
        <f>IF(MASTER_REGISTER!E273="","",MASTER_REGISTER!E273)</f>
        <v/>
      </c>
      <c r="B276" s="15" t="str">
        <f>IF($A276="","",MASTER_REGISTER!F273)</f>
        <v/>
      </c>
      <c r="C276" s="15" t="str">
        <f>IF($A276="","",MASTER_REGISTER!C273)</f>
        <v/>
      </c>
      <c r="D276" s="15" t="str">
        <f>IF($A276="","",MASTER_REGISTER!H273)</f>
        <v/>
      </c>
      <c r="E276" s="15" t="str">
        <f>IF($A276="","",MASTER_REGISTER!G273)</f>
        <v/>
      </c>
      <c r="F276" s="15" t="str">
        <f>IF($A276="","",MASTER_REGISTER!I273)</f>
        <v/>
      </c>
      <c r="G276" s="16" t="str">
        <f>IF($A276="","",MASTER_REGISTER!J273)</f>
        <v/>
      </c>
      <c r="H276" s="16" t="str">
        <f>IF($A276="","",MASTER_REGISTER!L273)</f>
        <v/>
      </c>
      <c r="I276" s="16" t="str">
        <f>IF($A276="","",MASTER_REGISTER!M273)</f>
        <v/>
      </c>
      <c r="J276" s="15" t="str">
        <f>IF($A276="","",MASTER_REGISTER!N273)</f>
        <v/>
      </c>
    </row>
    <row r="277" spans="1:10" x14ac:dyDescent="0.3">
      <c r="A277" s="15" t="str">
        <f>IF(MASTER_REGISTER!E274="","",MASTER_REGISTER!E274)</f>
        <v/>
      </c>
      <c r="B277" s="15" t="str">
        <f>IF($A277="","",MASTER_REGISTER!F274)</f>
        <v/>
      </c>
      <c r="C277" s="15" t="str">
        <f>IF($A277="","",MASTER_REGISTER!C274)</f>
        <v/>
      </c>
      <c r="D277" s="15" t="str">
        <f>IF($A277="","",MASTER_REGISTER!H274)</f>
        <v/>
      </c>
      <c r="E277" s="15" t="str">
        <f>IF($A277="","",MASTER_REGISTER!G274)</f>
        <v/>
      </c>
      <c r="F277" s="15" t="str">
        <f>IF($A277="","",MASTER_REGISTER!I274)</f>
        <v/>
      </c>
      <c r="G277" s="16" t="str">
        <f>IF($A277="","",MASTER_REGISTER!J274)</f>
        <v/>
      </c>
      <c r="H277" s="16" t="str">
        <f>IF($A277="","",MASTER_REGISTER!L274)</f>
        <v/>
      </c>
      <c r="I277" s="16" t="str">
        <f>IF($A277="","",MASTER_REGISTER!M274)</f>
        <v/>
      </c>
      <c r="J277" s="15" t="str">
        <f>IF($A277="","",MASTER_REGISTER!N274)</f>
        <v/>
      </c>
    </row>
    <row r="278" spans="1:10" x14ac:dyDescent="0.3">
      <c r="A278" s="15" t="str">
        <f>IF(MASTER_REGISTER!E275="","",MASTER_REGISTER!E275)</f>
        <v/>
      </c>
      <c r="B278" s="15" t="str">
        <f>IF($A278="","",MASTER_REGISTER!F275)</f>
        <v/>
      </c>
      <c r="C278" s="15" t="str">
        <f>IF($A278="","",MASTER_REGISTER!C275)</f>
        <v/>
      </c>
      <c r="D278" s="15" t="str">
        <f>IF($A278="","",MASTER_REGISTER!H275)</f>
        <v/>
      </c>
      <c r="E278" s="15" t="str">
        <f>IF($A278="","",MASTER_REGISTER!G275)</f>
        <v/>
      </c>
      <c r="F278" s="15" t="str">
        <f>IF($A278="","",MASTER_REGISTER!I275)</f>
        <v/>
      </c>
      <c r="G278" s="16" t="str">
        <f>IF($A278="","",MASTER_REGISTER!J275)</f>
        <v/>
      </c>
      <c r="H278" s="16" t="str">
        <f>IF($A278="","",MASTER_REGISTER!L275)</f>
        <v/>
      </c>
      <c r="I278" s="16" t="str">
        <f>IF($A278="","",MASTER_REGISTER!M275)</f>
        <v/>
      </c>
      <c r="J278" s="15" t="str">
        <f>IF($A278="","",MASTER_REGISTER!N275)</f>
        <v/>
      </c>
    </row>
    <row r="279" spans="1:10" x14ac:dyDescent="0.3">
      <c r="A279" s="15" t="str">
        <f>IF(MASTER_REGISTER!E276="","",MASTER_REGISTER!E276)</f>
        <v/>
      </c>
      <c r="B279" s="15" t="str">
        <f>IF($A279="","",MASTER_REGISTER!F276)</f>
        <v/>
      </c>
      <c r="C279" s="15" t="str">
        <f>IF($A279="","",MASTER_REGISTER!C276)</f>
        <v/>
      </c>
      <c r="D279" s="15" t="str">
        <f>IF($A279="","",MASTER_REGISTER!H276)</f>
        <v/>
      </c>
      <c r="E279" s="15" t="str">
        <f>IF($A279="","",MASTER_REGISTER!G276)</f>
        <v/>
      </c>
      <c r="F279" s="15" t="str">
        <f>IF($A279="","",MASTER_REGISTER!I276)</f>
        <v/>
      </c>
      <c r="G279" s="16" t="str">
        <f>IF($A279="","",MASTER_REGISTER!J276)</f>
        <v/>
      </c>
      <c r="H279" s="16" t="str">
        <f>IF($A279="","",MASTER_REGISTER!L276)</f>
        <v/>
      </c>
      <c r="I279" s="16" t="str">
        <f>IF($A279="","",MASTER_REGISTER!M276)</f>
        <v/>
      </c>
      <c r="J279" s="15" t="str">
        <f>IF($A279="","",MASTER_REGISTER!N276)</f>
        <v/>
      </c>
    </row>
    <row r="280" spans="1:10" x14ac:dyDescent="0.3">
      <c r="A280" s="15" t="str">
        <f>IF(MASTER_REGISTER!E277="","",MASTER_REGISTER!E277)</f>
        <v/>
      </c>
      <c r="B280" s="15" t="str">
        <f>IF($A280="","",MASTER_REGISTER!F277)</f>
        <v/>
      </c>
      <c r="C280" s="15" t="str">
        <f>IF($A280="","",MASTER_REGISTER!C277)</f>
        <v/>
      </c>
      <c r="D280" s="15" t="str">
        <f>IF($A280="","",MASTER_REGISTER!H277)</f>
        <v/>
      </c>
      <c r="E280" s="15" t="str">
        <f>IF($A280="","",MASTER_REGISTER!G277)</f>
        <v/>
      </c>
      <c r="F280" s="15" t="str">
        <f>IF($A280="","",MASTER_REGISTER!I277)</f>
        <v/>
      </c>
      <c r="G280" s="16" t="str">
        <f>IF($A280="","",MASTER_REGISTER!J277)</f>
        <v/>
      </c>
      <c r="H280" s="16" t="str">
        <f>IF($A280="","",MASTER_REGISTER!L277)</f>
        <v/>
      </c>
      <c r="I280" s="16" t="str">
        <f>IF($A280="","",MASTER_REGISTER!M277)</f>
        <v/>
      </c>
      <c r="J280" s="15" t="str">
        <f>IF($A280="","",MASTER_REGISTER!N277)</f>
        <v/>
      </c>
    </row>
    <row r="281" spans="1:10" x14ac:dyDescent="0.3">
      <c r="A281" s="15" t="str">
        <f>IF(MASTER_REGISTER!E278="","",MASTER_REGISTER!E278)</f>
        <v/>
      </c>
      <c r="B281" s="15" t="str">
        <f>IF($A281="","",MASTER_REGISTER!F278)</f>
        <v/>
      </c>
      <c r="C281" s="15" t="str">
        <f>IF($A281="","",MASTER_REGISTER!C278)</f>
        <v/>
      </c>
      <c r="D281" s="15" t="str">
        <f>IF($A281="","",MASTER_REGISTER!H278)</f>
        <v/>
      </c>
      <c r="E281" s="15" t="str">
        <f>IF($A281="","",MASTER_REGISTER!G278)</f>
        <v/>
      </c>
      <c r="F281" s="15" t="str">
        <f>IF($A281="","",MASTER_REGISTER!I278)</f>
        <v/>
      </c>
      <c r="G281" s="16" t="str">
        <f>IF($A281="","",MASTER_REGISTER!J278)</f>
        <v/>
      </c>
      <c r="H281" s="16" t="str">
        <f>IF($A281="","",MASTER_REGISTER!L278)</f>
        <v/>
      </c>
      <c r="I281" s="16" t="str">
        <f>IF($A281="","",MASTER_REGISTER!M278)</f>
        <v/>
      </c>
      <c r="J281" s="15" t="str">
        <f>IF($A281="","",MASTER_REGISTER!N278)</f>
        <v/>
      </c>
    </row>
    <row r="282" spans="1:10" x14ac:dyDescent="0.3">
      <c r="A282" s="15" t="str">
        <f>IF(MASTER_REGISTER!E279="","",MASTER_REGISTER!E279)</f>
        <v/>
      </c>
      <c r="B282" s="15" t="str">
        <f>IF($A282="","",MASTER_REGISTER!F279)</f>
        <v/>
      </c>
      <c r="C282" s="15" t="str">
        <f>IF($A282="","",MASTER_REGISTER!C279)</f>
        <v/>
      </c>
      <c r="D282" s="15" t="str">
        <f>IF($A282="","",MASTER_REGISTER!H279)</f>
        <v/>
      </c>
      <c r="E282" s="15" t="str">
        <f>IF($A282="","",MASTER_REGISTER!G279)</f>
        <v/>
      </c>
      <c r="F282" s="15" t="str">
        <f>IF($A282="","",MASTER_REGISTER!I279)</f>
        <v/>
      </c>
      <c r="G282" s="16" t="str">
        <f>IF($A282="","",MASTER_REGISTER!J279)</f>
        <v/>
      </c>
      <c r="H282" s="16" t="str">
        <f>IF($A282="","",MASTER_REGISTER!L279)</f>
        <v/>
      </c>
      <c r="I282" s="16" t="str">
        <f>IF($A282="","",MASTER_REGISTER!M279)</f>
        <v/>
      </c>
      <c r="J282" s="15" t="str">
        <f>IF($A282="","",MASTER_REGISTER!N279)</f>
        <v/>
      </c>
    </row>
    <row r="283" spans="1:10" x14ac:dyDescent="0.3">
      <c r="A283" s="15" t="str">
        <f>IF(MASTER_REGISTER!E280="","",MASTER_REGISTER!E280)</f>
        <v/>
      </c>
      <c r="B283" s="15" t="str">
        <f>IF($A283="","",MASTER_REGISTER!F280)</f>
        <v/>
      </c>
      <c r="C283" s="15" t="str">
        <f>IF($A283="","",MASTER_REGISTER!C280)</f>
        <v/>
      </c>
      <c r="D283" s="15" t="str">
        <f>IF($A283="","",MASTER_REGISTER!H280)</f>
        <v/>
      </c>
      <c r="E283" s="15" t="str">
        <f>IF($A283="","",MASTER_REGISTER!G280)</f>
        <v/>
      </c>
      <c r="F283" s="15" t="str">
        <f>IF($A283="","",MASTER_REGISTER!I280)</f>
        <v/>
      </c>
      <c r="G283" s="16" t="str">
        <f>IF($A283="","",MASTER_REGISTER!J280)</f>
        <v/>
      </c>
      <c r="H283" s="16" t="str">
        <f>IF($A283="","",MASTER_REGISTER!L280)</f>
        <v/>
      </c>
      <c r="I283" s="16" t="str">
        <f>IF($A283="","",MASTER_REGISTER!M280)</f>
        <v/>
      </c>
      <c r="J283" s="15" t="str">
        <f>IF($A283="","",MASTER_REGISTER!N280)</f>
        <v/>
      </c>
    </row>
    <row r="284" spans="1:10" x14ac:dyDescent="0.3">
      <c r="A284" s="15" t="str">
        <f>IF(MASTER_REGISTER!E281="","",MASTER_REGISTER!E281)</f>
        <v/>
      </c>
      <c r="B284" s="15" t="str">
        <f>IF($A284="","",MASTER_REGISTER!F281)</f>
        <v/>
      </c>
      <c r="C284" s="15" t="str">
        <f>IF($A284="","",MASTER_REGISTER!C281)</f>
        <v/>
      </c>
      <c r="D284" s="15" t="str">
        <f>IF($A284="","",MASTER_REGISTER!H281)</f>
        <v/>
      </c>
      <c r="E284" s="15" t="str">
        <f>IF($A284="","",MASTER_REGISTER!G281)</f>
        <v/>
      </c>
      <c r="F284" s="15" t="str">
        <f>IF($A284="","",MASTER_REGISTER!I281)</f>
        <v/>
      </c>
      <c r="G284" s="16" t="str">
        <f>IF($A284="","",MASTER_REGISTER!J281)</f>
        <v/>
      </c>
      <c r="H284" s="16" t="str">
        <f>IF($A284="","",MASTER_REGISTER!L281)</f>
        <v/>
      </c>
      <c r="I284" s="16" t="str">
        <f>IF($A284="","",MASTER_REGISTER!M281)</f>
        <v/>
      </c>
      <c r="J284" s="15" t="str">
        <f>IF($A284="","",MASTER_REGISTER!N281)</f>
        <v/>
      </c>
    </row>
    <row r="285" spans="1:10" x14ac:dyDescent="0.3">
      <c r="A285" s="15" t="str">
        <f>IF(MASTER_REGISTER!E282="","",MASTER_REGISTER!E282)</f>
        <v/>
      </c>
      <c r="B285" s="15" t="str">
        <f>IF($A285="","",MASTER_REGISTER!F282)</f>
        <v/>
      </c>
      <c r="C285" s="15" t="str">
        <f>IF($A285="","",MASTER_REGISTER!C282)</f>
        <v/>
      </c>
      <c r="D285" s="15" t="str">
        <f>IF($A285="","",MASTER_REGISTER!H282)</f>
        <v/>
      </c>
      <c r="E285" s="15" t="str">
        <f>IF($A285="","",MASTER_REGISTER!G282)</f>
        <v/>
      </c>
      <c r="F285" s="15" t="str">
        <f>IF($A285="","",MASTER_REGISTER!I282)</f>
        <v/>
      </c>
      <c r="G285" s="16" t="str">
        <f>IF($A285="","",MASTER_REGISTER!J282)</f>
        <v/>
      </c>
      <c r="H285" s="16" t="str">
        <f>IF($A285="","",MASTER_REGISTER!L282)</f>
        <v/>
      </c>
      <c r="I285" s="16" t="str">
        <f>IF($A285="","",MASTER_REGISTER!M282)</f>
        <v/>
      </c>
      <c r="J285" s="15" t="str">
        <f>IF($A285="","",MASTER_REGISTER!N282)</f>
        <v/>
      </c>
    </row>
    <row r="286" spans="1:10" x14ac:dyDescent="0.3">
      <c r="A286" s="15" t="str">
        <f>IF(MASTER_REGISTER!E283="","",MASTER_REGISTER!E283)</f>
        <v/>
      </c>
      <c r="B286" s="15" t="str">
        <f>IF($A286="","",MASTER_REGISTER!F283)</f>
        <v/>
      </c>
      <c r="C286" s="15" t="str">
        <f>IF($A286="","",MASTER_REGISTER!C283)</f>
        <v/>
      </c>
      <c r="D286" s="15" t="str">
        <f>IF($A286="","",MASTER_REGISTER!H283)</f>
        <v/>
      </c>
      <c r="E286" s="15" t="str">
        <f>IF($A286="","",MASTER_REGISTER!G283)</f>
        <v/>
      </c>
      <c r="F286" s="15" t="str">
        <f>IF($A286="","",MASTER_REGISTER!I283)</f>
        <v/>
      </c>
      <c r="G286" s="16" t="str">
        <f>IF($A286="","",MASTER_REGISTER!J283)</f>
        <v/>
      </c>
      <c r="H286" s="16" t="str">
        <f>IF($A286="","",MASTER_REGISTER!L283)</f>
        <v/>
      </c>
      <c r="I286" s="16" t="str">
        <f>IF($A286="","",MASTER_REGISTER!M283)</f>
        <v/>
      </c>
      <c r="J286" s="15" t="str">
        <f>IF($A286="","",MASTER_REGISTER!N283)</f>
        <v/>
      </c>
    </row>
    <row r="287" spans="1:10" x14ac:dyDescent="0.3">
      <c r="A287" s="15" t="str">
        <f>IF(MASTER_REGISTER!E284="","",MASTER_REGISTER!E284)</f>
        <v/>
      </c>
      <c r="B287" s="15" t="str">
        <f>IF($A287="","",MASTER_REGISTER!F284)</f>
        <v/>
      </c>
      <c r="C287" s="15" t="str">
        <f>IF($A287="","",MASTER_REGISTER!C284)</f>
        <v/>
      </c>
      <c r="D287" s="15" t="str">
        <f>IF($A287="","",MASTER_REGISTER!H284)</f>
        <v/>
      </c>
      <c r="E287" s="15" t="str">
        <f>IF($A287="","",MASTER_REGISTER!G284)</f>
        <v/>
      </c>
      <c r="F287" s="15" t="str">
        <f>IF($A287="","",MASTER_REGISTER!I284)</f>
        <v/>
      </c>
      <c r="G287" s="16" t="str">
        <f>IF($A287="","",MASTER_REGISTER!J284)</f>
        <v/>
      </c>
      <c r="H287" s="16" t="str">
        <f>IF($A287="","",MASTER_REGISTER!L284)</f>
        <v/>
      </c>
      <c r="I287" s="16" t="str">
        <f>IF($A287="","",MASTER_REGISTER!M284)</f>
        <v/>
      </c>
      <c r="J287" s="15" t="str">
        <f>IF($A287="","",MASTER_REGISTER!N284)</f>
        <v/>
      </c>
    </row>
    <row r="288" spans="1:10" x14ac:dyDescent="0.3">
      <c r="A288" s="15" t="str">
        <f>IF(MASTER_REGISTER!E285="","",MASTER_REGISTER!E285)</f>
        <v/>
      </c>
      <c r="B288" s="15" t="str">
        <f>IF($A288="","",MASTER_REGISTER!F285)</f>
        <v/>
      </c>
      <c r="C288" s="15" t="str">
        <f>IF($A288="","",MASTER_REGISTER!C285)</f>
        <v/>
      </c>
      <c r="D288" s="15" t="str">
        <f>IF($A288="","",MASTER_REGISTER!H285)</f>
        <v/>
      </c>
      <c r="E288" s="15" t="str">
        <f>IF($A288="","",MASTER_REGISTER!G285)</f>
        <v/>
      </c>
      <c r="F288" s="15" t="str">
        <f>IF($A288="","",MASTER_REGISTER!I285)</f>
        <v/>
      </c>
      <c r="G288" s="16" t="str">
        <f>IF($A288="","",MASTER_REGISTER!J285)</f>
        <v/>
      </c>
      <c r="H288" s="16" t="str">
        <f>IF($A288="","",MASTER_REGISTER!L285)</f>
        <v/>
      </c>
      <c r="I288" s="16" t="str">
        <f>IF($A288="","",MASTER_REGISTER!M285)</f>
        <v/>
      </c>
      <c r="J288" s="15" t="str">
        <f>IF($A288="","",MASTER_REGISTER!N285)</f>
        <v/>
      </c>
    </row>
    <row r="289" spans="1:10" x14ac:dyDescent="0.3">
      <c r="A289" s="15" t="str">
        <f>IF(MASTER_REGISTER!E286="","",MASTER_REGISTER!E286)</f>
        <v/>
      </c>
      <c r="B289" s="15" t="str">
        <f>IF($A289="","",MASTER_REGISTER!F286)</f>
        <v/>
      </c>
      <c r="C289" s="15" t="str">
        <f>IF($A289="","",MASTER_REGISTER!C286)</f>
        <v/>
      </c>
      <c r="D289" s="15" t="str">
        <f>IF($A289="","",MASTER_REGISTER!H286)</f>
        <v/>
      </c>
      <c r="E289" s="15" t="str">
        <f>IF($A289="","",MASTER_REGISTER!G286)</f>
        <v/>
      </c>
      <c r="F289" s="15" t="str">
        <f>IF($A289="","",MASTER_REGISTER!I286)</f>
        <v/>
      </c>
      <c r="G289" s="16" t="str">
        <f>IF($A289="","",MASTER_REGISTER!J286)</f>
        <v/>
      </c>
      <c r="H289" s="16" t="str">
        <f>IF($A289="","",MASTER_REGISTER!L286)</f>
        <v/>
      </c>
      <c r="I289" s="16" t="str">
        <f>IF($A289="","",MASTER_REGISTER!M286)</f>
        <v/>
      </c>
      <c r="J289" s="15" t="str">
        <f>IF($A289="","",MASTER_REGISTER!N286)</f>
        <v/>
      </c>
    </row>
    <row r="290" spans="1:10" x14ac:dyDescent="0.3">
      <c r="A290" s="15" t="str">
        <f>IF(MASTER_REGISTER!E287="","",MASTER_REGISTER!E287)</f>
        <v/>
      </c>
      <c r="B290" s="15" t="str">
        <f>IF($A290="","",MASTER_REGISTER!F287)</f>
        <v/>
      </c>
      <c r="C290" s="15" t="str">
        <f>IF($A290="","",MASTER_REGISTER!C287)</f>
        <v/>
      </c>
      <c r="D290" s="15" t="str">
        <f>IF($A290="","",MASTER_REGISTER!H287)</f>
        <v/>
      </c>
      <c r="E290" s="15" t="str">
        <f>IF($A290="","",MASTER_REGISTER!G287)</f>
        <v/>
      </c>
      <c r="F290" s="15" t="str">
        <f>IF($A290="","",MASTER_REGISTER!I287)</f>
        <v/>
      </c>
      <c r="G290" s="16" t="str">
        <f>IF($A290="","",MASTER_REGISTER!J287)</f>
        <v/>
      </c>
      <c r="H290" s="16" t="str">
        <f>IF($A290="","",MASTER_REGISTER!L287)</f>
        <v/>
      </c>
      <c r="I290" s="16" t="str">
        <f>IF($A290="","",MASTER_REGISTER!M287)</f>
        <v/>
      </c>
      <c r="J290" s="15" t="str">
        <f>IF($A290="","",MASTER_REGISTER!N287)</f>
        <v/>
      </c>
    </row>
    <row r="291" spans="1:10" x14ac:dyDescent="0.3">
      <c r="A291" s="15" t="str">
        <f>IF(MASTER_REGISTER!E288="","",MASTER_REGISTER!E288)</f>
        <v/>
      </c>
      <c r="B291" s="15" t="str">
        <f>IF($A291="","",MASTER_REGISTER!F288)</f>
        <v/>
      </c>
      <c r="C291" s="15" t="str">
        <f>IF($A291="","",MASTER_REGISTER!C288)</f>
        <v/>
      </c>
      <c r="D291" s="15" t="str">
        <f>IF($A291="","",MASTER_REGISTER!H288)</f>
        <v/>
      </c>
      <c r="E291" s="15" t="str">
        <f>IF($A291="","",MASTER_REGISTER!G288)</f>
        <v/>
      </c>
      <c r="F291" s="15" t="str">
        <f>IF($A291="","",MASTER_REGISTER!I288)</f>
        <v/>
      </c>
      <c r="G291" s="16" t="str">
        <f>IF($A291="","",MASTER_REGISTER!J288)</f>
        <v/>
      </c>
      <c r="H291" s="16" t="str">
        <f>IF($A291="","",MASTER_REGISTER!L288)</f>
        <v/>
      </c>
      <c r="I291" s="16" t="str">
        <f>IF($A291="","",MASTER_REGISTER!M288)</f>
        <v/>
      </c>
      <c r="J291" s="15" t="str">
        <f>IF($A291="","",MASTER_REGISTER!N288)</f>
        <v/>
      </c>
    </row>
    <row r="292" spans="1:10" x14ac:dyDescent="0.3">
      <c r="A292" s="15" t="str">
        <f>IF(MASTER_REGISTER!E289="","",MASTER_REGISTER!E289)</f>
        <v/>
      </c>
      <c r="B292" s="15" t="str">
        <f>IF($A292="","",MASTER_REGISTER!F289)</f>
        <v/>
      </c>
      <c r="C292" s="15" t="str">
        <f>IF($A292="","",MASTER_REGISTER!C289)</f>
        <v/>
      </c>
      <c r="D292" s="15" t="str">
        <f>IF($A292="","",MASTER_REGISTER!H289)</f>
        <v/>
      </c>
      <c r="E292" s="15" t="str">
        <f>IF($A292="","",MASTER_REGISTER!G289)</f>
        <v/>
      </c>
      <c r="F292" s="15" t="str">
        <f>IF($A292="","",MASTER_REGISTER!I289)</f>
        <v/>
      </c>
      <c r="G292" s="16" t="str">
        <f>IF($A292="","",MASTER_REGISTER!J289)</f>
        <v/>
      </c>
      <c r="H292" s="16" t="str">
        <f>IF($A292="","",MASTER_REGISTER!L289)</f>
        <v/>
      </c>
      <c r="I292" s="16" t="str">
        <f>IF($A292="","",MASTER_REGISTER!M289)</f>
        <v/>
      </c>
      <c r="J292" s="15" t="str">
        <f>IF($A292="","",MASTER_REGISTER!N289)</f>
        <v/>
      </c>
    </row>
    <row r="293" spans="1:10" x14ac:dyDescent="0.3">
      <c r="A293" s="15" t="str">
        <f>IF(MASTER_REGISTER!E290="","",MASTER_REGISTER!E290)</f>
        <v/>
      </c>
      <c r="B293" s="15" t="str">
        <f>IF($A293="","",MASTER_REGISTER!F290)</f>
        <v/>
      </c>
      <c r="C293" s="15" t="str">
        <f>IF($A293="","",MASTER_REGISTER!C290)</f>
        <v/>
      </c>
      <c r="D293" s="15" t="str">
        <f>IF($A293="","",MASTER_REGISTER!H290)</f>
        <v/>
      </c>
      <c r="E293" s="15" t="str">
        <f>IF($A293="","",MASTER_REGISTER!G290)</f>
        <v/>
      </c>
      <c r="F293" s="15" t="str">
        <f>IF($A293="","",MASTER_REGISTER!I290)</f>
        <v/>
      </c>
      <c r="G293" s="16" t="str">
        <f>IF($A293="","",MASTER_REGISTER!J290)</f>
        <v/>
      </c>
      <c r="H293" s="16" t="str">
        <f>IF($A293="","",MASTER_REGISTER!L290)</f>
        <v/>
      </c>
      <c r="I293" s="16" t="str">
        <f>IF($A293="","",MASTER_REGISTER!M290)</f>
        <v/>
      </c>
      <c r="J293" s="15" t="str">
        <f>IF($A293="","",MASTER_REGISTER!N290)</f>
        <v/>
      </c>
    </row>
    <row r="294" spans="1:10" x14ac:dyDescent="0.3">
      <c r="A294" s="15" t="str">
        <f>IF(MASTER_REGISTER!E291="","",MASTER_REGISTER!E291)</f>
        <v/>
      </c>
      <c r="B294" s="15" t="str">
        <f>IF($A294="","",MASTER_REGISTER!F291)</f>
        <v/>
      </c>
      <c r="C294" s="15" t="str">
        <f>IF($A294="","",MASTER_REGISTER!C291)</f>
        <v/>
      </c>
      <c r="D294" s="15" t="str">
        <f>IF($A294="","",MASTER_REGISTER!H291)</f>
        <v/>
      </c>
      <c r="E294" s="15" t="str">
        <f>IF($A294="","",MASTER_REGISTER!G291)</f>
        <v/>
      </c>
      <c r="F294" s="15" t="str">
        <f>IF($A294="","",MASTER_REGISTER!I291)</f>
        <v/>
      </c>
      <c r="G294" s="16" t="str">
        <f>IF($A294="","",MASTER_REGISTER!J291)</f>
        <v/>
      </c>
      <c r="H294" s="16" t="str">
        <f>IF($A294="","",MASTER_REGISTER!L291)</f>
        <v/>
      </c>
      <c r="I294" s="16" t="str">
        <f>IF($A294="","",MASTER_REGISTER!M291)</f>
        <v/>
      </c>
      <c r="J294" s="15" t="str">
        <f>IF($A294="","",MASTER_REGISTER!N291)</f>
        <v/>
      </c>
    </row>
    <row r="295" spans="1:10" x14ac:dyDescent="0.3">
      <c r="A295" s="15" t="str">
        <f>IF(MASTER_REGISTER!E292="","",MASTER_REGISTER!E292)</f>
        <v/>
      </c>
      <c r="B295" s="15" t="str">
        <f>IF($A295="","",MASTER_REGISTER!F292)</f>
        <v/>
      </c>
      <c r="C295" s="15" t="str">
        <f>IF($A295="","",MASTER_REGISTER!C292)</f>
        <v/>
      </c>
      <c r="D295" s="15" t="str">
        <f>IF($A295="","",MASTER_REGISTER!H292)</f>
        <v/>
      </c>
      <c r="E295" s="15" t="str">
        <f>IF($A295="","",MASTER_REGISTER!G292)</f>
        <v/>
      </c>
      <c r="F295" s="15" t="str">
        <f>IF($A295="","",MASTER_REGISTER!I292)</f>
        <v/>
      </c>
      <c r="G295" s="16" t="str">
        <f>IF($A295="","",MASTER_REGISTER!J292)</f>
        <v/>
      </c>
      <c r="H295" s="16" t="str">
        <f>IF($A295="","",MASTER_REGISTER!L292)</f>
        <v/>
      </c>
      <c r="I295" s="16" t="str">
        <f>IF($A295="","",MASTER_REGISTER!M292)</f>
        <v/>
      </c>
      <c r="J295" s="15" t="str">
        <f>IF($A295="","",MASTER_REGISTER!N292)</f>
        <v/>
      </c>
    </row>
    <row r="296" spans="1:10" x14ac:dyDescent="0.3">
      <c r="A296" s="15" t="str">
        <f>IF(MASTER_REGISTER!E293="","",MASTER_REGISTER!E293)</f>
        <v/>
      </c>
      <c r="B296" s="15" t="str">
        <f>IF($A296="","",MASTER_REGISTER!F293)</f>
        <v/>
      </c>
      <c r="C296" s="15" t="str">
        <f>IF($A296="","",MASTER_REGISTER!C293)</f>
        <v/>
      </c>
      <c r="D296" s="15" t="str">
        <f>IF($A296="","",MASTER_REGISTER!H293)</f>
        <v/>
      </c>
      <c r="E296" s="15" t="str">
        <f>IF($A296="","",MASTER_REGISTER!G293)</f>
        <v/>
      </c>
      <c r="F296" s="15" t="str">
        <f>IF($A296="","",MASTER_REGISTER!I293)</f>
        <v/>
      </c>
      <c r="G296" s="16" t="str">
        <f>IF($A296="","",MASTER_REGISTER!J293)</f>
        <v/>
      </c>
      <c r="H296" s="16" t="str">
        <f>IF($A296="","",MASTER_REGISTER!L293)</f>
        <v/>
      </c>
      <c r="I296" s="16" t="str">
        <f>IF($A296="","",MASTER_REGISTER!M293)</f>
        <v/>
      </c>
      <c r="J296" s="15" t="str">
        <f>IF($A296="","",MASTER_REGISTER!N293)</f>
        <v/>
      </c>
    </row>
    <row r="297" spans="1:10" x14ac:dyDescent="0.3">
      <c r="A297" s="15" t="str">
        <f>IF(MASTER_REGISTER!E294="","",MASTER_REGISTER!E294)</f>
        <v/>
      </c>
      <c r="B297" s="15" t="str">
        <f>IF($A297="","",MASTER_REGISTER!F294)</f>
        <v/>
      </c>
      <c r="C297" s="15" t="str">
        <f>IF($A297="","",MASTER_REGISTER!C294)</f>
        <v/>
      </c>
      <c r="D297" s="15" t="str">
        <f>IF($A297="","",MASTER_REGISTER!H294)</f>
        <v/>
      </c>
      <c r="E297" s="15" t="str">
        <f>IF($A297="","",MASTER_REGISTER!G294)</f>
        <v/>
      </c>
      <c r="F297" s="15" t="str">
        <f>IF($A297="","",MASTER_REGISTER!I294)</f>
        <v/>
      </c>
      <c r="G297" s="16" t="str">
        <f>IF($A297="","",MASTER_REGISTER!J294)</f>
        <v/>
      </c>
      <c r="H297" s="16" t="str">
        <f>IF($A297="","",MASTER_REGISTER!L294)</f>
        <v/>
      </c>
      <c r="I297" s="16" t="str">
        <f>IF($A297="","",MASTER_REGISTER!M294)</f>
        <v/>
      </c>
      <c r="J297" s="15" t="str">
        <f>IF($A297="","",MASTER_REGISTER!N294)</f>
        <v/>
      </c>
    </row>
    <row r="298" spans="1:10" x14ac:dyDescent="0.3">
      <c r="A298" s="15" t="str">
        <f>IF(MASTER_REGISTER!E295="","",MASTER_REGISTER!E295)</f>
        <v/>
      </c>
      <c r="B298" s="15" t="str">
        <f>IF($A298="","",MASTER_REGISTER!F295)</f>
        <v/>
      </c>
      <c r="C298" s="15" t="str">
        <f>IF($A298="","",MASTER_REGISTER!C295)</f>
        <v/>
      </c>
      <c r="D298" s="15" t="str">
        <f>IF($A298="","",MASTER_REGISTER!H295)</f>
        <v/>
      </c>
      <c r="E298" s="15" t="str">
        <f>IF($A298="","",MASTER_REGISTER!G295)</f>
        <v/>
      </c>
      <c r="F298" s="15" t="str">
        <f>IF($A298="","",MASTER_REGISTER!I295)</f>
        <v/>
      </c>
      <c r="G298" s="16" t="str">
        <f>IF($A298="","",MASTER_REGISTER!J295)</f>
        <v/>
      </c>
      <c r="H298" s="16" t="str">
        <f>IF($A298="","",MASTER_REGISTER!L295)</f>
        <v/>
      </c>
      <c r="I298" s="16" t="str">
        <f>IF($A298="","",MASTER_REGISTER!M295)</f>
        <v/>
      </c>
      <c r="J298" s="15" t="str">
        <f>IF($A298="","",MASTER_REGISTER!N295)</f>
        <v/>
      </c>
    </row>
    <row r="299" spans="1:10" x14ac:dyDescent="0.3">
      <c r="A299" s="15" t="str">
        <f>IF(MASTER_REGISTER!E296="","",MASTER_REGISTER!E296)</f>
        <v/>
      </c>
      <c r="B299" s="15" t="str">
        <f>IF($A299="","",MASTER_REGISTER!F296)</f>
        <v/>
      </c>
      <c r="C299" s="15" t="str">
        <f>IF($A299="","",MASTER_REGISTER!C296)</f>
        <v/>
      </c>
      <c r="D299" s="15" t="str">
        <f>IF($A299="","",MASTER_REGISTER!H296)</f>
        <v/>
      </c>
      <c r="E299" s="15" t="str">
        <f>IF($A299="","",MASTER_REGISTER!G296)</f>
        <v/>
      </c>
      <c r="F299" s="15" t="str">
        <f>IF($A299="","",MASTER_REGISTER!I296)</f>
        <v/>
      </c>
      <c r="G299" s="16" t="str">
        <f>IF($A299="","",MASTER_REGISTER!J296)</f>
        <v/>
      </c>
      <c r="H299" s="16" t="str">
        <f>IF($A299="","",MASTER_REGISTER!L296)</f>
        <v/>
      </c>
      <c r="I299" s="16" t="str">
        <f>IF($A299="","",MASTER_REGISTER!M296)</f>
        <v/>
      </c>
      <c r="J299" s="15" t="str">
        <f>IF($A299="","",MASTER_REGISTER!N296)</f>
        <v/>
      </c>
    </row>
    <row r="300" spans="1:10" x14ac:dyDescent="0.3">
      <c r="A300" s="15" t="str">
        <f>IF(MASTER_REGISTER!E297="","",MASTER_REGISTER!E297)</f>
        <v/>
      </c>
      <c r="B300" s="15" t="str">
        <f>IF($A300="","",MASTER_REGISTER!F297)</f>
        <v/>
      </c>
      <c r="C300" s="15" t="str">
        <f>IF($A300="","",MASTER_REGISTER!C297)</f>
        <v/>
      </c>
      <c r="D300" s="15" t="str">
        <f>IF($A300="","",MASTER_REGISTER!H297)</f>
        <v/>
      </c>
      <c r="E300" s="15" t="str">
        <f>IF($A300="","",MASTER_REGISTER!G297)</f>
        <v/>
      </c>
      <c r="F300" s="15" t="str">
        <f>IF($A300="","",MASTER_REGISTER!I297)</f>
        <v/>
      </c>
      <c r="G300" s="16" t="str">
        <f>IF($A300="","",MASTER_REGISTER!J297)</f>
        <v/>
      </c>
      <c r="H300" s="16" t="str">
        <f>IF($A300="","",MASTER_REGISTER!L297)</f>
        <v/>
      </c>
      <c r="I300" s="16" t="str">
        <f>IF($A300="","",MASTER_REGISTER!M297)</f>
        <v/>
      </c>
      <c r="J300" s="15" t="str">
        <f>IF($A300="","",MASTER_REGISTER!N297)</f>
        <v/>
      </c>
    </row>
    <row r="301" spans="1:10" x14ac:dyDescent="0.3">
      <c r="A301" s="15" t="str">
        <f>IF(MASTER_REGISTER!E298="","",MASTER_REGISTER!E298)</f>
        <v/>
      </c>
      <c r="B301" s="15" t="str">
        <f>IF($A301="","",MASTER_REGISTER!F298)</f>
        <v/>
      </c>
      <c r="C301" s="15" t="str">
        <f>IF($A301="","",MASTER_REGISTER!C298)</f>
        <v/>
      </c>
      <c r="D301" s="15" t="str">
        <f>IF($A301="","",MASTER_REGISTER!H298)</f>
        <v/>
      </c>
      <c r="E301" s="15" t="str">
        <f>IF($A301="","",MASTER_REGISTER!G298)</f>
        <v/>
      </c>
      <c r="F301" s="15" t="str">
        <f>IF($A301="","",MASTER_REGISTER!I298)</f>
        <v/>
      </c>
      <c r="G301" s="16" t="str">
        <f>IF($A301="","",MASTER_REGISTER!J298)</f>
        <v/>
      </c>
      <c r="H301" s="16" t="str">
        <f>IF($A301="","",MASTER_REGISTER!L298)</f>
        <v/>
      </c>
      <c r="I301" s="16" t="str">
        <f>IF($A301="","",MASTER_REGISTER!M298)</f>
        <v/>
      </c>
      <c r="J301" s="15" t="str">
        <f>IF($A301="","",MASTER_REGISTER!N298)</f>
        <v/>
      </c>
    </row>
    <row r="302" spans="1:10" x14ac:dyDescent="0.3">
      <c r="A302" s="15" t="str">
        <f>IF(MASTER_REGISTER!E299="","",MASTER_REGISTER!E299)</f>
        <v/>
      </c>
      <c r="B302" s="15" t="str">
        <f>IF($A302="","",MASTER_REGISTER!F299)</f>
        <v/>
      </c>
      <c r="C302" s="15" t="str">
        <f>IF($A302="","",MASTER_REGISTER!C299)</f>
        <v/>
      </c>
      <c r="D302" s="15" t="str">
        <f>IF($A302="","",MASTER_REGISTER!H299)</f>
        <v/>
      </c>
      <c r="E302" s="15" t="str">
        <f>IF($A302="","",MASTER_REGISTER!G299)</f>
        <v/>
      </c>
      <c r="F302" s="15" t="str">
        <f>IF($A302="","",MASTER_REGISTER!I299)</f>
        <v/>
      </c>
      <c r="G302" s="16" t="str">
        <f>IF($A302="","",MASTER_REGISTER!J299)</f>
        <v/>
      </c>
      <c r="H302" s="16" t="str">
        <f>IF($A302="","",MASTER_REGISTER!L299)</f>
        <v/>
      </c>
      <c r="I302" s="16" t="str">
        <f>IF($A302="","",MASTER_REGISTER!M299)</f>
        <v/>
      </c>
      <c r="J302" s="15" t="str">
        <f>IF($A302="","",MASTER_REGISTER!N299)</f>
        <v/>
      </c>
    </row>
    <row r="303" spans="1:10" x14ac:dyDescent="0.3">
      <c r="A303" s="15" t="str">
        <f>IF(MASTER_REGISTER!E300="","",MASTER_REGISTER!E300)</f>
        <v/>
      </c>
      <c r="B303" s="15" t="str">
        <f>IF($A303="","",MASTER_REGISTER!F300)</f>
        <v/>
      </c>
      <c r="C303" s="15" t="str">
        <f>IF($A303="","",MASTER_REGISTER!C300)</f>
        <v/>
      </c>
      <c r="D303" s="15" t="str">
        <f>IF($A303="","",MASTER_REGISTER!H300)</f>
        <v/>
      </c>
      <c r="E303" s="15" t="str">
        <f>IF($A303="","",MASTER_REGISTER!G300)</f>
        <v/>
      </c>
      <c r="F303" s="15" t="str">
        <f>IF($A303="","",MASTER_REGISTER!I300)</f>
        <v/>
      </c>
      <c r="G303" s="16" t="str">
        <f>IF($A303="","",MASTER_REGISTER!J300)</f>
        <v/>
      </c>
      <c r="H303" s="16" t="str">
        <f>IF($A303="","",MASTER_REGISTER!L300)</f>
        <v/>
      </c>
      <c r="I303" s="16" t="str">
        <f>IF($A303="","",MASTER_REGISTER!M300)</f>
        <v/>
      </c>
      <c r="J303" s="15" t="str">
        <f>IF($A303="","",MASTER_REGISTER!N300)</f>
        <v/>
      </c>
    </row>
    <row r="304" spans="1:10" x14ac:dyDescent="0.3">
      <c r="A304" s="15" t="str">
        <f>IF(MASTER_REGISTER!E301="","",MASTER_REGISTER!E301)</f>
        <v/>
      </c>
      <c r="B304" s="15" t="str">
        <f>IF($A304="","",MASTER_REGISTER!F301)</f>
        <v/>
      </c>
      <c r="C304" s="15" t="str">
        <f>IF($A304="","",MASTER_REGISTER!C301)</f>
        <v/>
      </c>
      <c r="D304" s="15" t="str">
        <f>IF($A304="","",MASTER_REGISTER!H301)</f>
        <v/>
      </c>
      <c r="E304" s="15" t="str">
        <f>IF($A304="","",MASTER_REGISTER!G301)</f>
        <v/>
      </c>
      <c r="F304" s="15" t="str">
        <f>IF($A304="","",MASTER_REGISTER!I301)</f>
        <v/>
      </c>
      <c r="G304" s="16" t="str">
        <f>IF($A304="","",MASTER_REGISTER!J301)</f>
        <v/>
      </c>
      <c r="H304" s="16" t="str">
        <f>IF($A304="","",MASTER_REGISTER!L301)</f>
        <v/>
      </c>
      <c r="I304" s="16" t="str">
        <f>IF($A304="","",MASTER_REGISTER!M301)</f>
        <v/>
      </c>
      <c r="J304" s="15" t="str">
        <f>IF($A304="","",MASTER_REGISTER!N301)</f>
        <v/>
      </c>
    </row>
    <row r="305" spans="1:10" x14ac:dyDescent="0.3">
      <c r="A305" s="15" t="str">
        <f>IF(MASTER_REGISTER!E302="","",MASTER_REGISTER!E302)</f>
        <v/>
      </c>
      <c r="B305" s="15" t="str">
        <f>IF($A305="","",MASTER_REGISTER!F302)</f>
        <v/>
      </c>
      <c r="C305" s="15" t="str">
        <f>IF($A305="","",MASTER_REGISTER!C302)</f>
        <v/>
      </c>
      <c r="D305" s="15" t="str">
        <f>IF($A305="","",MASTER_REGISTER!H302)</f>
        <v/>
      </c>
      <c r="E305" s="15" t="str">
        <f>IF($A305="","",MASTER_REGISTER!G302)</f>
        <v/>
      </c>
      <c r="F305" s="15" t="str">
        <f>IF($A305="","",MASTER_REGISTER!I302)</f>
        <v/>
      </c>
      <c r="G305" s="16" t="str">
        <f>IF($A305="","",MASTER_REGISTER!J302)</f>
        <v/>
      </c>
      <c r="H305" s="16" t="str">
        <f>IF($A305="","",MASTER_REGISTER!L302)</f>
        <v/>
      </c>
      <c r="I305" s="16" t="str">
        <f>IF($A305="","",MASTER_REGISTER!M302)</f>
        <v/>
      </c>
      <c r="J305" s="15" t="str">
        <f>IF($A305="","",MASTER_REGISTER!N302)</f>
        <v/>
      </c>
    </row>
    <row r="306" spans="1:10" x14ac:dyDescent="0.3">
      <c r="A306" s="15" t="str">
        <f>IF(MASTER_REGISTER!E303="","",MASTER_REGISTER!E303)</f>
        <v/>
      </c>
      <c r="B306" s="15" t="str">
        <f>IF($A306="","",MASTER_REGISTER!F303)</f>
        <v/>
      </c>
      <c r="C306" s="15" t="str">
        <f>IF($A306="","",MASTER_REGISTER!C303)</f>
        <v/>
      </c>
      <c r="D306" s="15" t="str">
        <f>IF($A306="","",MASTER_REGISTER!H303)</f>
        <v/>
      </c>
      <c r="E306" s="15" t="str">
        <f>IF($A306="","",MASTER_REGISTER!G303)</f>
        <v/>
      </c>
      <c r="F306" s="15" t="str">
        <f>IF($A306="","",MASTER_REGISTER!I303)</f>
        <v/>
      </c>
      <c r="G306" s="16" t="str">
        <f>IF($A306="","",MASTER_REGISTER!J303)</f>
        <v/>
      </c>
      <c r="H306" s="16" t="str">
        <f>IF($A306="","",MASTER_REGISTER!L303)</f>
        <v/>
      </c>
      <c r="I306" s="16" t="str">
        <f>IF($A306="","",MASTER_REGISTER!M303)</f>
        <v/>
      </c>
      <c r="J306" s="15" t="str">
        <f>IF($A306="","",MASTER_REGISTER!N303)</f>
        <v/>
      </c>
    </row>
    <row r="307" spans="1:10" x14ac:dyDescent="0.3">
      <c r="A307" s="15" t="str">
        <f>IF(MASTER_REGISTER!E304="","",MASTER_REGISTER!E304)</f>
        <v/>
      </c>
      <c r="B307" s="15" t="str">
        <f>IF($A307="","",MASTER_REGISTER!F304)</f>
        <v/>
      </c>
      <c r="C307" s="15" t="str">
        <f>IF($A307="","",MASTER_REGISTER!C304)</f>
        <v/>
      </c>
      <c r="D307" s="15" t="str">
        <f>IF($A307="","",MASTER_REGISTER!H304)</f>
        <v/>
      </c>
      <c r="E307" s="15" t="str">
        <f>IF($A307="","",MASTER_REGISTER!G304)</f>
        <v/>
      </c>
      <c r="F307" s="15" t="str">
        <f>IF($A307="","",MASTER_REGISTER!I304)</f>
        <v/>
      </c>
      <c r="G307" s="16" t="str">
        <f>IF($A307="","",MASTER_REGISTER!J304)</f>
        <v/>
      </c>
      <c r="H307" s="16" t="str">
        <f>IF($A307="","",MASTER_REGISTER!L304)</f>
        <v/>
      </c>
      <c r="I307" s="16" t="str">
        <f>IF($A307="","",MASTER_REGISTER!M304)</f>
        <v/>
      </c>
      <c r="J307" s="15" t="str">
        <f>IF($A307="","",MASTER_REGISTER!N304)</f>
        <v/>
      </c>
    </row>
    <row r="308" spans="1:10" x14ac:dyDescent="0.3">
      <c r="A308" s="15" t="str">
        <f>IF(MASTER_REGISTER!E305="","",MASTER_REGISTER!E305)</f>
        <v/>
      </c>
      <c r="B308" s="15" t="str">
        <f>IF($A308="","",MASTER_REGISTER!F305)</f>
        <v/>
      </c>
      <c r="C308" s="15" t="str">
        <f>IF($A308="","",MASTER_REGISTER!C305)</f>
        <v/>
      </c>
      <c r="D308" s="15" t="str">
        <f>IF($A308="","",MASTER_REGISTER!H305)</f>
        <v/>
      </c>
      <c r="E308" s="15" t="str">
        <f>IF($A308="","",MASTER_REGISTER!G305)</f>
        <v/>
      </c>
      <c r="F308" s="15" t="str">
        <f>IF($A308="","",MASTER_REGISTER!I305)</f>
        <v/>
      </c>
      <c r="G308" s="16" t="str">
        <f>IF($A308="","",MASTER_REGISTER!J305)</f>
        <v/>
      </c>
      <c r="H308" s="16" t="str">
        <f>IF($A308="","",MASTER_REGISTER!L305)</f>
        <v/>
      </c>
      <c r="I308" s="16" t="str">
        <f>IF($A308="","",MASTER_REGISTER!M305)</f>
        <v/>
      </c>
      <c r="J308" s="15" t="str">
        <f>IF($A308="","",MASTER_REGISTER!N305)</f>
        <v/>
      </c>
    </row>
    <row r="309" spans="1:10" x14ac:dyDescent="0.3">
      <c r="A309" s="15" t="str">
        <f>IF(MASTER_REGISTER!E306="","",MASTER_REGISTER!E306)</f>
        <v/>
      </c>
      <c r="B309" s="15" t="str">
        <f>IF($A309="","",MASTER_REGISTER!F306)</f>
        <v/>
      </c>
      <c r="C309" s="15" t="str">
        <f>IF($A309="","",MASTER_REGISTER!C306)</f>
        <v/>
      </c>
      <c r="D309" s="15" t="str">
        <f>IF($A309="","",MASTER_REGISTER!H306)</f>
        <v/>
      </c>
      <c r="E309" s="15" t="str">
        <f>IF($A309="","",MASTER_REGISTER!G306)</f>
        <v/>
      </c>
      <c r="F309" s="15" t="str">
        <f>IF($A309="","",MASTER_REGISTER!I306)</f>
        <v/>
      </c>
      <c r="G309" s="16" t="str">
        <f>IF($A309="","",MASTER_REGISTER!J306)</f>
        <v/>
      </c>
      <c r="H309" s="16" t="str">
        <f>IF($A309="","",MASTER_REGISTER!L306)</f>
        <v/>
      </c>
      <c r="I309" s="16" t="str">
        <f>IF($A309="","",MASTER_REGISTER!M306)</f>
        <v/>
      </c>
      <c r="J309" s="15" t="str">
        <f>IF($A309="","",MASTER_REGISTER!N306)</f>
        <v/>
      </c>
    </row>
    <row r="310" spans="1:10" x14ac:dyDescent="0.3">
      <c r="A310" s="15" t="str">
        <f>IF(MASTER_REGISTER!E307="","",MASTER_REGISTER!E307)</f>
        <v/>
      </c>
      <c r="B310" s="15" t="str">
        <f>IF($A310="","",MASTER_REGISTER!F307)</f>
        <v/>
      </c>
      <c r="C310" s="15" t="str">
        <f>IF($A310="","",MASTER_REGISTER!C307)</f>
        <v/>
      </c>
      <c r="D310" s="15" t="str">
        <f>IF($A310="","",MASTER_REGISTER!H307)</f>
        <v/>
      </c>
      <c r="E310" s="15" t="str">
        <f>IF($A310="","",MASTER_REGISTER!G307)</f>
        <v/>
      </c>
      <c r="F310" s="15" t="str">
        <f>IF($A310="","",MASTER_REGISTER!I307)</f>
        <v/>
      </c>
      <c r="G310" s="16" t="str">
        <f>IF($A310="","",MASTER_REGISTER!J307)</f>
        <v/>
      </c>
      <c r="H310" s="16" t="str">
        <f>IF($A310="","",MASTER_REGISTER!L307)</f>
        <v/>
      </c>
      <c r="I310" s="16" t="str">
        <f>IF($A310="","",MASTER_REGISTER!M307)</f>
        <v/>
      </c>
      <c r="J310" s="15" t="str">
        <f>IF($A310="","",MASTER_REGISTER!N307)</f>
        <v/>
      </c>
    </row>
    <row r="311" spans="1:10" x14ac:dyDescent="0.3">
      <c r="A311" s="15" t="str">
        <f>IF(MASTER_REGISTER!E308="","",MASTER_REGISTER!E308)</f>
        <v/>
      </c>
      <c r="B311" s="15" t="str">
        <f>IF($A311="","",MASTER_REGISTER!F308)</f>
        <v/>
      </c>
      <c r="C311" s="15" t="str">
        <f>IF($A311="","",MASTER_REGISTER!C308)</f>
        <v/>
      </c>
      <c r="D311" s="15" t="str">
        <f>IF($A311="","",MASTER_REGISTER!H308)</f>
        <v/>
      </c>
      <c r="E311" s="15" t="str">
        <f>IF($A311="","",MASTER_REGISTER!G308)</f>
        <v/>
      </c>
      <c r="F311" s="15" t="str">
        <f>IF($A311="","",MASTER_REGISTER!I308)</f>
        <v/>
      </c>
      <c r="G311" s="16" t="str">
        <f>IF($A311="","",MASTER_REGISTER!J308)</f>
        <v/>
      </c>
      <c r="H311" s="16" t="str">
        <f>IF($A311="","",MASTER_REGISTER!L308)</f>
        <v/>
      </c>
      <c r="I311" s="16" t="str">
        <f>IF($A311="","",MASTER_REGISTER!M308)</f>
        <v/>
      </c>
      <c r="J311" s="15" t="str">
        <f>IF($A311="","",MASTER_REGISTER!N308)</f>
        <v/>
      </c>
    </row>
    <row r="312" spans="1:10" x14ac:dyDescent="0.3">
      <c r="A312" s="15" t="str">
        <f>IF(MASTER_REGISTER!E309="","",MASTER_REGISTER!E309)</f>
        <v/>
      </c>
      <c r="B312" s="15" t="str">
        <f>IF($A312="","",MASTER_REGISTER!F309)</f>
        <v/>
      </c>
      <c r="C312" s="15" t="str">
        <f>IF($A312="","",MASTER_REGISTER!C309)</f>
        <v/>
      </c>
      <c r="D312" s="15" t="str">
        <f>IF($A312="","",MASTER_REGISTER!H309)</f>
        <v/>
      </c>
      <c r="E312" s="15" t="str">
        <f>IF($A312="","",MASTER_REGISTER!G309)</f>
        <v/>
      </c>
      <c r="F312" s="15" t="str">
        <f>IF($A312="","",MASTER_REGISTER!I309)</f>
        <v/>
      </c>
      <c r="G312" s="16" t="str">
        <f>IF($A312="","",MASTER_REGISTER!J309)</f>
        <v/>
      </c>
      <c r="H312" s="16" t="str">
        <f>IF($A312="","",MASTER_REGISTER!L309)</f>
        <v/>
      </c>
      <c r="I312" s="16" t="str">
        <f>IF($A312="","",MASTER_REGISTER!M309)</f>
        <v/>
      </c>
      <c r="J312" s="15" t="str">
        <f>IF($A312="","",MASTER_REGISTER!N309)</f>
        <v/>
      </c>
    </row>
    <row r="313" spans="1:10" x14ac:dyDescent="0.3">
      <c r="A313" s="15" t="str">
        <f>IF(MASTER_REGISTER!E310="","",MASTER_REGISTER!E310)</f>
        <v/>
      </c>
      <c r="B313" s="15" t="str">
        <f>IF($A313="","",MASTER_REGISTER!F310)</f>
        <v/>
      </c>
      <c r="C313" s="15" t="str">
        <f>IF($A313="","",MASTER_REGISTER!C310)</f>
        <v/>
      </c>
      <c r="D313" s="15" t="str">
        <f>IF($A313="","",MASTER_REGISTER!H310)</f>
        <v/>
      </c>
      <c r="E313" s="15" t="str">
        <f>IF($A313="","",MASTER_REGISTER!G310)</f>
        <v/>
      </c>
      <c r="F313" s="15" t="str">
        <f>IF($A313="","",MASTER_REGISTER!I310)</f>
        <v/>
      </c>
      <c r="G313" s="16" t="str">
        <f>IF($A313="","",MASTER_REGISTER!J310)</f>
        <v/>
      </c>
      <c r="H313" s="16" t="str">
        <f>IF($A313="","",MASTER_REGISTER!L310)</f>
        <v/>
      </c>
      <c r="I313" s="16" t="str">
        <f>IF($A313="","",MASTER_REGISTER!M310)</f>
        <v/>
      </c>
      <c r="J313" s="15" t="str">
        <f>IF($A313="","",MASTER_REGISTER!N310)</f>
        <v/>
      </c>
    </row>
    <row r="314" spans="1:10" x14ac:dyDescent="0.3">
      <c r="A314" s="15" t="str">
        <f>IF(MASTER_REGISTER!E311="","",MASTER_REGISTER!E311)</f>
        <v/>
      </c>
      <c r="B314" s="15" t="str">
        <f>IF($A314="","",MASTER_REGISTER!F311)</f>
        <v/>
      </c>
      <c r="C314" s="15" t="str">
        <f>IF($A314="","",MASTER_REGISTER!C311)</f>
        <v/>
      </c>
      <c r="D314" s="15" t="str">
        <f>IF($A314="","",MASTER_REGISTER!H311)</f>
        <v/>
      </c>
      <c r="E314" s="15" t="str">
        <f>IF($A314="","",MASTER_REGISTER!G311)</f>
        <v/>
      </c>
      <c r="F314" s="15" t="str">
        <f>IF($A314="","",MASTER_REGISTER!I311)</f>
        <v/>
      </c>
      <c r="G314" s="16" t="str">
        <f>IF($A314="","",MASTER_REGISTER!J311)</f>
        <v/>
      </c>
      <c r="H314" s="16" t="str">
        <f>IF($A314="","",MASTER_REGISTER!L311)</f>
        <v/>
      </c>
      <c r="I314" s="16" t="str">
        <f>IF($A314="","",MASTER_REGISTER!M311)</f>
        <v/>
      </c>
      <c r="J314" s="15" t="str">
        <f>IF($A314="","",MASTER_REGISTER!N311)</f>
        <v/>
      </c>
    </row>
    <row r="315" spans="1:10" x14ac:dyDescent="0.3">
      <c r="A315" s="15" t="str">
        <f>IF(MASTER_REGISTER!E312="","",MASTER_REGISTER!E312)</f>
        <v/>
      </c>
      <c r="B315" s="15" t="str">
        <f>IF($A315="","",MASTER_REGISTER!F312)</f>
        <v/>
      </c>
      <c r="C315" s="15" t="str">
        <f>IF($A315="","",MASTER_REGISTER!C312)</f>
        <v/>
      </c>
      <c r="D315" s="15" t="str">
        <f>IF($A315="","",MASTER_REGISTER!H312)</f>
        <v/>
      </c>
      <c r="E315" s="15" t="str">
        <f>IF($A315="","",MASTER_REGISTER!G312)</f>
        <v/>
      </c>
      <c r="F315" s="15" t="str">
        <f>IF($A315="","",MASTER_REGISTER!I312)</f>
        <v/>
      </c>
      <c r="G315" s="16" t="str">
        <f>IF($A315="","",MASTER_REGISTER!J312)</f>
        <v/>
      </c>
      <c r="H315" s="16" t="str">
        <f>IF($A315="","",MASTER_REGISTER!L312)</f>
        <v/>
      </c>
      <c r="I315" s="16" t="str">
        <f>IF($A315="","",MASTER_REGISTER!M312)</f>
        <v/>
      </c>
      <c r="J315" s="15" t="str">
        <f>IF($A315="","",MASTER_REGISTER!N312)</f>
        <v/>
      </c>
    </row>
    <row r="316" spans="1:10" x14ac:dyDescent="0.3">
      <c r="A316" s="15" t="str">
        <f>IF(MASTER_REGISTER!E313="","",MASTER_REGISTER!E313)</f>
        <v/>
      </c>
      <c r="B316" s="15" t="str">
        <f>IF($A316="","",MASTER_REGISTER!F313)</f>
        <v/>
      </c>
      <c r="C316" s="15" t="str">
        <f>IF($A316="","",MASTER_REGISTER!C313)</f>
        <v/>
      </c>
      <c r="D316" s="15" t="str">
        <f>IF($A316="","",MASTER_REGISTER!H313)</f>
        <v/>
      </c>
      <c r="E316" s="15" t="str">
        <f>IF($A316="","",MASTER_REGISTER!G313)</f>
        <v/>
      </c>
      <c r="F316" s="15" t="str">
        <f>IF($A316="","",MASTER_REGISTER!I313)</f>
        <v/>
      </c>
      <c r="G316" s="16" t="str">
        <f>IF($A316="","",MASTER_REGISTER!J313)</f>
        <v/>
      </c>
      <c r="H316" s="16" t="str">
        <f>IF($A316="","",MASTER_REGISTER!L313)</f>
        <v/>
      </c>
      <c r="I316" s="16" t="str">
        <f>IF($A316="","",MASTER_REGISTER!M313)</f>
        <v/>
      </c>
      <c r="J316" s="15" t="str">
        <f>IF($A316="","",MASTER_REGISTER!N313)</f>
        <v/>
      </c>
    </row>
    <row r="317" spans="1:10" x14ac:dyDescent="0.3">
      <c r="A317" s="15" t="str">
        <f>IF(MASTER_REGISTER!E314="","",MASTER_REGISTER!E314)</f>
        <v/>
      </c>
      <c r="B317" s="15" t="str">
        <f>IF($A317="","",MASTER_REGISTER!F314)</f>
        <v/>
      </c>
      <c r="C317" s="15" t="str">
        <f>IF($A317="","",MASTER_REGISTER!C314)</f>
        <v/>
      </c>
      <c r="D317" s="15" t="str">
        <f>IF($A317="","",MASTER_REGISTER!H314)</f>
        <v/>
      </c>
      <c r="E317" s="15" t="str">
        <f>IF($A317="","",MASTER_REGISTER!G314)</f>
        <v/>
      </c>
      <c r="F317" s="15" t="str">
        <f>IF($A317="","",MASTER_REGISTER!I314)</f>
        <v/>
      </c>
      <c r="G317" s="16" t="str">
        <f>IF($A317="","",MASTER_REGISTER!J314)</f>
        <v/>
      </c>
      <c r="H317" s="16" t="str">
        <f>IF($A317="","",MASTER_REGISTER!L314)</f>
        <v/>
      </c>
      <c r="I317" s="16" t="str">
        <f>IF($A317="","",MASTER_REGISTER!M314)</f>
        <v/>
      </c>
      <c r="J317" s="15" t="str">
        <f>IF($A317="","",MASTER_REGISTER!N314)</f>
        <v/>
      </c>
    </row>
    <row r="318" spans="1:10" x14ac:dyDescent="0.3">
      <c r="A318" s="15" t="str">
        <f>IF(MASTER_REGISTER!E315="","",MASTER_REGISTER!E315)</f>
        <v/>
      </c>
      <c r="B318" s="15" t="str">
        <f>IF($A318="","",MASTER_REGISTER!F315)</f>
        <v/>
      </c>
      <c r="C318" s="15" t="str">
        <f>IF($A318="","",MASTER_REGISTER!C315)</f>
        <v/>
      </c>
      <c r="D318" s="15" t="str">
        <f>IF($A318="","",MASTER_REGISTER!H315)</f>
        <v/>
      </c>
      <c r="E318" s="15" t="str">
        <f>IF($A318="","",MASTER_REGISTER!G315)</f>
        <v/>
      </c>
      <c r="F318" s="15" t="str">
        <f>IF($A318="","",MASTER_REGISTER!I315)</f>
        <v/>
      </c>
      <c r="G318" s="16" t="str">
        <f>IF($A318="","",MASTER_REGISTER!J315)</f>
        <v/>
      </c>
      <c r="H318" s="16" t="str">
        <f>IF($A318="","",MASTER_REGISTER!L315)</f>
        <v/>
      </c>
      <c r="I318" s="16" t="str">
        <f>IF($A318="","",MASTER_REGISTER!M315)</f>
        <v/>
      </c>
      <c r="J318" s="15" t="str">
        <f>IF($A318="","",MASTER_REGISTER!N315)</f>
        <v/>
      </c>
    </row>
    <row r="319" spans="1:10" x14ac:dyDescent="0.3">
      <c r="A319" s="15" t="str">
        <f>IF(MASTER_REGISTER!E316="","",MASTER_REGISTER!E316)</f>
        <v/>
      </c>
      <c r="B319" s="15" t="str">
        <f>IF($A319="","",MASTER_REGISTER!F316)</f>
        <v/>
      </c>
      <c r="C319" s="15" t="str">
        <f>IF($A319="","",MASTER_REGISTER!C316)</f>
        <v/>
      </c>
      <c r="D319" s="15" t="str">
        <f>IF($A319="","",MASTER_REGISTER!H316)</f>
        <v/>
      </c>
      <c r="E319" s="15" t="str">
        <f>IF($A319="","",MASTER_REGISTER!G316)</f>
        <v/>
      </c>
      <c r="F319" s="15" t="str">
        <f>IF($A319="","",MASTER_REGISTER!I316)</f>
        <v/>
      </c>
      <c r="G319" s="16" t="str">
        <f>IF($A319="","",MASTER_REGISTER!J316)</f>
        <v/>
      </c>
      <c r="H319" s="16" t="str">
        <f>IF($A319="","",MASTER_REGISTER!L316)</f>
        <v/>
      </c>
      <c r="I319" s="16" t="str">
        <f>IF($A319="","",MASTER_REGISTER!M316)</f>
        <v/>
      </c>
      <c r="J319" s="15" t="str">
        <f>IF($A319="","",MASTER_REGISTER!N316)</f>
        <v/>
      </c>
    </row>
    <row r="320" spans="1:10" x14ac:dyDescent="0.3">
      <c r="A320" s="15" t="str">
        <f>IF(MASTER_REGISTER!E317="","",MASTER_REGISTER!E317)</f>
        <v/>
      </c>
      <c r="B320" s="15" t="str">
        <f>IF($A320="","",MASTER_REGISTER!F317)</f>
        <v/>
      </c>
      <c r="C320" s="15" t="str">
        <f>IF($A320="","",MASTER_REGISTER!C317)</f>
        <v/>
      </c>
      <c r="D320" s="15" t="str">
        <f>IF($A320="","",MASTER_REGISTER!H317)</f>
        <v/>
      </c>
      <c r="E320" s="15" t="str">
        <f>IF($A320="","",MASTER_REGISTER!G317)</f>
        <v/>
      </c>
      <c r="F320" s="15" t="str">
        <f>IF($A320="","",MASTER_REGISTER!I317)</f>
        <v/>
      </c>
      <c r="G320" s="16" t="str">
        <f>IF($A320="","",MASTER_REGISTER!J317)</f>
        <v/>
      </c>
      <c r="H320" s="16" t="str">
        <f>IF($A320="","",MASTER_REGISTER!L317)</f>
        <v/>
      </c>
      <c r="I320" s="16" t="str">
        <f>IF($A320="","",MASTER_REGISTER!M317)</f>
        <v/>
      </c>
      <c r="J320" s="15" t="str">
        <f>IF($A320="","",MASTER_REGISTER!N317)</f>
        <v/>
      </c>
    </row>
    <row r="321" spans="1:10" x14ac:dyDescent="0.3">
      <c r="A321" s="15" t="str">
        <f>IF(MASTER_REGISTER!E318="","",MASTER_REGISTER!E318)</f>
        <v/>
      </c>
      <c r="B321" s="15" t="str">
        <f>IF($A321="","",MASTER_REGISTER!F318)</f>
        <v/>
      </c>
      <c r="C321" s="15" t="str">
        <f>IF($A321="","",MASTER_REGISTER!C318)</f>
        <v/>
      </c>
      <c r="D321" s="15" t="str">
        <f>IF($A321="","",MASTER_REGISTER!H318)</f>
        <v/>
      </c>
      <c r="E321" s="15" t="str">
        <f>IF($A321="","",MASTER_REGISTER!G318)</f>
        <v/>
      </c>
      <c r="F321" s="15" t="str">
        <f>IF($A321="","",MASTER_REGISTER!I318)</f>
        <v/>
      </c>
      <c r="G321" s="16" t="str">
        <f>IF($A321="","",MASTER_REGISTER!J318)</f>
        <v/>
      </c>
      <c r="H321" s="16" t="str">
        <f>IF($A321="","",MASTER_REGISTER!L318)</f>
        <v/>
      </c>
      <c r="I321" s="16" t="str">
        <f>IF($A321="","",MASTER_REGISTER!M318)</f>
        <v/>
      </c>
      <c r="J321" s="15" t="str">
        <f>IF($A321="","",MASTER_REGISTER!N318)</f>
        <v/>
      </c>
    </row>
    <row r="322" spans="1:10" x14ac:dyDescent="0.3">
      <c r="A322" s="15" t="str">
        <f>IF(MASTER_REGISTER!E319="","",MASTER_REGISTER!E319)</f>
        <v/>
      </c>
      <c r="B322" s="15" t="str">
        <f>IF($A322="","",MASTER_REGISTER!F319)</f>
        <v/>
      </c>
      <c r="C322" s="15" t="str">
        <f>IF($A322="","",MASTER_REGISTER!C319)</f>
        <v/>
      </c>
      <c r="D322" s="15" t="str">
        <f>IF($A322="","",MASTER_REGISTER!H319)</f>
        <v/>
      </c>
      <c r="E322" s="15" t="str">
        <f>IF($A322="","",MASTER_REGISTER!G319)</f>
        <v/>
      </c>
      <c r="F322" s="15" t="str">
        <f>IF($A322="","",MASTER_REGISTER!I319)</f>
        <v/>
      </c>
      <c r="G322" s="16" t="str">
        <f>IF($A322="","",MASTER_REGISTER!J319)</f>
        <v/>
      </c>
      <c r="H322" s="16" t="str">
        <f>IF($A322="","",MASTER_REGISTER!L319)</f>
        <v/>
      </c>
      <c r="I322" s="16" t="str">
        <f>IF($A322="","",MASTER_REGISTER!M319)</f>
        <v/>
      </c>
      <c r="J322" s="15" t="str">
        <f>IF($A322="","",MASTER_REGISTER!N319)</f>
        <v/>
      </c>
    </row>
    <row r="323" spans="1:10" x14ac:dyDescent="0.3">
      <c r="A323" s="15" t="str">
        <f>IF(MASTER_REGISTER!E320="","",MASTER_REGISTER!E320)</f>
        <v/>
      </c>
      <c r="B323" s="15" t="str">
        <f>IF($A323="","",MASTER_REGISTER!F320)</f>
        <v/>
      </c>
      <c r="C323" s="15" t="str">
        <f>IF($A323="","",MASTER_REGISTER!C320)</f>
        <v/>
      </c>
      <c r="D323" s="15" t="str">
        <f>IF($A323="","",MASTER_REGISTER!H320)</f>
        <v/>
      </c>
      <c r="E323" s="15" t="str">
        <f>IF($A323="","",MASTER_REGISTER!G320)</f>
        <v/>
      </c>
      <c r="F323" s="15" t="str">
        <f>IF($A323="","",MASTER_REGISTER!I320)</f>
        <v/>
      </c>
      <c r="G323" s="16" t="str">
        <f>IF($A323="","",MASTER_REGISTER!J320)</f>
        <v/>
      </c>
      <c r="H323" s="16" t="str">
        <f>IF($A323="","",MASTER_REGISTER!L320)</f>
        <v/>
      </c>
      <c r="I323" s="16" t="str">
        <f>IF($A323="","",MASTER_REGISTER!M320)</f>
        <v/>
      </c>
      <c r="J323" s="15" t="str">
        <f>IF($A323="","",MASTER_REGISTER!N320)</f>
        <v/>
      </c>
    </row>
    <row r="324" spans="1:10" x14ac:dyDescent="0.3">
      <c r="A324" s="15" t="str">
        <f>IF(MASTER_REGISTER!E321="","",MASTER_REGISTER!E321)</f>
        <v/>
      </c>
      <c r="B324" s="15" t="str">
        <f>IF($A324="","",MASTER_REGISTER!F321)</f>
        <v/>
      </c>
      <c r="C324" s="15" t="str">
        <f>IF($A324="","",MASTER_REGISTER!C321)</f>
        <v/>
      </c>
      <c r="D324" s="15" t="str">
        <f>IF($A324="","",MASTER_REGISTER!H321)</f>
        <v/>
      </c>
      <c r="E324" s="15" t="str">
        <f>IF($A324="","",MASTER_REGISTER!G321)</f>
        <v/>
      </c>
      <c r="F324" s="15" t="str">
        <f>IF($A324="","",MASTER_REGISTER!I321)</f>
        <v/>
      </c>
      <c r="G324" s="16" t="str">
        <f>IF($A324="","",MASTER_REGISTER!J321)</f>
        <v/>
      </c>
      <c r="H324" s="16" t="str">
        <f>IF($A324="","",MASTER_REGISTER!L321)</f>
        <v/>
      </c>
      <c r="I324" s="16" t="str">
        <f>IF($A324="","",MASTER_REGISTER!M321)</f>
        <v/>
      </c>
      <c r="J324" s="15" t="str">
        <f>IF($A324="","",MASTER_REGISTER!N321)</f>
        <v/>
      </c>
    </row>
    <row r="325" spans="1:10" x14ac:dyDescent="0.3">
      <c r="A325" s="15" t="str">
        <f>IF(MASTER_REGISTER!E322="","",MASTER_REGISTER!E322)</f>
        <v/>
      </c>
      <c r="B325" s="15" t="str">
        <f>IF($A325="","",MASTER_REGISTER!F322)</f>
        <v/>
      </c>
      <c r="C325" s="15" t="str">
        <f>IF($A325="","",MASTER_REGISTER!C322)</f>
        <v/>
      </c>
      <c r="D325" s="15" t="str">
        <f>IF($A325="","",MASTER_REGISTER!H322)</f>
        <v/>
      </c>
      <c r="E325" s="15" t="str">
        <f>IF($A325="","",MASTER_REGISTER!G322)</f>
        <v/>
      </c>
      <c r="F325" s="15" t="str">
        <f>IF($A325="","",MASTER_REGISTER!I322)</f>
        <v/>
      </c>
      <c r="G325" s="16" t="str">
        <f>IF($A325="","",MASTER_REGISTER!J322)</f>
        <v/>
      </c>
      <c r="H325" s="16" t="str">
        <f>IF($A325="","",MASTER_REGISTER!L322)</f>
        <v/>
      </c>
      <c r="I325" s="16" t="str">
        <f>IF($A325="","",MASTER_REGISTER!M322)</f>
        <v/>
      </c>
      <c r="J325" s="15" t="str">
        <f>IF($A325="","",MASTER_REGISTER!N322)</f>
        <v/>
      </c>
    </row>
    <row r="326" spans="1:10" x14ac:dyDescent="0.3">
      <c r="A326" s="15" t="str">
        <f>IF(MASTER_REGISTER!E323="","",MASTER_REGISTER!E323)</f>
        <v/>
      </c>
      <c r="B326" s="15" t="str">
        <f>IF($A326="","",MASTER_REGISTER!F323)</f>
        <v/>
      </c>
      <c r="C326" s="15" t="str">
        <f>IF($A326="","",MASTER_REGISTER!C323)</f>
        <v/>
      </c>
      <c r="D326" s="15" t="str">
        <f>IF($A326="","",MASTER_REGISTER!H323)</f>
        <v/>
      </c>
      <c r="E326" s="15" t="str">
        <f>IF($A326="","",MASTER_REGISTER!G323)</f>
        <v/>
      </c>
      <c r="F326" s="15" t="str">
        <f>IF($A326="","",MASTER_REGISTER!I323)</f>
        <v/>
      </c>
      <c r="G326" s="16" t="str">
        <f>IF($A326="","",MASTER_REGISTER!J323)</f>
        <v/>
      </c>
      <c r="H326" s="16" t="str">
        <f>IF($A326="","",MASTER_REGISTER!L323)</f>
        <v/>
      </c>
      <c r="I326" s="16" t="str">
        <f>IF($A326="","",MASTER_REGISTER!M323)</f>
        <v/>
      </c>
      <c r="J326" s="15" t="str">
        <f>IF($A326="","",MASTER_REGISTER!N323)</f>
        <v/>
      </c>
    </row>
    <row r="327" spans="1:10" x14ac:dyDescent="0.3">
      <c r="A327" s="15" t="str">
        <f>IF(MASTER_REGISTER!E324="","",MASTER_REGISTER!E324)</f>
        <v/>
      </c>
      <c r="B327" s="15" t="str">
        <f>IF($A327="","",MASTER_REGISTER!F324)</f>
        <v/>
      </c>
      <c r="C327" s="15" t="str">
        <f>IF($A327="","",MASTER_REGISTER!C324)</f>
        <v/>
      </c>
      <c r="D327" s="15" t="str">
        <f>IF($A327="","",MASTER_REGISTER!H324)</f>
        <v/>
      </c>
      <c r="E327" s="15" t="str">
        <f>IF($A327="","",MASTER_REGISTER!G324)</f>
        <v/>
      </c>
      <c r="F327" s="15" t="str">
        <f>IF($A327="","",MASTER_REGISTER!I324)</f>
        <v/>
      </c>
      <c r="G327" s="16" t="str">
        <f>IF($A327="","",MASTER_REGISTER!J324)</f>
        <v/>
      </c>
      <c r="H327" s="16" t="str">
        <f>IF($A327="","",MASTER_REGISTER!L324)</f>
        <v/>
      </c>
      <c r="I327" s="16" t="str">
        <f>IF($A327="","",MASTER_REGISTER!M324)</f>
        <v/>
      </c>
      <c r="J327" s="15" t="str">
        <f>IF($A327="","",MASTER_REGISTER!N324)</f>
        <v/>
      </c>
    </row>
    <row r="328" spans="1:10" x14ac:dyDescent="0.3">
      <c r="A328" s="15" t="str">
        <f>IF(MASTER_REGISTER!E325="","",MASTER_REGISTER!E325)</f>
        <v/>
      </c>
      <c r="B328" s="15" t="str">
        <f>IF($A328="","",MASTER_REGISTER!F325)</f>
        <v/>
      </c>
      <c r="C328" s="15" t="str">
        <f>IF($A328="","",MASTER_REGISTER!C325)</f>
        <v/>
      </c>
      <c r="D328" s="15" t="str">
        <f>IF($A328="","",MASTER_REGISTER!H325)</f>
        <v/>
      </c>
      <c r="E328" s="15" t="str">
        <f>IF($A328="","",MASTER_REGISTER!G325)</f>
        <v/>
      </c>
      <c r="F328" s="15" t="str">
        <f>IF($A328="","",MASTER_REGISTER!I325)</f>
        <v/>
      </c>
      <c r="G328" s="16" t="str">
        <f>IF($A328="","",MASTER_REGISTER!J325)</f>
        <v/>
      </c>
      <c r="H328" s="16" t="str">
        <f>IF($A328="","",MASTER_REGISTER!L325)</f>
        <v/>
      </c>
      <c r="I328" s="16" t="str">
        <f>IF($A328="","",MASTER_REGISTER!M325)</f>
        <v/>
      </c>
      <c r="J328" s="15" t="str">
        <f>IF($A328="","",MASTER_REGISTER!N325)</f>
        <v/>
      </c>
    </row>
    <row r="329" spans="1:10" x14ac:dyDescent="0.3">
      <c r="A329" s="15" t="str">
        <f>IF(MASTER_REGISTER!E326="","",MASTER_REGISTER!E326)</f>
        <v/>
      </c>
      <c r="B329" s="15" t="str">
        <f>IF($A329="","",MASTER_REGISTER!F326)</f>
        <v/>
      </c>
      <c r="C329" s="15" t="str">
        <f>IF($A329="","",MASTER_REGISTER!C326)</f>
        <v/>
      </c>
      <c r="D329" s="15" t="str">
        <f>IF($A329="","",MASTER_REGISTER!H326)</f>
        <v/>
      </c>
      <c r="E329" s="15" t="str">
        <f>IF($A329="","",MASTER_REGISTER!G326)</f>
        <v/>
      </c>
      <c r="F329" s="15" t="str">
        <f>IF($A329="","",MASTER_REGISTER!I326)</f>
        <v/>
      </c>
      <c r="G329" s="16" t="str">
        <f>IF($A329="","",MASTER_REGISTER!J326)</f>
        <v/>
      </c>
      <c r="H329" s="16" t="str">
        <f>IF($A329="","",MASTER_REGISTER!L326)</f>
        <v/>
      </c>
      <c r="I329" s="16" t="str">
        <f>IF($A329="","",MASTER_REGISTER!M326)</f>
        <v/>
      </c>
      <c r="J329" s="15" t="str">
        <f>IF($A329="","",MASTER_REGISTER!N326)</f>
        <v/>
      </c>
    </row>
    <row r="330" spans="1:10" x14ac:dyDescent="0.3">
      <c r="A330" s="15" t="str">
        <f>IF(MASTER_REGISTER!E327="","",MASTER_REGISTER!E327)</f>
        <v/>
      </c>
      <c r="B330" s="15" t="str">
        <f>IF($A330="","",MASTER_REGISTER!F327)</f>
        <v/>
      </c>
      <c r="C330" s="15" t="str">
        <f>IF($A330="","",MASTER_REGISTER!C327)</f>
        <v/>
      </c>
      <c r="D330" s="15" t="str">
        <f>IF($A330="","",MASTER_REGISTER!H327)</f>
        <v/>
      </c>
      <c r="E330" s="15" t="str">
        <f>IF($A330="","",MASTER_REGISTER!G327)</f>
        <v/>
      </c>
      <c r="F330" s="15" t="str">
        <f>IF($A330="","",MASTER_REGISTER!I327)</f>
        <v/>
      </c>
      <c r="G330" s="16" t="str">
        <f>IF($A330="","",MASTER_REGISTER!J327)</f>
        <v/>
      </c>
      <c r="H330" s="16" t="str">
        <f>IF($A330="","",MASTER_REGISTER!L327)</f>
        <v/>
      </c>
      <c r="I330" s="16" t="str">
        <f>IF($A330="","",MASTER_REGISTER!M327)</f>
        <v/>
      </c>
      <c r="J330" s="15" t="str">
        <f>IF($A330="","",MASTER_REGISTER!N327)</f>
        <v/>
      </c>
    </row>
    <row r="331" spans="1:10" x14ac:dyDescent="0.3">
      <c r="A331" s="15" t="str">
        <f>IF(MASTER_REGISTER!E328="","",MASTER_REGISTER!E328)</f>
        <v/>
      </c>
      <c r="B331" s="15" t="str">
        <f>IF($A331="","",MASTER_REGISTER!F328)</f>
        <v/>
      </c>
      <c r="C331" s="15" t="str">
        <f>IF($A331="","",MASTER_REGISTER!C328)</f>
        <v/>
      </c>
      <c r="D331" s="15" t="str">
        <f>IF($A331="","",MASTER_REGISTER!H328)</f>
        <v/>
      </c>
      <c r="E331" s="15" t="str">
        <f>IF($A331="","",MASTER_REGISTER!G328)</f>
        <v/>
      </c>
      <c r="F331" s="15" t="str">
        <f>IF($A331="","",MASTER_REGISTER!I328)</f>
        <v/>
      </c>
      <c r="G331" s="16" t="str">
        <f>IF($A331="","",MASTER_REGISTER!J328)</f>
        <v/>
      </c>
      <c r="H331" s="16" t="str">
        <f>IF($A331="","",MASTER_REGISTER!L328)</f>
        <v/>
      </c>
      <c r="I331" s="16" t="str">
        <f>IF($A331="","",MASTER_REGISTER!M328)</f>
        <v/>
      </c>
      <c r="J331" s="15" t="str">
        <f>IF($A331="","",MASTER_REGISTER!N328)</f>
        <v/>
      </c>
    </row>
    <row r="332" spans="1:10" x14ac:dyDescent="0.3">
      <c r="A332" s="15" t="str">
        <f>IF(MASTER_REGISTER!E329="","",MASTER_REGISTER!E329)</f>
        <v/>
      </c>
      <c r="B332" s="15" t="str">
        <f>IF($A332="","",MASTER_REGISTER!F329)</f>
        <v/>
      </c>
      <c r="C332" s="15" t="str">
        <f>IF($A332="","",MASTER_REGISTER!C329)</f>
        <v/>
      </c>
      <c r="D332" s="15" t="str">
        <f>IF($A332="","",MASTER_REGISTER!H329)</f>
        <v/>
      </c>
      <c r="E332" s="15" t="str">
        <f>IF($A332="","",MASTER_REGISTER!G329)</f>
        <v/>
      </c>
      <c r="F332" s="15" t="str">
        <f>IF($A332="","",MASTER_REGISTER!I329)</f>
        <v/>
      </c>
      <c r="G332" s="16" t="str">
        <f>IF($A332="","",MASTER_REGISTER!J329)</f>
        <v/>
      </c>
      <c r="H332" s="16" t="str">
        <f>IF($A332="","",MASTER_REGISTER!L329)</f>
        <v/>
      </c>
      <c r="I332" s="16" t="str">
        <f>IF($A332="","",MASTER_REGISTER!M329)</f>
        <v/>
      </c>
      <c r="J332" s="15" t="str">
        <f>IF($A332="","",MASTER_REGISTER!N329)</f>
        <v/>
      </c>
    </row>
    <row r="333" spans="1:10" x14ac:dyDescent="0.3">
      <c r="A333" s="15" t="str">
        <f>IF(MASTER_REGISTER!E330="","",MASTER_REGISTER!E330)</f>
        <v/>
      </c>
      <c r="B333" s="15" t="str">
        <f>IF($A333="","",MASTER_REGISTER!F330)</f>
        <v/>
      </c>
      <c r="C333" s="15" t="str">
        <f>IF($A333="","",MASTER_REGISTER!C330)</f>
        <v/>
      </c>
      <c r="D333" s="15" t="str">
        <f>IF($A333="","",MASTER_REGISTER!H330)</f>
        <v/>
      </c>
      <c r="E333" s="15" t="str">
        <f>IF($A333="","",MASTER_REGISTER!G330)</f>
        <v/>
      </c>
      <c r="F333" s="15" t="str">
        <f>IF($A333="","",MASTER_REGISTER!I330)</f>
        <v/>
      </c>
      <c r="G333" s="16" t="str">
        <f>IF($A333="","",MASTER_REGISTER!J330)</f>
        <v/>
      </c>
      <c r="H333" s="16" t="str">
        <f>IF($A333="","",MASTER_REGISTER!L330)</f>
        <v/>
      </c>
      <c r="I333" s="16" t="str">
        <f>IF($A333="","",MASTER_REGISTER!M330)</f>
        <v/>
      </c>
      <c r="J333" s="15" t="str">
        <f>IF($A333="","",MASTER_REGISTER!N330)</f>
        <v/>
      </c>
    </row>
    <row r="334" spans="1:10" x14ac:dyDescent="0.3">
      <c r="A334" s="15" t="str">
        <f>IF(MASTER_REGISTER!E331="","",MASTER_REGISTER!E331)</f>
        <v/>
      </c>
      <c r="B334" s="15" t="str">
        <f>IF($A334="","",MASTER_REGISTER!F331)</f>
        <v/>
      </c>
      <c r="C334" s="15" t="str">
        <f>IF($A334="","",MASTER_REGISTER!C331)</f>
        <v/>
      </c>
      <c r="D334" s="15" t="str">
        <f>IF($A334="","",MASTER_REGISTER!H331)</f>
        <v/>
      </c>
      <c r="E334" s="15" t="str">
        <f>IF($A334="","",MASTER_REGISTER!G331)</f>
        <v/>
      </c>
      <c r="F334" s="15" t="str">
        <f>IF($A334="","",MASTER_REGISTER!I331)</f>
        <v/>
      </c>
      <c r="G334" s="16" t="str">
        <f>IF($A334="","",MASTER_REGISTER!J331)</f>
        <v/>
      </c>
      <c r="H334" s="16" t="str">
        <f>IF($A334="","",MASTER_REGISTER!L331)</f>
        <v/>
      </c>
      <c r="I334" s="16" t="str">
        <f>IF($A334="","",MASTER_REGISTER!M331)</f>
        <v/>
      </c>
      <c r="J334" s="15" t="str">
        <f>IF($A334="","",MASTER_REGISTER!N331)</f>
        <v/>
      </c>
    </row>
    <row r="335" spans="1:10" x14ac:dyDescent="0.3">
      <c r="A335" s="15" t="str">
        <f>IF(MASTER_REGISTER!E332="","",MASTER_REGISTER!E332)</f>
        <v/>
      </c>
      <c r="B335" s="15" t="str">
        <f>IF($A335="","",MASTER_REGISTER!F332)</f>
        <v/>
      </c>
      <c r="C335" s="15" t="str">
        <f>IF($A335="","",MASTER_REGISTER!C332)</f>
        <v/>
      </c>
      <c r="D335" s="15" t="str">
        <f>IF($A335="","",MASTER_REGISTER!H332)</f>
        <v/>
      </c>
      <c r="E335" s="15" t="str">
        <f>IF($A335="","",MASTER_REGISTER!G332)</f>
        <v/>
      </c>
      <c r="F335" s="15" t="str">
        <f>IF($A335="","",MASTER_REGISTER!I332)</f>
        <v/>
      </c>
      <c r="G335" s="16" t="str">
        <f>IF($A335="","",MASTER_REGISTER!J332)</f>
        <v/>
      </c>
      <c r="H335" s="16" t="str">
        <f>IF($A335="","",MASTER_REGISTER!L332)</f>
        <v/>
      </c>
      <c r="I335" s="16" t="str">
        <f>IF($A335="","",MASTER_REGISTER!M332)</f>
        <v/>
      </c>
      <c r="J335" s="15" t="str">
        <f>IF($A335="","",MASTER_REGISTER!N332)</f>
        <v/>
      </c>
    </row>
    <row r="336" spans="1:10" x14ac:dyDescent="0.3">
      <c r="A336" s="15" t="str">
        <f>IF(MASTER_REGISTER!E333="","",MASTER_REGISTER!E333)</f>
        <v/>
      </c>
      <c r="B336" s="15" t="str">
        <f>IF($A336="","",MASTER_REGISTER!F333)</f>
        <v/>
      </c>
      <c r="C336" s="15" t="str">
        <f>IF($A336="","",MASTER_REGISTER!C333)</f>
        <v/>
      </c>
      <c r="D336" s="15" t="str">
        <f>IF($A336="","",MASTER_REGISTER!H333)</f>
        <v/>
      </c>
      <c r="E336" s="15" t="str">
        <f>IF($A336="","",MASTER_REGISTER!G333)</f>
        <v/>
      </c>
      <c r="F336" s="15" t="str">
        <f>IF($A336="","",MASTER_REGISTER!I333)</f>
        <v/>
      </c>
      <c r="G336" s="16" t="str">
        <f>IF($A336="","",MASTER_REGISTER!J333)</f>
        <v/>
      </c>
      <c r="H336" s="16" t="str">
        <f>IF($A336="","",MASTER_REGISTER!L333)</f>
        <v/>
      </c>
      <c r="I336" s="16" t="str">
        <f>IF($A336="","",MASTER_REGISTER!M333)</f>
        <v/>
      </c>
      <c r="J336" s="15" t="str">
        <f>IF($A336="","",MASTER_REGISTER!N333)</f>
        <v/>
      </c>
    </row>
    <row r="337" spans="1:10" x14ac:dyDescent="0.3">
      <c r="A337" s="15" t="str">
        <f>IF(MASTER_REGISTER!E334="","",MASTER_REGISTER!E334)</f>
        <v/>
      </c>
      <c r="B337" s="15" t="str">
        <f>IF($A337="","",MASTER_REGISTER!F334)</f>
        <v/>
      </c>
      <c r="C337" s="15" t="str">
        <f>IF($A337="","",MASTER_REGISTER!C334)</f>
        <v/>
      </c>
      <c r="D337" s="15" t="str">
        <f>IF($A337="","",MASTER_REGISTER!H334)</f>
        <v/>
      </c>
      <c r="E337" s="15" t="str">
        <f>IF($A337="","",MASTER_REGISTER!G334)</f>
        <v/>
      </c>
      <c r="F337" s="15" t="str">
        <f>IF($A337="","",MASTER_REGISTER!I334)</f>
        <v/>
      </c>
      <c r="G337" s="16" t="str">
        <f>IF($A337="","",MASTER_REGISTER!J334)</f>
        <v/>
      </c>
      <c r="H337" s="16" t="str">
        <f>IF($A337="","",MASTER_REGISTER!L334)</f>
        <v/>
      </c>
      <c r="I337" s="16" t="str">
        <f>IF($A337="","",MASTER_REGISTER!M334)</f>
        <v/>
      </c>
      <c r="J337" s="15" t="str">
        <f>IF($A337="","",MASTER_REGISTER!N334)</f>
        <v/>
      </c>
    </row>
    <row r="338" spans="1:10" x14ac:dyDescent="0.3">
      <c r="A338" s="15" t="str">
        <f>IF(MASTER_REGISTER!E335="","",MASTER_REGISTER!E335)</f>
        <v/>
      </c>
      <c r="B338" s="15" t="str">
        <f>IF($A338="","",MASTER_REGISTER!F335)</f>
        <v/>
      </c>
      <c r="C338" s="15" t="str">
        <f>IF($A338="","",MASTER_REGISTER!C335)</f>
        <v/>
      </c>
      <c r="D338" s="15" t="str">
        <f>IF($A338="","",MASTER_REGISTER!H335)</f>
        <v/>
      </c>
      <c r="E338" s="15" t="str">
        <f>IF($A338="","",MASTER_REGISTER!G335)</f>
        <v/>
      </c>
      <c r="F338" s="15" t="str">
        <f>IF($A338="","",MASTER_REGISTER!I335)</f>
        <v/>
      </c>
      <c r="G338" s="16" t="str">
        <f>IF($A338="","",MASTER_REGISTER!J335)</f>
        <v/>
      </c>
      <c r="H338" s="16" t="str">
        <f>IF($A338="","",MASTER_REGISTER!L335)</f>
        <v/>
      </c>
      <c r="I338" s="16" t="str">
        <f>IF($A338="","",MASTER_REGISTER!M335)</f>
        <v/>
      </c>
      <c r="J338" s="15" t="str">
        <f>IF($A338="","",MASTER_REGISTER!N335)</f>
        <v/>
      </c>
    </row>
    <row r="339" spans="1:10" x14ac:dyDescent="0.3">
      <c r="A339" s="15" t="str">
        <f>IF(MASTER_REGISTER!E336="","",MASTER_REGISTER!E336)</f>
        <v/>
      </c>
      <c r="B339" s="15" t="str">
        <f>IF($A339="","",MASTER_REGISTER!F336)</f>
        <v/>
      </c>
      <c r="C339" s="15" t="str">
        <f>IF($A339="","",MASTER_REGISTER!C336)</f>
        <v/>
      </c>
      <c r="D339" s="15" t="str">
        <f>IF($A339="","",MASTER_REGISTER!H336)</f>
        <v/>
      </c>
      <c r="E339" s="15" t="str">
        <f>IF($A339="","",MASTER_REGISTER!G336)</f>
        <v/>
      </c>
      <c r="F339" s="15" t="str">
        <f>IF($A339="","",MASTER_REGISTER!I336)</f>
        <v/>
      </c>
      <c r="G339" s="16" t="str">
        <f>IF($A339="","",MASTER_REGISTER!J336)</f>
        <v/>
      </c>
      <c r="H339" s="16" t="str">
        <f>IF($A339="","",MASTER_REGISTER!L336)</f>
        <v/>
      </c>
      <c r="I339" s="16" t="str">
        <f>IF($A339="","",MASTER_REGISTER!M336)</f>
        <v/>
      </c>
      <c r="J339" s="15" t="str">
        <f>IF($A339="","",MASTER_REGISTER!N336)</f>
        <v/>
      </c>
    </row>
    <row r="340" spans="1:10" x14ac:dyDescent="0.3">
      <c r="A340" s="15" t="str">
        <f>IF(MASTER_REGISTER!E337="","",MASTER_REGISTER!E337)</f>
        <v/>
      </c>
      <c r="B340" s="15" t="str">
        <f>IF($A340="","",MASTER_REGISTER!F337)</f>
        <v/>
      </c>
      <c r="C340" s="15" t="str">
        <f>IF($A340="","",MASTER_REGISTER!C337)</f>
        <v/>
      </c>
      <c r="D340" s="15" t="str">
        <f>IF($A340="","",MASTER_REGISTER!H337)</f>
        <v/>
      </c>
      <c r="E340" s="15" t="str">
        <f>IF($A340="","",MASTER_REGISTER!G337)</f>
        <v/>
      </c>
      <c r="F340" s="15" t="str">
        <f>IF($A340="","",MASTER_REGISTER!I337)</f>
        <v/>
      </c>
      <c r="G340" s="16" t="str">
        <f>IF($A340="","",MASTER_REGISTER!J337)</f>
        <v/>
      </c>
      <c r="H340" s="16" t="str">
        <f>IF($A340="","",MASTER_REGISTER!L337)</f>
        <v/>
      </c>
      <c r="I340" s="16" t="str">
        <f>IF($A340="","",MASTER_REGISTER!M337)</f>
        <v/>
      </c>
      <c r="J340" s="15" t="str">
        <f>IF($A340="","",MASTER_REGISTER!N337)</f>
        <v/>
      </c>
    </row>
    <row r="341" spans="1:10" x14ac:dyDescent="0.3">
      <c r="A341" s="15" t="str">
        <f>IF(MASTER_REGISTER!E338="","",MASTER_REGISTER!E338)</f>
        <v/>
      </c>
      <c r="B341" s="15" t="str">
        <f>IF($A341="","",MASTER_REGISTER!F338)</f>
        <v/>
      </c>
      <c r="C341" s="15" t="str">
        <f>IF($A341="","",MASTER_REGISTER!C338)</f>
        <v/>
      </c>
      <c r="D341" s="15" t="str">
        <f>IF($A341="","",MASTER_REGISTER!H338)</f>
        <v/>
      </c>
      <c r="E341" s="15" t="str">
        <f>IF($A341="","",MASTER_REGISTER!G338)</f>
        <v/>
      </c>
      <c r="F341" s="15" t="str">
        <f>IF($A341="","",MASTER_REGISTER!I338)</f>
        <v/>
      </c>
      <c r="G341" s="16" t="str">
        <f>IF($A341="","",MASTER_REGISTER!J338)</f>
        <v/>
      </c>
      <c r="H341" s="16" t="str">
        <f>IF($A341="","",MASTER_REGISTER!L338)</f>
        <v/>
      </c>
      <c r="I341" s="16" t="str">
        <f>IF($A341="","",MASTER_REGISTER!M338)</f>
        <v/>
      </c>
      <c r="J341" s="15" t="str">
        <f>IF($A341="","",MASTER_REGISTER!N338)</f>
        <v/>
      </c>
    </row>
    <row r="342" spans="1:10" x14ac:dyDescent="0.3">
      <c r="A342" s="15" t="str">
        <f>IF(MASTER_REGISTER!E339="","",MASTER_REGISTER!E339)</f>
        <v/>
      </c>
      <c r="B342" s="15" t="str">
        <f>IF($A342="","",MASTER_REGISTER!F339)</f>
        <v/>
      </c>
      <c r="C342" s="15" t="str">
        <f>IF($A342="","",MASTER_REGISTER!C339)</f>
        <v/>
      </c>
      <c r="D342" s="15" t="str">
        <f>IF($A342="","",MASTER_REGISTER!H339)</f>
        <v/>
      </c>
      <c r="E342" s="15" t="str">
        <f>IF($A342="","",MASTER_REGISTER!G339)</f>
        <v/>
      </c>
      <c r="F342" s="15" t="str">
        <f>IF($A342="","",MASTER_REGISTER!I339)</f>
        <v/>
      </c>
      <c r="G342" s="16" t="str">
        <f>IF($A342="","",MASTER_REGISTER!J339)</f>
        <v/>
      </c>
      <c r="H342" s="16" t="str">
        <f>IF($A342="","",MASTER_REGISTER!L339)</f>
        <v/>
      </c>
      <c r="I342" s="16" t="str">
        <f>IF($A342="","",MASTER_REGISTER!M339)</f>
        <v/>
      </c>
      <c r="J342" s="15" t="str">
        <f>IF($A342="","",MASTER_REGISTER!N339)</f>
        <v/>
      </c>
    </row>
    <row r="343" spans="1:10" x14ac:dyDescent="0.3">
      <c r="A343" s="15" t="str">
        <f>IF(MASTER_REGISTER!E340="","",MASTER_REGISTER!E340)</f>
        <v/>
      </c>
      <c r="B343" s="15" t="str">
        <f>IF($A343="","",MASTER_REGISTER!F340)</f>
        <v/>
      </c>
      <c r="C343" s="15" t="str">
        <f>IF($A343="","",MASTER_REGISTER!C340)</f>
        <v/>
      </c>
      <c r="D343" s="15" t="str">
        <f>IF($A343="","",MASTER_REGISTER!H340)</f>
        <v/>
      </c>
      <c r="E343" s="15" t="str">
        <f>IF($A343="","",MASTER_REGISTER!G340)</f>
        <v/>
      </c>
      <c r="F343" s="15" t="str">
        <f>IF($A343="","",MASTER_REGISTER!I340)</f>
        <v/>
      </c>
      <c r="G343" s="16" t="str">
        <f>IF($A343="","",MASTER_REGISTER!J340)</f>
        <v/>
      </c>
      <c r="H343" s="16" t="str">
        <f>IF($A343="","",MASTER_REGISTER!L340)</f>
        <v/>
      </c>
      <c r="I343" s="16" t="str">
        <f>IF($A343="","",MASTER_REGISTER!M340)</f>
        <v/>
      </c>
      <c r="J343" s="15" t="str">
        <f>IF($A343="","",MASTER_REGISTER!N340)</f>
        <v/>
      </c>
    </row>
    <row r="344" spans="1:10" x14ac:dyDescent="0.3">
      <c r="A344" s="15" t="str">
        <f>IF(MASTER_REGISTER!E341="","",MASTER_REGISTER!E341)</f>
        <v/>
      </c>
      <c r="B344" s="15" t="str">
        <f>IF($A344="","",MASTER_REGISTER!F341)</f>
        <v/>
      </c>
      <c r="C344" s="15" t="str">
        <f>IF($A344="","",MASTER_REGISTER!C341)</f>
        <v/>
      </c>
      <c r="D344" s="15" t="str">
        <f>IF($A344="","",MASTER_REGISTER!H341)</f>
        <v/>
      </c>
      <c r="E344" s="15" t="str">
        <f>IF($A344="","",MASTER_REGISTER!G341)</f>
        <v/>
      </c>
      <c r="F344" s="15" t="str">
        <f>IF($A344="","",MASTER_REGISTER!I341)</f>
        <v/>
      </c>
      <c r="G344" s="16" t="str">
        <f>IF($A344="","",MASTER_REGISTER!J341)</f>
        <v/>
      </c>
      <c r="H344" s="16" t="str">
        <f>IF($A344="","",MASTER_REGISTER!L341)</f>
        <v/>
      </c>
      <c r="I344" s="16" t="str">
        <f>IF($A344="","",MASTER_REGISTER!M341)</f>
        <v/>
      </c>
      <c r="J344" s="15" t="str">
        <f>IF($A344="","",MASTER_REGISTER!N341)</f>
        <v/>
      </c>
    </row>
    <row r="345" spans="1:10" x14ac:dyDescent="0.3">
      <c r="A345" s="15" t="str">
        <f>IF(MASTER_REGISTER!E342="","",MASTER_REGISTER!E342)</f>
        <v/>
      </c>
      <c r="B345" s="15" t="str">
        <f>IF($A345="","",MASTER_REGISTER!F342)</f>
        <v/>
      </c>
      <c r="C345" s="15" t="str">
        <f>IF($A345="","",MASTER_REGISTER!C342)</f>
        <v/>
      </c>
      <c r="D345" s="15" t="str">
        <f>IF($A345="","",MASTER_REGISTER!H342)</f>
        <v/>
      </c>
      <c r="E345" s="15" t="str">
        <f>IF($A345="","",MASTER_REGISTER!G342)</f>
        <v/>
      </c>
      <c r="F345" s="15" t="str">
        <f>IF($A345="","",MASTER_REGISTER!I342)</f>
        <v/>
      </c>
      <c r="G345" s="16" t="str">
        <f>IF($A345="","",MASTER_REGISTER!J342)</f>
        <v/>
      </c>
      <c r="H345" s="16" t="str">
        <f>IF($A345="","",MASTER_REGISTER!L342)</f>
        <v/>
      </c>
      <c r="I345" s="16" t="str">
        <f>IF($A345="","",MASTER_REGISTER!M342)</f>
        <v/>
      </c>
      <c r="J345" s="15" t="str">
        <f>IF($A345="","",MASTER_REGISTER!N342)</f>
        <v/>
      </c>
    </row>
    <row r="346" spans="1:10" x14ac:dyDescent="0.3">
      <c r="A346" s="15" t="str">
        <f>IF(MASTER_REGISTER!E343="","",MASTER_REGISTER!E343)</f>
        <v/>
      </c>
      <c r="B346" s="15" t="str">
        <f>IF($A346="","",MASTER_REGISTER!F343)</f>
        <v/>
      </c>
      <c r="C346" s="15" t="str">
        <f>IF($A346="","",MASTER_REGISTER!C343)</f>
        <v/>
      </c>
      <c r="D346" s="15" t="str">
        <f>IF($A346="","",MASTER_REGISTER!H343)</f>
        <v/>
      </c>
      <c r="E346" s="15" t="str">
        <f>IF($A346="","",MASTER_REGISTER!G343)</f>
        <v/>
      </c>
      <c r="F346" s="15" t="str">
        <f>IF($A346="","",MASTER_REGISTER!I343)</f>
        <v/>
      </c>
      <c r="G346" s="16" t="str">
        <f>IF($A346="","",MASTER_REGISTER!J343)</f>
        <v/>
      </c>
      <c r="H346" s="16" t="str">
        <f>IF($A346="","",MASTER_REGISTER!L343)</f>
        <v/>
      </c>
      <c r="I346" s="16" t="str">
        <f>IF($A346="","",MASTER_REGISTER!M343)</f>
        <v/>
      </c>
      <c r="J346" s="15" t="str">
        <f>IF($A346="","",MASTER_REGISTER!N343)</f>
        <v/>
      </c>
    </row>
    <row r="347" spans="1:10" x14ac:dyDescent="0.3">
      <c r="A347" s="15" t="str">
        <f>IF(MASTER_REGISTER!E344="","",MASTER_REGISTER!E344)</f>
        <v/>
      </c>
      <c r="B347" s="15" t="str">
        <f>IF($A347="","",MASTER_REGISTER!F344)</f>
        <v/>
      </c>
      <c r="C347" s="15" t="str">
        <f>IF($A347="","",MASTER_REGISTER!C344)</f>
        <v/>
      </c>
      <c r="D347" s="15" t="str">
        <f>IF($A347="","",MASTER_REGISTER!H344)</f>
        <v/>
      </c>
      <c r="E347" s="15" t="str">
        <f>IF($A347="","",MASTER_REGISTER!G344)</f>
        <v/>
      </c>
      <c r="F347" s="15" t="str">
        <f>IF($A347="","",MASTER_REGISTER!I344)</f>
        <v/>
      </c>
      <c r="G347" s="16" t="str">
        <f>IF($A347="","",MASTER_REGISTER!J344)</f>
        <v/>
      </c>
      <c r="H347" s="16" t="str">
        <f>IF($A347="","",MASTER_REGISTER!L344)</f>
        <v/>
      </c>
      <c r="I347" s="16" t="str">
        <f>IF($A347="","",MASTER_REGISTER!M344)</f>
        <v/>
      </c>
      <c r="J347" s="15" t="str">
        <f>IF($A347="","",MASTER_REGISTER!N344)</f>
        <v/>
      </c>
    </row>
    <row r="348" spans="1:10" x14ac:dyDescent="0.3">
      <c r="A348" s="15" t="str">
        <f>IF(MASTER_REGISTER!E345="","",MASTER_REGISTER!E345)</f>
        <v/>
      </c>
      <c r="B348" s="15" t="str">
        <f>IF($A348="","",MASTER_REGISTER!F345)</f>
        <v/>
      </c>
      <c r="C348" s="15" t="str">
        <f>IF($A348="","",MASTER_REGISTER!C345)</f>
        <v/>
      </c>
      <c r="D348" s="15" t="str">
        <f>IF($A348="","",MASTER_REGISTER!H345)</f>
        <v/>
      </c>
      <c r="E348" s="15" t="str">
        <f>IF($A348="","",MASTER_REGISTER!G345)</f>
        <v/>
      </c>
      <c r="F348" s="15" t="str">
        <f>IF($A348="","",MASTER_REGISTER!I345)</f>
        <v/>
      </c>
      <c r="G348" s="16" t="str">
        <f>IF($A348="","",MASTER_REGISTER!J345)</f>
        <v/>
      </c>
      <c r="H348" s="16" t="str">
        <f>IF($A348="","",MASTER_REGISTER!L345)</f>
        <v/>
      </c>
      <c r="I348" s="16" t="str">
        <f>IF($A348="","",MASTER_REGISTER!M345)</f>
        <v/>
      </c>
      <c r="J348" s="15" t="str">
        <f>IF($A348="","",MASTER_REGISTER!N345)</f>
        <v/>
      </c>
    </row>
    <row r="349" spans="1:10" x14ac:dyDescent="0.3">
      <c r="A349" s="15" t="str">
        <f>IF(MASTER_REGISTER!E346="","",MASTER_REGISTER!E346)</f>
        <v/>
      </c>
      <c r="B349" s="15" t="str">
        <f>IF($A349="","",MASTER_REGISTER!F346)</f>
        <v/>
      </c>
      <c r="C349" s="15" t="str">
        <f>IF($A349="","",MASTER_REGISTER!C346)</f>
        <v/>
      </c>
      <c r="D349" s="15" t="str">
        <f>IF($A349="","",MASTER_REGISTER!H346)</f>
        <v/>
      </c>
      <c r="E349" s="15" t="str">
        <f>IF($A349="","",MASTER_REGISTER!G346)</f>
        <v/>
      </c>
      <c r="F349" s="15" t="str">
        <f>IF($A349="","",MASTER_REGISTER!I346)</f>
        <v/>
      </c>
      <c r="G349" s="16" t="str">
        <f>IF($A349="","",MASTER_REGISTER!J346)</f>
        <v/>
      </c>
      <c r="H349" s="16" t="str">
        <f>IF($A349="","",MASTER_REGISTER!L346)</f>
        <v/>
      </c>
      <c r="I349" s="16" t="str">
        <f>IF($A349="","",MASTER_REGISTER!M346)</f>
        <v/>
      </c>
      <c r="J349" s="15" t="str">
        <f>IF($A349="","",MASTER_REGISTER!N346)</f>
        <v/>
      </c>
    </row>
    <row r="350" spans="1:10" x14ac:dyDescent="0.3">
      <c r="A350" s="15" t="str">
        <f>IF(MASTER_REGISTER!E347="","",MASTER_REGISTER!E347)</f>
        <v/>
      </c>
      <c r="B350" s="15" t="str">
        <f>IF($A350="","",MASTER_REGISTER!F347)</f>
        <v/>
      </c>
      <c r="C350" s="15" t="str">
        <f>IF($A350="","",MASTER_REGISTER!C347)</f>
        <v/>
      </c>
      <c r="D350" s="15" t="str">
        <f>IF($A350="","",MASTER_REGISTER!H347)</f>
        <v/>
      </c>
      <c r="E350" s="15" t="str">
        <f>IF($A350="","",MASTER_REGISTER!G347)</f>
        <v/>
      </c>
      <c r="F350" s="15" t="str">
        <f>IF($A350="","",MASTER_REGISTER!I347)</f>
        <v/>
      </c>
      <c r="G350" s="16" t="str">
        <f>IF($A350="","",MASTER_REGISTER!J347)</f>
        <v/>
      </c>
      <c r="H350" s="16" t="str">
        <f>IF($A350="","",MASTER_REGISTER!L347)</f>
        <v/>
      </c>
      <c r="I350" s="16" t="str">
        <f>IF($A350="","",MASTER_REGISTER!M347)</f>
        <v/>
      </c>
      <c r="J350" s="15" t="str">
        <f>IF($A350="","",MASTER_REGISTER!N347)</f>
        <v/>
      </c>
    </row>
    <row r="351" spans="1:10" x14ac:dyDescent="0.3">
      <c r="A351" s="15" t="str">
        <f>IF(MASTER_REGISTER!E348="","",MASTER_REGISTER!E348)</f>
        <v/>
      </c>
      <c r="B351" s="15" t="str">
        <f>IF($A351="","",MASTER_REGISTER!F348)</f>
        <v/>
      </c>
      <c r="C351" s="15" t="str">
        <f>IF($A351="","",MASTER_REGISTER!C348)</f>
        <v/>
      </c>
      <c r="D351" s="15" t="str">
        <f>IF($A351="","",MASTER_REGISTER!H348)</f>
        <v/>
      </c>
      <c r="E351" s="15" t="str">
        <f>IF($A351="","",MASTER_REGISTER!G348)</f>
        <v/>
      </c>
      <c r="F351" s="15" t="str">
        <f>IF($A351="","",MASTER_REGISTER!I348)</f>
        <v/>
      </c>
      <c r="G351" s="16" t="str">
        <f>IF($A351="","",MASTER_REGISTER!J348)</f>
        <v/>
      </c>
      <c r="H351" s="16" t="str">
        <f>IF($A351="","",MASTER_REGISTER!L348)</f>
        <v/>
      </c>
      <c r="I351" s="16" t="str">
        <f>IF($A351="","",MASTER_REGISTER!M348)</f>
        <v/>
      </c>
      <c r="J351" s="15" t="str">
        <f>IF($A351="","",MASTER_REGISTER!N348)</f>
        <v/>
      </c>
    </row>
    <row r="352" spans="1:10" x14ac:dyDescent="0.3">
      <c r="A352" s="15" t="str">
        <f>IF(MASTER_REGISTER!E349="","",MASTER_REGISTER!E349)</f>
        <v/>
      </c>
      <c r="B352" s="15" t="str">
        <f>IF($A352="","",MASTER_REGISTER!F349)</f>
        <v/>
      </c>
      <c r="C352" s="15" t="str">
        <f>IF($A352="","",MASTER_REGISTER!C349)</f>
        <v/>
      </c>
      <c r="D352" s="15" t="str">
        <f>IF($A352="","",MASTER_REGISTER!H349)</f>
        <v/>
      </c>
      <c r="E352" s="15" t="str">
        <f>IF($A352="","",MASTER_REGISTER!G349)</f>
        <v/>
      </c>
      <c r="F352" s="15" t="str">
        <f>IF($A352="","",MASTER_REGISTER!I349)</f>
        <v/>
      </c>
      <c r="G352" s="16" t="str">
        <f>IF($A352="","",MASTER_REGISTER!J349)</f>
        <v/>
      </c>
      <c r="H352" s="16" t="str">
        <f>IF($A352="","",MASTER_REGISTER!L349)</f>
        <v/>
      </c>
      <c r="I352" s="16" t="str">
        <f>IF($A352="","",MASTER_REGISTER!M349)</f>
        <v/>
      </c>
      <c r="J352" s="15" t="str">
        <f>IF($A352="","",MASTER_REGISTER!N349)</f>
        <v/>
      </c>
    </row>
    <row r="353" spans="1:10" x14ac:dyDescent="0.3">
      <c r="A353" s="15" t="str">
        <f>IF(MASTER_REGISTER!E350="","",MASTER_REGISTER!E350)</f>
        <v/>
      </c>
      <c r="B353" s="15" t="str">
        <f>IF($A353="","",MASTER_REGISTER!F350)</f>
        <v/>
      </c>
      <c r="C353" s="15" t="str">
        <f>IF($A353="","",MASTER_REGISTER!C350)</f>
        <v/>
      </c>
      <c r="D353" s="15" t="str">
        <f>IF($A353="","",MASTER_REGISTER!H350)</f>
        <v/>
      </c>
      <c r="E353" s="15" t="str">
        <f>IF($A353="","",MASTER_REGISTER!G350)</f>
        <v/>
      </c>
      <c r="F353" s="15" t="str">
        <f>IF($A353="","",MASTER_REGISTER!I350)</f>
        <v/>
      </c>
      <c r="G353" s="16" t="str">
        <f>IF($A353="","",MASTER_REGISTER!J350)</f>
        <v/>
      </c>
      <c r="H353" s="16" t="str">
        <f>IF($A353="","",MASTER_REGISTER!L350)</f>
        <v/>
      </c>
      <c r="I353" s="16" t="str">
        <f>IF($A353="","",MASTER_REGISTER!M350)</f>
        <v/>
      </c>
      <c r="J353" s="15" t="str">
        <f>IF($A353="","",MASTER_REGISTER!N350)</f>
        <v/>
      </c>
    </row>
    <row r="354" spans="1:10" x14ac:dyDescent="0.3">
      <c r="A354" s="15" t="str">
        <f>IF(MASTER_REGISTER!E351="","",MASTER_REGISTER!E351)</f>
        <v/>
      </c>
      <c r="B354" s="15" t="str">
        <f>IF($A354="","",MASTER_REGISTER!F351)</f>
        <v/>
      </c>
      <c r="C354" s="15" t="str">
        <f>IF($A354="","",MASTER_REGISTER!C351)</f>
        <v/>
      </c>
      <c r="D354" s="15" t="str">
        <f>IF($A354="","",MASTER_REGISTER!H351)</f>
        <v/>
      </c>
      <c r="E354" s="15" t="str">
        <f>IF($A354="","",MASTER_REGISTER!G351)</f>
        <v/>
      </c>
      <c r="F354" s="15" t="str">
        <f>IF($A354="","",MASTER_REGISTER!I351)</f>
        <v/>
      </c>
      <c r="G354" s="16" t="str">
        <f>IF($A354="","",MASTER_REGISTER!J351)</f>
        <v/>
      </c>
      <c r="H354" s="16" t="str">
        <f>IF($A354="","",MASTER_REGISTER!L351)</f>
        <v/>
      </c>
      <c r="I354" s="16" t="str">
        <f>IF($A354="","",MASTER_REGISTER!M351)</f>
        <v/>
      </c>
      <c r="J354" s="15" t="str">
        <f>IF($A354="","",MASTER_REGISTER!N351)</f>
        <v/>
      </c>
    </row>
    <row r="355" spans="1:10" x14ac:dyDescent="0.3">
      <c r="A355" s="15" t="str">
        <f>IF(MASTER_REGISTER!E352="","",MASTER_REGISTER!E352)</f>
        <v/>
      </c>
      <c r="B355" s="15" t="str">
        <f>IF($A355="","",MASTER_REGISTER!F352)</f>
        <v/>
      </c>
      <c r="C355" s="15" t="str">
        <f>IF($A355="","",MASTER_REGISTER!C352)</f>
        <v/>
      </c>
      <c r="D355" s="15" t="str">
        <f>IF($A355="","",MASTER_REGISTER!H352)</f>
        <v/>
      </c>
      <c r="E355" s="15" t="str">
        <f>IF($A355="","",MASTER_REGISTER!G352)</f>
        <v/>
      </c>
      <c r="F355" s="15" t="str">
        <f>IF($A355="","",MASTER_REGISTER!I352)</f>
        <v/>
      </c>
      <c r="G355" s="16" t="str">
        <f>IF($A355="","",MASTER_REGISTER!J352)</f>
        <v/>
      </c>
      <c r="H355" s="16" t="str">
        <f>IF($A355="","",MASTER_REGISTER!L352)</f>
        <v/>
      </c>
      <c r="I355" s="16" t="str">
        <f>IF($A355="","",MASTER_REGISTER!M352)</f>
        <v/>
      </c>
      <c r="J355" s="15" t="str">
        <f>IF($A355="","",MASTER_REGISTER!N352)</f>
        <v/>
      </c>
    </row>
    <row r="356" spans="1:10" x14ac:dyDescent="0.3">
      <c r="A356" s="15" t="str">
        <f>IF(MASTER_REGISTER!E353="","",MASTER_REGISTER!E353)</f>
        <v/>
      </c>
      <c r="B356" s="15" t="str">
        <f>IF($A356="","",MASTER_REGISTER!F353)</f>
        <v/>
      </c>
      <c r="C356" s="15" t="str">
        <f>IF($A356="","",MASTER_REGISTER!C353)</f>
        <v/>
      </c>
      <c r="D356" s="15" t="str">
        <f>IF($A356="","",MASTER_REGISTER!H353)</f>
        <v/>
      </c>
      <c r="E356" s="15" t="str">
        <f>IF($A356="","",MASTER_REGISTER!G353)</f>
        <v/>
      </c>
      <c r="F356" s="15" t="str">
        <f>IF($A356="","",MASTER_REGISTER!I353)</f>
        <v/>
      </c>
      <c r="G356" s="16" t="str">
        <f>IF($A356="","",MASTER_REGISTER!J353)</f>
        <v/>
      </c>
      <c r="H356" s="16" t="str">
        <f>IF($A356="","",MASTER_REGISTER!L353)</f>
        <v/>
      </c>
      <c r="I356" s="16" t="str">
        <f>IF($A356="","",MASTER_REGISTER!M353)</f>
        <v/>
      </c>
      <c r="J356" s="15" t="str">
        <f>IF($A356="","",MASTER_REGISTER!N353)</f>
        <v/>
      </c>
    </row>
    <row r="357" spans="1:10" x14ac:dyDescent="0.3">
      <c r="A357" s="15" t="str">
        <f>IF(MASTER_REGISTER!E354="","",MASTER_REGISTER!E354)</f>
        <v/>
      </c>
      <c r="B357" s="15" t="str">
        <f>IF($A357="","",MASTER_REGISTER!F354)</f>
        <v/>
      </c>
      <c r="C357" s="15" t="str">
        <f>IF($A357="","",MASTER_REGISTER!C354)</f>
        <v/>
      </c>
      <c r="D357" s="15" t="str">
        <f>IF($A357="","",MASTER_REGISTER!H354)</f>
        <v/>
      </c>
      <c r="E357" s="15" t="str">
        <f>IF($A357="","",MASTER_REGISTER!G354)</f>
        <v/>
      </c>
      <c r="F357" s="15" t="str">
        <f>IF($A357="","",MASTER_REGISTER!I354)</f>
        <v/>
      </c>
      <c r="G357" s="16" t="str">
        <f>IF($A357="","",MASTER_REGISTER!J354)</f>
        <v/>
      </c>
      <c r="H357" s="16" t="str">
        <f>IF($A357="","",MASTER_REGISTER!L354)</f>
        <v/>
      </c>
      <c r="I357" s="16" t="str">
        <f>IF($A357="","",MASTER_REGISTER!M354)</f>
        <v/>
      </c>
      <c r="J357" s="15" t="str">
        <f>IF($A357="","",MASTER_REGISTER!N354)</f>
        <v/>
      </c>
    </row>
    <row r="358" spans="1:10" x14ac:dyDescent="0.3">
      <c r="A358" s="15" t="str">
        <f>IF(MASTER_REGISTER!E355="","",MASTER_REGISTER!E355)</f>
        <v/>
      </c>
      <c r="B358" s="15" t="str">
        <f>IF($A358="","",MASTER_REGISTER!F355)</f>
        <v/>
      </c>
      <c r="C358" s="15" t="str">
        <f>IF($A358="","",MASTER_REGISTER!C355)</f>
        <v/>
      </c>
      <c r="D358" s="15" t="str">
        <f>IF($A358="","",MASTER_REGISTER!H355)</f>
        <v/>
      </c>
      <c r="E358" s="15" t="str">
        <f>IF($A358="","",MASTER_REGISTER!G355)</f>
        <v/>
      </c>
      <c r="F358" s="15" t="str">
        <f>IF($A358="","",MASTER_REGISTER!I355)</f>
        <v/>
      </c>
      <c r="G358" s="16" t="str">
        <f>IF($A358="","",MASTER_REGISTER!J355)</f>
        <v/>
      </c>
      <c r="H358" s="16" t="str">
        <f>IF($A358="","",MASTER_REGISTER!L355)</f>
        <v/>
      </c>
      <c r="I358" s="16" t="str">
        <f>IF($A358="","",MASTER_REGISTER!M355)</f>
        <v/>
      </c>
      <c r="J358" s="15" t="str">
        <f>IF($A358="","",MASTER_REGISTER!N355)</f>
        <v/>
      </c>
    </row>
    <row r="359" spans="1:10" x14ac:dyDescent="0.3">
      <c r="A359" s="15" t="str">
        <f>IF(MASTER_REGISTER!E356="","",MASTER_REGISTER!E356)</f>
        <v/>
      </c>
      <c r="B359" s="15" t="str">
        <f>IF($A359="","",MASTER_REGISTER!F356)</f>
        <v/>
      </c>
      <c r="C359" s="15" t="str">
        <f>IF($A359="","",MASTER_REGISTER!C356)</f>
        <v/>
      </c>
      <c r="D359" s="15" t="str">
        <f>IF($A359="","",MASTER_REGISTER!H356)</f>
        <v/>
      </c>
      <c r="E359" s="15" t="str">
        <f>IF($A359="","",MASTER_REGISTER!G356)</f>
        <v/>
      </c>
      <c r="F359" s="15" t="str">
        <f>IF($A359="","",MASTER_REGISTER!I356)</f>
        <v/>
      </c>
      <c r="G359" s="16" t="str">
        <f>IF($A359="","",MASTER_REGISTER!J356)</f>
        <v/>
      </c>
      <c r="H359" s="16" t="str">
        <f>IF($A359="","",MASTER_REGISTER!L356)</f>
        <v/>
      </c>
      <c r="I359" s="16" t="str">
        <f>IF($A359="","",MASTER_REGISTER!M356)</f>
        <v/>
      </c>
      <c r="J359" s="15" t="str">
        <f>IF($A359="","",MASTER_REGISTER!N356)</f>
        <v/>
      </c>
    </row>
    <row r="360" spans="1:10" x14ac:dyDescent="0.3">
      <c r="A360" s="15" t="str">
        <f>IF(MASTER_REGISTER!E357="","",MASTER_REGISTER!E357)</f>
        <v/>
      </c>
      <c r="B360" s="15" t="str">
        <f>IF($A360="","",MASTER_REGISTER!F357)</f>
        <v/>
      </c>
      <c r="C360" s="15" t="str">
        <f>IF($A360="","",MASTER_REGISTER!C357)</f>
        <v/>
      </c>
      <c r="D360" s="15" t="str">
        <f>IF($A360="","",MASTER_REGISTER!H357)</f>
        <v/>
      </c>
      <c r="E360" s="15" t="str">
        <f>IF($A360="","",MASTER_REGISTER!G357)</f>
        <v/>
      </c>
      <c r="F360" s="15" t="str">
        <f>IF($A360="","",MASTER_REGISTER!I357)</f>
        <v/>
      </c>
      <c r="G360" s="16" t="str">
        <f>IF($A360="","",MASTER_REGISTER!J357)</f>
        <v/>
      </c>
      <c r="H360" s="16" t="str">
        <f>IF($A360="","",MASTER_REGISTER!L357)</f>
        <v/>
      </c>
      <c r="I360" s="16" t="str">
        <f>IF($A360="","",MASTER_REGISTER!M357)</f>
        <v/>
      </c>
      <c r="J360" s="15" t="str">
        <f>IF($A360="","",MASTER_REGISTER!N357)</f>
        <v/>
      </c>
    </row>
    <row r="361" spans="1:10" x14ac:dyDescent="0.3">
      <c r="A361" s="15" t="str">
        <f>IF(MASTER_REGISTER!E358="","",MASTER_REGISTER!E358)</f>
        <v/>
      </c>
      <c r="B361" s="15" t="str">
        <f>IF($A361="","",MASTER_REGISTER!F358)</f>
        <v/>
      </c>
      <c r="C361" s="15" t="str">
        <f>IF($A361="","",MASTER_REGISTER!C358)</f>
        <v/>
      </c>
      <c r="D361" s="15" t="str">
        <f>IF($A361="","",MASTER_REGISTER!H358)</f>
        <v/>
      </c>
      <c r="E361" s="15" t="str">
        <f>IF($A361="","",MASTER_REGISTER!G358)</f>
        <v/>
      </c>
      <c r="F361" s="15" t="str">
        <f>IF($A361="","",MASTER_REGISTER!I358)</f>
        <v/>
      </c>
      <c r="G361" s="16" t="str">
        <f>IF($A361="","",MASTER_REGISTER!J358)</f>
        <v/>
      </c>
      <c r="H361" s="16" t="str">
        <f>IF($A361="","",MASTER_REGISTER!L358)</f>
        <v/>
      </c>
      <c r="I361" s="16" t="str">
        <f>IF($A361="","",MASTER_REGISTER!M358)</f>
        <v/>
      </c>
      <c r="J361" s="15" t="str">
        <f>IF($A361="","",MASTER_REGISTER!N358)</f>
        <v/>
      </c>
    </row>
    <row r="362" spans="1:10" x14ac:dyDescent="0.3">
      <c r="A362" s="15" t="str">
        <f>IF(MASTER_REGISTER!E359="","",MASTER_REGISTER!E359)</f>
        <v/>
      </c>
      <c r="B362" s="15" t="str">
        <f>IF($A362="","",MASTER_REGISTER!F359)</f>
        <v/>
      </c>
      <c r="C362" s="15" t="str">
        <f>IF($A362="","",MASTER_REGISTER!C359)</f>
        <v/>
      </c>
      <c r="D362" s="15" t="str">
        <f>IF($A362="","",MASTER_REGISTER!H359)</f>
        <v/>
      </c>
      <c r="E362" s="15" t="str">
        <f>IF($A362="","",MASTER_REGISTER!G359)</f>
        <v/>
      </c>
      <c r="F362" s="15" t="str">
        <f>IF($A362="","",MASTER_REGISTER!I359)</f>
        <v/>
      </c>
      <c r="G362" s="16" t="str">
        <f>IF($A362="","",MASTER_REGISTER!J359)</f>
        <v/>
      </c>
      <c r="H362" s="16" t="str">
        <f>IF($A362="","",MASTER_REGISTER!L359)</f>
        <v/>
      </c>
      <c r="I362" s="16" t="str">
        <f>IF($A362="","",MASTER_REGISTER!M359)</f>
        <v/>
      </c>
      <c r="J362" s="15" t="str">
        <f>IF($A362="","",MASTER_REGISTER!N359)</f>
        <v/>
      </c>
    </row>
    <row r="363" spans="1:10" x14ac:dyDescent="0.3">
      <c r="A363" s="15" t="str">
        <f>IF(MASTER_REGISTER!E360="","",MASTER_REGISTER!E360)</f>
        <v/>
      </c>
      <c r="B363" s="15" t="str">
        <f>IF($A363="","",MASTER_REGISTER!F360)</f>
        <v/>
      </c>
      <c r="C363" s="15" t="str">
        <f>IF($A363="","",MASTER_REGISTER!C360)</f>
        <v/>
      </c>
      <c r="D363" s="15" t="str">
        <f>IF($A363="","",MASTER_REGISTER!H360)</f>
        <v/>
      </c>
      <c r="E363" s="15" t="str">
        <f>IF($A363="","",MASTER_REGISTER!G360)</f>
        <v/>
      </c>
      <c r="F363" s="15" t="str">
        <f>IF($A363="","",MASTER_REGISTER!I360)</f>
        <v/>
      </c>
      <c r="G363" s="16" t="str">
        <f>IF($A363="","",MASTER_REGISTER!J360)</f>
        <v/>
      </c>
      <c r="H363" s="16" t="str">
        <f>IF($A363="","",MASTER_REGISTER!L360)</f>
        <v/>
      </c>
      <c r="I363" s="16" t="str">
        <f>IF($A363="","",MASTER_REGISTER!M360)</f>
        <v/>
      </c>
      <c r="J363" s="15" t="str">
        <f>IF($A363="","",MASTER_REGISTER!N360)</f>
        <v/>
      </c>
    </row>
    <row r="364" spans="1:10" x14ac:dyDescent="0.3">
      <c r="A364" s="15" t="str">
        <f>IF(MASTER_REGISTER!E361="","",MASTER_REGISTER!E361)</f>
        <v/>
      </c>
      <c r="B364" s="15" t="str">
        <f>IF($A364="","",MASTER_REGISTER!F361)</f>
        <v/>
      </c>
      <c r="C364" s="15" t="str">
        <f>IF($A364="","",MASTER_REGISTER!C361)</f>
        <v/>
      </c>
      <c r="D364" s="15" t="str">
        <f>IF($A364="","",MASTER_REGISTER!H361)</f>
        <v/>
      </c>
      <c r="E364" s="15" t="str">
        <f>IF($A364="","",MASTER_REGISTER!G361)</f>
        <v/>
      </c>
      <c r="F364" s="15" t="str">
        <f>IF($A364="","",MASTER_REGISTER!I361)</f>
        <v/>
      </c>
      <c r="G364" s="16" t="str">
        <f>IF($A364="","",MASTER_REGISTER!J361)</f>
        <v/>
      </c>
      <c r="H364" s="16" t="str">
        <f>IF($A364="","",MASTER_REGISTER!L361)</f>
        <v/>
      </c>
      <c r="I364" s="16" t="str">
        <f>IF($A364="","",MASTER_REGISTER!M361)</f>
        <v/>
      </c>
      <c r="J364" s="15" t="str">
        <f>IF($A364="","",MASTER_REGISTER!N361)</f>
        <v/>
      </c>
    </row>
    <row r="365" spans="1:10" x14ac:dyDescent="0.3">
      <c r="A365" s="15" t="str">
        <f>IF(MASTER_REGISTER!E362="","",MASTER_REGISTER!E362)</f>
        <v/>
      </c>
      <c r="B365" s="15" t="str">
        <f>IF($A365="","",MASTER_REGISTER!F362)</f>
        <v/>
      </c>
      <c r="C365" s="15" t="str">
        <f>IF($A365="","",MASTER_REGISTER!C362)</f>
        <v/>
      </c>
      <c r="D365" s="15" t="str">
        <f>IF($A365="","",MASTER_REGISTER!H362)</f>
        <v/>
      </c>
      <c r="E365" s="15" t="str">
        <f>IF($A365="","",MASTER_REGISTER!G362)</f>
        <v/>
      </c>
      <c r="F365" s="15" t="str">
        <f>IF($A365="","",MASTER_REGISTER!I362)</f>
        <v/>
      </c>
      <c r="G365" s="16" t="str">
        <f>IF($A365="","",MASTER_REGISTER!J362)</f>
        <v/>
      </c>
      <c r="H365" s="16" t="str">
        <f>IF($A365="","",MASTER_REGISTER!L362)</f>
        <v/>
      </c>
      <c r="I365" s="16" t="str">
        <f>IF($A365="","",MASTER_REGISTER!M362)</f>
        <v/>
      </c>
      <c r="J365" s="15" t="str">
        <f>IF($A365="","",MASTER_REGISTER!N362)</f>
        <v/>
      </c>
    </row>
    <row r="366" spans="1:10" x14ac:dyDescent="0.3">
      <c r="A366" s="15" t="str">
        <f>IF(MASTER_REGISTER!E363="","",MASTER_REGISTER!E363)</f>
        <v/>
      </c>
      <c r="B366" s="15" t="str">
        <f>IF($A366="","",MASTER_REGISTER!F363)</f>
        <v/>
      </c>
      <c r="C366" s="15" t="str">
        <f>IF($A366="","",MASTER_REGISTER!C363)</f>
        <v/>
      </c>
      <c r="D366" s="15" t="str">
        <f>IF($A366="","",MASTER_REGISTER!H363)</f>
        <v/>
      </c>
      <c r="E366" s="15" t="str">
        <f>IF($A366="","",MASTER_REGISTER!G363)</f>
        <v/>
      </c>
      <c r="F366" s="15" t="str">
        <f>IF($A366="","",MASTER_REGISTER!I363)</f>
        <v/>
      </c>
      <c r="G366" s="16" t="str">
        <f>IF($A366="","",MASTER_REGISTER!J363)</f>
        <v/>
      </c>
      <c r="H366" s="16" t="str">
        <f>IF($A366="","",MASTER_REGISTER!L363)</f>
        <v/>
      </c>
      <c r="I366" s="16" t="str">
        <f>IF($A366="","",MASTER_REGISTER!M363)</f>
        <v/>
      </c>
      <c r="J366" s="15" t="str">
        <f>IF($A366="","",MASTER_REGISTER!N363)</f>
        <v/>
      </c>
    </row>
    <row r="367" spans="1:10" x14ac:dyDescent="0.3">
      <c r="A367" s="15" t="str">
        <f>IF(MASTER_REGISTER!E364="","",MASTER_REGISTER!E364)</f>
        <v/>
      </c>
      <c r="B367" s="15" t="str">
        <f>IF($A367="","",MASTER_REGISTER!F364)</f>
        <v/>
      </c>
      <c r="C367" s="15" t="str">
        <f>IF($A367="","",MASTER_REGISTER!C364)</f>
        <v/>
      </c>
      <c r="D367" s="15" t="str">
        <f>IF($A367="","",MASTER_REGISTER!H364)</f>
        <v/>
      </c>
      <c r="E367" s="15" t="str">
        <f>IF($A367="","",MASTER_REGISTER!G364)</f>
        <v/>
      </c>
      <c r="F367" s="15" t="str">
        <f>IF($A367="","",MASTER_REGISTER!I364)</f>
        <v/>
      </c>
      <c r="G367" s="16" t="str">
        <f>IF($A367="","",MASTER_REGISTER!J364)</f>
        <v/>
      </c>
      <c r="H367" s="16" t="str">
        <f>IF($A367="","",MASTER_REGISTER!L364)</f>
        <v/>
      </c>
      <c r="I367" s="16" t="str">
        <f>IF($A367="","",MASTER_REGISTER!M364)</f>
        <v/>
      </c>
      <c r="J367" s="15" t="str">
        <f>IF($A367="","",MASTER_REGISTER!N364)</f>
        <v/>
      </c>
    </row>
    <row r="368" spans="1:10" x14ac:dyDescent="0.3">
      <c r="A368" s="15" t="str">
        <f>IF(MASTER_REGISTER!E365="","",MASTER_REGISTER!E365)</f>
        <v/>
      </c>
      <c r="B368" s="15" t="str">
        <f>IF($A368="","",MASTER_REGISTER!F365)</f>
        <v/>
      </c>
      <c r="C368" s="15" t="str">
        <f>IF($A368="","",MASTER_REGISTER!C365)</f>
        <v/>
      </c>
      <c r="D368" s="15" t="str">
        <f>IF($A368="","",MASTER_REGISTER!H365)</f>
        <v/>
      </c>
      <c r="E368" s="15" t="str">
        <f>IF($A368="","",MASTER_REGISTER!G365)</f>
        <v/>
      </c>
      <c r="F368" s="15" t="str">
        <f>IF($A368="","",MASTER_REGISTER!I365)</f>
        <v/>
      </c>
      <c r="G368" s="16" t="str">
        <f>IF($A368="","",MASTER_REGISTER!J365)</f>
        <v/>
      </c>
      <c r="H368" s="16" t="str">
        <f>IF($A368="","",MASTER_REGISTER!L365)</f>
        <v/>
      </c>
      <c r="I368" s="16" t="str">
        <f>IF($A368="","",MASTER_REGISTER!M365)</f>
        <v/>
      </c>
      <c r="J368" s="15" t="str">
        <f>IF($A368="","",MASTER_REGISTER!N365)</f>
        <v/>
      </c>
    </row>
    <row r="369" spans="1:10" x14ac:dyDescent="0.3">
      <c r="A369" s="15" t="str">
        <f>IF(MASTER_REGISTER!E366="","",MASTER_REGISTER!E366)</f>
        <v/>
      </c>
      <c r="B369" s="15" t="str">
        <f>IF($A369="","",MASTER_REGISTER!F366)</f>
        <v/>
      </c>
      <c r="C369" s="15" t="str">
        <f>IF($A369="","",MASTER_REGISTER!C366)</f>
        <v/>
      </c>
      <c r="D369" s="15" t="str">
        <f>IF($A369="","",MASTER_REGISTER!H366)</f>
        <v/>
      </c>
      <c r="E369" s="15" t="str">
        <f>IF($A369="","",MASTER_REGISTER!G366)</f>
        <v/>
      </c>
      <c r="F369" s="15" t="str">
        <f>IF($A369="","",MASTER_REGISTER!I366)</f>
        <v/>
      </c>
      <c r="G369" s="16" t="str">
        <f>IF($A369="","",MASTER_REGISTER!J366)</f>
        <v/>
      </c>
      <c r="H369" s="16" t="str">
        <f>IF($A369="","",MASTER_REGISTER!L366)</f>
        <v/>
      </c>
      <c r="I369" s="16" t="str">
        <f>IF($A369="","",MASTER_REGISTER!M366)</f>
        <v/>
      </c>
      <c r="J369" s="15" t="str">
        <f>IF($A369="","",MASTER_REGISTER!N366)</f>
        <v/>
      </c>
    </row>
    <row r="370" spans="1:10" x14ac:dyDescent="0.3">
      <c r="A370" s="15" t="str">
        <f>IF(MASTER_REGISTER!E367="","",MASTER_REGISTER!E367)</f>
        <v/>
      </c>
      <c r="B370" s="15" t="str">
        <f>IF($A370="","",MASTER_REGISTER!F367)</f>
        <v/>
      </c>
      <c r="C370" s="15" t="str">
        <f>IF($A370="","",MASTER_REGISTER!C367)</f>
        <v/>
      </c>
      <c r="D370" s="15" t="str">
        <f>IF($A370="","",MASTER_REGISTER!H367)</f>
        <v/>
      </c>
      <c r="E370" s="15" t="str">
        <f>IF($A370="","",MASTER_REGISTER!G367)</f>
        <v/>
      </c>
      <c r="F370" s="15" t="str">
        <f>IF($A370="","",MASTER_REGISTER!I367)</f>
        <v/>
      </c>
      <c r="G370" s="16" t="str">
        <f>IF($A370="","",MASTER_REGISTER!J367)</f>
        <v/>
      </c>
      <c r="H370" s="16" t="str">
        <f>IF($A370="","",MASTER_REGISTER!L367)</f>
        <v/>
      </c>
      <c r="I370" s="16" t="str">
        <f>IF($A370="","",MASTER_REGISTER!M367)</f>
        <v/>
      </c>
      <c r="J370" s="15" t="str">
        <f>IF($A370="","",MASTER_REGISTER!N367)</f>
        <v/>
      </c>
    </row>
    <row r="371" spans="1:10" x14ac:dyDescent="0.3">
      <c r="A371" s="15" t="str">
        <f>IF(MASTER_REGISTER!E368="","",MASTER_REGISTER!E368)</f>
        <v/>
      </c>
      <c r="B371" s="15" t="str">
        <f>IF($A371="","",MASTER_REGISTER!F368)</f>
        <v/>
      </c>
      <c r="C371" s="15" t="str">
        <f>IF($A371="","",MASTER_REGISTER!C368)</f>
        <v/>
      </c>
      <c r="D371" s="15" t="str">
        <f>IF($A371="","",MASTER_REGISTER!H368)</f>
        <v/>
      </c>
      <c r="E371" s="15" t="str">
        <f>IF($A371="","",MASTER_REGISTER!G368)</f>
        <v/>
      </c>
      <c r="F371" s="15" t="str">
        <f>IF($A371="","",MASTER_REGISTER!I368)</f>
        <v/>
      </c>
      <c r="G371" s="16" t="str">
        <f>IF($A371="","",MASTER_REGISTER!J368)</f>
        <v/>
      </c>
      <c r="H371" s="16" t="str">
        <f>IF($A371="","",MASTER_REGISTER!L368)</f>
        <v/>
      </c>
      <c r="I371" s="16" t="str">
        <f>IF($A371="","",MASTER_REGISTER!M368)</f>
        <v/>
      </c>
      <c r="J371" s="15" t="str">
        <f>IF($A371="","",MASTER_REGISTER!N368)</f>
        <v/>
      </c>
    </row>
    <row r="372" spans="1:10" x14ac:dyDescent="0.3">
      <c r="A372" s="15" t="str">
        <f>IF(MASTER_REGISTER!E369="","",MASTER_REGISTER!E369)</f>
        <v/>
      </c>
      <c r="B372" s="15" t="str">
        <f>IF($A372="","",MASTER_REGISTER!F369)</f>
        <v/>
      </c>
      <c r="C372" s="15" t="str">
        <f>IF($A372="","",MASTER_REGISTER!C369)</f>
        <v/>
      </c>
      <c r="D372" s="15" t="str">
        <f>IF($A372="","",MASTER_REGISTER!H369)</f>
        <v/>
      </c>
      <c r="E372" s="15" t="str">
        <f>IF($A372="","",MASTER_REGISTER!G369)</f>
        <v/>
      </c>
      <c r="F372" s="15" t="str">
        <f>IF($A372="","",MASTER_REGISTER!I369)</f>
        <v/>
      </c>
      <c r="G372" s="16" t="str">
        <f>IF($A372="","",MASTER_REGISTER!J369)</f>
        <v/>
      </c>
      <c r="H372" s="16" t="str">
        <f>IF($A372="","",MASTER_REGISTER!L369)</f>
        <v/>
      </c>
      <c r="I372" s="16" t="str">
        <f>IF($A372="","",MASTER_REGISTER!M369)</f>
        <v/>
      </c>
      <c r="J372" s="15" t="str">
        <f>IF($A372="","",MASTER_REGISTER!N369)</f>
        <v/>
      </c>
    </row>
    <row r="373" spans="1:10" x14ac:dyDescent="0.3">
      <c r="A373" s="15" t="str">
        <f>IF(MASTER_REGISTER!E370="","",MASTER_REGISTER!E370)</f>
        <v/>
      </c>
      <c r="B373" s="15" t="str">
        <f>IF($A373="","",MASTER_REGISTER!F370)</f>
        <v/>
      </c>
      <c r="C373" s="15" t="str">
        <f>IF($A373="","",MASTER_REGISTER!C370)</f>
        <v/>
      </c>
      <c r="D373" s="15" t="str">
        <f>IF($A373="","",MASTER_REGISTER!H370)</f>
        <v/>
      </c>
      <c r="E373" s="15" t="str">
        <f>IF($A373="","",MASTER_REGISTER!G370)</f>
        <v/>
      </c>
      <c r="F373" s="15" t="str">
        <f>IF($A373="","",MASTER_REGISTER!I370)</f>
        <v/>
      </c>
      <c r="G373" s="16" t="str">
        <f>IF($A373="","",MASTER_REGISTER!J370)</f>
        <v/>
      </c>
      <c r="H373" s="16" t="str">
        <f>IF($A373="","",MASTER_REGISTER!L370)</f>
        <v/>
      </c>
      <c r="I373" s="16" t="str">
        <f>IF($A373="","",MASTER_REGISTER!M370)</f>
        <v/>
      </c>
      <c r="J373" s="15" t="str">
        <f>IF($A373="","",MASTER_REGISTER!N370)</f>
        <v/>
      </c>
    </row>
    <row r="374" spans="1:10" x14ac:dyDescent="0.3">
      <c r="A374" s="15" t="str">
        <f>IF(MASTER_REGISTER!E371="","",MASTER_REGISTER!E371)</f>
        <v/>
      </c>
      <c r="B374" s="15" t="str">
        <f>IF($A374="","",MASTER_REGISTER!F371)</f>
        <v/>
      </c>
      <c r="C374" s="15" t="str">
        <f>IF($A374="","",MASTER_REGISTER!C371)</f>
        <v/>
      </c>
      <c r="D374" s="15" t="str">
        <f>IF($A374="","",MASTER_REGISTER!H371)</f>
        <v/>
      </c>
      <c r="E374" s="15" t="str">
        <f>IF($A374="","",MASTER_REGISTER!G371)</f>
        <v/>
      </c>
      <c r="F374" s="15" t="str">
        <f>IF($A374="","",MASTER_REGISTER!I371)</f>
        <v/>
      </c>
      <c r="G374" s="16" t="str">
        <f>IF($A374="","",MASTER_REGISTER!J371)</f>
        <v/>
      </c>
      <c r="H374" s="16" t="str">
        <f>IF($A374="","",MASTER_REGISTER!L371)</f>
        <v/>
      </c>
      <c r="I374" s="16" t="str">
        <f>IF($A374="","",MASTER_REGISTER!M371)</f>
        <v/>
      </c>
      <c r="J374" s="15" t="str">
        <f>IF($A374="","",MASTER_REGISTER!N371)</f>
        <v/>
      </c>
    </row>
    <row r="375" spans="1:10" x14ac:dyDescent="0.3">
      <c r="A375" s="15" t="str">
        <f>IF(MASTER_REGISTER!E372="","",MASTER_REGISTER!E372)</f>
        <v/>
      </c>
      <c r="B375" s="15" t="str">
        <f>IF($A375="","",MASTER_REGISTER!F372)</f>
        <v/>
      </c>
      <c r="C375" s="15" t="str">
        <f>IF($A375="","",MASTER_REGISTER!C372)</f>
        <v/>
      </c>
      <c r="D375" s="15" t="str">
        <f>IF($A375="","",MASTER_REGISTER!H372)</f>
        <v/>
      </c>
      <c r="E375" s="15" t="str">
        <f>IF($A375="","",MASTER_REGISTER!G372)</f>
        <v/>
      </c>
      <c r="F375" s="15" t="str">
        <f>IF($A375="","",MASTER_REGISTER!I372)</f>
        <v/>
      </c>
      <c r="G375" s="16" t="str">
        <f>IF($A375="","",MASTER_REGISTER!J372)</f>
        <v/>
      </c>
      <c r="H375" s="16" t="str">
        <f>IF($A375="","",MASTER_REGISTER!L372)</f>
        <v/>
      </c>
      <c r="I375" s="16" t="str">
        <f>IF($A375="","",MASTER_REGISTER!M372)</f>
        <v/>
      </c>
      <c r="J375" s="15" t="str">
        <f>IF($A375="","",MASTER_REGISTER!N372)</f>
        <v/>
      </c>
    </row>
    <row r="376" spans="1:10" x14ac:dyDescent="0.3">
      <c r="A376" s="15" t="str">
        <f>IF(MASTER_REGISTER!E373="","",MASTER_REGISTER!E373)</f>
        <v/>
      </c>
      <c r="B376" s="15" t="str">
        <f>IF($A376="","",MASTER_REGISTER!F373)</f>
        <v/>
      </c>
      <c r="C376" s="15" t="str">
        <f>IF($A376="","",MASTER_REGISTER!C373)</f>
        <v/>
      </c>
      <c r="D376" s="15" t="str">
        <f>IF($A376="","",MASTER_REGISTER!H373)</f>
        <v/>
      </c>
      <c r="E376" s="15" t="str">
        <f>IF($A376="","",MASTER_REGISTER!G373)</f>
        <v/>
      </c>
      <c r="F376" s="15" t="str">
        <f>IF($A376="","",MASTER_REGISTER!I373)</f>
        <v/>
      </c>
      <c r="G376" s="16" t="str">
        <f>IF($A376="","",MASTER_REGISTER!J373)</f>
        <v/>
      </c>
      <c r="H376" s="16" t="str">
        <f>IF($A376="","",MASTER_REGISTER!L373)</f>
        <v/>
      </c>
      <c r="I376" s="16" t="str">
        <f>IF($A376="","",MASTER_REGISTER!M373)</f>
        <v/>
      </c>
      <c r="J376" s="15" t="str">
        <f>IF($A376="","",MASTER_REGISTER!N373)</f>
        <v/>
      </c>
    </row>
    <row r="377" spans="1:10" x14ac:dyDescent="0.3">
      <c r="A377" s="15" t="str">
        <f>IF(MASTER_REGISTER!E374="","",MASTER_REGISTER!E374)</f>
        <v/>
      </c>
      <c r="B377" s="15" t="str">
        <f>IF($A377="","",MASTER_REGISTER!F374)</f>
        <v/>
      </c>
      <c r="C377" s="15" t="str">
        <f>IF($A377="","",MASTER_REGISTER!C374)</f>
        <v/>
      </c>
      <c r="D377" s="15" t="str">
        <f>IF($A377="","",MASTER_REGISTER!H374)</f>
        <v/>
      </c>
      <c r="E377" s="15" t="str">
        <f>IF($A377="","",MASTER_REGISTER!G374)</f>
        <v/>
      </c>
      <c r="F377" s="15" t="str">
        <f>IF($A377="","",MASTER_REGISTER!I374)</f>
        <v/>
      </c>
      <c r="G377" s="16" t="str">
        <f>IF($A377="","",MASTER_REGISTER!J374)</f>
        <v/>
      </c>
      <c r="H377" s="16" t="str">
        <f>IF($A377="","",MASTER_REGISTER!L374)</f>
        <v/>
      </c>
      <c r="I377" s="16" t="str">
        <f>IF($A377="","",MASTER_REGISTER!M374)</f>
        <v/>
      </c>
      <c r="J377" s="15" t="str">
        <f>IF($A377="","",MASTER_REGISTER!N374)</f>
        <v/>
      </c>
    </row>
    <row r="378" spans="1:10" x14ac:dyDescent="0.3">
      <c r="A378" s="15" t="str">
        <f>IF(MASTER_REGISTER!E375="","",MASTER_REGISTER!E375)</f>
        <v/>
      </c>
      <c r="B378" s="15" t="str">
        <f>IF($A378="","",MASTER_REGISTER!F375)</f>
        <v/>
      </c>
      <c r="C378" s="15" t="str">
        <f>IF($A378="","",MASTER_REGISTER!C375)</f>
        <v/>
      </c>
      <c r="D378" s="15" t="str">
        <f>IF($A378="","",MASTER_REGISTER!H375)</f>
        <v/>
      </c>
      <c r="E378" s="15" t="str">
        <f>IF($A378="","",MASTER_REGISTER!G375)</f>
        <v/>
      </c>
      <c r="F378" s="15" t="str">
        <f>IF($A378="","",MASTER_REGISTER!I375)</f>
        <v/>
      </c>
      <c r="G378" s="16" t="str">
        <f>IF($A378="","",MASTER_REGISTER!J375)</f>
        <v/>
      </c>
      <c r="H378" s="16" t="str">
        <f>IF($A378="","",MASTER_REGISTER!L375)</f>
        <v/>
      </c>
      <c r="I378" s="16" t="str">
        <f>IF($A378="","",MASTER_REGISTER!M375)</f>
        <v/>
      </c>
      <c r="J378" s="15" t="str">
        <f>IF($A378="","",MASTER_REGISTER!N375)</f>
        <v/>
      </c>
    </row>
    <row r="379" spans="1:10" x14ac:dyDescent="0.3">
      <c r="A379" s="15" t="str">
        <f>IF(MASTER_REGISTER!E376="","",MASTER_REGISTER!E376)</f>
        <v/>
      </c>
      <c r="B379" s="15" t="str">
        <f>IF($A379="","",MASTER_REGISTER!F376)</f>
        <v/>
      </c>
      <c r="C379" s="15" t="str">
        <f>IF($A379="","",MASTER_REGISTER!C376)</f>
        <v/>
      </c>
      <c r="D379" s="15" t="str">
        <f>IF($A379="","",MASTER_REGISTER!H376)</f>
        <v/>
      </c>
      <c r="E379" s="15" t="str">
        <f>IF($A379="","",MASTER_REGISTER!G376)</f>
        <v/>
      </c>
      <c r="F379" s="15" t="str">
        <f>IF($A379="","",MASTER_REGISTER!I376)</f>
        <v/>
      </c>
      <c r="G379" s="16" t="str">
        <f>IF($A379="","",MASTER_REGISTER!J376)</f>
        <v/>
      </c>
      <c r="H379" s="16" t="str">
        <f>IF($A379="","",MASTER_REGISTER!L376)</f>
        <v/>
      </c>
      <c r="I379" s="16" t="str">
        <f>IF($A379="","",MASTER_REGISTER!M376)</f>
        <v/>
      </c>
      <c r="J379" s="15" t="str">
        <f>IF($A379="","",MASTER_REGISTER!N376)</f>
        <v/>
      </c>
    </row>
    <row r="380" spans="1:10" x14ac:dyDescent="0.3">
      <c r="A380" s="15" t="str">
        <f>IF(MASTER_REGISTER!E377="","",MASTER_REGISTER!E377)</f>
        <v/>
      </c>
      <c r="B380" s="15" t="str">
        <f>IF($A380="","",MASTER_REGISTER!F377)</f>
        <v/>
      </c>
      <c r="C380" s="15" t="str">
        <f>IF($A380="","",MASTER_REGISTER!C377)</f>
        <v/>
      </c>
      <c r="D380" s="15" t="str">
        <f>IF($A380="","",MASTER_REGISTER!H377)</f>
        <v/>
      </c>
      <c r="E380" s="15" t="str">
        <f>IF($A380="","",MASTER_REGISTER!G377)</f>
        <v/>
      </c>
      <c r="F380" s="15" t="str">
        <f>IF($A380="","",MASTER_REGISTER!I377)</f>
        <v/>
      </c>
      <c r="G380" s="16" t="str">
        <f>IF($A380="","",MASTER_REGISTER!J377)</f>
        <v/>
      </c>
      <c r="H380" s="16" t="str">
        <f>IF($A380="","",MASTER_REGISTER!L377)</f>
        <v/>
      </c>
      <c r="I380" s="16" t="str">
        <f>IF($A380="","",MASTER_REGISTER!M377)</f>
        <v/>
      </c>
      <c r="J380" s="15" t="str">
        <f>IF($A380="","",MASTER_REGISTER!N377)</f>
        <v/>
      </c>
    </row>
    <row r="381" spans="1:10" x14ac:dyDescent="0.3">
      <c r="A381" s="15" t="str">
        <f>IF(MASTER_REGISTER!E378="","",MASTER_REGISTER!E378)</f>
        <v/>
      </c>
      <c r="B381" s="15" t="str">
        <f>IF($A381="","",MASTER_REGISTER!F378)</f>
        <v/>
      </c>
      <c r="C381" s="15" t="str">
        <f>IF($A381="","",MASTER_REGISTER!C378)</f>
        <v/>
      </c>
      <c r="D381" s="15" t="str">
        <f>IF($A381="","",MASTER_REGISTER!H378)</f>
        <v/>
      </c>
      <c r="E381" s="15" t="str">
        <f>IF($A381="","",MASTER_REGISTER!G378)</f>
        <v/>
      </c>
      <c r="F381" s="15" t="str">
        <f>IF($A381="","",MASTER_REGISTER!I378)</f>
        <v/>
      </c>
      <c r="G381" s="16" t="str">
        <f>IF($A381="","",MASTER_REGISTER!J378)</f>
        <v/>
      </c>
      <c r="H381" s="16" t="str">
        <f>IF($A381="","",MASTER_REGISTER!L378)</f>
        <v/>
      </c>
      <c r="I381" s="16" t="str">
        <f>IF($A381="","",MASTER_REGISTER!M378)</f>
        <v/>
      </c>
      <c r="J381" s="15" t="str">
        <f>IF($A381="","",MASTER_REGISTER!N378)</f>
        <v/>
      </c>
    </row>
    <row r="382" spans="1:10" x14ac:dyDescent="0.3">
      <c r="A382" s="15" t="str">
        <f>IF(MASTER_REGISTER!E379="","",MASTER_REGISTER!E379)</f>
        <v/>
      </c>
      <c r="B382" s="15" t="str">
        <f>IF($A382="","",MASTER_REGISTER!F379)</f>
        <v/>
      </c>
      <c r="C382" s="15" t="str">
        <f>IF($A382="","",MASTER_REGISTER!C379)</f>
        <v/>
      </c>
      <c r="D382" s="15" t="str">
        <f>IF($A382="","",MASTER_REGISTER!H379)</f>
        <v/>
      </c>
      <c r="E382" s="15" t="str">
        <f>IF($A382="","",MASTER_REGISTER!G379)</f>
        <v/>
      </c>
      <c r="F382" s="15" t="str">
        <f>IF($A382="","",MASTER_REGISTER!I379)</f>
        <v/>
      </c>
      <c r="G382" s="16" t="str">
        <f>IF($A382="","",MASTER_REGISTER!J379)</f>
        <v/>
      </c>
      <c r="H382" s="16" t="str">
        <f>IF($A382="","",MASTER_REGISTER!L379)</f>
        <v/>
      </c>
      <c r="I382" s="16" t="str">
        <f>IF($A382="","",MASTER_REGISTER!M379)</f>
        <v/>
      </c>
      <c r="J382" s="15" t="str">
        <f>IF($A382="","",MASTER_REGISTER!N379)</f>
        <v/>
      </c>
    </row>
    <row r="383" spans="1:10" x14ac:dyDescent="0.3">
      <c r="A383" s="15" t="str">
        <f>IF(MASTER_REGISTER!E380="","",MASTER_REGISTER!E380)</f>
        <v/>
      </c>
      <c r="B383" s="15" t="str">
        <f>IF($A383="","",MASTER_REGISTER!F380)</f>
        <v/>
      </c>
      <c r="C383" s="15" t="str">
        <f>IF($A383="","",MASTER_REGISTER!C380)</f>
        <v/>
      </c>
      <c r="D383" s="15" t="str">
        <f>IF($A383="","",MASTER_REGISTER!H380)</f>
        <v/>
      </c>
      <c r="E383" s="15" t="str">
        <f>IF($A383="","",MASTER_REGISTER!G380)</f>
        <v/>
      </c>
      <c r="F383" s="15" t="str">
        <f>IF($A383="","",MASTER_REGISTER!I380)</f>
        <v/>
      </c>
      <c r="G383" s="16" t="str">
        <f>IF($A383="","",MASTER_REGISTER!J380)</f>
        <v/>
      </c>
      <c r="H383" s="16" t="str">
        <f>IF($A383="","",MASTER_REGISTER!L380)</f>
        <v/>
      </c>
      <c r="I383" s="16" t="str">
        <f>IF($A383="","",MASTER_REGISTER!M380)</f>
        <v/>
      </c>
      <c r="J383" s="15" t="str">
        <f>IF($A383="","",MASTER_REGISTER!N380)</f>
        <v/>
      </c>
    </row>
    <row r="384" spans="1:10" x14ac:dyDescent="0.3">
      <c r="A384" s="15" t="str">
        <f>IF(MASTER_REGISTER!E381="","",MASTER_REGISTER!E381)</f>
        <v/>
      </c>
      <c r="B384" s="15" t="str">
        <f>IF($A384="","",MASTER_REGISTER!F381)</f>
        <v/>
      </c>
      <c r="C384" s="15" t="str">
        <f>IF($A384="","",MASTER_REGISTER!C381)</f>
        <v/>
      </c>
      <c r="D384" s="15" t="str">
        <f>IF($A384="","",MASTER_REGISTER!H381)</f>
        <v/>
      </c>
      <c r="E384" s="15" t="str">
        <f>IF($A384="","",MASTER_REGISTER!G381)</f>
        <v/>
      </c>
      <c r="F384" s="15" t="str">
        <f>IF($A384="","",MASTER_REGISTER!I381)</f>
        <v/>
      </c>
      <c r="G384" s="16" t="str">
        <f>IF($A384="","",MASTER_REGISTER!J381)</f>
        <v/>
      </c>
      <c r="H384" s="16" t="str">
        <f>IF($A384="","",MASTER_REGISTER!L381)</f>
        <v/>
      </c>
      <c r="I384" s="16" t="str">
        <f>IF($A384="","",MASTER_REGISTER!M381)</f>
        <v/>
      </c>
      <c r="J384" s="15" t="str">
        <f>IF($A384="","",MASTER_REGISTER!N381)</f>
        <v/>
      </c>
    </row>
    <row r="385" spans="1:10" x14ac:dyDescent="0.3">
      <c r="A385" s="15" t="str">
        <f>IF(MASTER_REGISTER!E382="","",MASTER_REGISTER!E382)</f>
        <v/>
      </c>
      <c r="B385" s="15" t="str">
        <f>IF($A385="","",MASTER_REGISTER!F382)</f>
        <v/>
      </c>
      <c r="C385" s="15" t="str">
        <f>IF($A385="","",MASTER_REGISTER!C382)</f>
        <v/>
      </c>
      <c r="D385" s="15" t="str">
        <f>IF($A385="","",MASTER_REGISTER!H382)</f>
        <v/>
      </c>
      <c r="E385" s="15" t="str">
        <f>IF($A385="","",MASTER_REGISTER!G382)</f>
        <v/>
      </c>
      <c r="F385" s="15" t="str">
        <f>IF($A385="","",MASTER_REGISTER!I382)</f>
        <v/>
      </c>
      <c r="G385" s="16" t="str">
        <f>IF($A385="","",MASTER_REGISTER!J382)</f>
        <v/>
      </c>
      <c r="H385" s="16" t="str">
        <f>IF($A385="","",MASTER_REGISTER!L382)</f>
        <v/>
      </c>
      <c r="I385" s="16" t="str">
        <f>IF($A385="","",MASTER_REGISTER!M382)</f>
        <v/>
      </c>
      <c r="J385" s="15" t="str">
        <f>IF($A385="","",MASTER_REGISTER!N382)</f>
        <v/>
      </c>
    </row>
    <row r="386" spans="1:10" x14ac:dyDescent="0.3">
      <c r="A386" s="15" t="str">
        <f>IF(MASTER_REGISTER!E383="","",MASTER_REGISTER!E383)</f>
        <v/>
      </c>
      <c r="B386" s="15" t="str">
        <f>IF($A386="","",MASTER_REGISTER!F383)</f>
        <v/>
      </c>
      <c r="C386" s="15" t="str">
        <f>IF($A386="","",MASTER_REGISTER!C383)</f>
        <v/>
      </c>
      <c r="D386" s="15" t="str">
        <f>IF($A386="","",MASTER_REGISTER!H383)</f>
        <v/>
      </c>
      <c r="E386" s="15" t="str">
        <f>IF($A386="","",MASTER_REGISTER!G383)</f>
        <v/>
      </c>
      <c r="F386" s="15" t="str">
        <f>IF($A386="","",MASTER_REGISTER!I383)</f>
        <v/>
      </c>
      <c r="G386" s="16" t="str">
        <f>IF($A386="","",MASTER_REGISTER!J383)</f>
        <v/>
      </c>
      <c r="H386" s="16" t="str">
        <f>IF($A386="","",MASTER_REGISTER!L383)</f>
        <v/>
      </c>
      <c r="I386" s="16" t="str">
        <f>IF($A386="","",MASTER_REGISTER!M383)</f>
        <v/>
      </c>
      <c r="J386" s="15" t="str">
        <f>IF($A386="","",MASTER_REGISTER!N383)</f>
        <v/>
      </c>
    </row>
    <row r="387" spans="1:10" x14ac:dyDescent="0.3">
      <c r="A387" s="15" t="str">
        <f>IF(MASTER_REGISTER!E384="","",MASTER_REGISTER!E384)</f>
        <v/>
      </c>
      <c r="B387" s="15" t="str">
        <f>IF($A387="","",MASTER_REGISTER!F384)</f>
        <v/>
      </c>
      <c r="C387" s="15" t="str">
        <f>IF($A387="","",MASTER_REGISTER!C384)</f>
        <v/>
      </c>
      <c r="D387" s="15" t="str">
        <f>IF($A387="","",MASTER_REGISTER!H384)</f>
        <v/>
      </c>
      <c r="E387" s="15" t="str">
        <f>IF($A387="","",MASTER_REGISTER!G384)</f>
        <v/>
      </c>
      <c r="F387" s="15" t="str">
        <f>IF($A387="","",MASTER_REGISTER!I384)</f>
        <v/>
      </c>
      <c r="G387" s="16" t="str">
        <f>IF($A387="","",MASTER_REGISTER!J384)</f>
        <v/>
      </c>
      <c r="H387" s="16" t="str">
        <f>IF($A387="","",MASTER_REGISTER!L384)</f>
        <v/>
      </c>
      <c r="I387" s="16" t="str">
        <f>IF($A387="","",MASTER_REGISTER!M384)</f>
        <v/>
      </c>
      <c r="J387" s="15" t="str">
        <f>IF($A387="","",MASTER_REGISTER!N384)</f>
        <v/>
      </c>
    </row>
    <row r="388" spans="1:10" x14ac:dyDescent="0.3">
      <c r="A388" s="15" t="str">
        <f>IF(MASTER_REGISTER!E385="","",MASTER_REGISTER!E385)</f>
        <v/>
      </c>
      <c r="B388" s="15" t="str">
        <f>IF($A388="","",MASTER_REGISTER!F385)</f>
        <v/>
      </c>
      <c r="C388" s="15" t="str">
        <f>IF($A388="","",MASTER_REGISTER!C385)</f>
        <v/>
      </c>
      <c r="D388" s="15" t="str">
        <f>IF($A388="","",MASTER_REGISTER!H385)</f>
        <v/>
      </c>
      <c r="E388" s="15" t="str">
        <f>IF($A388="","",MASTER_REGISTER!G385)</f>
        <v/>
      </c>
      <c r="F388" s="15" t="str">
        <f>IF($A388="","",MASTER_REGISTER!I385)</f>
        <v/>
      </c>
      <c r="G388" s="16" t="str">
        <f>IF($A388="","",MASTER_REGISTER!J385)</f>
        <v/>
      </c>
      <c r="H388" s="16" t="str">
        <f>IF($A388="","",MASTER_REGISTER!L385)</f>
        <v/>
      </c>
      <c r="I388" s="16" t="str">
        <f>IF($A388="","",MASTER_REGISTER!M385)</f>
        <v/>
      </c>
      <c r="J388" s="15" t="str">
        <f>IF($A388="","",MASTER_REGISTER!N385)</f>
        <v/>
      </c>
    </row>
    <row r="389" spans="1:10" x14ac:dyDescent="0.3">
      <c r="A389" s="15" t="str">
        <f>IF(MASTER_REGISTER!E386="","",MASTER_REGISTER!E386)</f>
        <v/>
      </c>
      <c r="B389" s="15" t="str">
        <f>IF($A389="","",MASTER_REGISTER!F386)</f>
        <v/>
      </c>
      <c r="C389" s="15" t="str">
        <f>IF($A389="","",MASTER_REGISTER!C386)</f>
        <v/>
      </c>
      <c r="D389" s="15" t="str">
        <f>IF($A389="","",MASTER_REGISTER!H386)</f>
        <v/>
      </c>
      <c r="E389" s="15" t="str">
        <f>IF($A389="","",MASTER_REGISTER!G386)</f>
        <v/>
      </c>
      <c r="F389" s="15" t="str">
        <f>IF($A389="","",MASTER_REGISTER!I386)</f>
        <v/>
      </c>
      <c r="G389" s="16" t="str">
        <f>IF($A389="","",MASTER_REGISTER!J386)</f>
        <v/>
      </c>
      <c r="H389" s="16" t="str">
        <f>IF($A389="","",MASTER_REGISTER!L386)</f>
        <v/>
      </c>
      <c r="I389" s="16" t="str">
        <f>IF($A389="","",MASTER_REGISTER!M386)</f>
        <v/>
      </c>
      <c r="J389" s="15" t="str">
        <f>IF($A389="","",MASTER_REGISTER!N386)</f>
        <v/>
      </c>
    </row>
    <row r="390" spans="1:10" x14ac:dyDescent="0.3">
      <c r="A390" s="15" t="str">
        <f>IF(MASTER_REGISTER!E387="","",MASTER_REGISTER!E387)</f>
        <v/>
      </c>
      <c r="B390" s="15" t="str">
        <f>IF($A390="","",MASTER_REGISTER!F387)</f>
        <v/>
      </c>
      <c r="C390" s="15" t="str">
        <f>IF($A390="","",MASTER_REGISTER!C387)</f>
        <v/>
      </c>
      <c r="D390" s="15" t="str">
        <f>IF($A390="","",MASTER_REGISTER!H387)</f>
        <v/>
      </c>
      <c r="E390" s="15" t="str">
        <f>IF($A390="","",MASTER_REGISTER!G387)</f>
        <v/>
      </c>
      <c r="F390" s="15" t="str">
        <f>IF($A390="","",MASTER_REGISTER!I387)</f>
        <v/>
      </c>
      <c r="G390" s="16" t="str">
        <f>IF($A390="","",MASTER_REGISTER!J387)</f>
        <v/>
      </c>
      <c r="H390" s="16" t="str">
        <f>IF($A390="","",MASTER_REGISTER!L387)</f>
        <v/>
      </c>
      <c r="I390" s="16" t="str">
        <f>IF($A390="","",MASTER_REGISTER!M387)</f>
        <v/>
      </c>
      <c r="J390" s="15" t="str">
        <f>IF($A390="","",MASTER_REGISTER!N387)</f>
        <v/>
      </c>
    </row>
    <row r="391" spans="1:10" x14ac:dyDescent="0.3">
      <c r="A391" s="15" t="str">
        <f>IF(MASTER_REGISTER!E388="","",MASTER_REGISTER!E388)</f>
        <v/>
      </c>
      <c r="B391" s="15" t="str">
        <f>IF($A391="","",MASTER_REGISTER!F388)</f>
        <v/>
      </c>
      <c r="C391" s="15" t="str">
        <f>IF($A391="","",MASTER_REGISTER!C388)</f>
        <v/>
      </c>
      <c r="D391" s="15" t="str">
        <f>IF($A391="","",MASTER_REGISTER!H388)</f>
        <v/>
      </c>
      <c r="E391" s="15" t="str">
        <f>IF($A391="","",MASTER_REGISTER!G388)</f>
        <v/>
      </c>
      <c r="F391" s="15" t="str">
        <f>IF($A391="","",MASTER_REGISTER!I388)</f>
        <v/>
      </c>
      <c r="G391" s="16" t="str">
        <f>IF($A391="","",MASTER_REGISTER!J388)</f>
        <v/>
      </c>
      <c r="H391" s="16" t="str">
        <f>IF($A391="","",MASTER_REGISTER!L388)</f>
        <v/>
      </c>
      <c r="I391" s="16" t="str">
        <f>IF($A391="","",MASTER_REGISTER!M388)</f>
        <v/>
      </c>
      <c r="J391" s="15" t="str">
        <f>IF($A391="","",MASTER_REGISTER!N388)</f>
        <v/>
      </c>
    </row>
    <row r="392" spans="1:10" x14ac:dyDescent="0.3">
      <c r="A392" s="15" t="str">
        <f>IF(MASTER_REGISTER!E389="","",MASTER_REGISTER!E389)</f>
        <v/>
      </c>
      <c r="B392" s="15" t="str">
        <f>IF($A392="","",MASTER_REGISTER!F389)</f>
        <v/>
      </c>
      <c r="C392" s="15" t="str">
        <f>IF($A392="","",MASTER_REGISTER!C389)</f>
        <v/>
      </c>
      <c r="D392" s="15" t="str">
        <f>IF($A392="","",MASTER_REGISTER!H389)</f>
        <v/>
      </c>
      <c r="E392" s="15" t="str">
        <f>IF($A392="","",MASTER_REGISTER!G389)</f>
        <v/>
      </c>
      <c r="F392" s="15" t="str">
        <f>IF($A392="","",MASTER_REGISTER!I389)</f>
        <v/>
      </c>
      <c r="G392" s="16" t="str">
        <f>IF($A392="","",MASTER_REGISTER!J389)</f>
        <v/>
      </c>
      <c r="H392" s="16" t="str">
        <f>IF($A392="","",MASTER_REGISTER!L389)</f>
        <v/>
      </c>
      <c r="I392" s="16" t="str">
        <f>IF($A392="","",MASTER_REGISTER!M389)</f>
        <v/>
      </c>
      <c r="J392" s="15" t="str">
        <f>IF($A392="","",MASTER_REGISTER!N389)</f>
        <v/>
      </c>
    </row>
    <row r="393" spans="1:10" x14ac:dyDescent="0.3">
      <c r="A393" s="15" t="str">
        <f>IF(MASTER_REGISTER!E390="","",MASTER_REGISTER!E390)</f>
        <v/>
      </c>
      <c r="B393" s="15" t="str">
        <f>IF($A393="","",MASTER_REGISTER!F390)</f>
        <v/>
      </c>
      <c r="C393" s="15" t="str">
        <f>IF($A393="","",MASTER_REGISTER!C390)</f>
        <v/>
      </c>
      <c r="D393" s="15" t="str">
        <f>IF($A393="","",MASTER_REGISTER!H390)</f>
        <v/>
      </c>
      <c r="E393" s="15" t="str">
        <f>IF($A393="","",MASTER_REGISTER!G390)</f>
        <v/>
      </c>
      <c r="F393" s="15" t="str">
        <f>IF($A393="","",MASTER_REGISTER!I390)</f>
        <v/>
      </c>
      <c r="G393" s="16" t="str">
        <f>IF($A393="","",MASTER_REGISTER!J390)</f>
        <v/>
      </c>
      <c r="H393" s="16" t="str">
        <f>IF($A393="","",MASTER_REGISTER!L390)</f>
        <v/>
      </c>
      <c r="I393" s="16" t="str">
        <f>IF($A393="","",MASTER_REGISTER!M390)</f>
        <v/>
      </c>
      <c r="J393" s="15" t="str">
        <f>IF($A393="","",MASTER_REGISTER!N390)</f>
        <v/>
      </c>
    </row>
    <row r="394" spans="1:10" x14ac:dyDescent="0.3">
      <c r="A394" s="15" t="str">
        <f>IF(MASTER_REGISTER!E391="","",MASTER_REGISTER!E391)</f>
        <v/>
      </c>
      <c r="B394" s="15" t="str">
        <f>IF($A394="","",MASTER_REGISTER!F391)</f>
        <v/>
      </c>
      <c r="C394" s="15" t="str">
        <f>IF($A394="","",MASTER_REGISTER!C391)</f>
        <v/>
      </c>
      <c r="D394" s="15" t="str">
        <f>IF($A394="","",MASTER_REGISTER!H391)</f>
        <v/>
      </c>
      <c r="E394" s="15" t="str">
        <f>IF($A394="","",MASTER_REGISTER!G391)</f>
        <v/>
      </c>
      <c r="F394" s="15" t="str">
        <f>IF($A394="","",MASTER_REGISTER!I391)</f>
        <v/>
      </c>
      <c r="G394" s="16" t="str">
        <f>IF($A394="","",MASTER_REGISTER!J391)</f>
        <v/>
      </c>
      <c r="H394" s="16" t="str">
        <f>IF($A394="","",MASTER_REGISTER!L391)</f>
        <v/>
      </c>
      <c r="I394" s="16" t="str">
        <f>IF($A394="","",MASTER_REGISTER!M391)</f>
        <v/>
      </c>
      <c r="J394" s="15" t="str">
        <f>IF($A394="","",MASTER_REGISTER!N391)</f>
        <v/>
      </c>
    </row>
    <row r="395" spans="1:10" x14ac:dyDescent="0.3">
      <c r="A395" s="15" t="str">
        <f>IF(MASTER_REGISTER!E392="","",MASTER_REGISTER!E392)</f>
        <v/>
      </c>
      <c r="B395" s="15" t="str">
        <f>IF($A395="","",MASTER_REGISTER!F392)</f>
        <v/>
      </c>
      <c r="C395" s="15" t="str">
        <f>IF($A395="","",MASTER_REGISTER!C392)</f>
        <v/>
      </c>
      <c r="D395" s="15" t="str">
        <f>IF($A395="","",MASTER_REGISTER!H392)</f>
        <v/>
      </c>
      <c r="E395" s="15" t="str">
        <f>IF($A395="","",MASTER_REGISTER!G392)</f>
        <v/>
      </c>
      <c r="F395" s="15" t="str">
        <f>IF($A395="","",MASTER_REGISTER!I392)</f>
        <v/>
      </c>
      <c r="G395" s="16" t="str">
        <f>IF($A395="","",MASTER_REGISTER!J392)</f>
        <v/>
      </c>
      <c r="H395" s="16" t="str">
        <f>IF($A395="","",MASTER_REGISTER!L392)</f>
        <v/>
      </c>
      <c r="I395" s="16" t="str">
        <f>IF($A395="","",MASTER_REGISTER!M392)</f>
        <v/>
      </c>
      <c r="J395" s="15" t="str">
        <f>IF($A395="","",MASTER_REGISTER!N392)</f>
        <v/>
      </c>
    </row>
    <row r="396" spans="1:10" x14ac:dyDescent="0.3">
      <c r="A396" s="15" t="str">
        <f>IF(MASTER_REGISTER!E393="","",MASTER_REGISTER!E393)</f>
        <v/>
      </c>
      <c r="B396" s="15" t="str">
        <f>IF($A396="","",MASTER_REGISTER!F393)</f>
        <v/>
      </c>
      <c r="C396" s="15" t="str">
        <f>IF($A396="","",MASTER_REGISTER!C393)</f>
        <v/>
      </c>
      <c r="D396" s="15" t="str">
        <f>IF($A396="","",MASTER_REGISTER!H393)</f>
        <v/>
      </c>
      <c r="E396" s="15" t="str">
        <f>IF($A396="","",MASTER_REGISTER!G393)</f>
        <v/>
      </c>
      <c r="F396" s="15" t="str">
        <f>IF($A396="","",MASTER_REGISTER!I393)</f>
        <v/>
      </c>
      <c r="G396" s="16" t="str">
        <f>IF($A396="","",MASTER_REGISTER!J393)</f>
        <v/>
      </c>
      <c r="H396" s="16" t="str">
        <f>IF($A396="","",MASTER_REGISTER!L393)</f>
        <v/>
      </c>
      <c r="I396" s="16" t="str">
        <f>IF($A396="","",MASTER_REGISTER!M393)</f>
        <v/>
      </c>
      <c r="J396" s="15" t="str">
        <f>IF($A396="","",MASTER_REGISTER!N393)</f>
        <v/>
      </c>
    </row>
    <row r="397" spans="1:10" x14ac:dyDescent="0.3">
      <c r="A397" s="15" t="str">
        <f>IF(MASTER_REGISTER!E394="","",MASTER_REGISTER!E394)</f>
        <v/>
      </c>
      <c r="B397" s="15" t="str">
        <f>IF($A397="","",MASTER_REGISTER!F394)</f>
        <v/>
      </c>
      <c r="C397" s="15" t="str">
        <f>IF($A397="","",MASTER_REGISTER!C394)</f>
        <v/>
      </c>
      <c r="D397" s="15" t="str">
        <f>IF($A397="","",MASTER_REGISTER!H394)</f>
        <v/>
      </c>
      <c r="E397" s="15" t="str">
        <f>IF($A397="","",MASTER_REGISTER!G394)</f>
        <v/>
      </c>
      <c r="F397" s="15" t="str">
        <f>IF($A397="","",MASTER_REGISTER!I394)</f>
        <v/>
      </c>
      <c r="G397" s="16" t="str">
        <f>IF($A397="","",MASTER_REGISTER!J394)</f>
        <v/>
      </c>
      <c r="H397" s="16" t="str">
        <f>IF($A397="","",MASTER_REGISTER!L394)</f>
        <v/>
      </c>
      <c r="I397" s="16" t="str">
        <f>IF($A397="","",MASTER_REGISTER!M394)</f>
        <v/>
      </c>
      <c r="J397" s="15" t="str">
        <f>IF($A397="","",MASTER_REGISTER!N394)</f>
        <v/>
      </c>
    </row>
    <row r="398" spans="1:10" x14ac:dyDescent="0.3">
      <c r="A398" s="15" t="str">
        <f>IF(MASTER_REGISTER!E395="","",MASTER_REGISTER!E395)</f>
        <v/>
      </c>
      <c r="B398" s="15" t="str">
        <f>IF($A398="","",MASTER_REGISTER!F395)</f>
        <v/>
      </c>
      <c r="C398" s="15" t="str">
        <f>IF($A398="","",MASTER_REGISTER!C395)</f>
        <v/>
      </c>
      <c r="D398" s="15" t="str">
        <f>IF($A398="","",MASTER_REGISTER!H395)</f>
        <v/>
      </c>
      <c r="E398" s="15" t="str">
        <f>IF($A398="","",MASTER_REGISTER!G395)</f>
        <v/>
      </c>
      <c r="F398" s="15" t="str">
        <f>IF($A398="","",MASTER_REGISTER!I395)</f>
        <v/>
      </c>
      <c r="G398" s="16" t="str">
        <f>IF($A398="","",MASTER_REGISTER!J395)</f>
        <v/>
      </c>
      <c r="H398" s="16" t="str">
        <f>IF($A398="","",MASTER_REGISTER!L395)</f>
        <v/>
      </c>
      <c r="I398" s="16" t="str">
        <f>IF($A398="","",MASTER_REGISTER!M395)</f>
        <v/>
      </c>
      <c r="J398" s="15" t="str">
        <f>IF($A398="","",MASTER_REGISTER!N395)</f>
        <v/>
      </c>
    </row>
    <row r="399" spans="1:10" x14ac:dyDescent="0.3">
      <c r="A399" s="15" t="str">
        <f>IF(MASTER_REGISTER!E396="","",MASTER_REGISTER!E396)</f>
        <v/>
      </c>
      <c r="B399" s="15" t="str">
        <f>IF($A399="","",MASTER_REGISTER!F396)</f>
        <v/>
      </c>
      <c r="C399" s="15" t="str">
        <f>IF($A399="","",MASTER_REGISTER!C396)</f>
        <v/>
      </c>
      <c r="D399" s="15" t="str">
        <f>IF($A399="","",MASTER_REGISTER!H396)</f>
        <v/>
      </c>
      <c r="E399" s="15" t="str">
        <f>IF($A399="","",MASTER_REGISTER!G396)</f>
        <v/>
      </c>
      <c r="F399" s="15" t="str">
        <f>IF($A399="","",MASTER_REGISTER!I396)</f>
        <v/>
      </c>
      <c r="G399" s="16" t="str">
        <f>IF($A399="","",MASTER_REGISTER!J396)</f>
        <v/>
      </c>
      <c r="H399" s="16" t="str">
        <f>IF($A399="","",MASTER_REGISTER!L396)</f>
        <v/>
      </c>
      <c r="I399" s="16" t="str">
        <f>IF($A399="","",MASTER_REGISTER!M396)</f>
        <v/>
      </c>
      <c r="J399" s="15" t="str">
        <f>IF($A399="","",MASTER_REGISTER!N396)</f>
        <v/>
      </c>
    </row>
    <row r="400" spans="1:10" x14ac:dyDescent="0.3">
      <c r="A400" s="15" t="str">
        <f>IF(MASTER_REGISTER!E397="","",MASTER_REGISTER!E397)</f>
        <v/>
      </c>
      <c r="B400" s="15" t="str">
        <f>IF($A400="","",MASTER_REGISTER!F397)</f>
        <v/>
      </c>
      <c r="C400" s="15" t="str">
        <f>IF($A400="","",MASTER_REGISTER!C397)</f>
        <v/>
      </c>
      <c r="D400" s="15" t="str">
        <f>IF($A400="","",MASTER_REGISTER!H397)</f>
        <v/>
      </c>
      <c r="E400" s="15" t="str">
        <f>IF($A400="","",MASTER_REGISTER!G397)</f>
        <v/>
      </c>
      <c r="F400" s="15" t="str">
        <f>IF($A400="","",MASTER_REGISTER!I397)</f>
        <v/>
      </c>
      <c r="G400" s="16" t="str">
        <f>IF($A400="","",MASTER_REGISTER!J397)</f>
        <v/>
      </c>
      <c r="H400" s="16" t="str">
        <f>IF($A400="","",MASTER_REGISTER!L397)</f>
        <v/>
      </c>
      <c r="I400" s="16" t="str">
        <f>IF($A400="","",MASTER_REGISTER!M397)</f>
        <v/>
      </c>
      <c r="J400" s="15" t="str">
        <f>IF($A400="","",MASTER_REGISTER!N397)</f>
        <v/>
      </c>
    </row>
    <row r="401" spans="1:10" x14ac:dyDescent="0.3">
      <c r="A401" s="15" t="str">
        <f>IF(MASTER_REGISTER!E398="","",MASTER_REGISTER!E398)</f>
        <v/>
      </c>
      <c r="B401" s="15" t="str">
        <f>IF($A401="","",MASTER_REGISTER!F398)</f>
        <v/>
      </c>
      <c r="C401" s="15" t="str">
        <f>IF($A401="","",MASTER_REGISTER!C398)</f>
        <v/>
      </c>
      <c r="D401" s="15" t="str">
        <f>IF($A401="","",MASTER_REGISTER!H398)</f>
        <v/>
      </c>
      <c r="E401" s="15" t="str">
        <f>IF($A401="","",MASTER_REGISTER!G398)</f>
        <v/>
      </c>
      <c r="F401" s="15" t="str">
        <f>IF($A401="","",MASTER_REGISTER!I398)</f>
        <v/>
      </c>
      <c r="G401" s="16" t="str">
        <f>IF($A401="","",MASTER_REGISTER!J398)</f>
        <v/>
      </c>
      <c r="H401" s="16" t="str">
        <f>IF($A401="","",MASTER_REGISTER!L398)</f>
        <v/>
      </c>
      <c r="I401" s="16" t="str">
        <f>IF($A401="","",MASTER_REGISTER!M398)</f>
        <v/>
      </c>
      <c r="J401" s="15" t="str">
        <f>IF($A401="","",MASTER_REGISTER!N398)</f>
        <v/>
      </c>
    </row>
    <row r="402" spans="1:10" x14ac:dyDescent="0.3">
      <c r="A402" s="15" t="str">
        <f>IF(MASTER_REGISTER!E399="","",MASTER_REGISTER!E399)</f>
        <v/>
      </c>
      <c r="B402" s="15" t="str">
        <f>IF($A402="","",MASTER_REGISTER!F399)</f>
        <v/>
      </c>
      <c r="C402" s="15" t="str">
        <f>IF($A402="","",MASTER_REGISTER!C399)</f>
        <v/>
      </c>
      <c r="D402" s="15" t="str">
        <f>IF($A402="","",MASTER_REGISTER!H399)</f>
        <v/>
      </c>
      <c r="E402" s="15" t="str">
        <f>IF($A402="","",MASTER_REGISTER!G399)</f>
        <v/>
      </c>
      <c r="F402" s="15" t="str">
        <f>IF($A402="","",MASTER_REGISTER!I399)</f>
        <v/>
      </c>
      <c r="G402" s="16" t="str">
        <f>IF($A402="","",MASTER_REGISTER!J399)</f>
        <v/>
      </c>
      <c r="H402" s="16" t="str">
        <f>IF($A402="","",MASTER_REGISTER!L399)</f>
        <v/>
      </c>
      <c r="I402" s="16" t="str">
        <f>IF($A402="","",MASTER_REGISTER!M399)</f>
        <v/>
      </c>
      <c r="J402" s="15" t="str">
        <f>IF($A402="","",MASTER_REGISTER!N399)</f>
        <v/>
      </c>
    </row>
    <row r="403" spans="1:10" x14ac:dyDescent="0.3">
      <c r="A403" s="15" t="str">
        <f>IF(MASTER_REGISTER!E400="","",MASTER_REGISTER!E400)</f>
        <v/>
      </c>
      <c r="B403" s="15" t="str">
        <f>IF($A403="","",MASTER_REGISTER!F400)</f>
        <v/>
      </c>
      <c r="C403" s="15" t="str">
        <f>IF($A403="","",MASTER_REGISTER!C400)</f>
        <v/>
      </c>
      <c r="D403" s="15" t="str">
        <f>IF($A403="","",MASTER_REGISTER!H400)</f>
        <v/>
      </c>
      <c r="E403" s="15" t="str">
        <f>IF($A403="","",MASTER_REGISTER!G400)</f>
        <v/>
      </c>
      <c r="F403" s="15" t="str">
        <f>IF($A403="","",MASTER_REGISTER!I400)</f>
        <v/>
      </c>
      <c r="G403" s="16" t="str">
        <f>IF($A403="","",MASTER_REGISTER!J400)</f>
        <v/>
      </c>
      <c r="H403" s="16" t="str">
        <f>IF($A403="","",MASTER_REGISTER!L400)</f>
        <v/>
      </c>
      <c r="I403" s="16" t="str">
        <f>IF($A403="","",MASTER_REGISTER!M400)</f>
        <v/>
      </c>
      <c r="J403" s="15" t="str">
        <f>IF($A403="","",MASTER_REGISTER!N400)</f>
        <v/>
      </c>
    </row>
    <row r="404" spans="1:10" x14ac:dyDescent="0.3">
      <c r="A404" s="15" t="str">
        <f>IF(MASTER_REGISTER!E401="","",MASTER_REGISTER!E401)</f>
        <v/>
      </c>
      <c r="B404" s="15" t="str">
        <f>IF($A404="","",MASTER_REGISTER!F401)</f>
        <v/>
      </c>
      <c r="C404" s="15" t="str">
        <f>IF($A404="","",MASTER_REGISTER!C401)</f>
        <v/>
      </c>
      <c r="D404" s="15" t="str">
        <f>IF($A404="","",MASTER_REGISTER!H401)</f>
        <v/>
      </c>
      <c r="E404" s="15" t="str">
        <f>IF($A404="","",MASTER_REGISTER!G401)</f>
        <v/>
      </c>
      <c r="F404" s="15" t="str">
        <f>IF($A404="","",MASTER_REGISTER!I401)</f>
        <v/>
      </c>
      <c r="G404" s="16" t="str">
        <f>IF($A404="","",MASTER_REGISTER!J401)</f>
        <v/>
      </c>
      <c r="H404" s="16" t="str">
        <f>IF($A404="","",MASTER_REGISTER!L401)</f>
        <v/>
      </c>
      <c r="I404" s="16" t="str">
        <f>IF($A404="","",MASTER_REGISTER!M401)</f>
        <v/>
      </c>
      <c r="J404" s="15" t="str">
        <f>IF($A404="","",MASTER_REGISTER!N401)</f>
        <v/>
      </c>
    </row>
    <row r="405" spans="1:10" x14ac:dyDescent="0.3">
      <c r="A405" s="15" t="str">
        <f>IF(MASTER_REGISTER!E402="","",MASTER_REGISTER!E402)</f>
        <v/>
      </c>
      <c r="B405" s="15" t="str">
        <f>IF($A405="","",MASTER_REGISTER!F402)</f>
        <v/>
      </c>
      <c r="C405" s="15" t="str">
        <f>IF($A405="","",MASTER_REGISTER!C402)</f>
        <v/>
      </c>
      <c r="D405" s="15" t="str">
        <f>IF($A405="","",MASTER_REGISTER!H402)</f>
        <v/>
      </c>
      <c r="E405" s="15" t="str">
        <f>IF($A405="","",MASTER_REGISTER!G402)</f>
        <v/>
      </c>
      <c r="F405" s="15" t="str">
        <f>IF($A405="","",MASTER_REGISTER!I402)</f>
        <v/>
      </c>
      <c r="G405" s="16" t="str">
        <f>IF($A405="","",MASTER_REGISTER!J402)</f>
        <v/>
      </c>
      <c r="H405" s="16" t="str">
        <f>IF($A405="","",MASTER_REGISTER!L402)</f>
        <v/>
      </c>
      <c r="I405" s="16" t="str">
        <f>IF($A405="","",MASTER_REGISTER!M402)</f>
        <v/>
      </c>
      <c r="J405" s="15" t="str">
        <f>IF($A405="","",MASTER_REGISTER!N402)</f>
        <v/>
      </c>
    </row>
    <row r="406" spans="1:10" x14ac:dyDescent="0.3">
      <c r="A406" s="15" t="str">
        <f>IF(MASTER_REGISTER!E403="","",MASTER_REGISTER!E403)</f>
        <v/>
      </c>
      <c r="B406" s="15" t="str">
        <f>IF($A406="","",MASTER_REGISTER!F403)</f>
        <v/>
      </c>
      <c r="C406" s="15" t="str">
        <f>IF($A406="","",MASTER_REGISTER!C403)</f>
        <v/>
      </c>
      <c r="D406" s="15" t="str">
        <f>IF($A406="","",MASTER_REGISTER!H403)</f>
        <v/>
      </c>
      <c r="E406" s="15" t="str">
        <f>IF($A406="","",MASTER_REGISTER!G403)</f>
        <v/>
      </c>
      <c r="F406" s="15" t="str">
        <f>IF($A406="","",MASTER_REGISTER!I403)</f>
        <v/>
      </c>
      <c r="G406" s="16" t="str">
        <f>IF($A406="","",MASTER_REGISTER!J403)</f>
        <v/>
      </c>
      <c r="H406" s="16" t="str">
        <f>IF($A406="","",MASTER_REGISTER!L403)</f>
        <v/>
      </c>
      <c r="I406" s="16" t="str">
        <f>IF($A406="","",MASTER_REGISTER!M403)</f>
        <v/>
      </c>
      <c r="J406" s="15" t="str">
        <f>IF($A406="","",MASTER_REGISTER!N403)</f>
        <v/>
      </c>
    </row>
    <row r="407" spans="1:10" x14ac:dyDescent="0.3">
      <c r="A407" s="15" t="str">
        <f>IF(MASTER_REGISTER!E404="","",MASTER_REGISTER!E404)</f>
        <v/>
      </c>
      <c r="B407" s="15" t="str">
        <f>IF($A407="","",MASTER_REGISTER!F404)</f>
        <v/>
      </c>
      <c r="C407" s="15" t="str">
        <f>IF($A407="","",MASTER_REGISTER!C404)</f>
        <v/>
      </c>
      <c r="D407" s="15" t="str">
        <f>IF($A407="","",MASTER_REGISTER!H404)</f>
        <v/>
      </c>
      <c r="E407" s="15" t="str">
        <f>IF($A407="","",MASTER_REGISTER!G404)</f>
        <v/>
      </c>
      <c r="F407" s="15" t="str">
        <f>IF($A407="","",MASTER_REGISTER!I404)</f>
        <v/>
      </c>
      <c r="G407" s="16" t="str">
        <f>IF($A407="","",MASTER_REGISTER!J404)</f>
        <v/>
      </c>
      <c r="H407" s="16" t="str">
        <f>IF($A407="","",MASTER_REGISTER!L404)</f>
        <v/>
      </c>
      <c r="I407" s="16" t="str">
        <f>IF($A407="","",MASTER_REGISTER!M404)</f>
        <v/>
      </c>
      <c r="J407" s="15" t="str">
        <f>IF($A407="","",MASTER_REGISTER!N404)</f>
        <v/>
      </c>
    </row>
    <row r="408" spans="1:10" x14ac:dyDescent="0.3">
      <c r="A408" s="15" t="str">
        <f>IF(MASTER_REGISTER!E405="","",MASTER_REGISTER!E405)</f>
        <v/>
      </c>
      <c r="B408" s="15" t="str">
        <f>IF($A408="","",MASTER_REGISTER!F405)</f>
        <v/>
      </c>
      <c r="C408" s="15" t="str">
        <f>IF($A408="","",MASTER_REGISTER!C405)</f>
        <v/>
      </c>
      <c r="D408" s="15" t="str">
        <f>IF($A408="","",MASTER_REGISTER!H405)</f>
        <v/>
      </c>
      <c r="E408" s="15" t="str">
        <f>IF($A408="","",MASTER_REGISTER!G405)</f>
        <v/>
      </c>
      <c r="F408" s="15" t="str">
        <f>IF($A408="","",MASTER_REGISTER!I405)</f>
        <v/>
      </c>
      <c r="G408" s="16" t="str">
        <f>IF($A408="","",MASTER_REGISTER!J405)</f>
        <v/>
      </c>
      <c r="H408" s="16" t="str">
        <f>IF($A408="","",MASTER_REGISTER!L405)</f>
        <v/>
      </c>
      <c r="I408" s="16" t="str">
        <f>IF($A408="","",MASTER_REGISTER!M405)</f>
        <v/>
      </c>
      <c r="J408" s="15" t="str">
        <f>IF($A408="","",MASTER_REGISTER!N405)</f>
        <v/>
      </c>
    </row>
    <row r="409" spans="1:10" x14ac:dyDescent="0.3">
      <c r="A409" s="15" t="str">
        <f>IF(MASTER_REGISTER!E406="","",MASTER_REGISTER!E406)</f>
        <v/>
      </c>
      <c r="B409" s="15" t="str">
        <f>IF($A409="","",MASTER_REGISTER!F406)</f>
        <v/>
      </c>
      <c r="C409" s="15" t="str">
        <f>IF($A409="","",MASTER_REGISTER!C406)</f>
        <v/>
      </c>
      <c r="D409" s="15" t="str">
        <f>IF($A409="","",MASTER_REGISTER!H406)</f>
        <v/>
      </c>
      <c r="E409" s="15" t="str">
        <f>IF($A409="","",MASTER_REGISTER!G406)</f>
        <v/>
      </c>
      <c r="F409" s="15" t="str">
        <f>IF($A409="","",MASTER_REGISTER!I406)</f>
        <v/>
      </c>
      <c r="G409" s="16" t="str">
        <f>IF($A409="","",MASTER_REGISTER!J406)</f>
        <v/>
      </c>
      <c r="H409" s="16" t="str">
        <f>IF($A409="","",MASTER_REGISTER!L406)</f>
        <v/>
      </c>
      <c r="I409" s="16" t="str">
        <f>IF($A409="","",MASTER_REGISTER!M406)</f>
        <v/>
      </c>
      <c r="J409" s="15" t="str">
        <f>IF($A409="","",MASTER_REGISTER!N406)</f>
        <v/>
      </c>
    </row>
    <row r="410" spans="1:10" x14ac:dyDescent="0.3">
      <c r="A410" s="15" t="str">
        <f>IF(MASTER_REGISTER!E407="","",MASTER_REGISTER!E407)</f>
        <v/>
      </c>
      <c r="B410" s="15" t="str">
        <f>IF($A410="","",MASTER_REGISTER!F407)</f>
        <v/>
      </c>
      <c r="C410" s="15" t="str">
        <f>IF($A410="","",MASTER_REGISTER!C407)</f>
        <v/>
      </c>
      <c r="D410" s="15" t="str">
        <f>IF($A410="","",MASTER_REGISTER!H407)</f>
        <v/>
      </c>
      <c r="E410" s="15" t="str">
        <f>IF($A410="","",MASTER_REGISTER!G407)</f>
        <v/>
      </c>
      <c r="F410" s="15" t="str">
        <f>IF($A410="","",MASTER_REGISTER!I407)</f>
        <v/>
      </c>
      <c r="G410" s="16" t="str">
        <f>IF($A410="","",MASTER_REGISTER!J407)</f>
        <v/>
      </c>
      <c r="H410" s="16" t="str">
        <f>IF($A410="","",MASTER_REGISTER!L407)</f>
        <v/>
      </c>
      <c r="I410" s="16" t="str">
        <f>IF($A410="","",MASTER_REGISTER!M407)</f>
        <v/>
      </c>
      <c r="J410" s="15" t="str">
        <f>IF($A410="","",MASTER_REGISTER!N407)</f>
        <v/>
      </c>
    </row>
    <row r="411" spans="1:10" x14ac:dyDescent="0.3">
      <c r="A411" s="15" t="str">
        <f>IF(MASTER_REGISTER!E408="","",MASTER_REGISTER!E408)</f>
        <v/>
      </c>
      <c r="B411" s="15" t="str">
        <f>IF($A411="","",MASTER_REGISTER!F408)</f>
        <v/>
      </c>
      <c r="C411" s="15" t="str">
        <f>IF($A411="","",MASTER_REGISTER!C408)</f>
        <v/>
      </c>
      <c r="D411" s="15" t="str">
        <f>IF($A411="","",MASTER_REGISTER!H408)</f>
        <v/>
      </c>
      <c r="E411" s="15" t="str">
        <f>IF($A411="","",MASTER_REGISTER!G408)</f>
        <v/>
      </c>
      <c r="F411" s="15" t="str">
        <f>IF($A411="","",MASTER_REGISTER!I408)</f>
        <v/>
      </c>
      <c r="G411" s="16" t="str">
        <f>IF($A411="","",MASTER_REGISTER!J408)</f>
        <v/>
      </c>
      <c r="H411" s="16" t="str">
        <f>IF($A411="","",MASTER_REGISTER!L408)</f>
        <v/>
      </c>
      <c r="I411" s="16" t="str">
        <f>IF($A411="","",MASTER_REGISTER!M408)</f>
        <v/>
      </c>
      <c r="J411" s="15" t="str">
        <f>IF($A411="","",MASTER_REGISTER!N408)</f>
        <v/>
      </c>
    </row>
    <row r="412" spans="1:10" x14ac:dyDescent="0.3">
      <c r="A412" s="15" t="str">
        <f>IF(MASTER_REGISTER!E409="","",MASTER_REGISTER!E409)</f>
        <v/>
      </c>
      <c r="B412" s="15" t="str">
        <f>IF($A412="","",MASTER_REGISTER!F409)</f>
        <v/>
      </c>
      <c r="C412" s="15" t="str">
        <f>IF($A412="","",MASTER_REGISTER!C409)</f>
        <v/>
      </c>
      <c r="D412" s="15" t="str">
        <f>IF($A412="","",MASTER_REGISTER!H409)</f>
        <v/>
      </c>
      <c r="E412" s="15" t="str">
        <f>IF($A412="","",MASTER_REGISTER!G409)</f>
        <v/>
      </c>
      <c r="F412" s="15" t="str">
        <f>IF($A412="","",MASTER_REGISTER!I409)</f>
        <v/>
      </c>
      <c r="G412" s="16" t="str">
        <f>IF($A412="","",MASTER_REGISTER!J409)</f>
        <v/>
      </c>
      <c r="H412" s="16" t="str">
        <f>IF($A412="","",MASTER_REGISTER!L409)</f>
        <v/>
      </c>
      <c r="I412" s="16" t="str">
        <f>IF($A412="","",MASTER_REGISTER!M409)</f>
        <v/>
      </c>
      <c r="J412" s="15" t="str">
        <f>IF($A412="","",MASTER_REGISTER!N409)</f>
        <v/>
      </c>
    </row>
    <row r="413" spans="1:10" x14ac:dyDescent="0.3">
      <c r="A413" s="15" t="str">
        <f>IF(MASTER_REGISTER!E410="","",MASTER_REGISTER!E410)</f>
        <v/>
      </c>
      <c r="B413" s="15" t="str">
        <f>IF($A413="","",MASTER_REGISTER!F410)</f>
        <v/>
      </c>
      <c r="C413" s="15" t="str">
        <f>IF($A413="","",MASTER_REGISTER!C410)</f>
        <v/>
      </c>
      <c r="D413" s="15" t="str">
        <f>IF($A413="","",MASTER_REGISTER!H410)</f>
        <v/>
      </c>
      <c r="E413" s="15" t="str">
        <f>IF($A413="","",MASTER_REGISTER!G410)</f>
        <v/>
      </c>
      <c r="F413" s="15" t="str">
        <f>IF($A413="","",MASTER_REGISTER!I410)</f>
        <v/>
      </c>
      <c r="G413" s="16" t="str">
        <f>IF($A413="","",MASTER_REGISTER!J410)</f>
        <v/>
      </c>
      <c r="H413" s="16" t="str">
        <f>IF($A413="","",MASTER_REGISTER!L410)</f>
        <v/>
      </c>
      <c r="I413" s="16" t="str">
        <f>IF($A413="","",MASTER_REGISTER!M410)</f>
        <v/>
      </c>
      <c r="J413" s="15" t="str">
        <f>IF($A413="","",MASTER_REGISTER!N410)</f>
        <v/>
      </c>
    </row>
    <row r="414" spans="1:10" x14ac:dyDescent="0.3">
      <c r="A414" s="15" t="str">
        <f>IF(MASTER_REGISTER!E411="","",MASTER_REGISTER!E411)</f>
        <v/>
      </c>
      <c r="B414" s="15" t="str">
        <f>IF($A414="","",MASTER_REGISTER!F411)</f>
        <v/>
      </c>
      <c r="C414" s="15" t="str">
        <f>IF($A414="","",MASTER_REGISTER!C411)</f>
        <v/>
      </c>
      <c r="D414" s="15" t="str">
        <f>IF($A414="","",MASTER_REGISTER!H411)</f>
        <v/>
      </c>
      <c r="E414" s="15" t="str">
        <f>IF($A414="","",MASTER_REGISTER!G411)</f>
        <v/>
      </c>
      <c r="F414" s="15" t="str">
        <f>IF($A414="","",MASTER_REGISTER!I411)</f>
        <v/>
      </c>
      <c r="G414" s="16" t="str">
        <f>IF($A414="","",MASTER_REGISTER!J411)</f>
        <v/>
      </c>
      <c r="H414" s="16" t="str">
        <f>IF($A414="","",MASTER_REGISTER!L411)</f>
        <v/>
      </c>
      <c r="I414" s="16" t="str">
        <f>IF($A414="","",MASTER_REGISTER!M411)</f>
        <v/>
      </c>
      <c r="J414" s="15" t="str">
        <f>IF($A414="","",MASTER_REGISTER!N411)</f>
        <v/>
      </c>
    </row>
    <row r="415" spans="1:10" x14ac:dyDescent="0.3">
      <c r="A415" s="15" t="str">
        <f>IF(MASTER_REGISTER!E412="","",MASTER_REGISTER!E412)</f>
        <v/>
      </c>
      <c r="B415" s="15" t="str">
        <f>IF($A415="","",MASTER_REGISTER!F412)</f>
        <v/>
      </c>
      <c r="C415" s="15" t="str">
        <f>IF($A415="","",MASTER_REGISTER!C412)</f>
        <v/>
      </c>
      <c r="D415" s="15" t="str">
        <f>IF($A415="","",MASTER_REGISTER!H412)</f>
        <v/>
      </c>
      <c r="E415" s="15" t="str">
        <f>IF($A415="","",MASTER_REGISTER!G412)</f>
        <v/>
      </c>
      <c r="F415" s="15" t="str">
        <f>IF($A415="","",MASTER_REGISTER!I412)</f>
        <v/>
      </c>
      <c r="G415" s="16" t="str">
        <f>IF($A415="","",MASTER_REGISTER!J412)</f>
        <v/>
      </c>
      <c r="H415" s="16" t="str">
        <f>IF($A415="","",MASTER_REGISTER!L412)</f>
        <v/>
      </c>
      <c r="I415" s="16" t="str">
        <f>IF($A415="","",MASTER_REGISTER!M412)</f>
        <v/>
      </c>
      <c r="J415" s="15" t="str">
        <f>IF($A415="","",MASTER_REGISTER!N412)</f>
        <v/>
      </c>
    </row>
    <row r="416" spans="1:10" x14ac:dyDescent="0.3">
      <c r="A416" s="15" t="str">
        <f>IF(MASTER_REGISTER!E413="","",MASTER_REGISTER!E413)</f>
        <v/>
      </c>
      <c r="B416" s="15" t="str">
        <f>IF($A416="","",MASTER_REGISTER!F413)</f>
        <v/>
      </c>
      <c r="C416" s="15" t="str">
        <f>IF($A416="","",MASTER_REGISTER!C413)</f>
        <v/>
      </c>
      <c r="D416" s="15" t="str">
        <f>IF($A416="","",MASTER_REGISTER!H413)</f>
        <v/>
      </c>
      <c r="E416" s="15" t="str">
        <f>IF($A416="","",MASTER_REGISTER!G413)</f>
        <v/>
      </c>
      <c r="F416" s="15" t="str">
        <f>IF($A416="","",MASTER_REGISTER!I413)</f>
        <v/>
      </c>
      <c r="G416" s="16" t="str">
        <f>IF($A416="","",MASTER_REGISTER!J413)</f>
        <v/>
      </c>
      <c r="H416" s="16" t="str">
        <f>IF($A416="","",MASTER_REGISTER!L413)</f>
        <v/>
      </c>
      <c r="I416" s="16" t="str">
        <f>IF($A416="","",MASTER_REGISTER!M413)</f>
        <v/>
      </c>
      <c r="J416" s="15" t="str">
        <f>IF($A416="","",MASTER_REGISTER!N413)</f>
        <v/>
      </c>
    </row>
    <row r="417" spans="1:10" x14ac:dyDescent="0.3">
      <c r="A417" s="15" t="str">
        <f>IF(MASTER_REGISTER!E414="","",MASTER_REGISTER!E414)</f>
        <v/>
      </c>
      <c r="B417" s="15" t="str">
        <f>IF($A417="","",MASTER_REGISTER!F414)</f>
        <v/>
      </c>
      <c r="C417" s="15" t="str">
        <f>IF($A417="","",MASTER_REGISTER!C414)</f>
        <v/>
      </c>
      <c r="D417" s="15" t="str">
        <f>IF($A417="","",MASTER_REGISTER!H414)</f>
        <v/>
      </c>
      <c r="E417" s="15" t="str">
        <f>IF($A417="","",MASTER_REGISTER!G414)</f>
        <v/>
      </c>
      <c r="F417" s="15" t="str">
        <f>IF($A417="","",MASTER_REGISTER!I414)</f>
        <v/>
      </c>
      <c r="G417" s="16" t="str">
        <f>IF($A417="","",MASTER_REGISTER!J414)</f>
        <v/>
      </c>
      <c r="H417" s="16" t="str">
        <f>IF($A417="","",MASTER_REGISTER!L414)</f>
        <v/>
      </c>
      <c r="I417" s="16" t="str">
        <f>IF($A417="","",MASTER_REGISTER!M414)</f>
        <v/>
      </c>
      <c r="J417" s="15" t="str">
        <f>IF($A417="","",MASTER_REGISTER!N414)</f>
        <v/>
      </c>
    </row>
    <row r="418" spans="1:10" x14ac:dyDescent="0.3">
      <c r="A418" s="15" t="str">
        <f>IF(MASTER_REGISTER!E415="","",MASTER_REGISTER!E415)</f>
        <v/>
      </c>
      <c r="B418" s="15" t="str">
        <f>IF($A418="","",MASTER_REGISTER!F415)</f>
        <v/>
      </c>
      <c r="C418" s="15" t="str">
        <f>IF($A418="","",MASTER_REGISTER!C415)</f>
        <v/>
      </c>
      <c r="D418" s="15" t="str">
        <f>IF($A418="","",MASTER_REGISTER!H415)</f>
        <v/>
      </c>
      <c r="E418" s="15" t="str">
        <f>IF($A418="","",MASTER_REGISTER!G415)</f>
        <v/>
      </c>
      <c r="F418" s="15" t="str">
        <f>IF($A418="","",MASTER_REGISTER!I415)</f>
        <v/>
      </c>
      <c r="G418" s="16" t="str">
        <f>IF($A418="","",MASTER_REGISTER!J415)</f>
        <v/>
      </c>
      <c r="H418" s="16" t="str">
        <f>IF($A418="","",MASTER_REGISTER!L415)</f>
        <v/>
      </c>
      <c r="I418" s="16" t="str">
        <f>IF($A418="","",MASTER_REGISTER!M415)</f>
        <v/>
      </c>
      <c r="J418" s="15" t="str">
        <f>IF($A418="","",MASTER_REGISTER!N415)</f>
        <v/>
      </c>
    </row>
    <row r="419" spans="1:10" x14ac:dyDescent="0.3">
      <c r="A419" s="15" t="str">
        <f>IF(MASTER_REGISTER!E416="","",MASTER_REGISTER!E416)</f>
        <v/>
      </c>
      <c r="B419" s="15" t="str">
        <f>IF($A419="","",MASTER_REGISTER!F416)</f>
        <v/>
      </c>
      <c r="C419" s="15" t="str">
        <f>IF($A419="","",MASTER_REGISTER!C416)</f>
        <v/>
      </c>
      <c r="D419" s="15" t="str">
        <f>IF($A419="","",MASTER_REGISTER!H416)</f>
        <v/>
      </c>
      <c r="E419" s="15" t="str">
        <f>IF($A419="","",MASTER_REGISTER!G416)</f>
        <v/>
      </c>
      <c r="F419" s="15" t="str">
        <f>IF($A419="","",MASTER_REGISTER!I416)</f>
        <v/>
      </c>
      <c r="G419" s="16" t="str">
        <f>IF($A419="","",MASTER_REGISTER!J416)</f>
        <v/>
      </c>
      <c r="H419" s="16" t="str">
        <f>IF($A419="","",MASTER_REGISTER!L416)</f>
        <v/>
      </c>
      <c r="I419" s="16" t="str">
        <f>IF($A419="","",MASTER_REGISTER!M416)</f>
        <v/>
      </c>
      <c r="J419" s="15" t="str">
        <f>IF($A419="","",MASTER_REGISTER!N416)</f>
        <v/>
      </c>
    </row>
    <row r="420" spans="1:10" x14ac:dyDescent="0.3">
      <c r="A420" s="15" t="str">
        <f>IF(MASTER_REGISTER!E417="","",MASTER_REGISTER!E417)</f>
        <v/>
      </c>
      <c r="B420" s="15" t="str">
        <f>IF($A420="","",MASTER_REGISTER!F417)</f>
        <v/>
      </c>
      <c r="C420" s="15" t="str">
        <f>IF($A420="","",MASTER_REGISTER!C417)</f>
        <v/>
      </c>
      <c r="D420" s="15" t="str">
        <f>IF($A420="","",MASTER_REGISTER!H417)</f>
        <v/>
      </c>
      <c r="E420" s="15" t="str">
        <f>IF($A420="","",MASTER_REGISTER!G417)</f>
        <v/>
      </c>
      <c r="F420" s="15" t="str">
        <f>IF($A420="","",MASTER_REGISTER!I417)</f>
        <v/>
      </c>
      <c r="G420" s="16" t="str">
        <f>IF($A420="","",MASTER_REGISTER!J417)</f>
        <v/>
      </c>
      <c r="H420" s="16" t="str">
        <f>IF($A420="","",MASTER_REGISTER!L417)</f>
        <v/>
      </c>
      <c r="I420" s="16" t="str">
        <f>IF($A420="","",MASTER_REGISTER!M417)</f>
        <v/>
      </c>
      <c r="J420" s="15" t="str">
        <f>IF($A420="","",MASTER_REGISTER!N417)</f>
        <v/>
      </c>
    </row>
    <row r="421" spans="1:10" x14ac:dyDescent="0.3">
      <c r="A421" s="15" t="str">
        <f>IF(MASTER_REGISTER!E418="","",MASTER_REGISTER!E418)</f>
        <v/>
      </c>
      <c r="B421" s="15" t="str">
        <f>IF($A421="","",MASTER_REGISTER!F418)</f>
        <v/>
      </c>
      <c r="C421" s="15" t="str">
        <f>IF($A421="","",MASTER_REGISTER!C418)</f>
        <v/>
      </c>
      <c r="D421" s="15" t="str">
        <f>IF($A421="","",MASTER_REGISTER!H418)</f>
        <v/>
      </c>
      <c r="E421" s="15" t="str">
        <f>IF($A421="","",MASTER_REGISTER!G418)</f>
        <v/>
      </c>
      <c r="F421" s="15" t="str">
        <f>IF($A421="","",MASTER_REGISTER!I418)</f>
        <v/>
      </c>
      <c r="G421" s="16" t="str">
        <f>IF($A421="","",MASTER_REGISTER!J418)</f>
        <v/>
      </c>
      <c r="H421" s="16" t="str">
        <f>IF($A421="","",MASTER_REGISTER!L418)</f>
        <v/>
      </c>
      <c r="I421" s="16" t="str">
        <f>IF($A421="","",MASTER_REGISTER!M418)</f>
        <v/>
      </c>
      <c r="J421" s="15" t="str">
        <f>IF($A421="","",MASTER_REGISTER!N418)</f>
        <v/>
      </c>
    </row>
    <row r="422" spans="1:10" x14ac:dyDescent="0.3">
      <c r="A422" s="15" t="str">
        <f>IF(MASTER_REGISTER!E419="","",MASTER_REGISTER!E419)</f>
        <v/>
      </c>
      <c r="B422" s="15" t="str">
        <f>IF($A422="","",MASTER_REGISTER!F419)</f>
        <v/>
      </c>
      <c r="C422" s="15" t="str">
        <f>IF($A422="","",MASTER_REGISTER!C419)</f>
        <v/>
      </c>
      <c r="D422" s="15" t="str">
        <f>IF($A422="","",MASTER_REGISTER!H419)</f>
        <v/>
      </c>
      <c r="E422" s="15" t="str">
        <f>IF($A422="","",MASTER_REGISTER!G419)</f>
        <v/>
      </c>
      <c r="F422" s="15" t="str">
        <f>IF($A422="","",MASTER_REGISTER!I419)</f>
        <v/>
      </c>
      <c r="G422" s="16" t="str">
        <f>IF($A422="","",MASTER_REGISTER!J419)</f>
        <v/>
      </c>
      <c r="H422" s="16" t="str">
        <f>IF($A422="","",MASTER_REGISTER!L419)</f>
        <v/>
      </c>
      <c r="I422" s="16" t="str">
        <f>IF($A422="","",MASTER_REGISTER!M419)</f>
        <v/>
      </c>
      <c r="J422" s="15" t="str">
        <f>IF($A422="","",MASTER_REGISTER!N419)</f>
        <v/>
      </c>
    </row>
    <row r="423" spans="1:10" x14ac:dyDescent="0.3">
      <c r="A423" s="15" t="str">
        <f>IF(MASTER_REGISTER!E420="","",MASTER_REGISTER!E420)</f>
        <v/>
      </c>
      <c r="B423" s="15" t="str">
        <f>IF($A423="","",MASTER_REGISTER!F420)</f>
        <v/>
      </c>
      <c r="C423" s="15" t="str">
        <f>IF($A423="","",MASTER_REGISTER!C420)</f>
        <v/>
      </c>
      <c r="D423" s="15" t="str">
        <f>IF($A423="","",MASTER_REGISTER!H420)</f>
        <v/>
      </c>
      <c r="E423" s="15" t="str">
        <f>IF($A423="","",MASTER_REGISTER!G420)</f>
        <v/>
      </c>
      <c r="F423" s="15" t="str">
        <f>IF($A423="","",MASTER_REGISTER!I420)</f>
        <v/>
      </c>
      <c r="G423" s="16" t="str">
        <f>IF($A423="","",MASTER_REGISTER!J420)</f>
        <v/>
      </c>
      <c r="H423" s="16" t="str">
        <f>IF($A423="","",MASTER_REGISTER!L420)</f>
        <v/>
      </c>
      <c r="I423" s="16" t="str">
        <f>IF($A423="","",MASTER_REGISTER!M420)</f>
        <v/>
      </c>
      <c r="J423" s="15" t="str">
        <f>IF($A423="","",MASTER_REGISTER!N420)</f>
        <v/>
      </c>
    </row>
    <row r="424" spans="1:10" x14ac:dyDescent="0.3">
      <c r="A424" s="15" t="str">
        <f>IF(MASTER_REGISTER!E421="","",MASTER_REGISTER!E421)</f>
        <v/>
      </c>
      <c r="B424" s="15" t="str">
        <f>IF($A424="","",MASTER_REGISTER!F421)</f>
        <v/>
      </c>
      <c r="C424" s="15" t="str">
        <f>IF($A424="","",MASTER_REGISTER!C421)</f>
        <v/>
      </c>
      <c r="D424" s="15" t="str">
        <f>IF($A424="","",MASTER_REGISTER!H421)</f>
        <v/>
      </c>
      <c r="E424" s="15" t="str">
        <f>IF($A424="","",MASTER_REGISTER!G421)</f>
        <v/>
      </c>
      <c r="F424" s="15" t="str">
        <f>IF($A424="","",MASTER_REGISTER!I421)</f>
        <v/>
      </c>
      <c r="G424" s="16" t="str">
        <f>IF($A424="","",MASTER_REGISTER!J421)</f>
        <v/>
      </c>
      <c r="H424" s="16" t="str">
        <f>IF($A424="","",MASTER_REGISTER!L421)</f>
        <v/>
      </c>
      <c r="I424" s="16" t="str">
        <f>IF($A424="","",MASTER_REGISTER!M421)</f>
        <v/>
      </c>
      <c r="J424" s="15" t="str">
        <f>IF($A424="","",MASTER_REGISTER!N421)</f>
        <v/>
      </c>
    </row>
    <row r="425" spans="1:10" x14ac:dyDescent="0.3">
      <c r="A425" s="15" t="str">
        <f>IF(MASTER_REGISTER!E422="","",MASTER_REGISTER!E422)</f>
        <v/>
      </c>
      <c r="B425" s="15" t="str">
        <f>IF($A425="","",MASTER_REGISTER!F422)</f>
        <v/>
      </c>
      <c r="C425" s="15" t="str">
        <f>IF($A425="","",MASTER_REGISTER!C422)</f>
        <v/>
      </c>
      <c r="D425" s="15" t="str">
        <f>IF($A425="","",MASTER_REGISTER!H422)</f>
        <v/>
      </c>
      <c r="E425" s="15" t="str">
        <f>IF($A425="","",MASTER_REGISTER!G422)</f>
        <v/>
      </c>
      <c r="F425" s="15" t="str">
        <f>IF($A425="","",MASTER_REGISTER!I422)</f>
        <v/>
      </c>
      <c r="G425" s="16" t="str">
        <f>IF($A425="","",MASTER_REGISTER!J422)</f>
        <v/>
      </c>
      <c r="H425" s="16" t="str">
        <f>IF($A425="","",MASTER_REGISTER!L422)</f>
        <v/>
      </c>
      <c r="I425" s="16" t="str">
        <f>IF($A425="","",MASTER_REGISTER!M422)</f>
        <v/>
      </c>
      <c r="J425" s="15" t="str">
        <f>IF($A425="","",MASTER_REGISTER!N422)</f>
        <v/>
      </c>
    </row>
    <row r="426" spans="1:10" x14ac:dyDescent="0.3">
      <c r="A426" s="15" t="str">
        <f>IF(MASTER_REGISTER!E423="","",MASTER_REGISTER!E423)</f>
        <v/>
      </c>
      <c r="B426" s="15" t="str">
        <f>IF($A426="","",MASTER_REGISTER!F423)</f>
        <v/>
      </c>
      <c r="C426" s="15" t="str">
        <f>IF($A426="","",MASTER_REGISTER!C423)</f>
        <v/>
      </c>
      <c r="D426" s="15" t="str">
        <f>IF($A426="","",MASTER_REGISTER!H423)</f>
        <v/>
      </c>
      <c r="E426" s="15" t="str">
        <f>IF($A426="","",MASTER_REGISTER!G423)</f>
        <v/>
      </c>
      <c r="F426" s="15" t="str">
        <f>IF($A426="","",MASTER_REGISTER!I423)</f>
        <v/>
      </c>
      <c r="G426" s="16" t="str">
        <f>IF($A426="","",MASTER_REGISTER!J423)</f>
        <v/>
      </c>
      <c r="H426" s="16" t="str">
        <f>IF($A426="","",MASTER_REGISTER!L423)</f>
        <v/>
      </c>
      <c r="I426" s="16" t="str">
        <f>IF($A426="","",MASTER_REGISTER!M423)</f>
        <v/>
      </c>
      <c r="J426" s="15" t="str">
        <f>IF($A426="","",MASTER_REGISTER!N423)</f>
        <v/>
      </c>
    </row>
    <row r="427" spans="1:10" x14ac:dyDescent="0.3">
      <c r="A427" s="15" t="str">
        <f>IF(MASTER_REGISTER!E424="","",MASTER_REGISTER!E424)</f>
        <v/>
      </c>
      <c r="B427" s="15" t="str">
        <f>IF($A427="","",MASTER_REGISTER!F424)</f>
        <v/>
      </c>
      <c r="C427" s="15" t="str">
        <f>IF($A427="","",MASTER_REGISTER!C424)</f>
        <v/>
      </c>
      <c r="D427" s="15" t="str">
        <f>IF($A427="","",MASTER_REGISTER!H424)</f>
        <v/>
      </c>
      <c r="E427" s="15" t="str">
        <f>IF($A427="","",MASTER_REGISTER!G424)</f>
        <v/>
      </c>
      <c r="F427" s="15" t="str">
        <f>IF($A427="","",MASTER_REGISTER!I424)</f>
        <v/>
      </c>
      <c r="G427" s="16" t="str">
        <f>IF($A427="","",MASTER_REGISTER!J424)</f>
        <v/>
      </c>
      <c r="H427" s="16" t="str">
        <f>IF($A427="","",MASTER_REGISTER!L424)</f>
        <v/>
      </c>
      <c r="I427" s="16" t="str">
        <f>IF($A427="","",MASTER_REGISTER!M424)</f>
        <v/>
      </c>
      <c r="J427" s="15" t="str">
        <f>IF($A427="","",MASTER_REGISTER!N424)</f>
        <v/>
      </c>
    </row>
    <row r="428" spans="1:10" x14ac:dyDescent="0.3">
      <c r="A428" s="15" t="str">
        <f>IF(MASTER_REGISTER!E425="","",MASTER_REGISTER!E425)</f>
        <v/>
      </c>
      <c r="B428" s="15" t="str">
        <f>IF($A428="","",MASTER_REGISTER!F425)</f>
        <v/>
      </c>
      <c r="C428" s="15" t="str">
        <f>IF($A428="","",MASTER_REGISTER!C425)</f>
        <v/>
      </c>
      <c r="D428" s="15" t="str">
        <f>IF($A428="","",MASTER_REGISTER!H425)</f>
        <v/>
      </c>
      <c r="E428" s="15" t="str">
        <f>IF($A428="","",MASTER_REGISTER!G425)</f>
        <v/>
      </c>
      <c r="F428" s="15" t="str">
        <f>IF($A428="","",MASTER_REGISTER!I425)</f>
        <v/>
      </c>
      <c r="G428" s="16" t="str">
        <f>IF($A428="","",MASTER_REGISTER!J425)</f>
        <v/>
      </c>
      <c r="H428" s="16" t="str">
        <f>IF($A428="","",MASTER_REGISTER!L425)</f>
        <v/>
      </c>
      <c r="I428" s="16" t="str">
        <f>IF($A428="","",MASTER_REGISTER!M425)</f>
        <v/>
      </c>
      <c r="J428" s="15" t="str">
        <f>IF($A428="","",MASTER_REGISTER!N425)</f>
        <v/>
      </c>
    </row>
    <row r="429" spans="1:10" x14ac:dyDescent="0.3">
      <c r="A429" s="15" t="str">
        <f>IF(MASTER_REGISTER!E426="","",MASTER_REGISTER!E426)</f>
        <v/>
      </c>
      <c r="B429" s="15" t="str">
        <f>IF($A429="","",MASTER_REGISTER!F426)</f>
        <v/>
      </c>
      <c r="C429" s="15" t="str">
        <f>IF($A429="","",MASTER_REGISTER!C426)</f>
        <v/>
      </c>
      <c r="D429" s="15" t="str">
        <f>IF($A429="","",MASTER_REGISTER!H426)</f>
        <v/>
      </c>
      <c r="E429" s="15" t="str">
        <f>IF($A429="","",MASTER_REGISTER!G426)</f>
        <v/>
      </c>
      <c r="F429" s="15" t="str">
        <f>IF($A429="","",MASTER_REGISTER!I426)</f>
        <v/>
      </c>
      <c r="G429" s="16" t="str">
        <f>IF($A429="","",MASTER_REGISTER!J426)</f>
        <v/>
      </c>
      <c r="H429" s="16" t="str">
        <f>IF($A429="","",MASTER_REGISTER!L426)</f>
        <v/>
      </c>
      <c r="I429" s="16" t="str">
        <f>IF($A429="","",MASTER_REGISTER!M426)</f>
        <v/>
      </c>
      <c r="J429" s="15" t="str">
        <f>IF($A429="","",MASTER_REGISTER!N426)</f>
        <v/>
      </c>
    </row>
    <row r="430" spans="1:10" x14ac:dyDescent="0.3">
      <c r="A430" s="15" t="str">
        <f>IF(MASTER_REGISTER!E427="","",MASTER_REGISTER!E427)</f>
        <v/>
      </c>
      <c r="B430" s="15" t="str">
        <f>IF($A430="","",MASTER_REGISTER!F427)</f>
        <v/>
      </c>
      <c r="C430" s="15" t="str">
        <f>IF($A430="","",MASTER_REGISTER!C427)</f>
        <v/>
      </c>
      <c r="D430" s="15" t="str">
        <f>IF($A430="","",MASTER_REGISTER!H427)</f>
        <v/>
      </c>
      <c r="E430" s="15" t="str">
        <f>IF($A430="","",MASTER_REGISTER!G427)</f>
        <v/>
      </c>
      <c r="F430" s="15" t="str">
        <f>IF($A430="","",MASTER_REGISTER!I427)</f>
        <v/>
      </c>
      <c r="G430" s="16" t="str">
        <f>IF($A430="","",MASTER_REGISTER!J427)</f>
        <v/>
      </c>
      <c r="H430" s="16" t="str">
        <f>IF($A430="","",MASTER_REGISTER!L427)</f>
        <v/>
      </c>
      <c r="I430" s="16" t="str">
        <f>IF($A430="","",MASTER_REGISTER!M427)</f>
        <v/>
      </c>
      <c r="J430" s="15" t="str">
        <f>IF($A430="","",MASTER_REGISTER!N427)</f>
        <v/>
      </c>
    </row>
    <row r="431" spans="1:10" x14ac:dyDescent="0.3">
      <c r="A431" s="15" t="str">
        <f>IF(MASTER_REGISTER!E428="","",MASTER_REGISTER!E428)</f>
        <v/>
      </c>
      <c r="B431" s="15" t="str">
        <f>IF($A431="","",MASTER_REGISTER!F428)</f>
        <v/>
      </c>
      <c r="C431" s="15" t="str">
        <f>IF($A431="","",MASTER_REGISTER!C428)</f>
        <v/>
      </c>
      <c r="D431" s="15" t="str">
        <f>IF($A431="","",MASTER_REGISTER!H428)</f>
        <v/>
      </c>
      <c r="E431" s="15" t="str">
        <f>IF($A431="","",MASTER_REGISTER!G428)</f>
        <v/>
      </c>
      <c r="F431" s="15" t="str">
        <f>IF($A431="","",MASTER_REGISTER!I428)</f>
        <v/>
      </c>
      <c r="G431" s="16" t="str">
        <f>IF($A431="","",MASTER_REGISTER!J428)</f>
        <v/>
      </c>
      <c r="H431" s="16" t="str">
        <f>IF($A431="","",MASTER_REGISTER!L428)</f>
        <v/>
      </c>
      <c r="I431" s="16" t="str">
        <f>IF($A431="","",MASTER_REGISTER!M428)</f>
        <v/>
      </c>
      <c r="J431" s="15" t="str">
        <f>IF($A431="","",MASTER_REGISTER!N428)</f>
        <v/>
      </c>
    </row>
    <row r="432" spans="1:10" x14ac:dyDescent="0.3">
      <c r="A432" s="15" t="str">
        <f>IF(MASTER_REGISTER!E429="","",MASTER_REGISTER!E429)</f>
        <v/>
      </c>
      <c r="B432" s="15" t="str">
        <f>IF($A432="","",MASTER_REGISTER!F429)</f>
        <v/>
      </c>
      <c r="C432" s="15" t="str">
        <f>IF($A432="","",MASTER_REGISTER!C429)</f>
        <v/>
      </c>
      <c r="D432" s="15" t="str">
        <f>IF($A432="","",MASTER_REGISTER!H429)</f>
        <v/>
      </c>
      <c r="E432" s="15" t="str">
        <f>IF($A432="","",MASTER_REGISTER!G429)</f>
        <v/>
      </c>
      <c r="F432" s="15" t="str">
        <f>IF($A432="","",MASTER_REGISTER!I429)</f>
        <v/>
      </c>
      <c r="G432" s="16" t="str">
        <f>IF($A432="","",MASTER_REGISTER!J429)</f>
        <v/>
      </c>
      <c r="H432" s="16" t="str">
        <f>IF($A432="","",MASTER_REGISTER!L429)</f>
        <v/>
      </c>
      <c r="I432" s="16" t="str">
        <f>IF($A432="","",MASTER_REGISTER!M429)</f>
        <v/>
      </c>
      <c r="J432" s="15" t="str">
        <f>IF($A432="","",MASTER_REGISTER!N429)</f>
        <v/>
      </c>
    </row>
    <row r="433" spans="1:10" x14ac:dyDescent="0.3">
      <c r="A433" s="15" t="str">
        <f>IF(MASTER_REGISTER!E430="","",MASTER_REGISTER!E430)</f>
        <v/>
      </c>
      <c r="B433" s="15" t="str">
        <f>IF($A433="","",MASTER_REGISTER!F430)</f>
        <v/>
      </c>
      <c r="C433" s="15" t="str">
        <f>IF($A433="","",MASTER_REGISTER!C430)</f>
        <v/>
      </c>
      <c r="D433" s="15" t="str">
        <f>IF($A433="","",MASTER_REGISTER!H430)</f>
        <v/>
      </c>
      <c r="E433" s="15" t="str">
        <f>IF($A433="","",MASTER_REGISTER!G430)</f>
        <v/>
      </c>
      <c r="F433" s="15" t="str">
        <f>IF($A433="","",MASTER_REGISTER!I430)</f>
        <v/>
      </c>
      <c r="G433" s="16" t="str">
        <f>IF($A433="","",MASTER_REGISTER!J430)</f>
        <v/>
      </c>
      <c r="H433" s="16" t="str">
        <f>IF($A433="","",MASTER_REGISTER!L430)</f>
        <v/>
      </c>
      <c r="I433" s="16" t="str">
        <f>IF($A433="","",MASTER_REGISTER!M430)</f>
        <v/>
      </c>
      <c r="J433" s="15" t="str">
        <f>IF($A433="","",MASTER_REGISTER!N430)</f>
        <v/>
      </c>
    </row>
    <row r="434" spans="1:10" x14ac:dyDescent="0.3">
      <c r="A434" s="15" t="str">
        <f>IF(MASTER_REGISTER!E431="","",MASTER_REGISTER!E431)</f>
        <v/>
      </c>
      <c r="B434" s="15" t="str">
        <f>IF($A434="","",MASTER_REGISTER!F431)</f>
        <v/>
      </c>
      <c r="C434" s="15" t="str">
        <f>IF($A434="","",MASTER_REGISTER!C431)</f>
        <v/>
      </c>
      <c r="D434" s="15" t="str">
        <f>IF($A434="","",MASTER_REGISTER!H431)</f>
        <v/>
      </c>
      <c r="E434" s="15" t="str">
        <f>IF($A434="","",MASTER_REGISTER!G431)</f>
        <v/>
      </c>
      <c r="F434" s="15" t="str">
        <f>IF($A434="","",MASTER_REGISTER!I431)</f>
        <v/>
      </c>
      <c r="G434" s="16" t="str">
        <f>IF($A434="","",MASTER_REGISTER!J431)</f>
        <v/>
      </c>
      <c r="H434" s="16" t="str">
        <f>IF($A434="","",MASTER_REGISTER!L431)</f>
        <v/>
      </c>
      <c r="I434" s="16" t="str">
        <f>IF($A434="","",MASTER_REGISTER!M431)</f>
        <v/>
      </c>
      <c r="J434" s="15" t="str">
        <f>IF($A434="","",MASTER_REGISTER!N431)</f>
        <v/>
      </c>
    </row>
    <row r="435" spans="1:10" x14ac:dyDescent="0.3">
      <c r="A435" s="15" t="str">
        <f>IF(MASTER_REGISTER!E432="","",MASTER_REGISTER!E432)</f>
        <v/>
      </c>
      <c r="B435" s="15" t="str">
        <f>IF($A435="","",MASTER_REGISTER!F432)</f>
        <v/>
      </c>
      <c r="C435" s="15" t="str">
        <f>IF($A435="","",MASTER_REGISTER!C432)</f>
        <v/>
      </c>
      <c r="D435" s="15" t="str">
        <f>IF($A435="","",MASTER_REGISTER!H432)</f>
        <v/>
      </c>
      <c r="E435" s="15" t="str">
        <f>IF($A435="","",MASTER_REGISTER!G432)</f>
        <v/>
      </c>
      <c r="F435" s="15" t="str">
        <f>IF($A435="","",MASTER_REGISTER!I432)</f>
        <v/>
      </c>
      <c r="G435" s="16" t="str">
        <f>IF($A435="","",MASTER_REGISTER!J432)</f>
        <v/>
      </c>
      <c r="H435" s="16" t="str">
        <f>IF($A435="","",MASTER_REGISTER!L432)</f>
        <v/>
      </c>
      <c r="I435" s="16" t="str">
        <f>IF($A435="","",MASTER_REGISTER!M432)</f>
        <v/>
      </c>
      <c r="J435" s="15" t="str">
        <f>IF($A435="","",MASTER_REGISTER!N432)</f>
        <v/>
      </c>
    </row>
    <row r="436" spans="1:10" x14ac:dyDescent="0.3">
      <c r="A436" s="15" t="str">
        <f>IF(MASTER_REGISTER!E433="","",MASTER_REGISTER!E433)</f>
        <v/>
      </c>
      <c r="B436" s="15" t="str">
        <f>IF($A436="","",MASTER_REGISTER!F433)</f>
        <v/>
      </c>
      <c r="C436" s="15" t="str">
        <f>IF($A436="","",MASTER_REGISTER!C433)</f>
        <v/>
      </c>
      <c r="D436" s="15" t="str">
        <f>IF($A436="","",MASTER_REGISTER!H433)</f>
        <v/>
      </c>
      <c r="E436" s="15" t="str">
        <f>IF($A436="","",MASTER_REGISTER!G433)</f>
        <v/>
      </c>
      <c r="F436" s="15" t="str">
        <f>IF($A436="","",MASTER_REGISTER!I433)</f>
        <v/>
      </c>
      <c r="G436" s="16" t="str">
        <f>IF($A436="","",MASTER_REGISTER!J433)</f>
        <v/>
      </c>
      <c r="H436" s="16" t="str">
        <f>IF($A436="","",MASTER_REGISTER!L433)</f>
        <v/>
      </c>
      <c r="I436" s="16" t="str">
        <f>IF($A436="","",MASTER_REGISTER!M433)</f>
        <v/>
      </c>
      <c r="J436" s="15" t="str">
        <f>IF($A436="","",MASTER_REGISTER!N433)</f>
        <v/>
      </c>
    </row>
    <row r="437" spans="1:10" x14ac:dyDescent="0.3">
      <c r="A437" s="15" t="str">
        <f>IF(MASTER_REGISTER!E434="","",MASTER_REGISTER!E434)</f>
        <v/>
      </c>
      <c r="B437" s="15" t="str">
        <f>IF($A437="","",MASTER_REGISTER!F434)</f>
        <v/>
      </c>
      <c r="C437" s="15" t="str">
        <f>IF($A437="","",MASTER_REGISTER!C434)</f>
        <v/>
      </c>
      <c r="D437" s="15" t="str">
        <f>IF($A437="","",MASTER_REGISTER!H434)</f>
        <v/>
      </c>
      <c r="E437" s="15" t="str">
        <f>IF($A437="","",MASTER_REGISTER!G434)</f>
        <v/>
      </c>
      <c r="F437" s="15" t="str">
        <f>IF($A437="","",MASTER_REGISTER!I434)</f>
        <v/>
      </c>
      <c r="G437" s="16" t="str">
        <f>IF($A437="","",MASTER_REGISTER!J434)</f>
        <v/>
      </c>
      <c r="H437" s="16" t="str">
        <f>IF($A437="","",MASTER_REGISTER!L434)</f>
        <v/>
      </c>
      <c r="I437" s="16" t="str">
        <f>IF($A437="","",MASTER_REGISTER!M434)</f>
        <v/>
      </c>
      <c r="J437" s="15" t="str">
        <f>IF($A437="","",MASTER_REGISTER!N434)</f>
        <v/>
      </c>
    </row>
    <row r="438" spans="1:10" x14ac:dyDescent="0.3">
      <c r="A438" s="15" t="str">
        <f>IF(MASTER_REGISTER!E435="","",MASTER_REGISTER!E435)</f>
        <v/>
      </c>
      <c r="B438" s="15" t="str">
        <f>IF($A438="","",MASTER_REGISTER!F435)</f>
        <v/>
      </c>
      <c r="C438" s="15" t="str">
        <f>IF($A438="","",MASTER_REGISTER!C435)</f>
        <v/>
      </c>
      <c r="D438" s="15" t="str">
        <f>IF($A438="","",MASTER_REGISTER!H435)</f>
        <v/>
      </c>
      <c r="E438" s="15" t="str">
        <f>IF($A438="","",MASTER_REGISTER!G435)</f>
        <v/>
      </c>
      <c r="F438" s="15" t="str">
        <f>IF($A438="","",MASTER_REGISTER!I435)</f>
        <v/>
      </c>
      <c r="G438" s="16" t="str">
        <f>IF($A438="","",MASTER_REGISTER!J435)</f>
        <v/>
      </c>
      <c r="H438" s="16" t="str">
        <f>IF($A438="","",MASTER_REGISTER!L435)</f>
        <v/>
      </c>
      <c r="I438" s="16" t="str">
        <f>IF($A438="","",MASTER_REGISTER!M435)</f>
        <v/>
      </c>
      <c r="J438" s="15" t="str">
        <f>IF($A438="","",MASTER_REGISTER!N435)</f>
        <v/>
      </c>
    </row>
    <row r="439" spans="1:10" x14ac:dyDescent="0.3">
      <c r="A439" s="15" t="str">
        <f>IF(MASTER_REGISTER!E436="","",MASTER_REGISTER!E436)</f>
        <v/>
      </c>
      <c r="B439" s="15" t="str">
        <f>IF($A439="","",MASTER_REGISTER!F436)</f>
        <v/>
      </c>
      <c r="C439" s="15" t="str">
        <f>IF($A439="","",MASTER_REGISTER!C436)</f>
        <v/>
      </c>
      <c r="D439" s="15" t="str">
        <f>IF($A439="","",MASTER_REGISTER!H436)</f>
        <v/>
      </c>
      <c r="E439" s="15" t="str">
        <f>IF($A439="","",MASTER_REGISTER!G436)</f>
        <v/>
      </c>
      <c r="F439" s="15" t="str">
        <f>IF($A439="","",MASTER_REGISTER!I436)</f>
        <v/>
      </c>
      <c r="G439" s="16" t="str">
        <f>IF($A439="","",MASTER_REGISTER!J436)</f>
        <v/>
      </c>
      <c r="H439" s="16" t="str">
        <f>IF($A439="","",MASTER_REGISTER!L436)</f>
        <v/>
      </c>
      <c r="I439" s="16" t="str">
        <f>IF($A439="","",MASTER_REGISTER!M436)</f>
        <v/>
      </c>
      <c r="J439" s="15" t="str">
        <f>IF($A439="","",MASTER_REGISTER!N436)</f>
        <v/>
      </c>
    </row>
    <row r="440" spans="1:10" x14ac:dyDescent="0.3">
      <c r="A440" s="15" t="str">
        <f>IF(MASTER_REGISTER!E437="","",MASTER_REGISTER!E437)</f>
        <v/>
      </c>
      <c r="B440" s="15" t="str">
        <f>IF($A440="","",MASTER_REGISTER!F437)</f>
        <v/>
      </c>
      <c r="C440" s="15" t="str">
        <f>IF($A440="","",MASTER_REGISTER!C437)</f>
        <v/>
      </c>
      <c r="D440" s="15" t="str">
        <f>IF($A440="","",MASTER_REGISTER!H437)</f>
        <v/>
      </c>
      <c r="E440" s="15" t="str">
        <f>IF($A440="","",MASTER_REGISTER!G437)</f>
        <v/>
      </c>
      <c r="F440" s="15" t="str">
        <f>IF($A440="","",MASTER_REGISTER!I437)</f>
        <v/>
      </c>
      <c r="G440" s="16" t="str">
        <f>IF($A440="","",MASTER_REGISTER!J437)</f>
        <v/>
      </c>
      <c r="H440" s="16" t="str">
        <f>IF($A440="","",MASTER_REGISTER!L437)</f>
        <v/>
      </c>
      <c r="I440" s="16" t="str">
        <f>IF($A440="","",MASTER_REGISTER!M437)</f>
        <v/>
      </c>
      <c r="J440" s="15" t="str">
        <f>IF($A440="","",MASTER_REGISTER!N437)</f>
        <v/>
      </c>
    </row>
    <row r="441" spans="1:10" x14ac:dyDescent="0.3">
      <c r="A441" s="15" t="str">
        <f>IF(MASTER_REGISTER!E438="","",MASTER_REGISTER!E438)</f>
        <v/>
      </c>
      <c r="B441" s="15" t="str">
        <f>IF($A441="","",MASTER_REGISTER!F438)</f>
        <v/>
      </c>
      <c r="C441" s="15" t="str">
        <f>IF($A441="","",MASTER_REGISTER!C438)</f>
        <v/>
      </c>
      <c r="D441" s="15" t="str">
        <f>IF($A441="","",MASTER_REGISTER!H438)</f>
        <v/>
      </c>
      <c r="E441" s="15" t="str">
        <f>IF($A441="","",MASTER_REGISTER!G438)</f>
        <v/>
      </c>
      <c r="F441" s="15" t="str">
        <f>IF($A441="","",MASTER_REGISTER!I438)</f>
        <v/>
      </c>
      <c r="G441" s="16" t="str">
        <f>IF($A441="","",MASTER_REGISTER!J438)</f>
        <v/>
      </c>
      <c r="H441" s="16" t="str">
        <f>IF($A441="","",MASTER_REGISTER!L438)</f>
        <v/>
      </c>
      <c r="I441" s="16" t="str">
        <f>IF($A441="","",MASTER_REGISTER!M438)</f>
        <v/>
      </c>
      <c r="J441" s="15" t="str">
        <f>IF($A441="","",MASTER_REGISTER!N438)</f>
        <v/>
      </c>
    </row>
    <row r="442" spans="1:10" x14ac:dyDescent="0.3">
      <c r="A442" s="15" t="str">
        <f>IF(MASTER_REGISTER!E439="","",MASTER_REGISTER!E439)</f>
        <v/>
      </c>
      <c r="B442" s="15" t="str">
        <f>IF($A442="","",MASTER_REGISTER!F439)</f>
        <v/>
      </c>
      <c r="C442" s="15" t="str">
        <f>IF($A442="","",MASTER_REGISTER!C439)</f>
        <v/>
      </c>
      <c r="D442" s="15" t="str">
        <f>IF($A442="","",MASTER_REGISTER!H439)</f>
        <v/>
      </c>
      <c r="E442" s="15" t="str">
        <f>IF($A442="","",MASTER_REGISTER!G439)</f>
        <v/>
      </c>
      <c r="F442" s="15" t="str">
        <f>IF($A442="","",MASTER_REGISTER!I439)</f>
        <v/>
      </c>
      <c r="G442" s="16" t="str">
        <f>IF($A442="","",MASTER_REGISTER!J439)</f>
        <v/>
      </c>
      <c r="H442" s="16" t="str">
        <f>IF($A442="","",MASTER_REGISTER!L439)</f>
        <v/>
      </c>
      <c r="I442" s="16" t="str">
        <f>IF($A442="","",MASTER_REGISTER!M439)</f>
        <v/>
      </c>
      <c r="J442" s="15" t="str">
        <f>IF($A442="","",MASTER_REGISTER!N439)</f>
        <v/>
      </c>
    </row>
    <row r="443" spans="1:10" x14ac:dyDescent="0.3">
      <c r="A443" s="15" t="str">
        <f>IF(MASTER_REGISTER!E440="","",MASTER_REGISTER!E440)</f>
        <v/>
      </c>
      <c r="B443" s="15" t="str">
        <f>IF($A443="","",MASTER_REGISTER!F440)</f>
        <v/>
      </c>
      <c r="C443" s="15" t="str">
        <f>IF($A443="","",MASTER_REGISTER!C440)</f>
        <v/>
      </c>
      <c r="D443" s="15" t="str">
        <f>IF($A443="","",MASTER_REGISTER!H440)</f>
        <v/>
      </c>
      <c r="E443" s="15" t="str">
        <f>IF($A443="","",MASTER_REGISTER!G440)</f>
        <v/>
      </c>
      <c r="F443" s="15" t="str">
        <f>IF($A443="","",MASTER_REGISTER!I440)</f>
        <v/>
      </c>
      <c r="G443" s="16" t="str">
        <f>IF($A443="","",MASTER_REGISTER!J440)</f>
        <v/>
      </c>
      <c r="H443" s="16" t="str">
        <f>IF($A443="","",MASTER_REGISTER!L440)</f>
        <v/>
      </c>
      <c r="I443" s="16" t="str">
        <f>IF($A443="","",MASTER_REGISTER!M440)</f>
        <v/>
      </c>
      <c r="J443" s="15" t="str">
        <f>IF($A443="","",MASTER_REGISTER!N440)</f>
        <v/>
      </c>
    </row>
    <row r="444" spans="1:10" x14ac:dyDescent="0.3">
      <c r="A444" s="15" t="str">
        <f>IF(MASTER_REGISTER!E441="","",MASTER_REGISTER!E441)</f>
        <v/>
      </c>
      <c r="B444" s="15" t="str">
        <f>IF($A444="","",MASTER_REGISTER!F441)</f>
        <v/>
      </c>
      <c r="C444" s="15" t="str">
        <f>IF($A444="","",MASTER_REGISTER!C441)</f>
        <v/>
      </c>
      <c r="D444" s="15" t="str">
        <f>IF($A444="","",MASTER_REGISTER!H441)</f>
        <v/>
      </c>
      <c r="E444" s="15" t="str">
        <f>IF($A444="","",MASTER_REGISTER!G441)</f>
        <v/>
      </c>
      <c r="F444" s="15" t="str">
        <f>IF($A444="","",MASTER_REGISTER!I441)</f>
        <v/>
      </c>
      <c r="G444" s="16" t="str">
        <f>IF($A444="","",MASTER_REGISTER!J441)</f>
        <v/>
      </c>
      <c r="H444" s="16" t="str">
        <f>IF($A444="","",MASTER_REGISTER!L441)</f>
        <v/>
      </c>
      <c r="I444" s="16" t="str">
        <f>IF($A444="","",MASTER_REGISTER!M441)</f>
        <v/>
      </c>
      <c r="J444" s="15" t="str">
        <f>IF($A444="","",MASTER_REGISTER!N441)</f>
        <v/>
      </c>
    </row>
    <row r="445" spans="1:10" x14ac:dyDescent="0.3">
      <c r="A445" s="15" t="str">
        <f>IF(MASTER_REGISTER!E442="","",MASTER_REGISTER!E442)</f>
        <v/>
      </c>
      <c r="B445" s="15" t="str">
        <f>IF($A445="","",MASTER_REGISTER!F442)</f>
        <v/>
      </c>
      <c r="C445" s="15" t="str">
        <f>IF($A445="","",MASTER_REGISTER!C442)</f>
        <v/>
      </c>
      <c r="D445" s="15" t="str">
        <f>IF($A445="","",MASTER_REGISTER!H442)</f>
        <v/>
      </c>
      <c r="E445" s="15" t="str">
        <f>IF($A445="","",MASTER_REGISTER!G442)</f>
        <v/>
      </c>
      <c r="F445" s="15" t="str">
        <f>IF($A445="","",MASTER_REGISTER!I442)</f>
        <v/>
      </c>
      <c r="G445" s="16" t="str">
        <f>IF($A445="","",MASTER_REGISTER!J442)</f>
        <v/>
      </c>
      <c r="H445" s="16" t="str">
        <f>IF($A445="","",MASTER_REGISTER!L442)</f>
        <v/>
      </c>
      <c r="I445" s="16" t="str">
        <f>IF($A445="","",MASTER_REGISTER!M442)</f>
        <v/>
      </c>
      <c r="J445" s="15" t="str">
        <f>IF($A445="","",MASTER_REGISTER!N442)</f>
        <v/>
      </c>
    </row>
    <row r="446" spans="1:10" x14ac:dyDescent="0.3">
      <c r="A446" s="15" t="str">
        <f>IF(MASTER_REGISTER!E443="","",MASTER_REGISTER!E443)</f>
        <v/>
      </c>
      <c r="B446" s="15" t="str">
        <f>IF($A446="","",MASTER_REGISTER!F443)</f>
        <v/>
      </c>
      <c r="C446" s="15" t="str">
        <f>IF($A446="","",MASTER_REGISTER!C443)</f>
        <v/>
      </c>
      <c r="D446" s="15" t="str">
        <f>IF($A446="","",MASTER_REGISTER!H443)</f>
        <v/>
      </c>
      <c r="E446" s="15" t="str">
        <f>IF($A446="","",MASTER_REGISTER!G443)</f>
        <v/>
      </c>
      <c r="F446" s="15" t="str">
        <f>IF($A446="","",MASTER_REGISTER!I443)</f>
        <v/>
      </c>
      <c r="G446" s="16" t="str">
        <f>IF($A446="","",MASTER_REGISTER!J443)</f>
        <v/>
      </c>
      <c r="H446" s="16" t="str">
        <f>IF($A446="","",MASTER_REGISTER!L443)</f>
        <v/>
      </c>
      <c r="I446" s="16" t="str">
        <f>IF($A446="","",MASTER_REGISTER!M443)</f>
        <v/>
      </c>
      <c r="J446" s="15" t="str">
        <f>IF($A446="","",MASTER_REGISTER!N443)</f>
        <v/>
      </c>
    </row>
    <row r="447" spans="1:10" x14ac:dyDescent="0.3">
      <c r="A447" s="15" t="str">
        <f>IF(MASTER_REGISTER!E444="","",MASTER_REGISTER!E444)</f>
        <v/>
      </c>
      <c r="B447" s="15" t="str">
        <f>IF($A447="","",MASTER_REGISTER!F444)</f>
        <v/>
      </c>
      <c r="C447" s="15" t="str">
        <f>IF($A447="","",MASTER_REGISTER!C444)</f>
        <v/>
      </c>
      <c r="D447" s="15" t="str">
        <f>IF($A447="","",MASTER_REGISTER!H444)</f>
        <v/>
      </c>
      <c r="E447" s="15" t="str">
        <f>IF($A447="","",MASTER_REGISTER!G444)</f>
        <v/>
      </c>
      <c r="F447" s="15" t="str">
        <f>IF($A447="","",MASTER_REGISTER!I444)</f>
        <v/>
      </c>
      <c r="G447" s="16" t="str">
        <f>IF($A447="","",MASTER_REGISTER!J444)</f>
        <v/>
      </c>
      <c r="H447" s="16" t="str">
        <f>IF($A447="","",MASTER_REGISTER!L444)</f>
        <v/>
      </c>
      <c r="I447" s="16" t="str">
        <f>IF($A447="","",MASTER_REGISTER!M444)</f>
        <v/>
      </c>
      <c r="J447" s="15" t="str">
        <f>IF($A447="","",MASTER_REGISTER!N444)</f>
        <v/>
      </c>
    </row>
    <row r="448" spans="1:10" x14ac:dyDescent="0.3">
      <c r="A448" s="15" t="str">
        <f>IF(MASTER_REGISTER!E445="","",MASTER_REGISTER!E445)</f>
        <v/>
      </c>
      <c r="B448" s="15" t="str">
        <f>IF($A448="","",MASTER_REGISTER!F445)</f>
        <v/>
      </c>
      <c r="C448" s="15" t="str">
        <f>IF($A448="","",MASTER_REGISTER!C445)</f>
        <v/>
      </c>
      <c r="D448" s="15" t="str">
        <f>IF($A448="","",MASTER_REGISTER!H445)</f>
        <v/>
      </c>
      <c r="E448" s="15" t="str">
        <f>IF($A448="","",MASTER_REGISTER!G445)</f>
        <v/>
      </c>
      <c r="F448" s="15" t="str">
        <f>IF($A448="","",MASTER_REGISTER!I445)</f>
        <v/>
      </c>
      <c r="G448" s="16" t="str">
        <f>IF($A448="","",MASTER_REGISTER!J445)</f>
        <v/>
      </c>
      <c r="H448" s="16" t="str">
        <f>IF($A448="","",MASTER_REGISTER!L445)</f>
        <v/>
      </c>
      <c r="I448" s="16" t="str">
        <f>IF($A448="","",MASTER_REGISTER!M445)</f>
        <v/>
      </c>
      <c r="J448" s="15" t="str">
        <f>IF($A448="","",MASTER_REGISTER!N445)</f>
        <v/>
      </c>
    </row>
    <row r="449" spans="1:10" x14ac:dyDescent="0.3">
      <c r="A449" s="15" t="str">
        <f>IF(MASTER_REGISTER!E446="","",MASTER_REGISTER!E446)</f>
        <v/>
      </c>
      <c r="B449" s="15" t="str">
        <f>IF($A449="","",MASTER_REGISTER!F446)</f>
        <v/>
      </c>
      <c r="C449" s="15" t="str">
        <f>IF($A449="","",MASTER_REGISTER!C446)</f>
        <v/>
      </c>
      <c r="D449" s="15" t="str">
        <f>IF($A449="","",MASTER_REGISTER!H446)</f>
        <v/>
      </c>
      <c r="E449" s="15" t="str">
        <f>IF($A449="","",MASTER_REGISTER!G446)</f>
        <v/>
      </c>
      <c r="F449" s="15" t="str">
        <f>IF($A449="","",MASTER_REGISTER!I446)</f>
        <v/>
      </c>
      <c r="G449" s="16" t="str">
        <f>IF($A449="","",MASTER_REGISTER!J446)</f>
        <v/>
      </c>
      <c r="H449" s="16" t="str">
        <f>IF($A449="","",MASTER_REGISTER!L446)</f>
        <v/>
      </c>
      <c r="I449" s="16" t="str">
        <f>IF($A449="","",MASTER_REGISTER!M446)</f>
        <v/>
      </c>
      <c r="J449" s="15" t="str">
        <f>IF($A449="","",MASTER_REGISTER!N446)</f>
        <v/>
      </c>
    </row>
    <row r="450" spans="1:10" x14ac:dyDescent="0.3">
      <c r="A450" s="15" t="str">
        <f>IF(MASTER_REGISTER!E447="","",MASTER_REGISTER!E447)</f>
        <v/>
      </c>
      <c r="B450" s="15" t="str">
        <f>IF($A450="","",MASTER_REGISTER!F447)</f>
        <v/>
      </c>
      <c r="C450" s="15" t="str">
        <f>IF($A450="","",MASTER_REGISTER!C447)</f>
        <v/>
      </c>
      <c r="D450" s="15" t="str">
        <f>IF($A450="","",MASTER_REGISTER!H447)</f>
        <v/>
      </c>
      <c r="E450" s="15" t="str">
        <f>IF($A450="","",MASTER_REGISTER!G447)</f>
        <v/>
      </c>
      <c r="F450" s="15" t="str">
        <f>IF($A450="","",MASTER_REGISTER!I447)</f>
        <v/>
      </c>
      <c r="G450" s="16" t="str">
        <f>IF($A450="","",MASTER_REGISTER!J447)</f>
        <v/>
      </c>
      <c r="H450" s="16" t="str">
        <f>IF($A450="","",MASTER_REGISTER!L447)</f>
        <v/>
      </c>
      <c r="I450" s="16" t="str">
        <f>IF($A450="","",MASTER_REGISTER!M447)</f>
        <v/>
      </c>
      <c r="J450" s="15" t="str">
        <f>IF($A450="","",MASTER_REGISTER!N447)</f>
        <v/>
      </c>
    </row>
    <row r="451" spans="1:10" x14ac:dyDescent="0.3">
      <c r="A451" s="15" t="str">
        <f>IF(MASTER_REGISTER!E448="","",MASTER_REGISTER!E448)</f>
        <v/>
      </c>
      <c r="B451" s="15" t="str">
        <f>IF($A451="","",MASTER_REGISTER!F448)</f>
        <v/>
      </c>
      <c r="C451" s="15" t="str">
        <f>IF($A451="","",MASTER_REGISTER!C448)</f>
        <v/>
      </c>
      <c r="D451" s="15" t="str">
        <f>IF($A451="","",MASTER_REGISTER!H448)</f>
        <v/>
      </c>
      <c r="E451" s="15" t="str">
        <f>IF($A451="","",MASTER_REGISTER!G448)</f>
        <v/>
      </c>
      <c r="F451" s="15" t="str">
        <f>IF($A451="","",MASTER_REGISTER!I448)</f>
        <v/>
      </c>
      <c r="G451" s="16" t="str">
        <f>IF($A451="","",MASTER_REGISTER!J448)</f>
        <v/>
      </c>
      <c r="H451" s="16" t="str">
        <f>IF($A451="","",MASTER_REGISTER!L448)</f>
        <v/>
      </c>
      <c r="I451" s="16" t="str">
        <f>IF($A451="","",MASTER_REGISTER!M448)</f>
        <v/>
      </c>
      <c r="J451" s="15" t="str">
        <f>IF($A451="","",MASTER_REGISTER!N448)</f>
        <v/>
      </c>
    </row>
    <row r="452" spans="1:10" x14ac:dyDescent="0.3">
      <c r="A452" s="15" t="str">
        <f>IF(MASTER_REGISTER!E449="","",MASTER_REGISTER!E449)</f>
        <v/>
      </c>
      <c r="B452" s="15" t="str">
        <f>IF($A452="","",MASTER_REGISTER!F449)</f>
        <v/>
      </c>
      <c r="C452" s="15" t="str">
        <f>IF($A452="","",MASTER_REGISTER!C449)</f>
        <v/>
      </c>
      <c r="D452" s="15" t="str">
        <f>IF($A452="","",MASTER_REGISTER!H449)</f>
        <v/>
      </c>
      <c r="E452" s="15" t="str">
        <f>IF($A452="","",MASTER_REGISTER!G449)</f>
        <v/>
      </c>
      <c r="F452" s="15" t="str">
        <f>IF($A452="","",MASTER_REGISTER!I449)</f>
        <v/>
      </c>
      <c r="G452" s="16" t="str">
        <f>IF($A452="","",MASTER_REGISTER!J449)</f>
        <v/>
      </c>
      <c r="H452" s="16" t="str">
        <f>IF($A452="","",MASTER_REGISTER!L449)</f>
        <v/>
      </c>
      <c r="I452" s="16" t="str">
        <f>IF($A452="","",MASTER_REGISTER!M449)</f>
        <v/>
      </c>
      <c r="J452" s="15" t="str">
        <f>IF($A452="","",MASTER_REGISTER!N449)</f>
        <v/>
      </c>
    </row>
    <row r="453" spans="1:10" x14ac:dyDescent="0.3">
      <c r="A453" s="15" t="str">
        <f>IF(MASTER_REGISTER!E450="","",MASTER_REGISTER!E450)</f>
        <v/>
      </c>
      <c r="B453" s="15" t="str">
        <f>IF($A453="","",MASTER_REGISTER!F450)</f>
        <v/>
      </c>
      <c r="C453" s="15" t="str">
        <f>IF($A453="","",MASTER_REGISTER!C450)</f>
        <v/>
      </c>
      <c r="D453" s="15" t="str">
        <f>IF($A453="","",MASTER_REGISTER!H450)</f>
        <v/>
      </c>
      <c r="E453" s="15" t="str">
        <f>IF($A453="","",MASTER_REGISTER!G450)</f>
        <v/>
      </c>
      <c r="F453" s="15" t="str">
        <f>IF($A453="","",MASTER_REGISTER!I450)</f>
        <v/>
      </c>
      <c r="G453" s="16" t="str">
        <f>IF($A453="","",MASTER_REGISTER!J450)</f>
        <v/>
      </c>
      <c r="H453" s="16" t="str">
        <f>IF($A453="","",MASTER_REGISTER!L450)</f>
        <v/>
      </c>
      <c r="I453" s="16" t="str">
        <f>IF($A453="","",MASTER_REGISTER!M450)</f>
        <v/>
      </c>
      <c r="J453" s="15" t="str">
        <f>IF($A453="","",MASTER_REGISTER!N450)</f>
        <v/>
      </c>
    </row>
    <row r="454" spans="1:10" x14ac:dyDescent="0.3">
      <c r="A454" s="15" t="str">
        <f>IF(MASTER_REGISTER!E451="","",MASTER_REGISTER!E451)</f>
        <v/>
      </c>
      <c r="B454" s="15" t="str">
        <f>IF($A454="","",MASTER_REGISTER!F451)</f>
        <v/>
      </c>
      <c r="C454" s="15" t="str">
        <f>IF($A454="","",MASTER_REGISTER!C451)</f>
        <v/>
      </c>
      <c r="D454" s="15" t="str">
        <f>IF($A454="","",MASTER_REGISTER!H451)</f>
        <v/>
      </c>
      <c r="E454" s="15" t="str">
        <f>IF($A454="","",MASTER_REGISTER!G451)</f>
        <v/>
      </c>
      <c r="F454" s="15" t="str">
        <f>IF($A454="","",MASTER_REGISTER!I451)</f>
        <v/>
      </c>
      <c r="G454" s="16" t="str">
        <f>IF($A454="","",MASTER_REGISTER!J451)</f>
        <v/>
      </c>
      <c r="H454" s="16" t="str">
        <f>IF($A454="","",MASTER_REGISTER!L451)</f>
        <v/>
      </c>
      <c r="I454" s="16" t="str">
        <f>IF($A454="","",MASTER_REGISTER!M451)</f>
        <v/>
      </c>
      <c r="J454" s="15" t="str">
        <f>IF($A454="","",MASTER_REGISTER!N451)</f>
        <v/>
      </c>
    </row>
    <row r="455" spans="1:10" x14ac:dyDescent="0.3">
      <c r="A455" s="15" t="str">
        <f>IF(MASTER_REGISTER!E452="","",MASTER_REGISTER!E452)</f>
        <v/>
      </c>
      <c r="B455" s="15" t="str">
        <f>IF($A455="","",MASTER_REGISTER!F452)</f>
        <v/>
      </c>
      <c r="C455" s="15" t="str">
        <f>IF($A455="","",MASTER_REGISTER!C452)</f>
        <v/>
      </c>
      <c r="D455" s="15" t="str">
        <f>IF($A455="","",MASTER_REGISTER!H452)</f>
        <v/>
      </c>
      <c r="E455" s="15" t="str">
        <f>IF($A455="","",MASTER_REGISTER!G452)</f>
        <v/>
      </c>
      <c r="F455" s="15" t="str">
        <f>IF($A455="","",MASTER_REGISTER!I452)</f>
        <v/>
      </c>
      <c r="G455" s="16" t="str">
        <f>IF($A455="","",MASTER_REGISTER!J452)</f>
        <v/>
      </c>
      <c r="H455" s="16" t="str">
        <f>IF($A455="","",MASTER_REGISTER!L452)</f>
        <v/>
      </c>
      <c r="I455" s="16" t="str">
        <f>IF($A455="","",MASTER_REGISTER!M452)</f>
        <v/>
      </c>
      <c r="J455" s="15" t="str">
        <f>IF($A455="","",MASTER_REGISTER!N452)</f>
        <v/>
      </c>
    </row>
    <row r="456" spans="1:10" x14ac:dyDescent="0.3">
      <c r="A456" s="15" t="str">
        <f>IF(MASTER_REGISTER!E453="","",MASTER_REGISTER!E453)</f>
        <v/>
      </c>
      <c r="B456" s="15" t="str">
        <f>IF($A456="","",MASTER_REGISTER!F453)</f>
        <v/>
      </c>
      <c r="C456" s="15" t="str">
        <f>IF($A456="","",MASTER_REGISTER!C453)</f>
        <v/>
      </c>
      <c r="D456" s="15" t="str">
        <f>IF($A456="","",MASTER_REGISTER!H453)</f>
        <v/>
      </c>
      <c r="E456" s="15" t="str">
        <f>IF($A456="","",MASTER_REGISTER!G453)</f>
        <v/>
      </c>
      <c r="F456" s="15" t="str">
        <f>IF($A456="","",MASTER_REGISTER!I453)</f>
        <v/>
      </c>
      <c r="G456" s="16" t="str">
        <f>IF($A456="","",MASTER_REGISTER!J453)</f>
        <v/>
      </c>
      <c r="H456" s="16" t="str">
        <f>IF($A456="","",MASTER_REGISTER!L453)</f>
        <v/>
      </c>
      <c r="I456" s="16" t="str">
        <f>IF($A456="","",MASTER_REGISTER!M453)</f>
        <v/>
      </c>
      <c r="J456" s="15" t="str">
        <f>IF($A456="","",MASTER_REGISTER!N453)</f>
        <v/>
      </c>
    </row>
    <row r="457" spans="1:10" x14ac:dyDescent="0.3">
      <c r="A457" s="15" t="str">
        <f>IF(MASTER_REGISTER!E454="","",MASTER_REGISTER!E454)</f>
        <v/>
      </c>
      <c r="B457" s="15" t="str">
        <f>IF($A457="","",MASTER_REGISTER!F454)</f>
        <v/>
      </c>
      <c r="C457" s="15" t="str">
        <f>IF($A457="","",MASTER_REGISTER!C454)</f>
        <v/>
      </c>
      <c r="D457" s="15" t="str">
        <f>IF($A457="","",MASTER_REGISTER!H454)</f>
        <v/>
      </c>
      <c r="E457" s="15" t="str">
        <f>IF($A457="","",MASTER_REGISTER!G454)</f>
        <v/>
      </c>
      <c r="F457" s="15" t="str">
        <f>IF($A457="","",MASTER_REGISTER!I454)</f>
        <v/>
      </c>
      <c r="G457" s="16" t="str">
        <f>IF($A457="","",MASTER_REGISTER!J454)</f>
        <v/>
      </c>
      <c r="H457" s="16" t="str">
        <f>IF($A457="","",MASTER_REGISTER!L454)</f>
        <v/>
      </c>
      <c r="I457" s="16" t="str">
        <f>IF($A457="","",MASTER_REGISTER!M454)</f>
        <v/>
      </c>
      <c r="J457" s="15" t="str">
        <f>IF($A457="","",MASTER_REGISTER!N454)</f>
        <v/>
      </c>
    </row>
    <row r="458" spans="1:10" x14ac:dyDescent="0.3">
      <c r="A458" s="15" t="str">
        <f>IF(MASTER_REGISTER!E455="","",MASTER_REGISTER!E455)</f>
        <v/>
      </c>
      <c r="B458" s="15" t="str">
        <f>IF($A458="","",MASTER_REGISTER!F455)</f>
        <v/>
      </c>
      <c r="C458" s="15" t="str">
        <f>IF($A458="","",MASTER_REGISTER!C455)</f>
        <v/>
      </c>
      <c r="D458" s="15" t="str">
        <f>IF($A458="","",MASTER_REGISTER!H455)</f>
        <v/>
      </c>
      <c r="E458" s="15" t="str">
        <f>IF($A458="","",MASTER_REGISTER!G455)</f>
        <v/>
      </c>
      <c r="F458" s="15" t="str">
        <f>IF($A458="","",MASTER_REGISTER!I455)</f>
        <v/>
      </c>
      <c r="G458" s="16" t="str">
        <f>IF($A458="","",MASTER_REGISTER!J455)</f>
        <v/>
      </c>
      <c r="H458" s="16" t="str">
        <f>IF($A458="","",MASTER_REGISTER!L455)</f>
        <v/>
      </c>
      <c r="I458" s="16" t="str">
        <f>IF($A458="","",MASTER_REGISTER!M455)</f>
        <v/>
      </c>
      <c r="J458" s="15" t="str">
        <f>IF($A458="","",MASTER_REGISTER!N455)</f>
        <v/>
      </c>
    </row>
    <row r="459" spans="1:10" x14ac:dyDescent="0.3">
      <c r="A459" s="15" t="str">
        <f>IF(MASTER_REGISTER!E456="","",MASTER_REGISTER!E456)</f>
        <v/>
      </c>
      <c r="B459" s="15" t="str">
        <f>IF($A459="","",MASTER_REGISTER!F456)</f>
        <v/>
      </c>
      <c r="C459" s="15" t="str">
        <f>IF($A459="","",MASTER_REGISTER!C456)</f>
        <v/>
      </c>
      <c r="D459" s="15" t="str">
        <f>IF($A459="","",MASTER_REGISTER!H456)</f>
        <v/>
      </c>
      <c r="E459" s="15" t="str">
        <f>IF($A459="","",MASTER_REGISTER!G456)</f>
        <v/>
      </c>
      <c r="F459" s="15" t="str">
        <f>IF($A459="","",MASTER_REGISTER!I456)</f>
        <v/>
      </c>
      <c r="G459" s="16" t="str">
        <f>IF($A459="","",MASTER_REGISTER!J456)</f>
        <v/>
      </c>
      <c r="H459" s="16" t="str">
        <f>IF($A459="","",MASTER_REGISTER!L456)</f>
        <v/>
      </c>
      <c r="I459" s="16" t="str">
        <f>IF($A459="","",MASTER_REGISTER!M456)</f>
        <v/>
      </c>
      <c r="J459" s="15" t="str">
        <f>IF($A459="","",MASTER_REGISTER!N456)</f>
        <v/>
      </c>
    </row>
    <row r="460" spans="1:10" x14ac:dyDescent="0.3">
      <c r="A460" s="15" t="str">
        <f>IF(MASTER_REGISTER!E457="","",MASTER_REGISTER!E457)</f>
        <v/>
      </c>
      <c r="B460" s="15" t="str">
        <f>IF($A460="","",MASTER_REGISTER!F457)</f>
        <v/>
      </c>
      <c r="C460" s="15" t="str">
        <f>IF($A460="","",MASTER_REGISTER!C457)</f>
        <v/>
      </c>
      <c r="D460" s="15" t="str">
        <f>IF($A460="","",MASTER_REGISTER!H457)</f>
        <v/>
      </c>
      <c r="E460" s="15" t="str">
        <f>IF($A460="","",MASTER_REGISTER!G457)</f>
        <v/>
      </c>
      <c r="F460" s="15" t="str">
        <f>IF($A460="","",MASTER_REGISTER!I457)</f>
        <v/>
      </c>
      <c r="G460" s="16" t="str">
        <f>IF($A460="","",MASTER_REGISTER!J457)</f>
        <v/>
      </c>
      <c r="H460" s="16" t="str">
        <f>IF($A460="","",MASTER_REGISTER!L457)</f>
        <v/>
      </c>
      <c r="I460" s="16" t="str">
        <f>IF($A460="","",MASTER_REGISTER!M457)</f>
        <v/>
      </c>
      <c r="J460" s="15" t="str">
        <f>IF($A460="","",MASTER_REGISTER!N457)</f>
        <v/>
      </c>
    </row>
    <row r="461" spans="1:10" x14ac:dyDescent="0.3">
      <c r="A461" s="15" t="str">
        <f>IF(MASTER_REGISTER!E458="","",MASTER_REGISTER!E458)</f>
        <v/>
      </c>
      <c r="B461" s="15" t="str">
        <f>IF($A461="","",MASTER_REGISTER!F458)</f>
        <v/>
      </c>
      <c r="C461" s="15" t="str">
        <f>IF($A461="","",MASTER_REGISTER!C458)</f>
        <v/>
      </c>
      <c r="D461" s="15" t="str">
        <f>IF($A461="","",MASTER_REGISTER!H458)</f>
        <v/>
      </c>
      <c r="E461" s="15" t="str">
        <f>IF($A461="","",MASTER_REGISTER!G458)</f>
        <v/>
      </c>
      <c r="F461" s="15" t="str">
        <f>IF($A461="","",MASTER_REGISTER!I458)</f>
        <v/>
      </c>
      <c r="G461" s="16" t="str">
        <f>IF($A461="","",MASTER_REGISTER!J458)</f>
        <v/>
      </c>
      <c r="H461" s="16" t="str">
        <f>IF($A461="","",MASTER_REGISTER!L458)</f>
        <v/>
      </c>
      <c r="I461" s="16" t="str">
        <f>IF($A461="","",MASTER_REGISTER!M458)</f>
        <v/>
      </c>
      <c r="J461" s="15" t="str">
        <f>IF($A461="","",MASTER_REGISTER!N458)</f>
        <v/>
      </c>
    </row>
    <row r="462" spans="1:10" x14ac:dyDescent="0.3">
      <c r="A462" s="15" t="str">
        <f>IF(MASTER_REGISTER!E459="","",MASTER_REGISTER!E459)</f>
        <v/>
      </c>
      <c r="B462" s="15" t="str">
        <f>IF($A462="","",MASTER_REGISTER!F459)</f>
        <v/>
      </c>
      <c r="C462" s="15" t="str">
        <f>IF($A462="","",MASTER_REGISTER!C459)</f>
        <v/>
      </c>
      <c r="D462" s="15" t="str">
        <f>IF($A462="","",MASTER_REGISTER!H459)</f>
        <v/>
      </c>
      <c r="E462" s="15" t="str">
        <f>IF($A462="","",MASTER_REGISTER!G459)</f>
        <v/>
      </c>
      <c r="F462" s="15" t="str">
        <f>IF($A462="","",MASTER_REGISTER!I459)</f>
        <v/>
      </c>
      <c r="G462" s="16" t="str">
        <f>IF($A462="","",MASTER_REGISTER!J459)</f>
        <v/>
      </c>
      <c r="H462" s="16" t="str">
        <f>IF($A462="","",MASTER_REGISTER!L459)</f>
        <v/>
      </c>
      <c r="I462" s="16" t="str">
        <f>IF($A462="","",MASTER_REGISTER!M459)</f>
        <v/>
      </c>
      <c r="J462" s="15" t="str">
        <f>IF($A462="","",MASTER_REGISTER!N459)</f>
        <v/>
      </c>
    </row>
    <row r="463" spans="1:10" x14ac:dyDescent="0.3">
      <c r="A463" s="15" t="str">
        <f>IF(MASTER_REGISTER!E460="","",MASTER_REGISTER!E460)</f>
        <v/>
      </c>
      <c r="B463" s="15" t="str">
        <f>IF($A463="","",MASTER_REGISTER!F460)</f>
        <v/>
      </c>
      <c r="C463" s="15" t="str">
        <f>IF($A463="","",MASTER_REGISTER!C460)</f>
        <v/>
      </c>
      <c r="D463" s="15" t="str">
        <f>IF($A463="","",MASTER_REGISTER!H460)</f>
        <v/>
      </c>
      <c r="E463" s="15" t="str">
        <f>IF($A463="","",MASTER_REGISTER!G460)</f>
        <v/>
      </c>
      <c r="F463" s="15" t="str">
        <f>IF($A463="","",MASTER_REGISTER!I460)</f>
        <v/>
      </c>
      <c r="G463" s="16" t="str">
        <f>IF($A463="","",MASTER_REGISTER!J460)</f>
        <v/>
      </c>
      <c r="H463" s="16" t="str">
        <f>IF($A463="","",MASTER_REGISTER!L460)</f>
        <v/>
      </c>
      <c r="I463" s="16" t="str">
        <f>IF($A463="","",MASTER_REGISTER!M460)</f>
        <v/>
      </c>
      <c r="J463" s="15" t="str">
        <f>IF($A463="","",MASTER_REGISTER!N460)</f>
        <v/>
      </c>
    </row>
    <row r="464" spans="1:10" x14ac:dyDescent="0.3">
      <c r="A464" s="15" t="str">
        <f>IF(MASTER_REGISTER!E461="","",MASTER_REGISTER!E461)</f>
        <v/>
      </c>
      <c r="B464" s="15" t="str">
        <f>IF($A464="","",MASTER_REGISTER!F461)</f>
        <v/>
      </c>
      <c r="C464" s="15" t="str">
        <f>IF($A464="","",MASTER_REGISTER!C461)</f>
        <v/>
      </c>
      <c r="D464" s="15" t="str">
        <f>IF($A464="","",MASTER_REGISTER!H461)</f>
        <v/>
      </c>
      <c r="E464" s="15" t="str">
        <f>IF($A464="","",MASTER_REGISTER!G461)</f>
        <v/>
      </c>
      <c r="F464" s="15" t="str">
        <f>IF($A464="","",MASTER_REGISTER!I461)</f>
        <v/>
      </c>
      <c r="G464" s="16" t="str">
        <f>IF($A464="","",MASTER_REGISTER!J461)</f>
        <v/>
      </c>
      <c r="H464" s="16" t="str">
        <f>IF($A464="","",MASTER_REGISTER!L461)</f>
        <v/>
      </c>
      <c r="I464" s="16" t="str">
        <f>IF($A464="","",MASTER_REGISTER!M461)</f>
        <v/>
      </c>
      <c r="J464" s="15" t="str">
        <f>IF($A464="","",MASTER_REGISTER!N461)</f>
        <v/>
      </c>
    </row>
    <row r="465" spans="1:10" x14ac:dyDescent="0.3">
      <c r="A465" s="15" t="str">
        <f>IF(MASTER_REGISTER!E462="","",MASTER_REGISTER!E462)</f>
        <v/>
      </c>
      <c r="B465" s="15" t="str">
        <f>IF($A465="","",MASTER_REGISTER!F462)</f>
        <v/>
      </c>
      <c r="C465" s="15" t="str">
        <f>IF($A465="","",MASTER_REGISTER!C462)</f>
        <v/>
      </c>
      <c r="D465" s="15" t="str">
        <f>IF($A465="","",MASTER_REGISTER!H462)</f>
        <v/>
      </c>
      <c r="E465" s="15" t="str">
        <f>IF($A465="","",MASTER_REGISTER!G462)</f>
        <v/>
      </c>
      <c r="F465" s="15" t="str">
        <f>IF($A465="","",MASTER_REGISTER!I462)</f>
        <v/>
      </c>
      <c r="G465" s="16" t="str">
        <f>IF($A465="","",MASTER_REGISTER!J462)</f>
        <v/>
      </c>
      <c r="H465" s="16" t="str">
        <f>IF($A465="","",MASTER_REGISTER!L462)</f>
        <v/>
      </c>
      <c r="I465" s="16" t="str">
        <f>IF($A465="","",MASTER_REGISTER!M462)</f>
        <v/>
      </c>
      <c r="J465" s="15" t="str">
        <f>IF($A465="","",MASTER_REGISTER!N462)</f>
        <v/>
      </c>
    </row>
    <row r="466" spans="1:10" x14ac:dyDescent="0.3">
      <c r="A466" s="15" t="str">
        <f>IF(MASTER_REGISTER!E463="","",MASTER_REGISTER!E463)</f>
        <v/>
      </c>
      <c r="B466" s="15" t="str">
        <f>IF($A466="","",MASTER_REGISTER!F463)</f>
        <v/>
      </c>
      <c r="C466" s="15" t="str">
        <f>IF($A466="","",MASTER_REGISTER!C463)</f>
        <v/>
      </c>
      <c r="D466" s="15" t="str">
        <f>IF($A466="","",MASTER_REGISTER!H463)</f>
        <v/>
      </c>
      <c r="E466" s="15" t="str">
        <f>IF($A466="","",MASTER_REGISTER!G463)</f>
        <v/>
      </c>
      <c r="F466" s="15" t="str">
        <f>IF($A466="","",MASTER_REGISTER!I463)</f>
        <v/>
      </c>
      <c r="G466" s="16" t="str">
        <f>IF($A466="","",MASTER_REGISTER!J463)</f>
        <v/>
      </c>
      <c r="H466" s="16" t="str">
        <f>IF($A466="","",MASTER_REGISTER!L463)</f>
        <v/>
      </c>
      <c r="I466" s="16" t="str">
        <f>IF($A466="","",MASTER_REGISTER!M463)</f>
        <v/>
      </c>
      <c r="J466" s="15" t="str">
        <f>IF($A466="","",MASTER_REGISTER!N463)</f>
        <v/>
      </c>
    </row>
    <row r="467" spans="1:10" x14ac:dyDescent="0.3">
      <c r="A467" s="15" t="str">
        <f>IF(MASTER_REGISTER!E464="","",MASTER_REGISTER!E464)</f>
        <v/>
      </c>
      <c r="B467" s="15" t="str">
        <f>IF($A467="","",MASTER_REGISTER!F464)</f>
        <v/>
      </c>
      <c r="C467" s="15" t="str">
        <f>IF($A467="","",MASTER_REGISTER!C464)</f>
        <v/>
      </c>
      <c r="D467" s="15" t="str">
        <f>IF($A467="","",MASTER_REGISTER!H464)</f>
        <v/>
      </c>
      <c r="E467" s="15" t="str">
        <f>IF($A467="","",MASTER_REGISTER!G464)</f>
        <v/>
      </c>
      <c r="F467" s="15" t="str">
        <f>IF($A467="","",MASTER_REGISTER!I464)</f>
        <v/>
      </c>
      <c r="G467" s="16" t="str">
        <f>IF($A467="","",MASTER_REGISTER!J464)</f>
        <v/>
      </c>
      <c r="H467" s="16" t="str">
        <f>IF($A467="","",MASTER_REGISTER!L464)</f>
        <v/>
      </c>
      <c r="I467" s="16" t="str">
        <f>IF($A467="","",MASTER_REGISTER!M464)</f>
        <v/>
      </c>
      <c r="J467" s="15" t="str">
        <f>IF($A467="","",MASTER_REGISTER!N464)</f>
        <v/>
      </c>
    </row>
    <row r="468" spans="1:10" x14ac:dyDescent="0.3">
      <c r="A468" s="15" t="str">
        <f>IF(MASTER_REGISTER!E465="","",MASTER_REGISTER!E465)</f>
        <v/>
      </c>
      <c r="B468" s="15" t="str">
        <f>IF($A468="","",MASTER_REGISTER!F465)</f>
        <v/>
      </c>
      <c r="C468" s="15" t="str">
        <f>IF($A468="","",MASTER_REGISTER!C465)</f>
        <v/>
      </c>
      <c r="D468" s="15" t="str">
        <f>IF($A468="","",MASTER_REGISTER!H465)</f>
        <v/>
      </c>
      <c r="E468" s="15" t="str">
        <f>IF($A468="","",MASTER_REGISTER!G465)</f>
        <v/>
      </c>
      <c r="F468" s="15" t="str">
        <f>IF($A468="","",MASTER_REGISTER!I465)</f>
        <v/>
      </c>
      <c r="G468" s="16" t="str">
        <f>IF($A468="","",MASTER_REGISTER!J465)</f>
        <v/>
      </c>
      <c r="H468" s="16" t="str">
        <f>IF($A468="","",MASTER_REGISTER!L465)</f>
        <v/>
      </c>
      <c r="I468" s="16" t="str">
        <f>IF($A468="","",MASTER_REGISTER!M465)</f>
        <v/>
      </c>
      <c r="J468" s="15" t="str">
        <f>IF($A468="","",MASTER_REGISTER!N465)</f>
        <v/>
      </c>
    </row>
    <row r="469" spans="1:10" x14ac:dyDescent="0.3">
      <c r="A469" s="15" t="str">
        <f>IF(MASTER_REGISTER!E466="","",MASTER_REGISTER!E466)</f>
        <v/>
      </c>
      <c r="B469" s="15" t="str">
        <f>IF($A469="","",MASTER_REGISTER!F466)</f>
        <v/>
      </c>
      <c r="C469" s="15" t="str">
        <f>IF($A469="","",MASTER_REGISTER!C466)</f>
        <v/>
      </c>
      <c r="D469" s="15" t="str">
        <f>IF($A469="","",MASTER_REGISTER!H466)</f>
        <v/>
      </c>
      <c r="E469" s="15" t="str">
        <f>IF($A469="","",MASTER_REGISTER!G466)</f>
        <v/>
      </c>
      <c r="F469" s="15" t="str">
        <f>IF($A469="","",MASTER_REGISTER!I466)</f>
        <v/>
      </c>
      <c r="G469" s="16" t="str">
        <f>IF($A469="","",MASTER_REGISTER!J466)</f>
        <v/>
      </c>
      <c r="H469" s="16" t="str">
        <f>IF($A469="","",MASTER_REGISTER!L466)</f>
        <v/>
      </c>
      <c r="I469" s="16" t="str">
        <f>IF($A469="","",MASTER_REGISTER!M466)</f>
        <v/>
      </c>
      <c r="J469" s="15" t="str">
        <f>IF($A469="","",MASTER_REGISTER!N466)</f>
        <v/>
      </c>
    </row>
    <row r="470" spans="1:10" x14ac:dyDescent="0.3">
      <c r="A470" s="15" t="str">
        <f>IF(MASTER_REGISTER!E467="","",MASTER_REGISTER!E467)</f>
        <v/>
      </c>
      <c r="B470" s="15" t="str">
        <f>IF($A470="","",MASTER_REGISTER!F467)</f>
        <v/>
      </c>
      <c r="C470" s="15" t="str">
        <f>IF($A470="","",MASTER_REGISTER!C467)</f>
        <v/>
      </c>
      <c r="D470" s="15" t="str">
        <f>IF($A470="","",MASTER_REGISTER!H467)</f>
        <v/>
      </c>
      <c r="E470" s="15" t="str">
        <f>IF($A470="","",MASTER_REGISTER!G467)</f>
        <v/>
      </c>
      <c r="F470" s="15" t="str">
        <f>IF($A470="","",MASTER_REGISTER!I467)</f>
        <v/>
      </c>
      <c r="G470" s="16" t="str">
        <f>IF($A470="","",MASTER_REGISTER!J467)</f>
        <v/>
      </c>
      <c r="H470" s="16" t="str">
        <f>IF($A470="","",MASTER_REGISTER!L467)</f>
        <v/>
      </c>
      <c r="I470" s="16" t="str">
        <f>IF($A470="","",MASTER_REGISTER!M467)</f>
        <v/>
      </c>
      <c r="J470" s="15" t="str">
        <f>IF($A470="","",MASTER_REGISTER!N467)</f>
        <v/>
      </c>
    </row>
    <row r="471" spans="1:10" x14ac:dyDescent="0.3">
      <c r="A471" s="15" t="str">
        <f>IF(MASTER_REGISTER!E468="","",MASTER_REGISTER!E468)</f>
        <v/>
      </c>
      <c r="B471" s="15" t="str">
        <f>IF($A471="","",MASTER_REGISTER!F468)</f>
        <v/>
      </c>
      <c r="C471" s="15" t="str">
        <f>IF($A471="","",MASTER_REGISTER!C468)</f>
        <v/>
      </c>
      <c r="D471" s="15" t="str">
        <f>IF($A471="","",MASTER_REGISTER!H468)</f>
        <v/>
      </c>
      <c r="E471" s="15" t="str">
        <f>IF($A471="","",MASTER_REGISTER!G468)</f>
        <v/>
      </c>
      <c r="F471" s="15" t="str">
        <f>IF($A471="","",MASTER_REGISTER!I468)</f>
        <v/>
      </c>
      <c r="G471" s="16" t="str">
        <f>IF($A471="","",MASTER_REGISTER!J468)</f>
        <v/>
      </c>
      <c r="H471" s="16" t="str">
        <f>IF($A471="","",MASTER_REGISTER!L468)</f>
        <v/>
      </c>
      <c r="I471" s="16" t="str">
        <f>IF($A471="","",MASTER_REGISTER!M468)</f>
        <v/>
      </c>
      <c r="J471" s="15" t="str">
        <f>IF($A471="","",MASTER_REGISTER!N468)</f>
        <v/>
      </c>
    </row>
    <row r="472" spans="1:10" x14ac:dyDescent="0.3">
      <c r="A472" s="15" t="str">
        <f>IF(MASTER_REGISTER!E469="","",MASTER_REGISTER!E469)</f>
        <v/>
      </c>
      <c r="B472" s="15" t="str">
        <f>IF($A472="","",MASTER_REGISTER!F469)</f>
        <v/>
      </c>
      <c r="C472" s="15" t="str">
        <f>IF($A472="","",MASTER_REGISTER!C469)</f>
        <v/>
      </c>
      <c r="D472" s="15" t="str">
        <f>IF($A472="","",MASTER_REGISTER!H469)</f>
        <v/>
      </c>
      <c r="E472" s="15" t="str">
        <f>IF($A472="","",MASTER_REGISTER!G469)</f>
        <v/>
      </c>
      <c r="F472" s="15" t="str">
        <f>IF($A472="","",MASTER_REGISTER!I469)</f>
        <v/>
      </c>
      <c r="G472" s="16" t="str">
        <f>IF($A472="","",MASTER_REGISTER!J469)</f>
        <v/>
      </c>
      <c r="H472" s="16" t="str">
        <f>IF($A472="","",MASTER_REGISTER!L469)</f>
        <v/>
      </c>
      <c r="I472" s="16" t="str">
        <f>IF($A472="","",MASTER_REGISTER!M469)</f>
        <v/>
      </c>
      <c r="J472" s="15" t="str">
        <f>IF($A472="","",MASTER_REGISTER!N469)</f>
        <v/>
      </c>
    </row>
    <row r="473" spans="1:10" x14ac:dyDescent="0.3">
      <c r="A473" s="15" t="str">
        <f>IF(MASTER_REGISTER!E470="","",MASTER_REGISTER!E470)</f>
        <v/>
      </c>
      <c r="B473" s="15" t="str">
        <f>IF($A473="","",MASTER_REGISTER!F470)</f>
        <v/>
      </c>
      <c r="C473" s="15" t="str">
        <f>IF($A473="","",MASTER_REGISTER!C470)</f>
        <v/>
      </c>
      <c r="D473" s="15" t="str">
        <f>IF($A473="","",MASTER_REGISTER!H470)</f>
        <v/>
      </c>
      <c r="E473" s="15" t="str">
        <f>IF($A473="","",MASTER_REGISTER!G470)</f>
        <v/>
      </c>
      <c r="F473" s="15" t="str">
        <f>IF($A473="","",MASTER_REGISTER!I470)</f>
        <v/>
      </c>
      <c r="G473" s="16" t="str">
        <f>IF($A473="","",MASTER_REGISTER!J470)</f>
        <v/>
      </c>
      <c r="H473" s="16" t="str">
        <f>IF($A473="","",MASTER_REGISTER!L470)</f>
        <v/>
      </c>
      <c r="I473" s="16" t="str">
        <f>IF($A473="","",MASTER_REGISTER!M470)</f>
        <v/>
      </c>
      <c r="J473" s="15" t="str">
        <f>IF($A473="","",MASTER_REGISTER!N470)</f>
        <v/>
      </c>
    </row>
    <row r="474" spans="1:10" x14ac:dyDescent="0.3">
      <c r="A474" s="15" t="str">
        <f>IF(MASTER_REGISTER!E471="","",MASTER_REGISTER!E471)</f>
        <v/>
      </c>
      <c r="B474" s="15" t="str">
        <f>IF($A474="","",MASTER_REGISTER!F471)</f>
        <v/>
      </c>
      <c r="C474" s="15" t="str">
        <f>IF($A474="","",MASTER_REGISTER!C471)</f>
        <v/>
      </c>
      <c r="D474" s="15" t="str">
        <f>IF($A474="","",MASTER_REGISTER!H471)</f>
        <v/>
      </c>
      <c r="E474" s="15" t="str">
        <f>IF($A474="","",MASTER_REGISTER!G471)</f>
        <v/>
      </c>
      <c r="F474" s="15" t="str">
        <f>IF($A474="","",MASTER_REGISTER!I471)</f>
        <v/>
      </c>
      <c r="G474" s="16" t="str">
        <f>IF($A474="","",MASTER_REGISTER!J471)</f>
        <v/>
      </c>
      <c r="H474" s="16" t="str">
        <f>IF($A474="","",MASTER_REGISTER!L471)</f>
        <v/>
      </c>
      <c r="I474" s="16" t="str">
        <f>IF($A474="","",MASTER_REGISTER!M471)</f>
        <v/>
      </c>
      <c r="J474" s="15" t="str">
        <f>IF($A474="","",MASTER_REGISTER!N471)</f>
        <v/>
      </c>
    </row>
    <row r="475" spans="1:10" x14ac:dyDescent="0.3">
      <c r="A475" s="15" t="str">
        <f>IF(MASTER_REGISTER!E472="","",MASTER_REGISTER!E472)</f>
        <v/>
      </c>
      <c r="B475" s="15" t="str">
        <f>IF($A475="","",MASTER_REGISTER!F472)</f>
        <v/>
      </c>
      <c r="C475" s="15" t="str">
        <f>IF($A475="","",MASTER_REGISTER!C472)</f>
        <v/>
      </c>
      <c r="D475" s="15" t="str">
        <f>IF($A475="","",MASTER_REGISTER!H472)</f>
        <v/>
      </c>
      <c r="E475" s="15" t="str">
        <f>IF($A475="","",MASTER_REGISTER!G472)</f>
        <v/>
      </c>
      <c r="F475" s="15" t="str">
        <f>IF($A475="","",MASTER_REGISTER!I472)</f>
        <v/>
      </c>
      <c r="G475" s="16" t="str">
        <f>IF($A475="","",MASTER_REGISTER!J472)</f>
        <v/>
      </c>
      <c r="H475" s="16" t="str">
        <f>IF($A475="","",MASTER_REGISTER!L472)</f>
        <v/>
      </c>
      <c r="I475" s="16" t="str">
        <f>IF($A475="","",MASTER_REGISTER!M472)</f>
        <v/>
      </c>
      <c r="J475" s="15" t="str">
        <f>IF($A475="","",MASTER_REGISTER!N472)</f>
        <v/>
      </c>
    </row>
    <row r="476" spans="1:10" x14ac:dyDescent="0.3">
      <c r="A476" s="15" t="str">
        <f>IF(MASTER_REGISTER!E473="","",MASTER_REGISTER!E473)</f>
        <v/>
      </c>
      <c r="B476" s="15" t="str">
        <f>IF($A476="","",MASTER_REGISTER!F473)</f>
        <v/>
      </c>
      <c r="C476" s="15" t="str">
        <f>IF($A476="","",MASTER_REGISTER!C473)</f>
        <v/>
      </c>
      <c r="D476" s="15" t="str">
        <f>IF($A476="","",MASTER_REGISTER!H473)</f>
        <v/>
      </c>
      <c r="E476" s="15" t="str">
        <f>IF($A476="","",MASTER_REGISTER!G473)</f>
        <v/>
      </c>
      <c r="F476" s="15" t="str">
        <f>IF($A476="","",MASTER_REGISTER!I473)</f>
        <v/>
      </c>
      <c r="G476" s="16" t="str">
        <f>IF($A476="","",MASTER_REGISTER!J473)</f>
        <v/>
      </c>
      <c r="H476" s="16" t="str">
        <f>IF($A476="","",MASTER_REGISTER!L473)</f>
        <v/>
      </c>
      <c r="I476" s="16" t="str">
        <f>IF($A476="","",MASTER_REGISTER!M473)</f>
        <v/>
      </c>
      <c r="J476" s="15" t="str">
        <f>IF($A476="","",MASTER_REGISTER!N473)</f>
        <v/>
      </c>
    </row>
    <row r="477" spans="1:10" x14ac:dyDescent="0.3">
      <c r="A477" s="15" t="str">
        <f>IF(MASTER_REGISTER!E474="","",MASTER_REGISTER!E474)</f>
        <v/>
      </c>
      <c r="B477" s="15" t="str">
        <f>IF($A477="","",MASTER_REGISTER!F474)</f>
        <v/>
      </c>
      <c r="C477" s="15" t="str">
        <f>IF($A477="","",MASTER_REGISTER!C474)</f>
        <v/>
      </c>
      <c r="D477" s="15" t="str">
        <f>IF($A477="","",MASTER_REGISTER!H474)</f>
        <v/>
      </c>
      <c r="E477" s="15" t="str">
        <f>IF($A477="","",MASTER_REGISTER!G474)</f>
        <v/>
      </c>
      <c r="F477" s="15" t="str">
        <f>IF($A477="","",MASTER_REGISTER!I474)</f>
        <v/>
      </c>
      <c r="G477" s="16" t="str">
        <f>IF($A477="","",MASTER_REGISTER!J474)</f>
        <v/>
      </c>
      <c r="H477" s="16" t="str">
        <f>IF($A477="","",MASTER_REGISTER!L474)</f>
        <v/>
      </c>
      <c r="I477" s="16" t="str">
        <f>IF($A477="","",MASTER_REGISTER!M474)</f>
        <v/>
      </c>
      <c r="J477" s="15" t="str">
        <f>IF($A477="","",MASTER_REGISTER!N474)</f>
        <v/>
      </c>
    </row>
    <row r="478" spans="1:10" x14ac:dyDescent="0.3">
      <c r="A478" s="15" t="str">
        <f>IF(MASTER_REGISTER!E475="","",MASTER_REGISTER!E475)</f>
        <v/>
      </c>
      <c r="B478" s="15" t="str">
        <f>IF($A478="","",MASTER_REGISTER!F475)</f>
        <v/>
      </c>
      <c r="C478" s="15" t="str">
        <f>IF($A478="","",MASTER_REGISTER!C475)</f>
        <v/>
      </c>
      <c r="D478" s="15" t="str">
        <f>IF($A478="","",MASTER_REGISTER!H475)</f>
        <v/>
      </c>
      <c r="E478" s="15" t="str">
        <f>IF($A478="","",MASTER_REGISTER!G475)</f>
        <v/>
      </c>
      <c r="F478" s="15" t="str">
        <f>IF($A478="","",MASTER_REGISTER!I475)</f>
        <v/>
      </c>
      <c r="G478" s="16" t="str">
        <f>IF($A478="","",MASTER_REGISTER!J475)</f>
        <v/>
      </c>
      <c r="H478" s="16" t="str">
        <f>IF($A478="","",MASTER_REGISTER!L475)</f>
        <v/>
      </c>
      <c r="I478" s="16" t="str">
        <f>IF($A478="","",MASTER_REGISTER!M475)</f>
        <v/>
      </c>
      <c r="J478" s="15" t="str">
        <f>IF($A478="","",MASTER_REGISTER!N475)</f>
        <v/>
      </c>
    </row>
    <row r="479" spans="1:10" x14ac:dyDescent="0.3">
      <c r="A479" s="15" t="str">
        <f>IF(MASTER_REGISTER!E476="","",MASTER_REGISTER!E476)</f>
        <v/>
      </c>
      <c r="B479" s="15" t="str">
        <f>IF($A479="","",MASTER_REGISTER!F476)</f>
        <v/>
      </c>
      <c r="C479" s="15" t="str">
        <f>IF($A479="","",MASTER_REGISTER!C476)</f>
        <v/>
      </c>
      <c r="D479" s="15" t="str">
        <f>IF($A479="","",MASTER_REGISTER!H476)</f>
        <v/>
      </c>
      <c r="E479" s="15" t="str">
        <f>IF($A479="","",MASTER_REGISTER!G476)</f>
        <v/>
      </c>
      <c r="F479" s="15" t="str">
        <f>IF($A479="","",MASTER_REGISTER!I476)</f>
        <v/>
      </c>
      <c r="G479" s="16" t="str">
        <f>IF($A479="","",MASTER_REGISTER!J476)</f>
        <v/>
      </c>
      <c r="H479" s="16" t="str">
        <f>IF($A479="","",MASTER_REGISTER!L476)</f>
        <v/>
      </c>
      <c r="I479" s="16" t="str">
        <f>IF($A479="","",MASTER_REGISTER!M476)</f>
        <v/>
      </c>
      <c r="J479" s="15" t="str">
        <f>IF($A479="","",MASTER_REGISTER!N476)</f>
        <v/>
      </c>
    </row>
    <row r="480" spans="1:10" x14ac:dyDescent="0.3">
      <c r="A480" s="15" t="str">
        <f>IF(MASTER_REGISTER!E477="","",MASTER_REGISTER!E477)</f>
        <v/>
      </c>
      <c r="B480" s="15" t="str">
        <f>IF($A480="","",MASTER_REGISTER!F477)</f>
        <v/>
      </c>
      <c r="C480" s="15" t="str">
        <f>IF($A480="","",MASTER_REGISTER!C477)</f>
        <v/>
      </c>
      <c r="D480" s="15" t="str">
        <f>IF($A480="","",MASTER_REGISTER!H477)</f>
        <v/>
      </c>
      <c r="E480" s="15" t="str">
        <f>IF($A480="","",MASTER_REGISTER!G477)</f>
        <v/>
      </c>
      <c r="F480" s="15" t="str">
        <f>IF($A480="","",MASTER_REGISTER!I477)</f>
        <v/>
      </c>
      <c r="G480" s="16" t="str">
        <f>IF($A480="","",MASTER_REGISTER!J477)</f>
        <v/>
      </c>
      <c r="H480" s="16" t="str">
        <f>IF($A480="","",MASTER_REGISTER!L477)</f>
        <v/>
      </c>
      <c r="I480" s="16" t="str">
        <f>IF($A480="","",MASTER_REGISTER!M477)</f>
        <v/>
      </c>
      <c r="J480" s="15" t="str">
        <f>IF($A480="","",MASTER_REGISTER!N477)</f>
        <v/>
      </c>
    </row>
    <row r="481" spans="1:10" x14ac:dyDescent="0.3">
      <c r="A481" s="15" t="str">
        <f>IF(MASTER_REGISTER!E478="","",MASTER_REGISTER!E478)</f>
        <v/>
      </c>
      <c r="B481" s="15" t="str">
        <f>IF($A481="","",MASTER_REGISTER!F478)</f>
        <v/>
      </c>
      <c r="C481" s="15" t="str">
        <f>IF($A481="","",MASTER_REGISTER!C478)</f>
        <v/>
      </c>
      <c r="D481" s="15" t="str">
        <f>IF($A481="","",MASTER_REGISTER!H478)</f>
        <v/>
      </c>
      <c r="E481" s="15" t="str">
        <f>IF($A481="","",MASTER_REGISTER!G478)</f>
        <v/>
      </c>
      <c r="F481" s="15" t="str">
        <f>IF($A481="","",MASTER_REGISTER!I478)</f>
        <v/>
      </c>
      <c r="G481" s="16" t="str">
        <f>IF($A481="","",MASTER_REGISTER!J478)</f>
        <v/>
      </c>
      <c r="H481" s="16" t="str">
        <f>IF($A481="","",MASTER_REGISTER!L478)</f>
        <v/>
      </c>
      <c r="I481" s="16" t="str">
        <f>IF($A481="","",MASTER_REGISTER!M478)</f>
        <v/>
      </c>
      <c r="J481" s="15" t="str">
        <f>IF($A481="","",MASTER_REGISTER!N478)</f>
        <v/>
      </c>
    </row>
    <row r="482" spans="1:10" x14ac:dyDescent="0.3">
      <c r="A482" s="15" t="str">
        <f>IF(MASTER_REGISTER!E479="","",MASTER_REGISTER!E479)</f>
        <v/>
      </c>
      <c r="B482" s="15" t="str">
        <f>IF($A482="","",MASTER_REGISTER!F479)</f>
        <v/>
      </c>
      <c r="C482" s="15" t="str">
        <f>IF($A482="","",MASTER_REGISTER!C479)</f>
        <v/>
      </c>
      <c r="D482" s="15" t="str">
        <f>IF($A482="","",MASTER_REGISTER!H479)</f>
        <v/>
      </c>
      <c r="E482" s="15" t="str">
        <f>IF($A482="","",MASTER_REGISTER!G479)</f>
        <v/>
      </c>
      <c r="F482" s="15" t="str">
        <f>IF($A482="","",MASTER_REGISTER!I479)</f>
        <v/>
      </c>
      <c r="G482" s="16" t="str">
        <f>IF($A482="","",MASTER_REGISTER!J479)</f>
        <v/>
      </c>
      <c r="H482" s="16" t="str">
        <f>IF($A482="","",MASTER_REGISTER!L479)</f>
        <v/>
      </c>
      <c r="I482" s="16" t="str">
        <f>IF($A482="","",MASTER_REGISTER!M479)</f>
        <v/>
      </c>
      <c r="J482" s="15" t="str">
        <f>IF($A482="","",MASTER_REGISTER!N479)</f>
        <v/>
      </c>
    </row>
    <row r="483" spans="1:10" x14ac:dyDescent="0.3">
      <c r="A483" s="15" t="str">
        <f>IF(MASTER_REGISTER!E480="","",MASTER_REGISTER!E480)</f>
        <v/>
      </c>
      <c r="B483" s="15" t="str">
        <f>IF($A483="","",MASTER_REGISTER!F480)</f>
        <v/>
      </c>
      <c r="C483" s="15" t="str">
        <f>IF($A483="","",MASTER_REGISTER!C480)</f>
        <v/>
      </c>
      <c r="D483" s="15" t="str">
        <f>IF($A483="","",MASTER_REGISTER!H480)</f>
        <v/>
      </c>
      <c r="E483" s="15" t="str">
        <f>IF($A483="","",MASTER_REGISTER!G480)</f>
        <v/>
      </c>
      <c r="F483" s="15" t="str">
        <f>IF($A483="","",MASTER_REGISTER!I480)</f>
        <v/>
      </c>
      <c r="G483" s="16" t="str">
        <f>IF($A483="","",MASTER_REGISTER!J480)</f>
        <v/>
      </c>
      <c r="H483" s="16" t="str">
        <f>IF($A483="","",MASTER_REGISTER!L480)</f>
        <v/>
      </c>
      <c r="I483" s="16" t="str">
        <f>IF($A483="","",MASTER_REGISTER!M480)</f>
        <v/>
      </c>
      <c r="J483" s="15" t="str">
        <f>IF($A483="","",MASTER_REGISTER!N480)</f>
        <v/>
      </c>
    </row>
    <row r="484" spans="1:10" x14ac:dyDescent="0.3">
      <c r="A484" s="15" t="str">
        <f>IF(MASTER_REGISTER!E481="","",MASTER_REGISTER!E481)</f>
        <v/>
      </c>
      <c r="B484" s="15" t="str">
        <f>IF($A484="","",MASTER_REGISTER!F481)</f>
        <v/>
      </c>
      <c r="C484" s="15" t="str">
        <f>IF($A484="","",MASTER_REGISTER!C481)</f>
        <v/>
      </c>
      <c r="D484" s="15" t="str">
        <f>IF($A484="","",MASTER_REGISTER!H481)</f>
        <v/>
      </c>
      <c r="E484" s="15" t="str">
        <f>IF($A484="","",MASTER_REGISTER!G481)</f>
        <v/>
      </c>
      <c r="F484" s="15" t="str">
        <f>IF($A484="","",MASTER_REGISTER!I481)</f>
        <v/>
      </c>
      <c r="G484" s="16" t="str">
        <f>IF($A484="","",MASTER_REGISTER!J481)</f>
        <v/>
      </c>
      <c r="H484" s="16" t="str">
        <f>IF($A484="","",MASTER_REGISTER!L481)</f>
        <v/>
      </c>
      <c r="I484" s="16" t="str">
        <f>IF($A484="","",MASTER_REGISTER!M481)</f>
        <v/>
      </c>
      <c r="J484" s="15" t="str">
        <f>IF($A484="","",MASTER_REGISTER!N481)</f>
        <v/>
      </c>
    </row>
    <row r="485" spans="1:10" x14ac:dyDescent="0.3">
      <c r="A485" s="15" t="str">
        <f>IF(MASTER_REGISTER!E482="","",MASTER_REGISTER!E482)</f>
        <v/>
      </c>
      <c r="B485" s="15" t="str">
        <f>IF($A485="","",MASTER_REGISTER!F482)</f>
        <v/>
      </c>
      <c r="C485" s="15" t="str">
        <f>IF($A485="","",MASTER_REGISTER!C482)</f>
        <v/>
      </c>
      <c r="D485" s="15" t="str">
        <f>IF($A485="","",MASTER_REGISTER!H482)</f>
        <v/>
      </c>
      <c r="E485" s="15" t="str">
        <f>IF($A485="","",MASTER_REGISTER!G482)</f>
        <v/>
      </c>
      <c r="F485" s="15" t="str">
        <f>IF($A485="","",MASTER_REGISTER!I482)</f>
        <v/>
      </c>
      <c r="G485" s="16" t="str">
        <f>IF($A485="","",MASTER_REGISTER!J482)</f>
        <v/>
      </c>
      <c r="H485" s="16" t="str">
        <f>IF($A485="","",MASTER_REGISTER!L482)</f>
        <v/>
      </c>
      <c r="I485" s="16" t="str">
        <f>IF($A485="","",MASTER_REGISTER!M482)</f>
        <v/>
      </c>
      <c r="J485" s="15" t="str">
        <f>IF($A485="","",MASTER_REGISTER!N482)</f>
        <v/>
      </c>
    </row>
    <row r="486" spans="1:10" x14ac:dyDescent="0.3">
      <c r="A486" s="15" t="str">
        <f>IF(MASTER_REGISTER!E483="","",MASTER_REGISTER!E483)</f>
        <v/>
      </c>
      <c r="B486" s="15" t="str">
        <f>IF($A486="","",MASTER_REGISTER!F483)</f>
        <v/>
      </c>
      <c r="C486" s="15" t="str">
        <f>IF($A486="","",MASTER_REGISTER!C483)</f>
        <v/>
      </c>
      <c r="D486" s="15" t="str">
        <f>IF($A486="","",MASTER_REGISTER!H483)</f>
        <v/>
      </c>
      <c r="E486" s="15" t="str">
        <f>IF($A486="","",MASTER_REGISTER!G483)</f>
        <v/>
      </c>
      <c r="F486" s="15" t="str">
        <f>IF($A486="","",MASTER_REGISTER!I483)</f>
        <v/>
      </c>
      <c r="G486" s="16" t="str">
        <f>IF($A486="","",MASTER_REGISTER!J483)</f>
        <v/>
      </c>
      <c r="H486" s="16" t="str">
        <f>IF($A486="","",MASTER_REGISTER!L483)</f>
        <v/>
      </c>
      <c r="I486" s="16" t="str">
        <f>IF($A486="","",MASTER_REGISTER!M483)</f>
        <v/>
      </c>
      <c r="J486" s="15" t="str">
        <f>IF($A486="","",MASTER_REGISTER!N483)</f>
        <v/>
      </c>
    </row>
    <row r="487" spans="1:10" x14ac:dyDescent="0.3">
      <c r="A487" s="15" t="str">
        <f>IF(MASTER_REGISTER!E484="","",MASTER_REGISTER!E484)</f>
        <v/>
      </c>
      <c r="B487" s="15" t="str">
        <f>IF($A487="","",MASTER_REGISTER!F484)</f>
        <v/>
      </c>
      <c r="C487" s="15" t="str">
        <f>IF($A487="","",MASTER_REGISTER!C484)</f>
        <v/>
      </c>
      <c r="D487" s="15" t="str">
        <f>IF($A487="","",MASTER_REGISTER!H484)</f>
        <v/>
      </c>
      <c r="E487" s="15" t="str">
        <f>IF($A487="","",MASTER_REGISTER!G484)</f>
        <v/>
      </c>
      <c r="F487" s="15" t="str">
        <f>IF($A487="","",MASTER_REGISTER!I484)</f>
        <v/>
      </c>
      <c r="G487" s="16" t="str">
        <f>IF($A487="","",MASTER_REGISTER!J484)</f>
        <v/>
      </c>
      <c r="H487" s="16" t="str">
        <f>IF($A487="","",MASTER_REGISTER!L484)</f>
        <v/>
      </c>
      <c r="I487" s="16" t="str">
        <f>IF($A487="","",MASTER_REGISTER!M484)</f>
        <v/>
      </c>
      <c r="J487" s="15" t="str">
        <f>IF($A487="","",MASTER_REGISTER!N484)</f>
        <v/>
      </c>
    </row>
    <row r="488" spans="1:10" x14ac:dyDescent="0.3">
      <c r="A488" s="15" t="str">
        <f>IF(MASTER_REGISTER!E485="","",MASTER_REGISTER!E485)</f>
        <v/>
      </c>
      <c r="B488" s="15" t="str">
        <f>IF($A488="","",MASTER_REGISTER!F485)</f>
        <v/>
      </c>
      <c r="C488" s="15" t="str">
        <f>IF($A488="","",MASTER_REGISTER!C485)</f>
        <v/>
      </c>
      <c r="D488" s="15" t="str">
        <f>IF($A488="","",MASTER_REGISTER!H485)</f>
        <v/>
      </c>
      <c r="E488" s="15" t="str">
        <f>IF($A488="","",MASTER_REGISTER!G485)</f>
        <v/>
      </c>
      <c r="F488" s="15" t="str">
        <f>IF($A488="","",MASTER_REGISTER!I485)</f>
        <v/>
      </c>
      <c r="G488" s="16" t="str">
        <f>IF($A488="","",MASTER_REGISTER!J485)</f>
        <v/>
      </c>
      <c r="H488" s="16" t="str">
        <f>IF($A488="","",MASTER_REGISTER!L485)</f>
        <v/>
      </c>
      <c r="I488" s="16" t="str">
        <f>IF($A488="","",MASTER_REGISTER!M485)</f>
        <v/>
      </c>
      <c r="J488" s="15" t="str">
        <f>IF($A488="","",MASTER_REGISTER!N485)</f>
        <v/>
      </c>
    </row>
    <row r="489" spans="1:10" x14ac:dyDescent="0.3">
      <c r="A489" s="15" t="str">
        <f>IF(MASTER_REGISTER!E486="","",MASTER_REGISTER!E486)</f>
        <v/>
      </c>
      <c r="B489" s="15" t="str">
        <f>IF($A489="","",MASTER_REGISTER!F486)</f>
        <v/>
      </c>
      <c r="C489" s="15" t="str">
        <f>IF($A489="","",MASTER_REGISTER!C486)</f>
        <v/>
      </c>
      <c r="D489" s="15" t="str">
        <f>IF($A489="","",MASTER_REGISTER!H486)</f>
        <v/>
      </c>
      <c r="E489" s="15" t="str">
        <f>IF($A489="","",MASTER_REGISTER!G486)</f>
        <v/>
      </c>
      <c r="F489" s="15" t="str">
        <f>IF($A489="","",MASTER_REGISTER!I486)</f>
        <v/>
      </c>
      <c r="G489" s="16" t="str">
        <f>IF($A489="","",MASTER_REGISTER!J486)</f>
        <v/>
      </c>
      <c r="H489" s="16" t="str">
        <f>IF($A489="","",MASTER_REGISTER!L486)</f>
        <v/>
      </c>
      <c r="I489" s="16" t="str">
        <f>IF($A489="","",MASTER_REGISTER!M486)</f>
        <v/>
      </c>
      <c r="J489" s="15" t="str">
        <f>IF($A489="","",MASTER_REGISTER!N486)</f>
        <v/>
      </c>
    </row>
    <row r="490" spans="1:10" x14ac:dyDescent="0.3">
      <c r="A490" s="15" t="str">
        <f>IF(MASTER_REGISTER!E487="","",MASTER_REGISTER!E487)</f>
        <v/>
      </c>
      <c r="B490" s="15" t="str">
        <f>IF($A490="","",MASTER_REGISTER!F487)</f>
        <v/>
      </c>
      <c r="C490" s="15" t="str">
        <f>IF($A490="","",MASTER_REGISTER!C487)</f>
        <v/>
      </c>
      <c r="D490" s="15" t="str">
        <f>IF($A490="","",MASTER_REGISTER!H487)</f>
        <v/>
      </c>
      <c r="E490" s="15" t="str">
        <f>IF($A490="","",MASTER_REGISTER!G487)</f>
        <v/>
      </c>
      <c r="F490" s="15" t="str">
        <f>IF($A490="","",MASTER_REGISTER!I487)</f>
        <v/>
      </c>
      <c r="G490" s="16" t="str">
        <f>IF($A490="","",MASTER_REGISTER!J487)</f>
        <v/>
      </c>
      <c r="H490" s="16" t="str">
        <f>IF($A490="","",MASTER_REGISTER!L487)</f>
        <v/>
      </c>
      <c r="I490" s="16" t="str">
        <f>IF($A490="","",MASTER_REGISTER!M487)</f>
        <v/>
      </c>
      <c r="J490" s="15" t="str">
        <f>IF($A490="","",MASTER_REGISTER!N487)</f>
        <v/>
      </c>
    </row>
    <row r="491" spans="1:10" x14ac:dyDescent="0.3">
      <c r="A491" s="15" t="str">
        <f>IF(MASTER_REGISTER!E488="","",MASTER_REGISTER!E488)</f>
        <v/>
      </c>
      <c r="B491" s="15" t="str">
        <f>IF($A491="","",MASTER_REGISTER!F488)</f>
        <v/>
      </c>
      <c r="C491" s="15" t="str">
        <f>IF($A491="","",MASTER_REGISTER!C488)</f>
        <v/>
      </c>
      <c r="D491" s="15" t="str">
        <f>IF($A491="","",MASTER_REGISTER!H488)</f>
        <v/>
      </c>
      <c r="E491" s="15" t="str">
        <f>IF($A491="","",MASTER_REGISTER!G488)</f>
        <v/>
      </c>
      <c r="F491" s="15" t="str">
        <f>IF($A491="","",MASTER_REGISTER!I488)</f>
        <v/>
      </c>
      <c r="G491" s="16" t="str">
        <f>IF($A491="","",MASTER_REGISTER!J488)</f>
        <v/>
      </c>
      <c r="H491" s="16" t="str">
        <f>IF($A491="","",MASTER_REGISTER!L488)</f>
        <v/>
      </c>
      <c r="I491" s="16" t="str">
        <f>IF($A491="","",MASTER_REGISTER!M488)</f>
        <v/>
      </c>
      <c r="J491" s="15" t="str">
        <f>IF($A491="","",MASTER_REGISTER!N488)</f>
        <v/>
      </c>
    </row>
    <row r="492" spans="1:10" x14ac:dyDescent="0.3">
      <c r="A492" s="15" t="str">
        <f>IF(MASTER_REGISTER!E489="","",MASTER_REGISTER!E489)</f>
        <v/>
      </c>
      <c r="B492" s="15" t="str">
        <f>IF($A492="","",MASTER_REGISTER!F489)</f>
        <v/>
      </c>
      <c r="C492" s="15" t="str">
        <f>IF($A492="","",MASTER_REGISTER!C489)</f>
        <v/>
      </c>
      <c r="D492" s="15" t="str">
        <f>IF($A492="","",MASTER_REGISTER!H489)</f>
        <v/>
      </c>
      <c r="E492" s="15" t="str">
        <f>IF($A492="","",MASTER_REGISTER!G489)</f>
        <v/>
      </c>
      <c r="F492" s="15" t="str">
        <f>IF($A492="","",MASTER_REGISTER!I489)</f>
        <v/>
      </c>
      <c r="G492" s="16" t="str">
        <f>IF($A492="","",MASTER_REGISTER!J489)</f>
        <v/>
      </c>
      <c r="H492" s="16" t="str">
        <f>IF($A492="","",MASTER_REGISTER!L489)</f>
        <v/>
      </c>
      <c r="I492" s="16" t="str">
        <f>IF($A492="","",MASTER_REGISTER!M489)</f>
        <v/>
      </c>
      <c r="J492" s="15" t="str">
        <f>IF($A492="","",MASTER_REGISTER!N489)</f>
        <v/>
      </c>
    </row>
    <row r="493" spans="1:10" x14ac:dyDescent="0.3">
      <c r="A493" s="15" t="str">
        <f>IF(MASTER_REGISTER!E490="","",MASTER_REGISTER!E490)</f>
        <v/>
      </c>
      <c r="B493" s="15" t="str">
        <f>IF($A493="","",MASTER_REGISTER!F490)</f>
        <v/>
      </c>
      <c r="C493" s="15" t="str">
        <f>IF($A493="","",MASTER_REGISTER!C490)</f>
        <v/>
      </c>
      <c r="D493" s="15" t="str">
        <f>IF($A493="","",MASTER_REGISTER!H490)</f>
        <v/>
      </c>
      <c r="E493" s="15" t="str">
        <f>IF($A493="","",MASTER_REGISTER!G490)</f>
        <v/>
      </c>
      <c r="F493" s="15" t="str">
        <f>IF($A493="","",MASTER_REGISTER!I490)</f>
        <v/>
      </c>
      <c r="G493" s="16" t="str">
        <f>IF($A493="","",MASTER_REGISTER!J490)</f>
        <v/>
      </c>
      <c r="H493" s="16" t="str">
        <f>IF($A493="","",MASTER_REGISTER!L490)</f>
        <v/>
      </c>
      <c r="I493" s="16" t="str">
        <f>IF($A493="","",MASTER_REGISTER!M490)</f>
        <v/>
      </c>
      <c r="J493" s="15" t="str">
        <f>IF($A493="","",MASTER_REGISTER!N490)</f>
        <v/>
      </c>
    </row>
    <row r="494" spans="1:10" x14ac:dyDescent="0.3">
      <c r="A494" s="15" t="str">
        <f>IF(MASTER_REGISTER!E491="","",MASTER_REGISTER!E491)</f>
        <v/>
      </c>
      <c r="B494" s="15" t="str">
        <f>IF($A494="","",MASTER_REGISTER!F491)</f>
        <v/>
      </c>
      <c r="C494" s="15" t="str">
        <f>IF($A494="","",MASTER_REGISTER!C491)</f>
        <v/>
      </c>
      <c r="D494" s="15" t="str">
        <f>IF($A494="","",MASTER_REGISTER!H491)</f>
        <v/>
      </c>
      <c r="E494" s="15" t="str">
        <f>IF($A494="","",MASTER_REGISTER!G491)</f>
        <v/>
      </c>
      <c r="F494" s="15" t="str">
        <f>IF($A494="","",MASTER_REGISTER!I491)</f>
        <v/>
      </c>
      <c r="G494" s="16" t="str">
        <f>IF($A494="","",MASTER_REGISTER!J491)</f>
        <v/>
      </c>
      <c r="H494" s="16" t="str">
        <f>IF($A494="","",MASTER_REGISTER!L491)</f>
        <v/>
      </c>
      <c r="I494" s="16" t="str">
        <f>IF($A494="","",MASTER_REGISTER!M491)</f>
        <v/>
      </c>
      <c r="J494" s="15" t="str">
        <f>IF($A494="","",MASTER_REGISTER!N491)</f>
        <v/>
      </c>
    </row>
    <row r="495" spans="1:10" x14ac:dyDescent="0.3">
      <c r="A495" s="15" t="str">
        <f>IF(MASTER_REGISTER!E492="","",MASTER_REGISTER!E492)</f>
        <v/>
      </c>
      <c r="B495" s="15" t="str">
        <f>IF($A495="","",MASTER_REGISTER!F492)</f>
        <v/>
      </c>
      <c r="C495" s="15" t="str">
        <f>IF($A495="","",MASTER_REGISTER!C492)</f>
        <v/>
      </c>
      <c r="D495" s="15" t="str">
        <f>IF($A495="","",MASTER_REGISTER!H492)</f>
        <v/>
      </c>
      <c r="E495" s="15" t="str">
        <f>IF($A495="","",MASTER_REGISTER!G492)</f>
        <v/>
      </c>
      <c r="F495" s="15" t="str">
        <f>IF($A495="","",MASTER_REGISTER!I492)</f>
        <v/>
      </c>
      <c r="G495" s="16" t="str">
        <f>IF($A495="","",MASTER_REGISTER!J492)</f>
        <v/>
      </c>
      <c r="H495" s="16" t="str">
        <f>IF($A495="","",MASTER_REGISTER!L492)</f>
        <v/>
      </c>
      <c r="I495" s="16" t="str">
        <f>IF($A495="","",MASTER_REGISTER!M492)</f>
        <v/>
      </c>
      <c r="J495" s="15" t="str">
        <f>IF($A495="","",MASTER_REGISTER!N492)</f>
        <v/>
      </c>
    </row>
    <row r="496" spans="1:10" x14ac:dyDescent="0.3">
      <c r="A496" s="15" t="str">
        <f>IF(MASTER_REGISTER!E493="","",MASTER_REGISTER!E493)</f>
        <v/>
      </c>
      <c r="B496" s="15" t="str">
        <f>IF($A496="","",MASTER_REGISTER!F493)</f>
        <v/>
      </c>
      <c r="C496" s="15" t="str">
        <f>IF($A496="","",MASTER_REGISTER!C493)</f>
        <v/>
      </c>
      <c r="D496" s="15" t="str">
        <f>IF($A496="","",MASTER_REGISTER!H493)</f>
        <v/>
      </c>
      <c r="E496" s="15" t="str">
        <f>IF($A496="","",MASTER_REGISTER!G493)</f>
        <v/>
      </c>
      <c r="F496" s="15" t="str">
        <f>IF($A496="","",MASTER_REGISTER!I493)</f>
        <v/>
      </c>
      <c r="G496" s="16" t="str">
        <f>IF($A496="","",MASTER_REGISTER!J493)</f>
        <v/>
      </c>
      <c r="H496" s="16" t="str">
        <f>IF($A496="","",MASTER_REGISTER!L493)</f>
        <v/>
      </c>
      <c r="I496" s="16" t="str">
        <f>IF($A496="","",MASTER_REGISTER!M493)</f>
        <v/>
      </c>
      <c r="J496" s="15" t="str">
        <f>IF($A496="","",MASTER_REGISTER!N493)</f>
        <v/>
      </c>
    </row>
    <row r="497" spans="1:10" x14ac:dyDescent="0.3">
      <c r="A497" s="15" t="str">
        <f>IF(MASTER_REGISTER!E494="","",MASTER_REGISTER!E494)</f>
        <v/>
      </c>
      <c r="B497" s="15" t="str">
        <f>IF($A497="","",MASTER_REGISTER!F494)</f>
        <v/>
      </c>
      <c r="C497" s="15" t="str">
        <f>IF($A497="","",MASTER_REGISTER!C494)</f>
        <v/>
      </c>
      <c r="D497" s="15" t="str">
        <f>IF($A497="","",MASTER_REGISTER!H494)</f>
        <v/>
      </c>
      <c r="E497" s="15" t="str">
        <f>IF($A497="","",MASTER_REGISTER!G494)</f>
        <v/>
      </c>
      <c r="F497" s="15" t="str">
        <f>IF($A497="","",MASTER_REGISTER!I494)</f>
        <v/>
      </c>
      <c r="G497" s="16" t="str">
        <f>IF($A497="","",MASTER_REGISTER!J494)</f>
        <v/>
      </c>
      <c r="H497" s="16" t="str">
        <f>IF($A497="","",MASTER_REGISTER!L494)</f>
        <v/>
      </c>
      <c r="I497" s="16" t="str">
        <f>IF($A497="","",MASTER_REGISTER!M494)</f>
        <v/>
      </c>
      <c r="J497" s="15" t="str">
        <f>IF($A497="","",MASTER_REGISTER!N494)</f>
        <v/>
      </c>
    </row>
    <row r="498" spans="1:10" x14ac:dyDescent="0.3">
      <c r="A498" s="15" t="str">
        <f>IF(MASTER_REGISTER!E495="","",MASTER_REGISTER!E495)</f>
        <v/>
      </c>
      <c r="B498" s="15" t="str">
        <f>IF($A498="","",MASTER_REGISTER!F495)</f>
        <v/>
      </c>
      <c r="C498" s="15" t="str">
        <f>IF($A498="","",MASTER_REGISTER!C495)</f>
        <v/>
      </c>
      <c r="D498" s="15" t="str">
        <f>IF($A498="","",MASTER_REGISTER!H495)</f>
        <v/>
      </c>
      <c r="E498" s="15" t="str">
        <f>IF($A498="","",MASTER_REGISTER!G495)</f>
        <v/>
      </c>
      <c r="F498" s="15" t="str">
        <f>IF($A498="","",MASTER_REGISTER!I495)</f>
        <v/>
      </c>
      <c r="G498" s="16" t="str">
        <f>IF($A498="","",MASTER_REGISTER!J495)</f>
        <v/>
      </c>
      <c r="H498" s="16" t="str">
        <f>IF($A498="","",MASTER_REGISTER!L495)</f>
        <v/>
      </c>
      <c r="I498" s="16" t="str">
        <f>IF($A498="","",MASTER_REGISTER!M495)</f>
        <v/>
      </c>
      <c r="J498" s="15" t="str">
        <f>IF($A498="","",MASTER_REGISTER!N495)</f>
        <v/>
      </c>
    </row>
    <row r="499" spans="1:10" x14ac:dyDescent="0.3">
      <c r="A499" s="15" t="str">
        <f>IF(MASTER_REGISTER!E496="","",MASTER_REGISTER!E496)</f>
        <v/>
      </c>
      <c r="B499" s="15" t="str">
        <f>IF($A499="","",MASTER_REGISTER!F496)</f>
        <v/>
      </c>
      <c r="C499" s="15" t="str">
        <f>IF($A499="","",MASTER_REGISTER!C496)</f>
        <v/>
      </c>
      <c r="D499" s="15" t="str">
        <f>IF($A499="","",MASTER_REGISTER!H496)</f>
        <v/>
      </c>
      <c r="E499" s="15" t="str">
        <f>IF($A499="","",MASTER_REGISTER!G496)</f>
        <v/>
      </c>
      <c r="F499" s="15" t="str">
        <f>IF($A499="","",MASTER_REGISTER!I496)</f>
        <v/>
      </c>
      <c r="G499" s="16" t="str">
        <f>IF($A499="","",MASTER_REGISTER!J496)</f>
        <v/>
      </c>
      <c r="H499" s="16" t="str">
        <f>IF($A499="","",MASTER_REGISTER!L496)</f>
        <v/>
      </c>
      <c r="I499" s="16" t="str">
        <f>IF($A499="","",MASTER_REGISTER!M496)</f>
        <v/>
      </c>
      <c r="J499" s="15" t="str">
        <f>IF($A499="","",MASTER_REGISTER!N496)</f>
        <v/>
      </c>
    </row>
    <row r="500" spans="1:10" x14ac:dyDescent="0.3">
      <c r="A500" s="15" t="str">
        <f>IF(MASTER_REGISTER!E497="","",MASTER_REGISTER!E497)</f>
        <v/>
      </c>
      <c r="B500" s="15" t="str">
        <f>IF($A500="","",MASTER_REGISTER!F497)</f>
        <v/>
      </c>
      <c r="C500" s="15" t="str">
        <f>IF($A500="","",MASTER_REGISTER!C497)</f>
        <v/>
      </c>
      <c r="D500" s="15" t="str">
        <f>IF($A500="","",MASTER_REGISTER!H497)</f>
        <v/>
      </c>
      <c r="E500" s="15" t="str">
        <f>IF($A500="","",MASTER_REGISTER!G497)</f>
        <v/>
      </c>
      <c r="F500" s="15" t="str">
        <f>IF($A500="","",MASTER_REGISTER!I497)</f>
        <v/>
      </c>
      <c r="G500" s="16" t="str">
        <f>IF($A500="","",MASTER_REGISTER!J497)</f>
        <v/>
      </c>
      <c r="H500" s="16" t="str">
        <f>IF($A500="","",MASTER_REGISTER!L497)</f>
        <v/>
      </c>
      <c r="I500" s="16" t="str">
        <f>IF($A500="","",MASTER_REGISTER!M497)</f>
        <v/>
      </c>
      <c r="J500" s="15" t="str">
        <f>IF($A500="","",MASTER_REGISTER!N497)</f>
        <v/>
      </c>
    </row>
    <row r="501" spans="1:10" x14ac:dyDescent="0.3">
      <c r="A501" s="15" t="str">
        <f>IF(MASTER_REGISTER!E498="","",MASTER_REGISTER!E498)</f>
        <v/>
      </c>
      <c r="B501" s="15" t="str">
        <f>IF($A501="","",MASTER_REGISTER!F498)</f>
        <v/>
      </c>
      <c r="C501" s="15" t="str">
        <f>IF($A501="","",MASTER_REGISTER!C498)</f>
        <v/>
      </c>
      <c r="D501" s="15" t="str">
        <f>IF($A501="","",MASTER_REGISTER!H498)</f>
        <v/>
      </c>
      <c r="E501" s="15" t="str">
        <f>IF($A501="","",MASTER_REGISTER!G498)</f>
        <v/>
      </c>
      <c r="F501" s="15" t="str">
        <f>IF($A501="","",MASTER_REGISTER!I498)</f>
        <v/>
      </c>
      <c r="G501" s="16" t="str">
        <f>IF($A501="","",MASTER_REGISTER!J498)</f>
        <v/>
      </c>
      <c r="H501" s="16" t="str">
        <f>IF($A501="","",MASTER_REGISTER!L498)</f>
        <v/>
      </c>
      <c r="I501" s="16" t="str">
        <f>IF($A501="","",MASTER_REGISTER!M498)</f>
        <v/>
      </c>
      <c r="J501" s="15" t="str">
        <f>IF($A501="","",MASTER_REGISTER!N498)</f>
        <v/>
      </c>
    </row>
    <row r="502" spans="1:10" x14ac:dyDescent="0.3">
      <c r="A502" s="15" t="str">
        <f>IF(MASTER_REGISTER!E499="","",MASTER_REGISTER!E499)</f>
        <v/>
      </c>
      <c r="B502" s="15" t="str">
        <f>IF($A502="","",MASTER_REGISTER!F499)</f>
        <v/>
      </c>
      <c r="C502" s="15" t="str">
        <f>IF($A502="","",MASTER_REGISTER!C499)</f>
        <v/>
      </c>
      <c r="D502" s="15" t="str">
        <f>IF($A502="","",MASTER_REGISTER!H499)</f>
        <v/>
      </c>
      <c r="E502" s="15" t="str">
        <f>IF($A502="","",MASTER_REGISTER!G499)</f>
        <v/>
      </c>
      <c r="F502" s="15" t="str">
        <f>IF($A502="","",MASTER_REGISTER!I499)</f>
        <v/>
      </c>
      <c r="G502" s="16" t="str">
        <f>IF($A502="","",MASTER_REGISTER!J499)</f>
        <v/>
      </c>
      <c r="H502" s="16" t="str">
        <f>IF($A502="","",MASTER_REGISTER!L499)</f>
        <v/>
      </c>
      <c r="I502" s="16" t="str">
        <f>IF($A502="","",MASTER_REGISTER!M499)</f>
        <v/>
      </c>
      <c r="J502" s="15" t="str">
        <f>IF($A502="","",MASTER_REGISTER!N499)</f>
        <v/>
      </c>
    </row>
    <row r="503" spans="1:10" x14ac:dyDescent="0.3">
      <c r="A503" s="15" t="str">
        <f>IF(MASTER_REGISTER!E500="","",MASTER_REGISTER!E500)</f>
        <v/>
      </c>
      <c r="B503" s="15" t="str">
        <f>IF($A503="","",MASTER_REGISTER!F500)</f>
        <v/>
      </c>
      <c r="C503" s="15" t="str">
        <f>IF($A503="","",MASTER_REGISTER!C500)</f>
        <v/>
      </c>
      <c r="D503" s="15" t="str">
        <f>IF($A503="","",MASTER_REGISTER!H500)</f>
        <v/>
      </c>
      <c r="E503" s="15" t="str">
        <f>IF($A503="","",MASTER_REGISTER!G500)</f>
        <v/>
      </c>
      <c r="F503" s="15" t="str">
        <f>IF($A503="","",MASTER_REGISTER!I500)</f>
        <v/>
      </c>
      <c r="G503" s="16" t="str">
        <f>IF($A503="","",MASTER_REGISTER!J500)</f>
        <v/>
      </c>
      <c r="H503" s="16" t="str">
        <f>IF($A503="","",MASTER_REGISTER!L500)</f>
        <v/>
      </c>
      <c r="I503" s="16" t="str">
        <f>IF($A503="","",MASTER_REGISTER!M500)</f>
        <v/>
      </c>
      <c r="J503" s="15" t="str">
        <f>IF($A503="","",MASTER_REGISTER!N500)</f>
        <v/>
      </c>
    </row>
    <row r="504" spans="1:10" x14ac:dyDescent="0.3">
      <c r="A504" s="15" t="str">
        <f>IF(MASTER_REGISTER!E501="","",MASTER_REGISTER!E501)</f>
        <v/>
      </c>
      <c r="B504" s="15" t="str">
        <f>IF($A504="","",MASTER_REGISTER!F501)</f>
        <v/>
      </c>
      <c r="C504" s="15" t="str">
        <f>IF($A504="","",MASTER_REGISTER!C501)</f>
        <v/>
      </c>
      <c r="D504" s="15" t="str">
        <f>IF($A504="","",MASTER_REGISTER!H501)</f>
        <v/>
      </c>
      <c r="E504" s="15" t="str">
        <f>IF($A504="","",MASTER_REGISTER!G501)</f>
        <v/>
      </c>
      <c r="F504" s="15" t="str">
        <f>IF($A504="","",MASTER_REGISTER!I501)</f>
        <v/>
      </c>
      <c r="G504" s="16" t="str">
        <f>IF($A504="","",MASTER_REGISTER!J501)</f>
        <v/>
      </c>
      <c r="H504" s="16" t="str">
        <f>IF($A504="","",MASTER_REGISTER!L501)</f>
        <v/>
      </c>
      <c r="I504" s="16" t="str">
        <f>IF($A504="","",MASTER_REGISTER!M501)</f>
        <v/>
      </c>
      <c r="J504" s="15" t="str">
        <f>IF($A504="","",MASTER_REGISTER!N501)</f>
        <v/>
      </c>
    </row>
    <row r="506" spans="1:10" x14ac:dyDescent="0.3">
      <c r="A506" s="12" t="s">
        <v>34</v>
      </c>
    </row>
    <row r="507" spans="1:10" x14ac:dyDescent="0.3">
      <c r="A507" s="14" t="s">
        <v>35</v>
      </c>
      <c r="B507" s="14" t="s">
        <v>36</v>
      </c>
      <c r="C507" s="14" t="s">
        <v>24</v>
      </c>
      <c r="D507" s="14" t="s">
        <v>37</v>
      </c>
      <c r="E507" s="14" t="s">
        <v>38</v>
      </c>
      <c r="F507" s="14" t="s">
        <v>39</v>
      </c>
      <c r="G507" s="14" t="s">
        <v>40</v>
      </c>
    </row>
    <row r="508" spans="1:10" x14ac:dyDescent="0.3">
      <c r="A508" s="17" t="str">
        <f>IF(PAYMENTS!A1="","",PAYMENTS!A1)</f>
        <v>Payment Date</v>
      </c>
      <c r="B508" s="15" t="str">
        <f>IF($A508="","",PAYMENTS!B1)</f>
        <v>Receipt/Ref</v>
      </c>
      <c r="C508" s="15" t="str">
        <f>IF($A508="","",PAYMENTS!C1)</f>
        <v>Student Number</v>
      </c>
      <c r="D508" s="15" t="str">
        <f>IF($A508="","",PAYMENTS!D1)</f>
        <v>Payer Name</v>
      </c>
      <c r="E508" s="16" t="str">
        <f>IF($A508="","",PAYMENTS!E1)</f>
        <v>Amount Paid (R)</v>
      </c>
      <c r="F508" s="15" t="str">
        <f>IF($A508="","",PAYMENTS!F1)</f>
        <v>Method</v>
      </c>
      <c r="G508" s="15" t="str">
        <f>IF($A508="","",PAYMENTS!G1)</f>
        <v>Notes</v>
      </c>
    </row>
    <row r="509" spans="1:10" x14ac:dyDescent="0.3">
      <c r="A509" s="17" t="str">
        <f>IF(PAYMENTS!A2="","",PAYMENTS!A2)</f>
        <v>2026-02-10</v>
      </c>
      <c r="B509" s="15" t="str">
        <f>IF($A509="","",PAYMENTS!B2)</f>
        <v>MSH-R1001</v>
      </c>
      <c r="C509" s="15" t="str">
        <f>IF($A509="","",PAYMENTS!C2)</f>
        <v>MSH202608001</v>
      </c>
      <c r="D509" s="15" t="str">
        <f>IF($A509="","",PAYMENTS!D2)</f>
        <v>Lerato Nkosi</v>
      </c>
      <c r="E509" s="16">
        <f>IF($A509="","",PAYMENTS!E2)</f>
        <v>316.93</v>
      </c>
      <c r="F509" s="15" t="str">
        <f>IF($A509="","",PAYMENTS!F2)</f>
        <v>Cash</v>
      </c>
      <c r="G509" s="15" t="str">
        <f>IF($A509="","",PAYMENTS!G2)</f>
        <v>Term payment 2</v>
      </c>
    </row>
    <row r="510" spans="1:10" x14ac:dyDescent="0.3">
      <c r="A510" s="17" t="str">
        <f>IF(PAYMENTS!A3="","",PAYMENTS!A3)</f>
        <v>2026-03-05</v>
      </c>
      <c r="B510" s="15" t="str">
        <f>IF($A510="","",PAYMENTS!B3)</f>
        <v>MSH-R1002</v>
      </c>
      <c r="C510" s="15" t="str">
        <f>IF($A510="","",PAYMENTS!C3)</f>
        <v>MSH202608001</v>
      </c>
      <c r="D510" s="15" t="str">
        <f>IF($A510="","",PAYMENTS!D3)</f>
        <v>Lerato Nkosi</v>
      </c>
      <c r="E510" s="16">
        <f>IF($A510="","",PAYMENTS!E3)</f>
        <v>185.38</v>
      </c>
      <c r="F510" s="15" t="str">
        <f>IF($A510="","",PAYMENTS!F3)</f>
        <v>Card</v>
      </c>
      <c r="G510" s="15" t="str">
        <f>IF($A510="","",PAYMENTS!G3)</f>
        <v>Term payment 3</v>
      </c>
    </row>
    <row r="511" spans="1:10" x14ac:dyDescent="0.3">
      <c r="A511" s="17" t="str">
        <f>IF(PAYMENTS!A4="","",PAYMENTS!A4)</f>
        <v>2026-07-15</v>
      </c>
      <c r="B511" s="15" t="str">
        <f>IF($A511="","",PAYMENTS!B4)</f>
        <v>MSH-R1003</v>
      </c>
      <c r="C511" s="15" t="str">
        <f>IF($A511="","",PAYMENTS!C4)</f>
        <v>MSH202608001</v>
      </c>
      <c r="D511" s="15" t="str">
        <f>IF($A511="","",PAYMENTS!D4)</f>
        <v>Lerato Nkosi</v>
      </c>
      <c r="E511" s="16">
        <f>IF($A511="","",PAYMENTS!E4)</f>
        <v>174.28</v>
      </c>
      <c r="F511" s="15" t="str">
        <f>IF($A511="","",PAYMENTS!F4)</f>
        <v>Cash</v>
      </c>
      <c r="G511" s="15" t="str">
        <f>IF($A511="","",PAYMENTS!G4)</f>
        <v>Term payment 7</v>
      </c>
    </row>
    <row r="512" spans="1:10" x14ac:dyDescent="0.3">
      <c r="A512" s="17" t="str">
        <f>IF(PAYMENTS!A5="","",PAYMENTS!A5)</f>
        <v>2026-08-10</v>
      </c>
      <c r="B512" s="15" t="str">
        <f>IF($A512="","",PAYMENTS!B5)</f>
        <v>MSH-R1004</v>
      </c>
      <c r="C512" s="15" t="str">
        <f>IF($A512="","",PAYMENTS!C5)</f>
        <v>MSH202608001</v>
      </c>
      <c r="D512" s="15" t="str">
        <f>IF($A512="","",PAYMENTS!D5)</f>
        <v>Lerato Nkosi</v>
      </c>
      <c r="E512" s="16">
        <f>IF($A512="","",PAYMENTS!E5)</f>
        <v>243.93</v>
      </c>
      <c r="F512" s="15" t="str">
        <f>IF($A512="","",PAYMENTS!F5)</f>
        <v>Cash</v>
      </c>
      <c r="G512" s="15" t="str">
        <f>IF($A512="","",PAYMENTS!G5)</f>
        <v>Term payment 8</v>
      </c>
    </row>
    <row r="513" spans="1:7" x14ac:dyDescent="0.3">
      <c r="A513" s="17" t="str">
        <f>IF(PAYMENTS!A6="","",PAYMENTS!A6)</f>
        <v>2026-02-05</v>
      </c>
      <c r="B513" s="15" t="str">
        <f>IF($A513="","",PAYMENTS!B6)</f>
        <v>MSH-R1005</v>
      </c>
      <c r="C513" s="15" t="str">
        <f>IF($A513="","",PAYMENTS!C6)</f>
        <v>MSH202608002</v>
      </c>
      <c r="D513" s="15" t="str">
        <f>IF($A513="","",PAYMENTS!D6)</f>
        <v>Karabo Maseko</v>
      </c>
      <c r="E513" s="16">
        <f>IF($A513="","",PAYMENTS!E6)</f>
        <v>179.92</v>
      </c>
      <c r="F513" s="15" t="str">
        <f>IF($A513="","",PAYMENTS!F6)</f>
        <v>EFT</v>
      </c>
      <c r="G513" s="15" t="str">
        <f>IF($A513="","",PAYMENTS!G6)</f>
        <v>Term payment 2</v>
      </c>
    </row>
    <row r="514" spans="1:7" x14ac:dyDescent="0.3">
      <c r="A514" s="17" t="str">
        <f>IF(PAYMENTS!A7="","",PAYMENTS!A7)</f>
        <v>2026-03-15</v>
      </c>
      <c r="B514" s="15" t="str">
        <f>IF($A514="","",PAYMENTS!B7)</f>
        <v>MSH-R1006</v>
      </c>
      <c r="C514" s="15" t="str">
        <f>IF($A514="","",PAYMENTS!C7)</f>
        <v>MSH202608002</v>
      </c>
      <c r="D514" s="15" t="str">
        <f>IF($A514="","",PAYMENTS!D7)</f>
        <v>Karabo Maseko</v>
      </c>
      <c r="E514" s="16">
        <f>IF($A514="","",PAYMENTS!E7)</f>
        <v>190.17</v>
      </c>
      <c r="F514" s="15" t="str">
        <f>IF($A514="","",PAYMENTS!F7)</f>
        <v>EFT</v>
      </c>
      <c r="G514" s="15" t="str">
        <f>IF($A514="","",PAYMENTS!G7)</f>
        <v>Term payment 3</v>
      </c>
    </row>
    <row r="515" spans="1:7" x14ac:dyDescent="0.3">
      <c r="A515" s="17" t="str">
        <f>IF(PAYMENTS!A8="","",PAYMENTS!A8)</f>
        <v>2026-06-01</v>
      </c>
      <c r="B515" s="15" t="str">
        <f>IF($A515="","",PAYMENTS!B8)</f>
        <v>MSH-R1007</v>
      </c>
      <c r="C515" s="15" t="str">
        <f>IF($A515="","",PAYMENTS!C8)</f>
        <v>MSH202608002</v>
      </c>
      <c r="D515" s="15" t="str">
        <f>IF($A515="","",PAYMENTS!D8)</f>
        <v>Karabo Maseko</v>
      </c>
      <c r="E515" s="16">
        <f>IF($A515="","",PAYMENTS!E8)</f>
        <v>179.56</v>
      </c>
      <c r="F515" s="15" t="str">
        <f>IF($A515="","",PAYMENTS!F8)</f>
        <v>Cash</v>
      </c>
      <c r="G515" s="15" t="str">
        <f>IF($A515="","",PAYMENTS!G8)</f>
        <v>Term payment 6</v>
      </c>
    </row>
    <row r="516" spans="1:7" x14ac:dyDescent="0.3">
      <c r="A516" s="17" t="str">
        <f>IF(PAYMENTS!A9="","",PAYMENTS!A9)</f>
        <v>2026-07-15</v>
      </c>
      <c r="B516" s="15" t="str">
        <f>IF($A516="","",PAYMENTS!B9)</f>
        <v>MSH-R1008</v>
      </c>
      <c r="C516" s="15" t="str">
        <f>IF($A516="","",PAYMENTS!C9)</f>
        <v>MSH202608002</v>
      </c>
      <c r="D516" s="15" t="str">
        <f>IF($A516="","",PAYMENTS!D9)</f>
        <v>Karabo Maseko</v>
      </c>
      <c r="E516" s="16">
        <f>IF($A516="","",PAYMENTS!E9)</f>
        <v>201.28</v>
      </c>
      <c r="F516" s="15" t="str">
        <f>IF($A516="","",PAYMENTS!F9)</f>
        <v>EFT</v>
      </c>
      <c r="G516" s="15" t="str">
        <f>IF($A516="","",PAYMENTS!G9)</f>
        <v>Term payment 7</v>
      </c>
    </row>
    <row r="517" spans="1:7" x14ac:dyDescent="0.3">
      <c r="A517" s="17" t="str">
        <f>IF(PAYMENTS!A10="","",PAYMENTS!A10)</f>
        <v>2026-08-10</v>
      </c>
      <c r="B517" s="15" t="str">
        <f>IF($A517="","",PAYMENTS!B10)</f>
        <v>MSH-R1009</v>
      </c>
      <c r="C517" s="15" t="str">
        <f>IF($A517="","",PAYMENTS!C10)</f>
        <v>MSH202608002</v>
      </c>
      <c r="D517" s="15" t="str">
        <f>IF($A517="","",PAYMENTS!D10)</f>
        <v>Karabo Maseko</v>
      </c>
      <c r="E517" s="16">
        <f>IF($A517="","",PAYMENTS!E10)</f>
        <v>235.37</v>
      </c>
      <c r="F517" s="15" t="str">
        <f>IF($A517="","",PAYMENTS!F10)</f>
        <v>Card</v>
      </c>
      <c r="G517" s="15" t="str">
        <f>IF($A517="","",PAYMENTS!G10)</f>
        <v>Term payment 8</v>
      </c>
    </row>
    <row r="518" spans="1:7" x14ac:dyDescent="0.3">
      <c r="A518" s="17" t="str">
        <f>IF(PAYMENTS!A11="","",PAYMENTS!A11)</f>
        <v>2026-09-20</v>
      </c>
      <c r="B518" s="15" t="str">
        <f>IF($A518="","",PAYMENTS!B11)</f>
        <v>MSH-R1010</v>
      </c>
      <c r="C518" s="15" t="str">
        <f>IF($A518="","",PAYMENTS!C11)</f>
        <v>MSH202608002</v>
      </c>
      <c r="D518" s="15" t="str">
        <f>IF($A518="","",PAYMENTS!D11)</f>
        <v>Karabo Maseko</v>
      </c>
      <c r="E518" s="16">
        <f>IF($A518="","",PAYMENTS!E11)</f>
        <v>286.95999999999998</v>
      </c>
      <c r="F518" s="15" t="str">
        <f>IF($A518="","",PAYMENTS!F11)</f>
        <v>EFT</v>
      </c>
      <c r="G518" s="15" t="str">
        <f>IF($A518="","",PAYMENTS!G11)</f>
        <v>Term payment 9</v>
      </c>
    </row>
    <row r="519" spans="1:7" x14ac:dyDescent="0.3">
      <c r="A519" s="17" t="str">
        <f>IF(PAYMENTS!A12="","",PAYMENTS!A12)</f>
        <v>2026-10-05</v>
      </c>
      <c r="B519" s="15" t="str">
        <f>IF($A519="","",PAYMENTS!B12)</f>
        <v>MSH-R1011</v>
      </c>
      <c r="C519" s="15" t="str">
        <f>IF($A519="","",PAYMENTS!C12)</f>
        <v>MSH202608002</v>
      </c>
      <c r="D519" s="15" t="str">
        <f>IF($A519="","",PAYMENTS!D12)</f>
        <v>Karabo Maseko</v>
      </c>
      <c r="E519" s="16">
        <f>IF($A519="","",PAYMENTS!E12)</f>
        <v>185.02</v>
      </c>
      <c r="F519" s="15" t="str">
        <f>IF($A519="","",PAYMENTS!F12)</f>
        <v>Cash</v>
      </c>
      <c r="G519" s="15" t="str">
        <f>IF($A519="","",PAYMENTS!G12)</f>
        <v>Term payment 10</v>
      </c>
    </row>
    <row r="520" spans="1:7" x14ac:dyDescent="0.3">
      <c r="A520" s="17" t="str">
        <f>IF(PAYMENTS!A13="","",PAYMENTS!A13)</f>
        <v>2026-02-10</v>
      </c>
      <c r="B520" s="15" t="str">
        <f>IF($A520="","",PAYMENTS!B13)</f>
        <v>MSH-R1012</v>
      </c>
      <c r="C520" s="15" t="str">
        <f>IF($A520="","",PAYMENTS!C13)</f>
        <v>MSH202608003</v>
      </c>
      <c r="D520" s="15" t="str">
        <f>IF($A520="","",PAYMENTS!D13)</f>
        <v>Sifiso Sithole</v>
      </c>
      <c r="E520" s="16">
        <f>IF($A520="","",PAYMENTS!E13)</f>
        <v>156.35</v>
      </c>
      <c r="F520" s="15" t="str">
        <f>IF($A520="","",PAYMENTS!F13)</f>
        <v>Card</v>
      </c>
      <c r="G520" s="15" t="str">
        <f>IF($A520="","",PAYMENTS!G13)</f>
        <v>Term payment 2</v>
      </c>
    </row>
    <row r="521" spans="1:7" x14ac:dyDescent="0.3">
      <c r="A521" s="17" t="str">
        <f>IF(PAYMENTS!A14="","",PAYMENTS!A14)</f>
        <v>2026-07-15</v>
      </c>
      <c r="B521" s="15" t="str">
        <f>IF($A521="","",PAYMENTS!B14)</f>
        <v>MSH-R1013</v>
      </c>
      <c r="C521" s="15" t="str">
        <f>IF($A521="","",PAYMENTS!C14)</f>
        <v>MSH202608003</v>
      </c>
      <c r="D521" s="15" t="str">
        <f>IF($A521="","",PAYMENTS!D14)</f>
        <v>Sifiso Sithole</v>
      </c>
      <c r="E521" s="16">
        <f>IF($A521="","",PAYMENTS!E14)</f>
        <v>252.62</v>
      </c>
      <c r="F521" s="15" t="str">
        <f>IF($A521="","",PAYMENTS!F14)</f>
        <v>Card</v>
      </c>
      <c r="G521" s="15" t="str">
        <f>IF($A521="","",PAYMENTS!G14)</f>
        <v>Term payment 7</v>
      </c>
    </row>
    <row r="522" spans="1:7" x14ac:dyDescent="0.3">
      <c r="A522" s="17" t="str">
        <f>IF(PAYMENTS!A15="","",PAYMENTS!A15)</f>
        <v>2026-10-05</v>
      </c>
      <c r="B522" s="15" t="str">
        <f>IF($A522="","",PAYMENTS!B15)</f>
        <v>MSH-R1014</v>
      </c>
      <c r="C522" s="15" t="str">
        <f>IF($A522="","",PAYMENTS!C15)</f>
        <v>MSH202608003</v>
      </c>
      <c r="D522" s="15" t="str">
        <f>IF($A522="","",PAYMENTS!D15)</f>
        <v>Sifiso Sithole</v>
      </c>
      <c r="E522" s="16">
        <f>IF($A522="","",PAYMENTS!E15)</f>
        <v>156.29</v>
      </c>
      <c r="F522" s="15" t="str">
        <f>IF($A522="","",PAYMENTS!F15)</f>
        <v>Card</v>
      </c>
      <c r="G522" s="15" t="str">
        <f>IF($A522="","",PAYMENTS!G15)</f>
        <v>Term payment 10</v>
      </c>
    </row>
    <row r="523" spans="1:7" x14ac:dyDescent="0.3">
      <c r="A523" s="17" t="str">
        <f>IF(PAYMENTS!A16="","",PAYMENTS!A16)</f>
        <v>2026-11-01</v>
      </c>
      <c r="B523" s="15" t="str">
        <f>IF($A523="","",PAYMENTS!B16)</f>
        <v>MSH-R1015</v>
      </c>
      <c r="C523" s="15" t="str">
        <f>IF($A523="","",PAYMENTS!C16)</f>
        <v>MSH202608003</v>
      </c>
      <c r="D523" s="15" t="str">
        <f>IF($A523="","",PAYMENTS!D16)</f>
        <v>Sifiso Sithole</v>
      </c>
      <c r="E523" s="16">
        <f>IF($A523="","",PAYMENTS!E16)</f>
        <v>327.89</v>
      </c>
      <c r="F523" s="15" t="str">
        <f>IF($A523="","",PAYMENTS!F16)</f>
        <v>Cash</v>
      </c>
      <c r="G523" s="15" t="str">
        <f>IF($A523="","",PAYMENTS!G16)</f>
        <v>Term payment 11</v>
      </c>
    </row>
    <row r="524" spans="1:7" x14ac:dyDescent="0.3">
      <c r="A524" s="17" t="str">
        <f>IF(PAYMENTS!A17="","",PAYMENTS!A17)</f>
        <v>2026-02-01</v>
      </c>
      <c r="B524" s="15" t="str">
        <f>IF($A524="","",PAYMENTS!B17)</f>
        <v>MSH-R1016</v>
      </c>
      <c r="C524" s="15" t="str">
        <f>IF($A524="","",PAYMENTS!C17)</f>
        <v>MSH202608004</v>
      </c>
      <c r="D524" s="15" t="str">
        <f>IF($A524="","",PAYMENTS!D17)</f>
        <v>Tshepo Ndlovu</v>
      </c>
      <c r="E524" s="16">
        <f>IF($A524="","",PAYMENTS!E17)</f>
        <v>234.55</v>
      </c>
      <c r="F524" s="15" t="str">
        <f>IF($A524="","",PAYMENTS!F17)</f>
        <v>Card</v>
      </c>
      <c r="G524" s="15" t="str">
        <f>IF($A524="","",PAYMENTS!G17)</f>
        <v>Term payment 2</v>
      </c>
    </row>
    <row r="525" spans="1:7" x14ac:dyDescent="0.3">
      <c r="A525" s="17" t="str">
        <f>IF(PAYMENTS!A18="","",PAYMENTS!A18)</f>
        <v>2026-03-20</v>
      </c>
      <c r="B525" s="15" t="str">
        <f>IF($A525="","",PAYMENTS!B18)</f>
        <v>MSH-R1017</v>
      </c>
      <c r="C525" s="15" t="str">
        <f>IF($A525="","",PAYMENTS!C18)</f>
        <v>MSH202608004</v>
      </c>
      <c r="D525" s="15" t="str">
        <f>IF($A525="","",PAYMENTS!D18)</f>
        <v>Tshepo Ndlovu</v>
      </c>
      <c r="E525" s="16">
        <f>IF($A525="","",PAYMENTS!E18)</f>
        <v>256.92</v>
      </c>
      <c r="F525" s="15" t="str">
        <f>IF($A525="","",PAYMENTS!F18)</f>
        <v>EFT</v>
      </c>
      <c r="G525" s="15" t="str">
        <f>IF($A525="","",PAYMENTS!G18)</f>
        <v>Term payment 3</v>
      </c>
    </row>
    <row r="526" spans="1:7" x14ac:dyDescent="0.3">
      <c r="A526" s="17" t="str">
        <f>IF(PAYMENTS!A19="","",PAYMENTS!A19)</f>
        <v>2026-04-05</v>
      </c>
      <c r="B526" s="15" t="str">
        <f>IF($A526="","",PAYMENTS!B19)</f>
        <v>MSH-R1018</v>
      </c>
      <c r="C526" s="15" t="str">
        <f>IF($A526="","",PAYMENTS!C19)</f>
        <v>MSH202608004</v>
      </c>
      <c r="D526" s="15" t="str">
        <f>IF($A526="","",PAYMENTS!D19)</f>
        <v>Tshepo Ndlovu</v>
      </c>
      <c r="E526" s="16">
        <f>IF($A526="","",PAYMENTS!E19)</f>
        <v>288.66000000000003</v>
      </c>
      <c r="F526" s="15" t="str">
        <f>IF($A526="","",PAYMENTS!F19)</f>
        <v>EFT</v>
      </c>
      <c r="G526" s="15" t="str">
        <f>IF($A526="","",PAYMENTS!G19)</f>
        <v>Term payment 4</v>
      </c>
    </row>
    <row r="527" spans="1:7" x14ac:dyDescent="0.3">
      <c r="A527" s="17" t="str">
        <f>IF(PAYMENTS!A20="","",PAYMENTS!A20)</f>
        <v>2026-05-05</v>
      </c>
      <c r="B527" s="15" t="str">
        <f>IF($A527="","",PAYMENTS!B20)</f>
        <v>MSH-R1019</v>
      </c>
      <c r="C527" s="15" t="str">
        <f>IF($A527="","",PAYMENTS!C20)</f>
        <v>MSH202608004</v>
      </c>
      <c r="D527" s="15" t="str">
        <f>IF($A527="","",PAYMENTS!D20)</f>
        <v>Tshepo Ndlovu</v>
      </c>
      <c r="E527" s="16">
        <f>IF($A527="","",PAYMENTS!E20)</f>
        <v>201.37</v>
      </c>
      <c r="F527" s="15" t="str">
        <f>IF($A527="","",PAYMENTS!F20)</f>
        <v>Cash</v>
      </c>
      <c r="G527" s="15" t="str">
        <f>IF($A527="","",PAYMENTS!G20)</f>
        <v>Term payment 5</v>
      </c>
    </row>
    <row r="528" spans="1:7" x14ac:dyDescent="0.3">
      <c r="A528" s="17" t="str">
        <f>IF(PAYMENTS!A21="","",PAYMENTS!A21)</f>
        <v>2026-06-25</v>
      </c>
      <c r="B528" s="15" t="str">
        <f>IF($A528="","",PAYMENTS!B21)</f>
        <v>MSH-R1020</v>
      </c>
      <c r="C528" s="15" t="str">
        <f>IF($A528="","",PAYMENTS!C21)</f>
        <v>MSH202608004</v>
      </c>
      <c r="D528" s="15" t="str">
        <f>IF($A528="","",PAYMENTS!D21)</f>
        <v>Tshepo Ndlovu</v>
      </c>
      <c r="E528" s="16">
        <f>IF($A528="","",PAYMENTS!E21)</f>
        <v>283.43</v>
      </c>
      <c r="F528" s="15" t="str">
        <f>IF($A528="","",PAYMENTS!F21)</f>
        <v>EFT</v>
      </c>
      <c r="G528" s="15" t="str">
        <f>IF($A528="","",PAYMENTS!G21)</f>
        <v>Term payment 6</v>
      </c>
    </row>
    <row r="529" spans="1:7" x14ac:dyDescent="0.3">
      <c r="A529" s="17" t="str">
        <f>IF(PAYMENTS!A22="","",PAYMENTS!A22)</f>
        <v>2026-08-10</v>
      </c>
      <c r="B529" s="15" t="str">
        <f>IF($A529="","",PAYMENTS!B22)</f>
        <v>MSH-R1021</v>
      </c>
      <c r="C529" s="15" t="str">
        <f>IF($A529="","",PAYMENTS!C22)</f>
        <v>MSH202608004</v>
      </c>
      <c r="D529" s="15" t="str">
        <f>IF($A529="","",PAYMENTS!D22)</f>
        <v>Tshepo Ndlovu</v>
      </c>
      <c r="E529" s="16">
        <f>IF($A529="","",PAYMENTS!E22)</f>
        <v>344.67</v>
      </c>
      <c r="F529" s="15" t="str">
        <f>IF($A529="","",PAYMENTS!F22)</f>
        <v>Cash</v>
      </c>
      <c r="G529" s="15" t="str">
        <f>IF($A529="","",PAYMENTS!G22)</f>
        <v>Term payment 8</v>
      </c>
    </row>
    <row r="530" spans="1:7" x14ac:dyDescent="0.3">
      <c r="A530" s="17" t="str">
        <f>IF(PAYMENTS!A23="","",PAYMENTS!A23)</f>
        <v>2026-09-01</v>
      </c>
      <c r="B530" s="15" t="str">
        <f>IF($A530="","",PAYMENTS!B23)</f>
        <v>MSH-R1022</v>
      </c>
      <c r="C530" s="15" t="str">
        <f>IF($A530="","",PAYMENTS!C23)</f>
        <v>MSH202608004</v>
      </c>
      <c r="D530" s="15" t="str">
        <f>IF($A530="","",PAYMENTS!D23)</f>
        <v>Tshepo Ndlovu</v>
      </c>
      <c r="E530" s="16">
        <f>IF($A530="","",PAYMENTS!E23)</f>
        <v>242.99</v>
      </c>
      <c r="F530" s="15" t="str">
        <f>IF($A530="","",PAYMENTS!F23)</f>
        <v>Card</v>
      </c>
      <c r="G530" s="15" t="str">
        <f>IF($A530="","",PAYMENTS!G23)</f>
        <v>Term payment 9</v>
      </c>
    </row>
    <row r="531" spans="1:7" x14ac:dyDescent="0.3">
      <c r="A531" s="17" t="str">
        <f>IF(PAYMENTS!A24="","",PAYMENTS!A24)</f>
        <v>2026-11-01</v>
      </c>
      <c r="B531" s="15" t="str">
        <f>IF($A531="","",PAYMENTS!B24)</f>
        <v>MSH-R1023</v>
      </c>
      <c r="C531" s="15" t="str">
        <f>IF($A531="","",PAYMENTS!C24)</f>
        <v>MSH202608004</v>
      </c>
      <c r="D531" s="15" t="str">
        <f>IF($A531="","",PAYMENTS!D24)</f>
        <v>Tshepo Ndlovu</v>
      </c>
      <c r="E531" s="16">
        <f>IF($A531="","",PAYMENTS!E24)</f>
        <v>159.82</v>
      </c>
      <c r="F531" s="15" t="str">
        <f>IF($A531="","",PAYMENTS!F24)</f>
        <v>Cash</v>
      </c>
      <c r="G531" s="15" t="str">
        <f>IF($A531="","",PAYMENTS!G24)</f>
        <v>Term payment 11</v>
      </c>
    </row>
    <row r="532" spans="1:7" x14ac:dyDescent="0.3">
      <c r="A532" s="17" t="str">
        <f>IF(PAYMENTS!A25="","",PAYMENTS!A25)</f>
        <v>2026-02-15</v>
      </c>
      <c r="B532" s="15" t="str">
        <f>IF($A532="","",PAYMENTS!B25)</f>
        <v>MSH-R1024</v>
      </c>
      <c r="C532" s="15" t="str">
        <f>IF($A532="","",PAYMENTS!C25)</f>
        <v>MSH202608005</v>
      </c>
      <c r="D532" s="15" t="str">
        <f>IF($A532="","",PAYMENTS!D25)</f>
        <v>Lwazi Mthembu</v>
      </c>
      <c r="E532" s="16">
        <f>IF($A532="","",PAYMENTS!E25)</f>
        <v>459.13</v>
      </c>
      <c r="F532" s="15" t="str">
        <f>IF($A532="","",PAYMENTS!F25)</f>
        <v>Card</v>
      </c>
      <c r="G532" s="15" t="str">
        <f>IF($A532="","",PAYMENTS!G25)</f>
        <v>Term payment 2</v>
      </c>
    </row>
    <row r="533" spans="1:7" x14ac:dyDescent="0.3">
      <c r="A533" s="17" t="str">
        <f>IF(PAYMENTS!A26="","",PAYMENTS!A26)</f>
        <v>2026-03-10</v>
      </c>
      <c r="B533" s="15" t="str">
        <f>IF($A533="","",PAYMENTS!B26)</f>
        <v>MSH-R1025</v>
      </c>
      <c r="C533" s="15" t="str">
        <f>IF($A533="","",PAYMENTS!C26)</f>
        <v>MSH202608005</v>
      </c>
      <c r="D533" s="15" t="str">
        <f>IF($A533="","",PAYMENTS!D26)</f>
        <v>Lwazi Mthembu</v>
      </c>
      <c r="E533" s="16">
        <f>IF($A533="","",PAYMENTS!E26)</f>
        <v>391.17</v>
      </c>
      <c r="F533" s="15" t="str">
        <f>IF($A533="","",PAYMENTS!F26)</f>
        <v>Card</v>
      </c>
      <c r="G533" s="15" t="str">
        <f>IF($A533="","",PAYMENTS!G26)</f>
        <v>Term payment 3</v>
      </c>
    </row>
    <row r="534" spans="1:7" x14ac:dyDescent="0.3">
      <c r="A534" s="17" t="str">
        <f>IF(PAYMENTS!A27="","",PAYMENTS!A27)</f>
        <v>2026-04-20</v>
      </c>
      <c r="B534" s="15" t="str">
        <f>IF($A534="","",PAYMENTS!B27)</f>
        <v>MSH-R1026</v>
      </c>
      <c r="C534" s="15" t="str">
        <f>IF($A534="","",PAYMENTS!C27)</f>
        <v>MSH202608005</v>
      </c>
      <c r="D534" s="15" t="str">
        <f>IF($A534="","",PAYMENTS!D27)</f>
        <v>Lwazi Mthembu</v>
      </c>
      <c r="E534" s="16">
        <f>IF($A534="","",PAYMENTS!E27)</f>
        <v>206.39</v>
      </c>
      <c r="F534" s="15" t="str">
        <f>IF($A534="","",PAYMENTS!F27)</f>
        <v>Card</v>
      </c>
      <c r="G534" s="15" t="str">
        <f>IF($A534="","",PAYMENTS!G27)</f>
        <v>Term payment 4</v>
      </c>
    </row>
    <row r="535" spans="1:7" x14ac:dyDescent="0.3">
      <c r="A535" s="17" t="str">
        <f>IF(PAYMENTS!A28="","",PAYMENTS!A28)</f>
        <v>2026-06-10</v>
      </c>
      <c r="B535" s="15" t="str">
        <f>IF($A535="","",PAYMENTS!B28)</f>
        <v>MSH-R1027</v>
      </c>
      <c r="C535" s="15" t="str">
        <f>IF($A535="","",PAYMENTS!C28)</f>
        <v>MSH202608005</v>
      </c>
      <c r="D535" s="15" t="str">
        <f>IF($A535="","",PAYMENTS!D28)</f>
        <v>Lwazi Mthembu</v>
      </c>
      <c r="E535" s="16">
        <f>IF($A535="","",PAYMENTS!E28)</f>
        <v>489.12</v>
      </c>
      <c r="F535" s="15" t="str">
        <f>IF($A535="","",PAYMENTS!F28)</f>
        <v>Cash</v>
      </c>
      <c r="G535" s="15" t="str">
        <f>IF($A535="","",PAYMENTS!G28)</f>
        <v>Term payment 6</v>
      </c>
    </row>
    <row r="536" spans="1:7" x14ac:dyDescent="0.3">
      <c r="A536" s="17" t="str">
        <f>IF(PAYMENTS!A29="","",PAYMENTS!A29)</f>
        <v>2026-07-05</v>
      </c>
      <c r="B536" s="15" t="str">
        <f>IF($A536="","",PAYMENTS!B29)</f>
        <v>MSH-R1028</v>
      </c>
      <c r="C536" s="15" t="str">
        <f>IF($A536="","",PAYMENTS!C29)</f>
        <v>MSH202608005</v>
      </c>
      <c r="D536" s="15" t="str">
        <f>IF($A536="","",PAYMENTS!D29)</f>
        <v>Lwazi Mthembu</v>
      </c>
      <c r="E536" s="16">
        <f>IF($A536="","",PAYMENTS!E29)</f>
        <v>284.93</v>
      </c>
      <c r="F536" s="15" t="str">
        <f>IF($A536="","",PAYMENTS!F29)</f>
        <v>Cash</v>
      </c>
      <c r="G536" s="15" t="str">
        <f>IF($A536="","",PAYMENTS!G29)</f>
        <v>Term payment 7</v>
      </c>
    </row>
    <row r="537" spans="1:7" x14ac:dyDescent="0.3">
      <c r="A537" s="17" t="str">
        <f>IF(PAYMENTS!A30="","",PAYMENTS!A30)</f>
        <v>2026-08-25</v>
      </c>
      <c r="B537" s="15" t="str">
        <f>IF($A537="","",PAYMENTS!B30)</f>
        <v>MSH-R1029</v>
      </c>
      <c r="C537" s="15" t="str">
        <f>IF($A537="","",PAYMENTS!C30)</f>
        <v>MSH202608005</v>
      </c>
      <c r="D537" s="15" t="str">
        <f>IF($A537="","",PAYMENTS!D30)</f>
        <v>Lwazi Mthembu</v>
      </c>
      <c r="E537" s="16">
        <f>IF($A537="","",PAYMENTS!E30)</f>
        <v>373.29</v>
      </c>
      <c r="F537" s="15" t="str">
        <f>IF($A537="","",PAYMENTS!F30)</f>
        <v>EFT</v>
      </c>
      <c r="G537" s="15" t="str">
        <f>IF($A537="","",PAYMENTS!G30)</f>
        <v>Term payment 8</v>
      </c>
    </row>
    <row r="538" spans="1:7" x14ac:dyDescent="0.3">
      <c r="A538" s="17" t="str">
        <f>IF(PAYMENTS!A31="","",PAYMENTS!A31)</f>
        <v>2026-10-10</v>
      </c>
      <c r="B538" s="15" t="str">
        <f>IF($A538="","",PAYMENTS!B31)</f>
        <v>MSH-R1030</v>
      </c>
      <c r="C538" s="15" t="str">
        <f>IF($A538="","",PAYMENTS!C31)</f>
        <v>MSH202608005</v>
      </c>
      <c r="D538" s="15" t="str">
        <f>IF($A538="","",PAYMENTS!D31)</f>
        <v>Lwazi Mthembu</v>
      </c>
      <c r="E538" s="16">
        <f>IF($A538="","",PAYMENTS!E31)</f>
        <v>389.08</v>
      </c>
      <c r="F538" s="15" t="str">
        <f>IF($A538="","",PAYMENTS!F31)</f>
        <v>Card</v>
      </c>
      <c r="G538" s="15" t="str">
        <f>IF($A538="","",PAYMENTS!G31)</f>
        <v>Term payment 10</v>
      </c>
    </row>
    <row r="539" spans="1:7" x14ac:dyDescent="0.3">
      <c r="A539" s="17" t="str">
        <f>IF(PAYMENTS!A32="","",PAYMENTS!A32)</f>
        <v>2026-11-10</v>
      </c>
      <c r="B539" s="15" t="str">
        <f>IF($A539="","",PAYMENTS!B32)</f>
        <v>MSH-R1031</v>
      </c>
      <c r="C539" s="15" t="str">
        <f>IF($A539="","",PAYMENTS!C32)</f>
        <v>MSH202608005</v>
      </c>
      <c r="D539" s="15" t="str">
        <f>IF($A539="","",PAYMENTS!D32)</f>
        <v>Lwazi Mthembu</v>
      </c>
      <c r="E539" s="16">
        <f>IF($A539="","",PAYMENTS!E32)</f>
        <v>266.3</v>
      </c>
      <c r="F539" s="15" t="str">
        <f>IF($A539="","",PAYMENTS!F32)</f>
        <v>Card</v>
      </c>
      <c r="G539" s="15" t="str">
        <f>IF($A539="","",PAYMENTS!G32)</f>
        <v>Term payment 11</v>
      </c>
    </row>
    <row r="540" spans="1:7" x14ac:dyDescent="0.3">
      <c r="A540" s="17" t="str">
        <f>IF(PAYMENTS!A33="","",PAYMENTS!A33)</f>
        <v>2026-02-25</v>
      </c>
      <c r="B540" s="15" t="str">
        <f>IF($A540="","",PAYMENTS!B33)</f>
        <v>MSH-R1032</v>
      </c>
      <c r="C540" s="15" t="str">
        <f>IF($A540="","",PAYMENTS!C33)</f>
        <v>MSH202608006</v>
      </c>
      <c r="D540" s="15" t="str">
        <f>IF($A540="","",PAYMENTS!D33)</f>
        <v>Karabo Ngobeni</v>
      </c>
      <c r="E540" s="16">
        <f>IF($A540="","",PAYMENTS!E33)</f>
        <v>235.49</v>
      </c>
      <c r="F540" s="15" t="str">
        <f>IF($A540="","",PAYMENTS!F33)</f>
        <v>EFT</v>
      </c>
      <c r="G540" s="15" t="str">
        <f>IF($A540="","",PAYMENTS!G33)</f>
        <v>Term payment 2</v>
      </c>
    </row>
    <row r="541" spans="1:7" x14ac:dyDescent="0.3">
      <c r="A541" s="17" t="str">
        <f>IF(PAYMENTS!A34="","",PAYMENTS!A34)</f>
        <v>2026-06-01</v>
      </c>
      <c r="B541" s="15" t="str">
        <f>IF($A541="","",PAYMENTS!B34)</f>
        <v>MSH-R1033</v>
      </c>
      <c r="C541" s="15" t="str">
        <f>IF($A541="","",PAYMENTS!C34)</f>
        <v>MSH202608006</v>
      </c>
      <c r="D541" s="15" t="str">
        <f>IF($A541="","",PAYMENTS!D34)</f>
        <v>Karabo Ngobeni</v>
      </c>
      <c r="E541" s="16">
        <f>IF($A541="","",PAYMENTS!E34)</f>
        <v>144.77000000000001</v>
      </c>
      <c r="F541" s="15" t="str">
        <f>IF($A541="","",PAYMENTS!F34)</f>
        <v>Cash</v>
      </c>
      <c r="G541" s="15" t="str">
        <f>IF($A541="","",PAYMENTS!G34)</f>
        <v>Term payment 6</v>
      </c>
    </row>
    <row r="542" spans="1:7" x14ac:dyDescent="0.3">
      <c r="A542" s="17" t="str">
        <f>IF(PAYMENTS!A35="","",PAYMENTS!A35)</f>
        <v>2026-07-25</v>
      </c>
      <c r="B542" s="15" t="str">
        <f>IF($A542="","",PAYMENTS!B35)</f>
        <v>MSH-R1034</v>
      </c>
      <c r="C542" s="15" t="str">
        <f>IF($A542="","",PAYMENTS!C35)</f>
        <v>MSH202608006</v>
      </c>
      <c r="D542" s="15" t="str">
        <f>IF($A542="","",PAYMENTS!D35)</f>
        <v>Karabo Ngobeni</v>
      </c>
      <c r="E542" s="16">
        <f>IF($A542="","",PAYMENTS!E35)</f>
        <v>355.64</v>
      </c>
      <c r="F542" s="15" t="str">
        <f>IF($A542="","",PAYMENTS!F35)</f>
        <v>Cash</v>
      </c>
      <c r="G542" s="15" t="str">
        <f>IF($A542="","",PAYMENTS!G35)</f>
        <v>Term payment 7</v>
      </c>
    </row>
    <row r="543" spans="1:7" x14ac:dyDescent="0.3">
      <c r="A543" s="17" t="str">
        <f>IF(PAYMENTS!A36="","",PAYMENTS!A36)</f>
        <v>2026-08-25</v>
      </c>
      <c r="B543" s="15" t="str">
        <f>IF($A543="","",PAYMENTS!B36)</f>
        <v>MSH-R1035</v>
      </c>
      <c r="C543" s="15" t="str">
        <f>IF($A543="","",PAYMENTS!C36)</f>
        <v>MSH202608006</v>
      </c>
      <c r="D543" s="15" t="str">
        <f>IF($A543="","",PAYMENTS!D36)</f>
        <v>Karabo Ngobeni</v>
      </c>
      <c r="E543" s="16">
        <f>IF($A543="","",PAYMENTS!E36)</f>
        <v>239.44</v>
      </c>
      <c r="F543" s="15" t="str">
        <f>IF($A543="","",PAYMENTS!F36)</f>
        <v>Card</v>
      </c>
      <c r="G543" s="15" t="str">
        <f>IF($A543="","",PAYMENTS!G36)</f>
        <v>Term payment 8</v>
      </c>
    </row>
    <row r="544" spans="1:7" x14ac:dyDescent="0.3">
      <c r="A544" s="17" t="str">
        <f>IF(PAYMENTS!A37="","",PAYMENTS!A37)</f>
        <v>2026-09-15</v>
      </c>
      <c r="B544" s="15" t="str">
        <f>IF($A544="","",PAYMENTS!B37)</f>
        <v>MSH-R1036</v>
      </c>
      <c r="C544" s="15" t="str">
        <f>IF($A544="","",PAYMENTS!C37)</f>
        <v>MSH202608006</v>
      </c>
      <c r="D544" s="15" t="str">
        <f>IF($A544="","",PAYMENTS!D37)</f>
        <v>Karabo Ngobeni</v>
      </c>
      <c r="E544" s="16">
        <f>IF($A544="","",PAYMENTS!E37)</f>
        <v>265.16000000000003</v>
      </c>
      <c r="F544" s="15" t="str">
        <f>IF($A544="","",PAYMENTS!F37)</f>
        <v>Cash</v>
      </c>
      <c r="G544" s="15" t="str">
        <f>IF($A544="","",PAYMENTS!G37)</f>
        <v>Term payment 9</v>
      </c>
    </row>
    <row r="545" spans="1:7" x14ac:dyDescent="0.3">
      <c r="A545" s="17" t="str">
        <f>IF(PAYMENTS!A38="","",PAYMENTS!A38)</f>
        <v>2026-10-01</v>
      </c>
      <c r="B545" s="15" t="str">
        <f>IF($A545="","",PAYMENTS!B38)</f>
        <v>MSH-R1037</v>
      </c>
      <c r="C545" s="15" t="str">
        <f>IF($A545="","",PAYMENTS!C38)</f>
        <v>MSH202608006</v>
      </c>
      <c r="D545" s="15" t="str">
        <f>IF($A545="","",PAYMENTS!D38)</f>
        <v>Karabo Ngobeni</v>
      </c>
      <c r="E545" s="16">
        <f>IF($A545="","",PAYMENTS!E38)</f>
        <v>348.13</v>
      </c>
      <c r="F545" s="15" t="str">
        <f>IF($A545="","",PAYMENTS!F38)</f>
        <v>Card</v>
      </c>
      <c r="G545" s="15" t="str">
        <f>IF($A545="","",PAYMENTS!G38)</f>
        <v>Term payment 10</v>
      </c>
    </row>
    <row r="546" spans="1:7" x14ac:dyDescent="0.3">
      <c r="A546" s="17" t="str">
        <f>IF(PAYMENTS!A39="","",PAYMENTS!A39)</f>
        <v>2026-02-05</v>
      </c>
      <c r="B546" s="15" t="str">
        <f>IF($A546="","",PAYMENTS!B39)</f>
        <v>MSH-R1038</v>
      </c>
      <c r="C546" s="15" t="str">
        <f>IF($A546="","",PAYMENTS!C39)</f>
        <v>MSH202608007</v>
      </c>
      <c r="D546" s="15" t="str">
        <f>IF($A546="","",PAYMENTS!D39)</f>
        <v>Mpho Sithole</v>
      </c>
      <c r="E546" s="16">
        <f>IF($A546="","",PAYMENTS!E39)</f>
        <v>236.83</v>
      </c>
      <c r="F546" s="15" t="str">
        <f>IF($A546="","",PAYMENTS!F39)</f>
        <v>Cash</v>
      </c>
      <c r="G546" s="15" t="str">
        <f>IF($A546="","",PAYMENTS!G39)</f>
        <v>Term payment 2</v>
      </c>
    </row>
    <row r="547" spans="1:7" x14ac:dyDescent="0.3">
      <c r="A547" s="17" t="str">
        <f>IF(PAYMENTS!A40="","",PAYMENTS!A40)</f>
        <v>2026-06-10</v>
      </c>
      <c r="B547" s="15" t="str">
        <f>IF($A547="","",PAYMENTS!B40)</f>
        <v>MSH-R1039</v>
      </c>
      <c r="C547" s="15" t="str">
        <f>IF($A547="","",PAYMENTS!C40)</f>
        <v>MSH202608007</v>
      </c>
      <c r="D547" s="15" t="str">
        <f>IF($A547="","",PAYMENTS!D40)</f>
        <v>Mpho Sithole</v>
      </c>
      <c r="E547" s="16">
        <f>IF($A547="","",PAYMENTS!E40)</f>
        <v>222.76</v>
      </c>
      <c r="F547" s="15" t="str">
        <f>IF($A547="","",PAYMENTS!F40)</f>
        <v>Cash</v>
      </c>
      <c r="G547" s="15" t="str">
        <f>IF($A547="","",PAYMENTS!G40)</f>
        <v>Term payment 6</v>
      </c>
    </row>
    <row r="548" spans="1:7" x14ac:dyDescent="0.3">
      <c r="A548" s="17" t="str">
        <f>IF(PAYMENTS!A41="","",PAYMENTS!A41)</f>
        <v>2026-07-10</v>
      </c>
      <c r="B548" s="15" t="str">
        <f>IF($A548="","",PAYMENTS!B41)</f>
        <v>MSH-R1040</v>
      </c>
      <c r="C548" s="15" t="str">
        <f>IF($A548="","",PAYMENTS!C41)</f>
        <v>MSH202608007</v>
      </c>
      <c r="D548" s="15" t="str">
        <f>IF($A548="","",PAYMENTS!D41)</f>
        <v>Mpho Sithole</v>
      </c>
      <c r="E548" s="16">
        <f>IF($A548="","",PAYMENTS!E41)</f>
        <v>189.38</v>
      </c>
      <c r="F548" s="15" t="str">
        <f>IF($A548="","",PAYMENTS!F41)</f>
        <v>Cash</v>
      </c>
      <c r="G548" s="15" t="str">
        <f>IF($A548="","",PAYMENTS!G41)</f>
        <v>Term payment 7</v>
      </c>
    </row>
    <row r="549" spans="1:7" x14ac:dyDescent="0.3">
      <c r="A549" s="17" t="str">
        <f>IF(PAYMENTS!A42="","",PAYMENTS!A42)</f>
        <v>2026-08-25</v>
      </c>
      <c r="B549" s="15" t="str">
        <f>IF($A549="","",PAYMENTS!B42)</f>
        <v>MSH-R1041</v>
      </c>
      <c r="C549" s="15" t="str">
        <f>IF($A549="","",PAYMENTS!C42)</f>
        <v>MSH202608007</v>
      </c>
      <c r="D549" s="15" t="str">
        <f>IF($A549="","",PAYMENTS!D42)</f>
        <v>Mpho Sithole</v>
      </c>
      <c r="E549" s="16">
        <f>IF($A549="","",PAYMENTS!E42)</f>
        <v>166.2</v>
      </c>
      <c r="F549" s="15" t="str">
        <f>IF($A549="","",PAYMENTS!F42)</f>
        <v>Card</v>
      </c>
      <c r="G549" s="15" t="str">
        <f>IF($A549="","",PAYMENTS!G42)</f>
        <v>Term payment 8</v>
      </c>
    </row>
    <row r="550" spans="1:7" x14ac:dyDescent="0.3">
      <c r="A550" s="17" t="str">
        <f>IF(PAYMENTS!A43="","",PAYMENTS!A43)</f>
        <v>2026-10-15</v>
      </c>
      <c r="B550" s="15" t="str">
        <f>IF($A550="","",PAYMENTS!B43)</f>
        <v>MSH-R1042</v>
      </c>
      <c r="C550" s="15" t="str">
        <f>IF($A550="","",PAYMENTS!C43)</f>
        <v>MSH202608007</v>
      </c>
      <c r="D550" s="15" t="str">
        <f>IF($A550="","",PAYMENTS!D43)</f>
        <v>Mpho Sithole</v>
      </c>
      <c r="E550" s="16">
        <f>IF($A550="","",PAYMENTS!E43)</f>
        <v>354.35</v>
      </c>
      <c r="F550" s="15" t="str">
        <f>IF($A550="","",PAYMENTS!F43)</f>
        <v>Card</v>
      </c>
      <c r="G550" s="15" t="str">
        <f>IF($A550="","",PAYMENTS!G43)</f>
        <v>Term payment 10</v>
      </c>
    </row>
    <row r="551" spans="1:7" x14ac:dyDescent="0.3">
      <c r="A551" s="17" t="str">
        <f>IF(PAYMENTS!A44="","",PAYMENTS!A44)</f>
        <v>2026-02-05</v>
      </c>
      <c r="B551" s="15" t="str">
        <f>IF($A551="","",PAYMENTS!B44)</f>
        <v>MSH-R1043</v>
      </c>
      <c r="C551" s="15" t="str">
        <f>IF($A551="","",PAYMENTS!C44)</f>
        <v>MSH202608008</v>
      </c>
      <c r="D551" s="15" t="str">
        <f>IF($A551="","",PAYMENTS!D44)</f>
        <v>Tshepo Ramushu</v>
      </c>
      <c r="E551" s="16">
        <f>IF($A551="","",PAYMENTS!E44)</f>
        <v>429.39</v>
      </c>
      <c r="F551" s="15" t="str">
        <f>IF($A551="","",PAYMENTS!F44)</f>
        <v>EFT</v>
      </c>
      <c r="G551" s="15" t="str">
        <f>IF($A551="","",PAYMENTS!G44)</f>
        <v>Term payment 2</v>
      </c>
    </row>
    <row r="552" spans="1:7" x14ac:dyDescent="0.3">
      <c r="A552" s="17" t="str">
        <f>IF(PAYMENTS!A45="","",PAYMENTS!A45)</f>
        <v>2026-04-15</v>
      </c>
      <c r="B552" s="15" t="str">
        <f>IF($A552="","",PAYMENTS!B45)</f>
        <v>MSH-R1044</v>
      </c>
      <c r="C552" s="15" t="str">
        <f>IF($A552="","",PAYMENTS!C45)</f>
        <v>MSH202608008</v>
      </c>
      <c r="D552" s="15" t="str">
        <f>IF($A552="","",PAYMENTS!D45)</f>
        <v>Tshepo Ramushu</v>
      </c>
      <c r="E552" s="16">
        <f>IF($A552="","",PAYMENTS!E45)</f>
        <v>449.48</v>
      </c>
      <c r="F552" s="15" t="str">
        <f>IF($A552="","",PAYMENTS!F45)</f>
        <v>Card</v>
      </c>
      <c r="G552" s="15" t="str">
        <f>IF($A552="","",PAYMENTS!G45)</f>
        <v>Term payment 4</v>
      </c>
    </row>
    <row r="553" spans="1:7" x14ac:dyDescent="0.3">
      <c r="A553" s="17" t="str">
        <f>IF(PAYMENTS!A46="","",PAYMENTS!A46)</f>
        <v>2026-05-05</v>
      </c>
      <c r="B553" s="15" t="str">
        <f>IF($A553="","",PAYMENTS!B46)</f>
        <v>MSH-R1045</v>
      </c>
      <c r="C553" s="15" t="str">
        <f>IF($A553="","",PAYMENTS!C46)</f>
        <v>MSH202608008</v>
      </c>
      <c r="D553" s="15" t="str">
        <f>IF($A553="","",PAYMENTS!D46)</f>
        <v>Tshepo Ramushu</v>
      </c>
      <c r="E553" s="16">
        <f>IF($A553="","",PAYMENTS!E46)</f>
        <v>285.64</v>
      </c>
      <c r="F553" s="15" t="str">
        <f>IF($A553="","",PAYMENTS!F46)</f>
        <v>Card</v>
      </c>
      <c r="G553" s="15" t="str">
        <f>IF($A553="","",PAYMENTS!G46)</f>
        <v>Term payment 5</v>
      </c>
    </row>
    <row r="554" spans="1:7" x14ac:dyDescent="0.3">
      <c r="A554" s="17" t="str">
        <f>IF(PAYMENTS!A47="","",PAYMENTS!A47)</f>
        <v>2026-10-01</v>
      </c>
      <c r="B554" s="15" t="str">
        <f>IF($A554="","",PAYMENTS!B47)</f>
        <v>MSH-R1046</v>
      </c>
      <c r="C554" s="15" t="str">
        <f>IF($A554="","",PAYMENTS!C47)</f>
        <v>MSH202608008</v>
      </c>
      <c r="D554" s="15" t="str">
        <f>IF($A554="","",PAYMENTS!D47)</f>
        <v>Tshepo Ramushu</v>
      </c>
      <c r="E554" s="16">
        <f>IF($A554="","",PAYMENTS!E47)</f>
        <v>321.06</v>
      </c>
      <c r="F554" s="15" t="str">
        <f>IF($A554="","",PAYMENTS!F47)</f>
        <v>Cash</v>
      </c>
      <c r="G554" s="15" t="str">
        <f>IF($A554="","",PAYMENTS!G47)</f>
        <v>Term payment 10</v>
      </c>
    </row>
    <row r="555" spans="1:7" x14ac:dyDescent="0.3">
      <c r="A555" s="17" t="str">
        <f>IF(PAYMENTS!A48="","",PAYMENTS!A48)</f>
        <v>2026-11-15</v>
      </c>
      <c r="B555" s="15" t="str">
        <f>IF($A555="","",PAYMENTS!B48)</f>
        <v>MSH-R1047</v>
      </c>
      <c r="C555" s="15" t="str">
        <f>IF($A555="","",PAYMENTS!C48)</f>
        <v>MSH202608008</v>
      </c>
      <c r="D555" s="15" t="str">
        <f>IF($A555="","",PAYMENTS!D48)</f>
        <v>Tshepo Ramushu</v>
      </c>
      <c r="E555" s="16">
        <f>IF($A555="","",PAYMENTS!E48)</f>
        <v>272.06</v>
      </c>
      <c r="F555" s="15" t="str">
        <f>IF($A555="","",PAYMENTS!F48)</f>
        <v>EFT</v>
      </c>
      <c r="G555" s="15" t="str">
        <f>IF($A555="","",PAYMENTS!G48)</f>
        <v>Term payment 11</v>
      </c>
    </row>
    <row r="556" spans="1:7" x14ac:dyDescent="0.3">
      <c r="A556" s="17" t="str">
        <f>IF(PAYMENTS!A49="","",PAYMENTS!A49)</f>
        <v>2026-02-15</v>
      </c>
      <c r="B556" s="15" t="str">
        <f>IF($A556="","",PAYMENTS!B49)</f>
        <v>MSH-R1048</v>
      </c>
      <c r="C556" s="15" t="str">
        <f>IF($A556="","",PAYMENTS!C49)</f>
        <v>MSH202608009</v>
      </c>
      <c r="D556" s="15" t="str">
        <f>IF($A556="","",PAYMENTS!D49)</f>
        <v>Lerato Kekana</v>
      </c>
      <c r="E556" s="16">
        <f>IF($A556="","",PAYMENTS!E49)</f>
        <v>304.45</v>
      </c>
      <c r="F556" s="15" t="str">
        <f>IF($A556="","",PAYMENTS!F49)</f>
        <v>Cash</v>
      </c>
      <c r="G556" s="15" t="str">
        <f>IF($A556="","",PAYMENTS!G49)</f>
        <v>Term payment 2</v>
      </c>
    </row>
    <row r="557" spans="1:7" x14ac:dyDescent="0.3">
      <c r="A557" s="17" t="str">
        <f>IF(PAYMENTS!A50="","",PAYMENTS!A50)</f>
        <v>2026-03-10</v>
      </c>
      <c r="B557" s="15" t="str">
        <f>IF($A557="","",PAYMENTS!B50)</f>
        <v>MSH-R1049</v>
      </c>
      <c r="C557" s="15" t="str">
        <f>IF($A557="","",PAYMENTS!C50)</f>
        <v>MSH202608009</v>
      </c>
      <c r="D557" s="15" t="str">
        <f>IF($A557="","",PAYMENTS!D50)</f>
        <v>Lerato Kekana</v>
      </c>
      <c r="E557" s="16">
        <f>IF($A557="","",PAYMENTS!E50)</f>
        <v>311.45</v>
      </c>
      <c r="F557" s="15" t="str">
        <f>IF($A557="","",PAYMENTS!F50)</f>
        <v>Card</v>
      </c>
      <c r="G557" s="15" t="str">
        <f>IF($A557="","",PAYMENTS!G50)</f>
        <v>Term payment 3</v>
      </c>
    </row>
    <row r="558" spans="1:7" x14ac:dyDescent="0.3">
      <c r="A558" s="17" t="str">
        <f>IF(PAYMENTS!A51="","",PAYMENTS!A51)</f>
        <v>2026-05-15</v>
      </c>
      <c r="B558" s="15" t="str">
        <f>IF($A558="","",PAYMENTS!B51)</f>
        <v>MSH-R1050</v>
      </c>
      <c r="C558" s="15" t="str">
        <f>IF($A558="","",PAYMENTS!C51)</f>
        <v>MSH202608009</v>
      </c>
      <c r="D558" s="15" t="str">
        <f>IF($A558="","",PAYMENTS!D51)</f>
        <v>Lerato Kekana</v>
      </c>
      <c r="E558" s="16">
        <f>IF($A558="","",PAYMENTS!E51)</f>
        <v>411.93</v>
      </c>
      <c r="F558" s="15" t="str">
        <f>IF($A558="","",PAYMENTS!F51)</f>
        <v>Card</v>
      </c>
      <c r="G558" s="15" t="str">
        <f>IF($A558="","",PAYMENTS!G51)</f>
        <v>Term payment 5</v>
      </c>
    </row>
    <row r="559" spans="1:7" x14ac:dyDescent="0.3">
      <c r="A559" s="17" t="str">
        <f>IF(PAYMENTS!A52="","",PAYMENTS!A52)</f>
        <v>2026-06-10</v>
      </c>
      <c r="B559" s="15" t="str">
        <f>IF($A559="","",PAYMENTS!B52)</f>
        <v>MSH-R1051</v>
      </c>
      <c r="C559" s="15" t="str">
        <f>IF($A559="","",PAYMENTS!C52)</f>
        <v>MSH202608009</v>
      </c>
      <c r="D559" s="15" t="str">
        <f>IF($A559="","",PAYMENTS!D52)</f>
        <v>Lerato Kekana</v>
      </c>
      <c r="E559" s="16">
        <f>IF($A559="","",PAYMENTS!E52)</f>
        <v>491.41</v>
      </c>
      <c r="F559" s="15" t="str">
        <f>IF($A559="","",PAYMENTS!F52)</f>
        <v>Cash</v>
      </c>
      <c r="G559" s="15" t="str">
        <f>IF($A559="","",PAYMENTS!G52)</f>
        <v>Term payment 6</v>
      </c>
    </row>
    <row r="560" spans="1:7" x14ac:dyDescent="0.3">
      <c r="A560" s="17" t="str">
        <f>IF(PAYMENTS!A53="","",PAYMENTS!A53)</f>
        <v>2026-07-10</v>
      </c>
      <c r="B560" s="15" t="str">
        <f>IF($A560="","",PAYMENTS!B53)</f>
        <v>MSH-R1052</v>
      </c>
      <c r="C560" s="15" t="str">
        <f>IF($A560="","",PAYMENTS!C53)</f>
        <v>MSH202608009</v>
      </c>
      <c r="D560" s="15" t="str">
        <f>IF($A560="","",PAYMENTS!D53)</f>
        <v>Lerato Kekana</v>
      </c>
      <c r="E560" s="16">
        <f>IF($A560="","",PAYMENTS!E53)</f>
        <v>258.64</v>
      </c>
      <c r="F560" s="15" t="str">
        <f>IF($A560="","",PAYMENTS!F53)</f>
        <v>EFT</v>
      </c>
      <c r="G560" s="15" t="str">
        <f>IF($A560="","",PAYMENTS!G53)</f>
        <v>Term payment 7</v>
      </c>
    </row>
    <row r="561" spans="1:7" x14ac:dyDescent="0.3">
      <c r="A561" s="17" t="str">
        <f>IF(PAYMENTS!A54="","",PAYMENTS!A54)</f>
        <v>2026-10-01</v>
      </c>
      <c r="B561" s="15" t="str">
        <f>IF($A561="","",PAYMENTS!B54)</f>
        <v>MSH-R1053</v>
      </c>
      <c r="C561" s="15" t="str">
        <f>IF($A561="","",PAYMENTS!C54)</f>
        <v>MSH202608009</v>
      </c>
      <c r="D561" s="15" t="str">
        <f>IF($A561="","",PAYMENTS!D54)</f>
        <v>Lerato Kekana</v>
      </c>
      <c r="E561" s="16">
        <f>IF($A561="","",PAYMENTS!E54)</f>
        <v>237.17</v>
      </c>
      <c r="F561" s="15" t="str">
        <f>IF($A561="","",PAYMENTS!F54)</f>
        <v>EFT</v>
      </c>
      <c r="G561" s="15" t="str">
        <f>IF($A561="","",PAYMENTS!G54)</f>
        <v>Term payment 10</v>
      </c>
    </row>
    <row r="562" spans="1:7" x14ac:dyDescent="0.3">
      <c r="A562" s="17" t="str">
        <f>IF(PAYMENTS!A55="","",PAYMENTS!A55)</f>
        <v>2026-03-10</v>
      </c>
      <c r="B562" s="15" t="str">
        <f>IF($A562="","",PAYMENTS!B55)</f>
        <v>MSH-R1054</v>
      </c>
      <c r="C562" s="15" t="str">
        <f>IF($A562="","",PAYMENTS!C55)</f>
        <v>MSH202608010</v>
      </c>
      <c r="D562" s="15" t="str">
        <f>IF($A562="","",PAYMENTS!D55)</f>
        <v>Neo Ngobeni</v>
      </c>
      <c r="E562" s="16">
        <f>IF($A562="","",PAYMENTS!E55)</f>
        <v>217.58</v>
      </c>
      <c r="F562" s="15" t="str">
        <f>IF($A562="","",PAYMENTS!F55)</f>
        <v>EFT</v>
      </c>
      <c r="G562" s="15" t="str">
        <f>IF($A562="","",PAYMENTS!G55)</f>
        <v>Term payment 3</v>
      </c>
    </row>
    <row r="563" spans="1:7" x14ac:dyDescent="0.3">
      <c r="A563" s="17" t="str">
        <f>IF(PAYMENTS!A56="","",PAYMENTS!A56)</f>
        <v>2026-05-01</v>
      </c>
      <c r="B563" s="15" t="str">
        <f>IF($A563="","",PAYMENTS!B56)</f>
        <v>MSH-R1055</v>
      </c>
      <c r="C563" s="15" t="str">
        <f>IF($A563="","",PAYMENTS!C56)</f>
        <v>MSH202608010</v>
      </c>
      <c r="D563" s="15" t="str">
        <f>IF($A563="","",PAYMENTS!D56)</f>
        <v>Neo Ngobeni</v>
      </c>
      <c r="E563" s="16">
        <f>IF($A563="","",PAYMENTS!E56)</f>
        <v>363.1</v>
      </c>
      <c r="F563" s="15" t="str">
        <f>IF($A563="","",PAYMENTS!F56)</f>
        <v>Card</v>
      </c>
      <c r="G563" s="15" t="str">
        <f>IF($A563="","",PAYMENTS!G56)</f>
        <v>Term payment 5</v>
      </c>
    </row>
    <row r="564" spans="1:7" x14ac:dyDescent="0.3">
      <c r="A564" s="17" t="str">
        <f>IF(PAYMENTS!A57="","",PAYMENTS!A57)</f>
        <v>2026-06-25</v>
      </c>
      <c r="B564" s="15" t="str">
        <f>IF($A564="","",PAYMENTS!B57)</f>
        <v>MSH-R1056</v>
      </c>
      <c r="C564" s="15" t="str">
        <f>IF($A564="","",PAYMENTS!C57)</f>
        <v>MSH202608010</v>
      </c>
      <c r="D564" s="15" t="str">
        <f>IF($A564="","",PAYMENTS!D57)</f>
        <v>Neo Ngobeni</v>
      </c>
      <c r="E564" s="16">
        <f>IF($A564="","",PAYMENTS!E57)</f>
        <v>424.15</v>
      </c>
      <c r="F564" s="15" t="str">
        <f>IF($A564="","",PAYMENTS!F57)</f>
        <v>Card</v>
      </c>
      <c r="G564" s="15" t="str">
        <f>IF($A564="","",PAYMENTS!G57)</f>
        <v>Term payment 6</v>
      </c>
    </row>
    <row r="565" spans="1:7" x14ac:dyDescent="0.3">
      <c r="A565" s="17" t="str">
        <f>IF(PAYMENTS!A58="","",PAYMENTS!A58)</f>
        <v>2026-07-25</v>
      </c>
      <c r="B565" s="15" t="str">
        <f>IF($A565="","",PAYMENTS!B58)</f>
        <v>MSH-R1057</v>
      </c>
      <c r="C565" s="15" t="str">
        <f>IF($A565="","",PAYMENTS!C58)</f>
        <v>MSH202608010</v>
      </c>
      <c r="D565" s="15" t="str">
        <f>IF($A565="","",PAYMENTS!D58)</f>
        <v>Neo Ngobeni</v>
      </c>
      <c r="E565" s="16">
        <f>IF($A565="","",PAYMENTS!E58)</f>
        <v>409.21</v>
      </c>
      <c r="F565" s="15" t="str">
        <f>IF($A565="","",PAYMENTS!F58)</f>
        <v>EFT</v>
      </c>
      <c r="G565" s="15" t="str">
        <f>IF($A565="","",PAYMENTS!G58)</f>
        <v>Term payment 7</v>
      </c>
    </row>
    <row r="566" spans="1:7" x14ac:dyDescent="0.3">
      <c r="A566" s="17" t="str">
        <f>IF(PAYMENTS!A59="","",PAYMENTS!A59)</f>
        <v>2026-08-15</v>
      </c>
      <c r="B566" s="15" t="str">
        <f>IF($A566="","",PAYMENTS!B59)</f>
        <v>MSH-R1058</v>
      </c>
      <c r="C566" s="15" t="str">
        <f>IF($A566="","",PAYMENTS!C59)</f>
        <v>MSH202608010</v>
      </c>
      <c r="D566" s="15" t="str">
        <f>IF($A566="","",PAYMENTS!D59)</f>
        <v>Neo Ngobeni</v>
      </c>
      <c r="E566" s="16">
        <f>IF($A566="","",PAYMENTS!E59)</f>
        <v>225.41</v>
      </c>
      <c r="F566" s="15" t="str">
        <f>IF($A566="","",PAYMENTS!F59)</f>
        <v>Card</v>
      </c>
      <c r="G566" s="15" t="str">
        <f>IF($A566="","",PAYMENTS!G59)</f>
        <v>Term payment 8</v>
      </c>
    </row>
    <row r="567" spans="1:7" x14ac:dyDescent="0.3">
      <c r="A567" s="17" t="str">
        <f>IF(PAYMENTS!A60="","",PAYMENTS!A60)</f>
        <v>2026-09-10</v>
      </c>
      <c r="B567" s="15" t="str">
        <f>IF($A567="","",PAYMENTS!B60)</f>
        <v>MSH-R1059</v>
      </c>
      <c r="C567" s="15" t="str">
        <f>IF($A567="","",PAYMENTS!C60)</f>
        <v>MSH202608010</v>
      </c>
      <c r="D567" s="15" t="str">
        <f>IF($A567="","",PAYMENTS!D60)</f>
        <v>Neo Ngobeni</v>
      </c>
      <c r="E567" s="16">
        <f>IF($A567="","",PAYMENTS!E60)</f>
        <v>394.69</v>
      </c>
      <c r="F567" s="15" t="str">
        <f>IF($A567="","",PAYMENTS!F60)</f>
        <v>Card</v>
      </c>
      <c r="G567" s="15" t="str">
        <f>IF($A567="","",PAYMENTS!G60)</f>
        <v>Term payment 9</v>
      </c>
    </row>
    <row r="568" spans="1:7" x14ac:dyDescent="0.3">
      <c r="A568" s="17" t="str">
        <f>IF(PAYMENTS!A61="","",PAYMENTS!A61)</f>
        <v>2026-06-15</v>
      </c>
      <c r="B568" s="15" t="str">
        <f>IF($A568="","",PAYMENTS!B61)</f>
        <v>MSH-R1060</v>
      </c>
      <c r="C568" s="15" t="str">
        <f>IF($A568="","",PAYMENTS!C61)</f>
        <v>MSH202608011</v>
      </c>
      <c r="D568" s="15" t="str">
        <f>IF($A568="","",PAYMENTS!D61)</f>
        <v>Thabo Mokgadi</v>
      </c>
      <c r="E568" s="16">
        <f>IF($A568="","",PAYMENTS!E61)</f>
        <v>303.81</v>
      </c>
      <c r="F568" s="15" t="str">
        <f>IF($A568="","",PAYMENTS!F61)</f>
        <v>Card</v>
      </c>
      <c r="G568" s="15" t="str">
        <f>IF($A568="","",PAYMENTS!G61)</f>
        <v>Term payment 6</v>
      </c>
    </row>
    <row r="569" spans="1:7" x14ac:dyDescent="0.3">
      <c r="A569" s="17" t="str">
        <f>IF(PAYMENTS!A62="","",PAYMENTS!A62)</f>
        <v>2026-07-10</v>
      </c>
      <c r="B569" s="15" t="str">
        <f>IF($A569="","",PAYMENTS!B62)</f>
        <v>MSH-R1061</v>
      </c>
      <c r="C569" s="15" t="str">
        <f>IF($A569="","",PAYMENTS!C62)</f>
        <v>MSH202608011</v>
      </c>
      <c r="D569" s="15" t="str">
        <f>IF($A569="","",PAYMENTS!D62)</f>
        <v>Thabo Mokgadi</v>
      </c>
      <c r="E569" s="16">
        <f>IF($A569="","",PAYMENTS!E62)</f>
        <v>373.65</v>
      </c>
      <c r="F569" s="15" t="str">
        <f>IF($A569="","",PAYMENTS!F62)</f>
        <v>Cash</v>
      </c>
      <c r="G569" s="15" t="str">
        <f>IF($A569="","",PAYMENTS!G62)</f>
        <v>Term payment 7</v>
      </c>
    </row>
    <row r="570" spans="1:7" x14ac:dyDescent="0.3">
      <c r="A570" s="17" t="str">
        <f>IF(PAYMENTS!A63="","",PAYMENTS!A63)</f>
        <v>2026-10-15</v>
      </c>
      <c r="B570" s="15" t="str">
        <f>IF($A570="","",PAYMENTS!B63)</f>
        <v>MSH-R1062</v>
      </c>
      <c r="C570" s="15" t="str">
        <f>IF($A570="","",PAYMENTS!C63)</f>
        <v>MSH202608011</v>
      </c>
      <c r="D570" s="15" t="str">
        <f>IF($A570="","",PAYMENTS!D63)</f>
        <v>Thabo Mokgadi</v>
      </c>
      <c r="E570" s="16">
        <f>IF($A570="","",PAYMENTS!E63)</f>
        <v>407.47</v>
      </c>
      <c r="F570" s="15" t="str">
        <f>IF($A570="","",PAYMENTS!F63)</f>
        <v>EFT</v>
      </c>
      <c r="G570" s="15" t="str">
        <f>IF($A570="","",PAYMENTS!G63)</f>
        <v>Term payment 10</v>
      </c>
    </row>
    <row r="571" spans="1:7" x14ac:dyDescent="0.3">
      <c r="A571" s="17" t="str">
        <f>IF(PAYMENTS!A64="","",PAYMENTS!A64)</f>
        <v>2026-11-25</v>
      </c>
      <c r="B571" s="15" t="str">
        <f>IF($A571="","",PAYMENTS!B64)</f>
        <v>MSH-R1063</v>
      </c>
      <c r="C571" s="15" t="str">
        <f>IF($A571="","",PAYMENTS!C64)</f>
        <v>MSH202608011</v>
      </c>
      <c r="D571" s="15" t="str">
        <f>IF($A571="","",PAYMENTS!D64)</f>
        <v>Thabo Mokgadi</v>
      </c>
      <c r="E571" s="16">
        <f>IF($A571="","",PAYMENTS!E64)</f>
        <v>432.93</v>
      </c>
      <c r="F571" s="15" t="str">
        <f>IF($A571="","",PAYMENTS!F64)</f>
        <v>Cash</v>
      </c>
      <c r="G571" s="15" t="str">
        <f>IF($A571="","",PAYMENTS!G64)</f>
        <v>Term payment 11</v>
      </c>
    </row>
    <row r="572" spans="1:7" x14ac:dyDescent="0.3">
      <c r="A572" s="17" t="str">
        <f>IF(PAYMENTS!A65="","",PAYMENTS!A65)</f>
        <v>2026-02-15</v>
      </c>
      <c r="B572" s="15" t="str">
        <f>IF($A572="","",PAYMENTS!B65)</f>
        <v>MSH-R1064</v>
      </c>
      <c r="C572" s="15" t="str">
        <f>IF($A572="","",PAYMENTS!C65)</f>
        <v>MSH202608012</v>
      </c>
      <c r="D572" s="15" t="str">
        <f>IF($A572="","",PAYMENTS!D65)</f>
        <v>Sifiso Mthembu</v>
      </c>
      <c r="E572" s="16">
        <f>IF($A572="","",PAYMENTS!E65)</f>
        <v>313.72000000000003</v>
      </c>
      <c r="F572" s="15" t="str">
        <f>IF($A572="","",PAYMENTS!F65)</f>
        <v>Card</v>
      </c>
      <c r="G572" s="15" t="str">
        <f>IF($A572="","",PAYMENTS!G65)</f>
        <v>Term payment 2</v>
      </c>
    </row>
    <row r="573" spans="1:7" x14ac:dyDescent="0.3">
      <c r="A573" s="17" t="str">
        <f>IF(PAYMENTS!A66="","",PAYMENTS!A66)</f>
        <v>2026-04-25</v>
      </c>
      <c r="B573" s="15" t="str">
        <f>IF($A573="","",PAYMENTS!B66)</f>
        <v>MSH-R1065</v>
      </c>
      <c r="C573" s="15" t="str">
        <f>IF($A573="","",PAYMENTS!C66)</f>
        <v>MSH202608012</v>
      </c>
      <c r="D573" s="15" t="str">
        <f>IF($A573="","",PAYMENTS!D66)</f>
        <v>Sifiso Mthembu</v>
      </c>
      <c r="E573" s="16">
        <f>IF($A573="","",PAYMENTS!E66)</f>
        <v>213.61</v>
      </c>
      <c r="F573" s="15" t="str">
        <f>IF($A573="","",PAYMENTS!F66)</f>
        <v>EFT</v>
      </c>
      <c r="G573" s="15" t="str">
        <f>IF($A573="","",PAYMENTS!G66)</f>
        <v>Term payment 4</v>
      </c>
    </row>
    <row r="574" spans="1:7" x14ac:dyDescent="0.3">
      <c r="A574" s="17" t="str">
        <f>IF(PAYMENTS!A67="","",PAYMENTS!A67)</f>
        <v>2026-06-15</v>
      </c>
      <c r="B574" s="15" t="str">
        <f>IF($A574="","",PAYMENTS!B67)</f>
        <v>MSH-R1066</v>
      </c>
      <c r="C574" s="15" t="str">
        <f>IF($A574="","",PAYMENTS!C67)</f>
        <v>MSH202608012</v>
      </c>
      <c r="D574" s="15" t="str">
        <f>IF($A574="","",PAYMENTS!D67)</f>
        <v>Sifiso Mthembu</v>
      </c>
      <c r="E574" s="16">
        <f>IF($A574="","",PAYMENTS!E67)</f>
        <v>289.94</v>
      </c>
      <c r="F574" s="15" t="str">
        <f>IF($A574="","",PAYMENTS!F67)</f>
        <v>Card</v>
      </c>
      <c r="G574" s="15" t="str">
        <f>IF($A574="","",PAYMENTS!G67)</f>
        <v>Term payment 6</v>
      </c>
    </row>
    <row r="575" spans="1:7" x14ac:dyDescent="0.3">
      <c r="A575" s="17" t="str">
        <f>IF(PAYMENTS!A68="","",PAYMENTS!A68)</f>
        <v>2026-07-15</v>
      </c>
      <c r="B575" s="15" t="str">
        <f>IF($A575="","",PAYMENTS!B68)</f>
        <v>MSH-R1067</v>
      </c>
      <c r="C575" s="15" t="str">
        <f>IF($A575="","",PAYMENTS!C68)</f>
        <v>MSH202608012</v>
      </c>
      <c r="D575" s="15" t="str">
        <f>IF($A575="","",PAYMENTS!D68)</f>
        <v>Sifiso Mthembu</v>
      </c>
      <c r="E575" s="16">
        <f>IF($A575="","",PAYMENTS!E68)</f>
        <v>315.45</v>
      </c>
      <c r="F575" s="15" t="str">
        <f>IF($A575="","",PAYMENTS!F68)</f>
        <v>Card</v>
      </c>
      <c r="G575" s="15" t="str">
        <f>IF($A575="","",PAYMENTS!G68)</f>
        <v>Term payment 7</v>
      </c>
    </row>
    <row r="576" spans="1:7" x14ac:dyDescent="0.3">
      <c r="A576" s="17" t="str">
        <f>IF(PAYMENTS!A69="","",PAYMENTS!A69)</f>
        <v>2026-08-05</v>
      </c>
      <c r="B576" s="15" t="str">
        <f>IF($A576="","",PAYMENTS!B69)</f>
        <v>MSH-R1068</v>
      </c>
      <c r="C576" s="15" t="str">
        <f>IF($A576="","",PAYMENTS!C69)</f>
        <v>MSH202608012</v>
      </c>
      <c r="D576" s="15" t="str">
        <f>IF($A576="","",PAYMENTS!D69)</f>
        <v>Sifiso Mthembu</v>
      </c>
      <c r="E576" s="16">
        <f>IF($A576="","",PAYMENTS!E69)</f>
        <v>286.31</v>
      </c>
      <c r="F576" s="15" t="str">
        <f>IF($A576="","",PAYMENTS!F69)</f>
        <v>EFT</v>
      </c>
      <c r="G576" s="15" t="str">
        <f>IF($A576="","",PAYMENTS!G69)</f>
        <v>Term payment 8</v>
      </c>
    </row>
    <row r="577" spans="1:7" x14ac:dyDescent="0.3">
      <c r="A577" s="17" t="str">
        <f>IF(PAYMENTS!A70="","",PAYMENTS!A70)</f>
        <v>2026-09-20</v>
      </c>
      <c r="B577" s="15" t="str">
        <f>IF($A577="","",PAYMENTS!B70)</f>
        <v>MSH-R1069</v>
      </c>
      <c r="C577" s="15" t="str">
        <f>IF($A577="","",PAYMENTS!C70)</f>
        <v>MSH202608012</v>
      </c>
      <c r="D577" s="15" t="str">
        <f>IF($A577="","",PAYMENTS!D70)</f>
        <v>Sifiso Mthembu</v>
      </c>
      <c r="E577" s="16">
        <f>IF($A577="","",PAYMENTS!E70)</f>
        <v>287.39</v>
      </c>
      <c r="F577" s="15" t="str">
        <f>IF($A577="","",PAYMENTS!F70)</f>
        <v>Card</v>
      </c>
      <c r="G577" s="15" t="str">
        <f>IF($A577="","",PAYMENTS!G70)</f>
        <v>Term payment 9</v>
      </c>
    </row>
    <row r="578" spans="1:7" x14ac:dyDescent="0.3">
      <c r="A578" s="17" t="str">
        <f>IF(PAYMENTS!A71="","",PAYMENTS!A71)</f>
        <v>2026-10-10</v>
      </c>
      <c r="B578" s="15" t="str">
        <f>IF($A578="","",PAYMENTS!B71)</f>
        <v>MSH-R1070</v>
      </c>
      <c r="C578" s="15" t="str">
        <f>IF($A578="","",PAYMENTS!C71)</f>
        <v>MSH202608012</v>
      </c>
      <c r="D578" s="15" t="str">
        <f>IF($A578="","",PAYMENTS!D71)</f>
        <v>Sifiso Mthembu</v>
      </c>
      <c r="E578" s="16">
        <f>IF($A578="","",PAYMENTS!E71)</f>
        <v>164.17</v>
      </c>
      <c r="F578" s="15" t="str">
        <f>IF($A578="","",PAYMENTS!F71)</f>
        <v>Cash</v>
      </c>
      <c r="G578" s="15" t="str">
        <f>IF($A578="","",PAYMENTS!G71)</f>
        <v>Term payment 10</v>
      </c>
    </row>
    <row r="579" spans="1:7" x14ac:dyDescent="0.3">
      <c r="A579" s="17" t="str">
        <f>IF(PAYMENTS!A72="","",PAYMENTS!A72)</f>
        <v>2026-11-25</v>
      </c>
      <c r="B579" s="15" t="str">
        <f>IF($A579="","",PAYMENTS!B72)</f>
        <v>MSH-R1071</v>
      </c>
      <c r="C579" s="15" t="str">
        <f>IF($A579="","",PAYMENTS!C72)</f>
        <v>MSH202608012</v>
      </c>
      <c r="D579" s="15" t="str">
        <f>IF($A579="","",PAYMENTS!D72)</f>
        <v>Sifiso Mthembu</v>
      </c>
      <c r="E579" s="16">
        <f>IF($A579="","",PAYMENTS!E72)</f>
        <v>211.05</v>
      </c>
      <c r="F579" s="15" t="str">
        <f>IF($A579="","",PAYMENTS!F72)</f>
        <v>Cash</v>
      </c>
      <c r="G579" s="15" t="str">
        <f>IF($A579="","",PAYMENTS!G72)</f>
        <v>Term payment 11</v>
      </c>
    </row>
    <row r="580" spans="1:7" x14ac:dyDescent="0.3">
      <c r="A580" s="17" t="str">
        <f>IF(PAYMENTS!A73="","",PAYMENTS!A73)</f>
        <v>2026-02-01</v>
      </c>
      <c r="B580" s="15" t="str">
        <f>IF($A580="","",PAYMENTS!B73)</f>
        <v>MSH-R1072</v>
      </c>
      <c r="C580" s="15" t="str">
        <f>IF($A580="","",PAYMENTS!C73)</f>
        <v>MSH202609001</v>
      </c>
      <c r="D580" s="15" t="str">
        <f>IF($A580="","",PAYMENTS!D73)</f>
        <v>Karabo Phiri</v>
      </c>
      <c r="E580" s="16">
        <f>IF($A580="","",PAYMENTS!E73)</f>
        <v>242.37</v>
      </c>
      <c r="F580" s="15" t="str">
        <f>IF($A580="","",PAYMENTS!F73)</f>
        <v>Card</v>
      </c>
      <c r="G580" s="15" t="str">
        <f>IF($A580="","",PAYMENTS!G73)</f>
        <v>Term payment 2</v>
      </c>
    </row>
    <row r="581" spans="1:7" x14ac:dyDescent="0.3">
      <c r="A581" s="17" t="str">
        <f>IF(PAYMENTS!A74="","",PAYMENTS!A74)</f>
        <v>2026-05-20</v>
      </c>
      <c r="B581" s="15" t="str">
        <f>IF($A581="","",PAYMENTS!B74)</f>
        <v>MSH-R1073</v>
      </c>
      <c r="C581" s="15" t="str">
        <f>IF($A581="","",PAYMENTS!C74)</f>
        <v>MSH202609001</v>
      </c>
      <c r="D581" s="15" t="str">
        <f>IF($A581="","",PAYMENTS!D74)</f>
        <v>Karabo Phiri</v>
      </c>
      <c r="E581" s="16">
        <f>IF($A581="","",PAYMENTS!E74)</f>
        <v>186</v>
      </c>
      <c r="F581" s="15" t="str">
        <f>IF($A581="","",PAYMENTS!F74)</f>
        <v>Card</v>
      </c>
      <c r="G581" s="15" t="str">
        <f>IF($A581="","",PAYMENTS!G74)</f>
        <v>Term payment 5</v>
      </c>
    </row>
    <row r="582" spans="1:7" x14ac:dyDescent="0.3">
      <c r="A582" s="17" t="str">
        <f>IF(PAYMENTS!A75="","",PAYMENTS!A75)</f>
        <v>2026-06-15</v>
      </c>
      <c r="B582" s="15" t="str">
        <f>IF($A582="","",PAYMENTS!B75)</f>
        <v>MSH-R1074</v>
      </c>
      <c r="C582" s="15" t="str">
        <f>IF($A582="","",PAYMENTS!C75)</f>
        <v>MSH202609001</v>
      </c>
      <c r="D582" s="15" t="str">
        <f>IF($A582="","",PAYMENTS!D75)</f>
        <v>Karabo Phiri</v>
      </c>
      <c r="E582" s="16">
        <f>IF($A582="","",PAYMENTS!E75)</f>
        <v>250.79</v>
      </c>
      <c r="F582" s="15" t="str">
        <f>IF($A582="","",PAYMENTS!F75)</f>
        <v>Cash</v>
      </c>
      <c r="G582" s="15" t="str">
        <f>IF($A582="","",PAYMENTS!G75)</f>
        <v>Term payment 6</v>
      </c>
    </row>
    <row r="583" spans="1:7" x14ac:dyDescent="0.3">
      <c r="A583" s="17" t="str">
        <f>IF(PAYMENTS!A76="","",PAYMENTS!A76)</f>
        <v>2026-09-05</v>
      </c>
      <c r="B583" s="15" t="str">
        <f>IF($A583="","",PAYMENTS!B76)</f>
        <v>MSH-R1075</v>
      </c>
      <c r="C583" s="15" t="str">
        <f>IF($A583="","",PAYMENTS!C76)</f>
        <v>MSH202609001</v>
      </c>
      <c r="D583" s="15" t="str">
        <f>IF($A583="","",PAYMENTS!D76)</f>
        <v>Karabo Phiri</v>
      </c>
      <c r="E583" s="16">
        <f>IF($A583="","",PAYMENTS!E76)</f>
        <v>285.70999999999998</v>
      </c>
      <c r="F583" s="15" t="str">
        <f>IF($A583="","",PAYMENTS!F76)</f>
        <v>Cash</v>
      </c>
      <c r="G583" s="15" t="str">
        <f>IF($A583="","",PAYMENTS!G76)</f>
        <v>Term payment 9</v>
      </c>
    </row>
    <row r="584" spans="1:7" x14ac:dyDescent="0.3">
      <c r="A584" s="17" t="str">
        <f>IF(PAYMENTS!A77="","",PAYMENTS!A77)</f>
        <v>2026-11-01</v>
      </c>
      <c r="B584" s="15" t="str">
        <f>IF($A584="","",PAYMENTS!B77)</f>
        <v>MSH-R1076</v>
      </c>
      <c r="C584" s="15" t="str">
        <f>IF($A584="","",PAYMENTS!C77)</f>
        <v>MSH202609001</v>
      </c>
      <c r="D584" s="15" t="str">
        <f>IF($A584="","",PAYMENTS!D77)</f>
        <v>Karabo Phiri</v>
      </c>
      <c r="E584" s="16">
        <f>IF($A584="","",PAYMENTS!E77)</f>
        <v>312.14</v>
      </c>
      <c r="F584" s="15" t="str">
        <f>IF($A584="","",PAYMENTS!F77)</f>
        <v>Cash</v>
      </c>
      <c r="G584" s="15" t="str">
        <f>IF($A584="","",PAYMENTS!G77)</f>
        <v>Term payment 11</v>
      </c>
    </row>
    <row r="585" spans="1:7" x14ac:dyDescent="0.3">
      <c r="A585" s="17" t="str">
        <f>IF(PAYMENTS!A78="","",PAYMENTS!A78)</f>
        <v>2026-02-01</v>
      </c>
      <c r="B585" s="15" t="str">
        <f>IF($A585="","",PAYMENTS!B78)</f>
        <v>MSH-R1077</v>
      </c>
      <c r="C585" s="15" t="str">
        <f>IF($A585="","",PAYMENTS!C78)</f>
        <v>MSH202609002</v>
      </c>
      <c r="D585" s="15" t="str">
        <f>IF($A585="","",PAYMENTS!D78)</f>
        <v>Lerato Mahlangu</v>
      </c>
      <c r="E585" s="16">
        <f>IF($A585="","",PAYMENTS!E78)</f>
        <v>343.68</v>
      </c>
      <c r="F585" s="15" t="str">
        <f>IF($A585="","",PAYMENTS!F78)</f>
        <v>EFT</v>
      </c>
      <c r="G585" s="15" t="str">
        <f>IF($A585="","",PAYMENTS!G78)</f>
        <v>Term payment 2</v>
      </c>
    </row>
    <row r="586" spans="1:7" x14ac:dyDescent="0.3">
      <c r="A586" s="17" t="str">
        <f>IF(PAYMENTS!A79="","",PAYMENTS!A79)</f>
        <v>2026-03-25</v>
      </c>
      <c r="B586" s="15" t="str">
        <f>IF($A586="","",PAYMENTS!B79)</f>
        <v>MSH-R1078</v>
      </c>
      <c r="C586" s="15" t="str">
        <f>IF($A586="","",PAYMENTS!C79)</f>
        <v>MSH202609002</v>
      </c>
      <c r="D586" s="15" t="str">
        <f>IF($A586="","",PAYMENTS!D79)</f>
        <v>Lerato Mahlangu</v>
      </c>
      <c r="E586" s="16">
        <f>IF($A586="","",PAYMENTS!E79)</f>
        <v>366.53</v>
      </c>
      <c r="F586" s="15" t="str">
        <f>IF($A586="","",PAYMENTS!F79)</f>
        <v>Card</v>
      </c>
      <c r="G586" s="15" t="str">
        <f>IF($A586="","",PAYMENTS!G79)</f>
        <v>Term payment 3</v>
      </c>
    </row>
    <row r="587" spans="1:7" x14ac:dyDescent="0.3">
      <c r="A587" s="17" t="str">
        <f>IF(PAYMENTS!A80="","",PAYMENTS!A80)</f>
        <v>2026-06-20</v>
      </c>
      <c r="B587" s="15" t="str">
        <f>IF($A587="","",PAYMENTS!B80)</f>
        <v>MSH-R1079</v>
      </c>
      <c r="C587" s="15" t="str">
        <f>IF($A587="","",PAYMENTS!C80)</f>
        <v>MSH202609002</v>
      </c>
      <c r="D587" s="15" t="str">
        <f>IF($A587="","",PAYMENTS!D80)</f>
        <v>Lerato Mahlangu</v>
      </c>
      <c r="E587" s="16">
        <f>IF($A587="","",PAYMENTS!E80)</f>
        <v>301.08999999999997</v>
      </c>
      <c r="F587" s="15" t="str">
        <f>IF($A587="","",PAYMENTS!F80)</f>
        <v>EFT</v>
      </c>
      <c r="G587" s="15" t="str">
        <f>IF($A587="","",PAYMENTS!G80)</f>
        <v>Term payment 6</v>
      </c>
    </row>
    <row r="588" spans="1:7" x14ac:dyDescent="0.3">
      <c r="A588" s="17" t="str">
        <f>IF(PAYMENTS!A81="","",PAYMENTS!A81)</f>
        <v>2026-09-20</v>
      </c>
      <c r="B588" s="15" t="str">
        <f>IF($A588="","",PAYMENTS!B81)</f>
        <v>MSH-R1080</v>
      </c>
      <c r="C588" s="15" t="str">
        <f>IF($A588="","",PAYMENTS!C81)</f>
        <v>MSH202609002</v>
      </c>
      <c r="D588" s="15" t="str">
        <f>IF($A588="","",PAYMENTS!D81)</f>
        <v>Lerato Mahlangu</v>
      </c>
      <c r="E588" s="16">
        <f>IF($A588="","",PAYMENTS!E81)</f>
        <v>453.39</v>
      </c>
      <c r="F588" s="15" t="str">
        <f>IF($A588="","",PAYMENTS!F81)</f>
        <v>Card</v>
      </c>
      <c r="G588" s="15" t="str">
        <f>IF($A588="","",PAYMENTS!G81)</f>
        <v>Term payment 9</v>
      </c>
    </row>
    <row r="589" spans="1:7" x14ac:dyDescent="0.3">
      <c r="A589" s="17" t="str">
        <f>IF(PAYMENTS!A82="","",PAYMENTS!A82)</f>
        <v>2026-10-15</v>
      </c>
      <c r="B589" s="15" t="str">
        <f>IF($A589="","",PAYMENTS!B82)</f>
        <v>MSH-R1081</v>
      </c>
      <c r="C589" s="15" t="str">
        <f>IF($A589="","",PAYMENTS!C82)</f>
        <v>MSH202609002</v>
      </c>
      <c r="D589" s="15" t="str">
        <f>IF($A589="","",PAYMENTS!D82)</f>
        <v>Lerato Mahlangu</v>
      </c>
      <c r="E589" s="16">
        <f>IF($A589="","",PAYMENTS!E82)</f>
        <v>458.15</v>
      </c>
      <c r="F589" s="15" t="str">
        <f>IF($A589="","",PAYMENTS!F82)</f>
        <v>Card</v>
      </c>
      <c r="G589" s="15" t="str">
        <f>IF($A589="","",PAYMENTS!G82)</f>
        <v>Term payment 10</v>
      </c>
    </row>
    <row r="590" spans="1:7" x14ac:dyDescent="0.3">
      <c r="A590" s="17" t="str">
        <f>IF(PAYMENTS!A83="","",PAYMENTS!A83)</f>
        <v>2026-03-25</v>
      </c>
      <c r="B590" s="15" t="str">
        <f>IF($A590="","",PAYMENTS!B83)</f>
        <v>MSH-R1082</v>
      </c>
      <c r="C590" s="15" t="str">
        <f>IF($A590="","",PAYMENTS!C83)</f>
        <v>MSH202609003</v>
      </c>
      <c r="D590" s="15" t="str">
        <f>IF($A590="","",PAYMENTS!D83)</f>
        <v>Mpho Kekana</v>
      </c>
      <c r="E590" s="16">
        <f>IF($A590="","",PAYMENTS!E83)</f>
        <v>277.20999999999998</v>
      </c>
      <c r="F590" s="15" t="str">
        <f>IF($A590="","",PAYMENTS!F83)</f>
        <v>EFT</v>
      </c>
      <c r="G590" s="15" t="str">
        <f>IF($A590="","",PAYMENTS!G83)</f>
        <v>Term payment 3</v>
      </c>
    </row>
    <row r="591" spans="1:7" x14ac:dyDescent="0.3">
      <c r="A591" s="17" t="str">
        <f>IF(PAYMENTS!A84="","",PAYMENTS!A84)</f>
        <v>2026-04-01</v>
      </c>
      <c r="B591" s="15" t="str">
        <f>IF($A591="","",PAYMENTS!B84)</f>
        <v>MSH-R1083</v>
      </c>
      <c r="C591" s="15" t="str">
        <f>IF($A591="","",PAYMENTS!C84)</f>
        <v>MSH202609003</v>
      </c>
      <c r="D591" s="15" t="str">
        <f>IF($A591="","",PAYMENTS!D84)</f>
        <v>Mpho Kekana</v>
      </c>
      <c r="E591" s="16">
        <f>IF($A591="","",PAYMENTS!E84)</f>
        <v>422.34</v>
      </c>
      <c r="F591" s="15" t="str">
        <f>IF($A591="","",PAYMENTS!F84)</f>
        <v>Cash</v>
      </c>
      <c r="G591" s="15" t="str">
        <f>IF($A591="","",PAYMENTS!G84)</f>
        <v>Term payment 4</v>
      </c>
    </row>
    <row r="592" spans="1:7" x14ac:dyDescent="0.3">
      <c r="A592" s="17" t="str">
        <f>IF(PAYMENTS!A85="","",PAYMENTS!A85)</f>
        <v>2026-05-10</v>
      </c>
      <c r="B592" s="15" t="str">
        <f>IF($A592="","",PAYMENTS!B85)</f>
        <v>MSH-R1084</v>
      </c>
      <c r="C592" s="15" t="str">
        <f>IF($A592="","",PAYMENTS!C85)</f>
        <v>MSH202609003</v>
      </c>
      <c r="D592" s="15" t="str">
        <f>IF($A592="","",PAYMENTS!D85)</f>
        <v>Mpho Kekana</v>
      </c>
      <c r="E592" s="16">
        <f>IF($A592="","",PAYMENTS!E85)</f>
        <v>306.77</v>
      </c>
      <c r="F592" s="15" t="str">
        <f>IF($A592="","",PAYMENTS!F85)</f>
        <v>Card</v>
      </c>
      <c r="G592" s="15" t="str">
        <f>IF($A592="","",PAYMENTS!G85)</f>
        <v>Term payment 5</v>
      </c>
    </row>
    <row r="593" spans="1:7" x14ac:dyDescent="0.3">
      <c r="A593" s="17" t="str">
        <f>IF(PAYMENTS!A86="","",PAYMENTS!A86)</f>
        <v>2026-08-01</v>
      </c>
      <c r="B593" s="15" t="str">
        <f>IF($A593="","",PAYMENTS!B86)</f>
        <v>MSH-R1085</v>
      </c>
      <c r="C593" s="15" t="str">
        <f>IF($A593="","",PAYMENTS!C86)</f>
        <v>MSH202609003</v>
      </c>
      <c r="D593" s="15" t="str">
        <f>IF($A593="","",PAYMENTS!D86)</f>
        <v>Mpho Kekana</v>
      </c>
      <c r="E593" s="16">
        <f>IF($A593="","",PAYMENTS!E86)</f>
        <v>246.34</v>
      </c>
      <c r="F593" s="15" t="str">
        <f>IF($A593="","",PAYMENTS!F86)</f>
        <v>Cash</v>
      </c>
      <c r="G593" s="15" t="str">
        <f>IF($A593="","",PAYMENTS!G86)</f>
        <v>Term payment 8</v>
      </c>
    </row>
    <row r="594" spans="1:7" x14ac:dyDescent="0.3">
      <c r="A594" s="17" t="str">
        <f>IF(PAYMENTS!A87="","",PAYMENTS!A87)</f>
        <v>2026-09-15</v>
      </c>
      <c r="B594" s="15" t="str">
        <f>IF($A594="","",PAYMENTS!B87)</f>
        <v>MSH-R1086</v>
      </c>
      <c r="C594" s="15" t="str">
        <f>IF($A594="","",PAYMENTS!C87)</f>
        <v>MSH202609003</v>
      </c>
      <c r="D594" s="15" t="str">
        <f>IF($A594="","",PAYMENTS!D87)</f>
        <v>Mpho Kekana</v>
      </c>
      <c r="E594" s="16">
        <f>IF($A594="","",PAYMENTS!E87)</f>
        <v>416.35</v>
      </c>
      <c r="F594" s="15" t="str">
        <f>IF($A594="","",PAYMENTS!F87)</f>
        <v>Card</v>
      </c>
      <c r="G594" s="15" t="str">
        <f>IF($A594="","",PAYMENTS!G87)</f>
        <v>Term payment 9</v>
      </c>
    </row>
    <row r="595" spans="1:7" x14ac:dyDescent="0.3">
      <c r="A595" s="17" t="str">
        <f>IF(PAYMENTS!A88="","",PAYMENTS!A88)</f>
        <v>2026-10-05</v>
      </c>
      <c r="B595" s="15" t="str">
        <f>IF($A595="","",PAYMENTS!B88)</f>
        <v>MSH-R1087</v>
      </c>
      <c r="C595" s="15" t="str">
        <f>IF($A595="","",PAYMENTS!C88)</f>
        <v>MSH202609003</v>
      </c>
      <c r="D595" s="15" t="str">
        <f>IF($A595="","",PAYMENTS!D88)</f>
        <v>Mpho Kekana</v>
      </c>
      <c r="E595" s="16">
        <f>IF($A595="","",PAYMENTS!E88)</f>
        <v>223.65</v>
      </c>
      <c r="F595" s="15" t="str">
        <f>IF($A595="","",PAYMENTS!F88)</f>
        <v>EFT</v>
      </c>
      <c r="G595" s="15" t="str">
        <f>IF($A595="","",PAYMENTS!G88)</f>
        <v>Term payment 10</v>
      </c>
    </row>
    <row r="596" spans="1:7" x14ac:dyDescent="0.3">
      <c r="A596" s="17" t="str">
        <f>IF(PAYMENTS!A89="","",PAYMENTS!A89)</f>
        <v>2026-11-10</v>
      </c>
      <c r="B596" s="15" t="str">
        <f>IF($A596="","",PAYMENTS!B89)</f>
        <v>MSH-R1088</v>
      </c>
      <c r="C596" s="15" t="str">
        <f>IF($A596="","",PAYMENTS!C89)</f>
        <v>MSH202609003</v>
      </c>
      <c r="D596" s="15" t="str">
        <f>IF($A596="","",PAYMENTS!D89)</f>
        <v>Mpho Kekana</v>
      </c>
      <c r="E596" s="16">
        <f>IF($A596="","",PAYMENTS!E89)</f>
        <v>370.04</v>
      </c>
      <c r="F596" s="15" t="str">
        <f>IF($A596="","",PAYMENTS!F89)</f>
        <v>EFT</v>
      </c>
      <c r="G596" s="15" t="str">
        <f>IF($A596="","",PAYMENTS!G89)</f>
        <v>Term payment 11</v>
      </c>
    </row>
    <row r="597" spans="1:7" x14ac:dyDescent="0.3">
      <c r="A597" s="17" t="str">
        <f>IF(PAYMENTS!A90="","",PAYMENTS!A90)</f>
        <v>2026-05-20</v>
      </c>
      <c r="B597" s="15" t="str">
        <f>IF($A597="","",PAYMENTS!B90)</f>
        <v>MSH-R1089</v>
      </c>
      <c r="C597" s="15" t="str">
        <f>IF($A597="","",PAYMENTS!C90)</f>
        <v>MSH202609004</v>
      </c>
      <c r="D597" s="15" t="str">
        <f>IF($A597="","",PAYMENTS!D90)</f>
        <v>Thabo Molefe</v>
      </c>
      <c r="E597" s="16">
        <f>IF($A597="","",PAYMENTS!E90)</f>
        <v>348.35</v>
      </c>
      <c r="F597" s="15" t="str">
        <f>IF($A597="","",PAYMENTS!F90)</f>
        <v>Cash</v>
      </c>
      <c r="G597" s="15" t="str">
        <f>IF($A597="","",PAYMENTS!G90)</f>
        <v>Term payment 5</v>
      </c>
    </row>
    <row r="598" spans="1:7" x14ac:dyDescent="0.3">
      <c r="A598" s="17" t="str">
        <f>IF(PAYMENTS!A91="","",PAYMENTS!A91)</f>
        <v>2026-08-20</v>
      </c>
      <c r="B598" s="15" t="str">
        <f>IF($A598="","",PAYMENTS!B91)</f>
        <v>MSH-R1090</v>
      </c>
      <c r="C598" s="15" t="str">
        <f>IF($A598="","",PAYMENTS!C91)</f>
        <v>MSH202609004</v>
      </c>
      <c r="D598" s="15" t="str">
        <f>IF($A598="","",PAYMENTS!D91)</f>
        <v>Thabo Molefe</v>
      </c>
      <c r="E598" s="16">
        <f>IF($A598="","",PAYMENTS!E91)</f>
        <v>226.16</v>
      </c>
      <c r="F598" s="15" t="str">
        <f>IF($A598="","",PAYMENTS!F91)</f>
        <v>Cash</v>
      </c>
      <c r="G598" s="15" t="str">
        <f>IF($A598="","",PAYMENTS!G91)</f>
        <v>Term payment 8</v>
      </c>
    </row>
    <row r="599" spans="1:7" x14ac:dyDescent="0.3">
      <c r="A599" s="17" t="str">
        <f>IF(PAYMENTS!A92="","",PAYMENTS!A92)</f>
        <v>2026-09-10</v>
      </c>
      <c r="B599" s="15" t="str">
        <f>IF($A599="","",PAYMENTS!B92)</f>
        <v>MSH-R1091</v>
      </c>
      <c r="C599" s="15" t="str">
        <f>IF($A599="","",PAYMENTS!C92)</f>
        <v>MSH202609004</v>
      </c>
      <c r="D599" s="15" t="str">
        <f>IF($A599="","",PAYMENTS!D92)</f>
        <v>Thabo Molefe</v>
      </c>
      <c r="E599" s="16">
        <f>IF($A599="","",PAYMENTS!E92)</f>
        <v>208.5</v>
      </c>
      <c r="F599" s="15" t="str">
        <f>IF($A599="","",PAYMENTS!F92)</f>
        <v>EFT</v>
      </c>
      <c r="G599" s="15" t="str">
        <f>IF($A599="","",PAYMENTS!G92)</f>
        <v>Term payment 9</v>
      </c>
    </row>
    <row r="600" spans="1:7" x14ac:dyDescent="0.3">
      <c r="A600" s="17" t="str">
        <f>IF(PAYMENTS!A93="","",PAYMENTS!A93)</f>
        <v>2026-10-15</v>
      </c>
      <c r="B600" s="15" t="str">
        <f>IF($A600="","",PAYMENTS!B93)</f>
        <v>MSH-R1092</v>
      </c>
      <c r="C600" s="15" t="str">
        <f>IF($A600="","",PAYMENTS!C93)</f>
        <v>MSH202609004</v>
      </c>
      <c r="D600" s="15" t="str">
        <f>IF($A600="","",PAYMENTS!D93)</f>
        <v>Thabo Molefe</v>
      </c>
      <c r="E600" s="16">
        <f>IF($A600="","",PAYMENTS!E93)</f>
        <v>260.26</v>
      </c>
      <c r="F600" s="15" t="str">
        <f>IF($A600="","",PAYMENTS!F93)</f>
        <v>Card</v>
      </c>
      <c r="G600" s="15" t="str">
        <f>IF($A600="","",PAYMENTS!G93)</f>
        <v>Term payment 10</v>
      </c>
    </row>
    <row r="601" spans="1:7" x14ac:dyDescent="0.3">
      <c r="A601" s="17" t="str">
        <f>IF(PAYMENTS!A94="","",PAYMENTS!A94)</f>
        <v>2026-02-15</v>
      </c>
      <c r="B601" s="15" t="str">
        <f>IF($A601="","",PAYMENTS!B94)</f>
        <v>MSH-R1093</v>
      </c>
      <c r="C601" s="15" t="str">
        <f>IF($A601="","",PAYMENTS!C94)</f>
        <v>MSH202609005</v>
      </c>
      <c r="D601" s="15" t="str">
        <f>IF($A601="","",PAYMENTS!D94)</f>
        <v>Mpho Ngobeni</v>
      </c>
      <c r="E601" s="16">
        <f>IF($A601="","",PAYMENTS!E94)</f>
        <v>216.6</v>
      </c>
      <c r="F601" s="15" t="str">
        <f>IF($A601="","",PAYMENTS!F94)</f>
        <v>Card</v>
      </c>
      <c r="G601" s="15" t="str">
        <f>IF($A601="","",PAYMENTS!G94)</f>
        <v>Term payment 2</v>
      </c>
    </row>
    <row r="602" spans="1:7" x14ac:dyDescent="0.3">
      <c r="A602" s="17" t="str">
        <f>IF(PAYMENTS!A95="","",PAYMENTS!A95)</f>
        <v>2026-03-15</v>
      </c>
      <c r="B602" s="15" t="str">
        <f>IF($A602="","",PAYMENTS!B95)</f>
        <v>MSH-R1094</v>
      </c>
      <c r="C602" s="15" t="str">
        <f>IF($A602="","",PAYMENTS!C95)</f>
        <v>MSH202609005</v>
      </c>
      <c r="D602" s="15" t="str">
        <f>IF($A602="","",PAYMENTS!D95)</f>
        <v>Mpho Ngobeni</v>
      </c>
      <c r="E602" s="16">
        <f>IF($A602="","",PAYMENTS!E95)</f>
        <v>300.42</v>
      </c>
      <c r="F602" s="15" t="str">
        <f>IF($A602="","",PAYMENTS!F95)</f>
        <v>EFT</v>
      </c>
      <c r="G602" s="15" t="str">
        <f>IF($A602="","",PAYMENTS!G95)</f>
        <v>Term payment 3</v>
      </c>
    </row>
    <row r="603" spans="1:7" x14ac:dyDescent="0.3">
      <c r="A603" s="17" t="str">
        <f>IF(PAYMENTS!A96="","",PAYMENTS!A96)</f>
        <v>2026-04-05</v>
      </c>
      <c r="B603" s="15" t="str">
        <f>IF($A603="","",PAYMENTS!B96)</f>
        <v>MSH-R1095</v>
      </c>
      <c r="C603" s="15" t="str">
        <f>IF($A603="","",PAYMENTS!C96)</f>
        <v>MSH202609005</v>
      </c>
      <c r="D603" s="15" t="str">
        <f>IF($A603="","",PAYMENTS!D96)</f>
        <v>Mpho Ngobeni</v>
      </c>
      <c r="E603" s="16">
        <f>IF($A603="","",PAYMENTS!E96)</f>
        <v>355.84</v>
      </c>
      <c r="F603" s="15" t="str">
        <f>IF($A603="","",PAYMENTS!F96)</f>
        <v>Card</v>
      </c>
      <c r="G603" s="15" t="str">
        <f>IF($A603="","",PAYMENTS!G96)</f>
        <v>Term payment 4</v>
      </c>
    </row>
    <row r="604" spans="1:7" x14ac:dyDescent="0.3">
      <c r="A604" s="17" t="str">
        <f>IF(PAYMENTS!A97="","",PAYMENTS!A97)</f>
        <v>2026-05-01</v>
      </c>
      <c r="B604" s="15" t="str">
        <f>IF($A604="","",PAYMENTS!B97)</f>
        <v>MSH-R1096</v>
      </c>
      <c r="C604" s="15" t="str">
        <f>IF($A604="","",PAYMENTS!C97)</f>
        <v>MSH202609005</v>
      </c>
      <c r="D604" s="15" t="str">
        <f>IF($A604="","",PAYMENTS!D97)</f>
        <v>Mpho Ngobeni</v>
      </c>
      <c r="E604" s="16">
        <f>IF($A604="","",PAYMENTS!E97)</f>
        <v>339.9</v>
      </c>
      <c r="F604" s="15" t="str">
        <f>IF($A604="","",PAYMENTS!F97)</f>
        <v>Card</v>
      </c>
      <c r="G604" s="15" t="str">
        <f>IF($A604="","",PAYMENTS!G97)</f>
        <v>Term payment 5</v>
      </c>
    </row>
    <row r="605" spans="1:7" x14ac:dyDescent="0.3">
      <c r="A605" s="17" t="str">
        <f>IF(PAYMENTS!A98="","",PAYMENTS!A98)</f>
        <v>2026-06-20</v>
      </c>
      <c r="B605" s="15" t="str">
        <f>IF($A605="","",PAYMENTS!B98)</f>
        <v>MSH-R1097</v>
      </c>
      <c r="C605" s="15" t="str">
        <f>IF($A605="","",PAYMENTS!C98)</f>
        <v>MSH202609005</v>
      </c>
      <c r="D605" s="15" t="str">
        <f>IF($A605="","",PAYMENTS!D98)</f>
        <v>Mpho Ngobeni</v>
      </c>
      <c r="E605" s="16">
        <f>IF($A605="","",PAYMENTS!E98)</f>
        <v>287.20999999999998</v>
      </c>
      <c r="F605" s="15" t="str">
        <f>IF($A605="","",PAYMENTS!F98)</f>
        <v>Cash</v>
      </c>
      <c r="G605" s="15" t="str">
        <f>IF($A605="","",PAYMENTS!G98)</f>
        <v>Term payment 6</v>
      </c>
    </row>
    <row r="606" spans="1:7" x14ac:dyDescent="0.3">
      <c r="A606" s="17" t="str">
        <f>IF(PAYMENTS!A99="","",PAYMENTS!A99)</f>
        <v>2026-09-25</v>
      </c>
      <c r="B606" s="15" t="str">
        <f>IF($A606="","",PAYMENTS!B99)</f>
        <v>MSH-R1098</v>
      </c>
      <c r="C606" s="15" t="str">
        <f>IF($A606="","",PAYMENTS!C99)</f>
        <v>MSH202609005</v>
      </c>
      <c r="D606" s="15" t="str">
        <f>IF($A606="","",PAYMENTS!D99)</f>
        <v>Mpho Ngobeni</v>
      </c>
      <c r="E606" s="16">
        <f>IF($A606="","",PAYMENTS!E99)</f>
        <v>236.58</v>
      </c>
      <c r="F606" s="15" t="str">
        <f>IF($A606="","",PAYMENTS!F99)</f>
        <v>EFT</v>
      </c>
      <c r="G606" s="15" t="str">
        <f>IF($A606="","",PAYMENTS!G99)</f>
        <v>Term payment 9</v>
      </c>
    </row>
    <row r="607" spans="1:7" x14ac:dyDescent="0.3">
      <c r="A607" s="17" t="str">
        <f>IF(PAYMENTS!A100="","",PAYMENTS!A100)</f>
        <v>2026-10-05</v>
      </c>
      <c r="B607" s="15" t="str">
        <f>IF($A607="","",PAYMENTS!B100)</f>
        <v>MSH-R1099</v>
      </c>
      <c r="C607" s="15" t="str">
        <f>IF($A607="","",PAYMENTS!C100)</f>
        <v>MSH202609005</v>
      </c>
      <c r="D607" s="15" t="str">
        <f>IF($A607="","",PAYMENTS!D100)</f>
        <v>Mpho Ngobeni</v>
      </c>
      <c r="E607" s="16">
        <f>IF($A607="","",PAYMENTS!E100)</f>
        <v>154.86000000000001</v>
      </c>
      <c r="F607" s="15" t="str">
        <f>IF($A607="","",PAYMENTS!F100)</f>
        <v>EFT</v>
      </c>
      <c r="G607" s="15" t="str">
        <f>IF($A607="","",PAYMENTS!G100)</f>
        <v>Term payment 10</v>
      </c>
    </row>
    <row r="608" spans="1:7" x14ac:dyDescent="0.3">
      <c r="A608" s="17" t="str">
        <f>IF(PAYMENTS!A101="","",PAYMENTS!A101)</f>
        <v>2026-11-10</v>
      </c>
      <c r="B608" s="15" t="str">
        <f>IF($A608="","",PAYMENTS!B101)</f>
        <v>MSH-R1100</v>
      </c>
      <c r="C608" s="15" t="str">
        <f>IF($A608="","",PAYMENTS!C101)</f>
        <v>MSH202609005</v>
      </c>
      <c r="D608" s="15" t="str">
        <f>IF($A608="","",PAYMENTS!D101)</f>
        <v>Mpho Ngobeni</v>
      </c>
      <c r="E608" s="16">
        <f>IF($A608="","",PAYMENTS!E101)</f>
        <v>189.72</v>
      </c>
      <c r="F608" s="15" t="str">
        <f>IF($A608="","",PAYMENTS!F101)</f>
        <v>EFT</v>
      </c>
      <c r="G608" s="15" t="str">
        <f>IF($A608="","",PAYMENTS!G101)</f>
        <v>Term payment 11</v>
      </c>
    </row>
    <row r="609" spans="1:7" x14ac:dyDescent="0.3">
      <c r="A609" s="17" t="str">
        <f>IF(PAYMENTS!A102="","",PAYMENTS!A102)</f>
        <v>2026-02-01</v>
      </c>
      <c r="B609" s="15" t="str">
        <f>IF($A609="","",PAYMENTS!B102)</f>
        <v>MSH-R1101</v>
      </c>
      <c r="C609" s="15" t="str">
        <f>IF($A609="","",PAYMENTS!C102)</f>
        <v>MSH202609006</v>
      </c>
      <c r="D609" s="15" t="str">
        <f>IF($A609="","",PAYMENTS!D102)</f>
        <v>Siyanda Mhlongo</v>
      </c>
      <c r="E609" s="16">
        <f>IF($A609="","",PAYMENTS!E102)</f>
        <v>305.79000000000002</v>
      </c>
      <c r="F609" s="15" t="str">
        <f>IF($A609="","",PAYMENTS!F102)</f>
        <v>Cash</v>
      </c>
      <c r="G609" s="15" t="str">
        <f>IF($A609="","",PAYMENTS!G102)</f>
        <v>Term payment 2</v>
      </c>
    </row>
    <row r="610" spans="1:7" x14ac:dyDescent="0.3">
      <c r="A610" s="17" t="str">
        <f>IF(PAYMENTS!A103="","",PAYMENTS!A103)</f>
        <v>2026-04-10</v>
      </c>
      <c r="B610" s="15" t="str">
        <f>IF($A610="","",PAYMENTS!B103)</f>
        <v>MSH-R1102</v>
      </c>
      <c r="C610" s="15" t="str">
        <f>IF($A610="","",PAYMENTS!C103)</f>
        <v>MSH202609006</v>
      </c>
      <c r="D610" s="15" t="str">
        <f>IF($A610="","",PAYMENTS!D103)</f>
        <v>Siyanda Mhlongo</v>
      </c>
      <c r="E610" s="16">
        <f>IF($A610="","",PAYMENTS!E103)</f>
        <v>192.43</v>
      </c>
      <c r="F610" s="15" t="str">
        <f>IF($A610="","",PAYMENTS!F103)</f>
        <v>Cash</v>
      </c>
      <c r="G610" s="15" t="str">
        <f>IF($A610="","",PAYMENTS!G103)</f>
        <v>Term payment 4</v>
      </c>
    </row>
    <row r="611" spans="1:7" x14ac:dyDescent="0.3">
      <c r="A611" s="17" t="str">
        <f>IF(PAYMENTS!A104="","",PAYMENTS!A104)</f>
        <v>2026-05-25</v>
      </c>
      <c r="B611" s="15" t="str">
        <f>IF($A611="","",PAYMENTS!B104)</f>
        <v>MSH-R1103</v>
      </c>
      <c r="C611" s="15" t="str">
        <f>IF($A611="","",PAYMENTS!C104)</f>
        <v>MSH202609006</v>
      </c>
      <c r="D611" s="15" t="str">
        <f>IF($A611="","",PAYMENTS!D104)</f>
        <v>Siyanda Mhlongo</v>
      </c>
      <c r="E611" s="16">
        <f>IF($A611="","",PAYMENTS!E104)</f>
        <v>152.69999999999999</v>
      </c>
      <c r="F611" s="15" t="str">
        <f>IF($A611="","",PAYMENTS!F104)</f>
        <v>Cash</v>
      </c>
      <c r="G611" s="15" t="str">
        <f>IF($A611="","",PAYMENTS!G104)</f>
        <v>Term payment 5</v>
      </c>
    </row>
    <row r="612" spans="1:7" x14ac:dyDescent="0.3">
      <c r="A612" s="17" t="str">
        <f>IF(PAYMENTS!A105="","",PAYMENTS!A105)</f>
        <v>2026-06-05</v>
      </c>
      <c r="B612" s="15" t="str">
        <f>IF($A612="","",PAYMENTS!B105)</f>
        <v>MSH-R1104</v>
      </c>
      <c r="C612" s="15" t="str">
        <f>IF($A612="","",PAYMENTS!C105)</f>
        <v>MSH202609006</v>
      </c>
      <c r="D612" s="15" t="str">
        <f>IF($A612="","",PAYMENTS!D105)</f>
        <v>Siyanda Mhlongo</v>
      </c>
      <c r="E612" s="16">
        <f>IF($A612="","",PAYMENTS!E105)</f>
        <v>187.06</v>
      </c>
      <c r="F612" s="15" t="str">
        <f>IF($A612="","",PAYMENTS!F105)</f>
        <v>Cash</v>
      </c>
      <c r="G612" s="15" t="str">
        <f>IF($A612="","",PAYMENTS!G105)</f>
        <v>Term payment 6</v>
      </c>
    </row>
    <row r="613" spans="1:7" x14ac:dyDescent="0.3">
      <c r="A613" s="17" t="str">
        <f>IF(PAYMENTS!A106="","",PAYMENTS!A106)</f>
        <v>2026-08-20</v>
      </c>
      <c r="B613" s="15" t="str">
        <f>IF($A613="","",PAYMENTS!B106)</f>
        <v>MSH-R1105</v>
      </c>
      <c r="C613" s="15" t="str">
        <f>IF($A613="","",PAYMENTS!C106)</f>
        <v>MSH202609006</v>
      </c>
      <c r="D613" s="15" t="str">
        <f>IF($A613="","",PAYMENTS!D106)</f>
        <v>Siyanda Mhlongo</v>
      </c>
      <c r="E613" s="16">
        <f>IF($A613="","",PAYMENTS!E106)</f>
        <v>176.91</v>
      </c>
      <c r="F613" s="15" t="str">
        <f>IF($A613="","",PAYMENTS!F106)</f>
        <v>Cash</v>
      </c>
      <c r="G613" s="15" t="str">
        <f>IF($A613="","",PAYMENTS!G106)</f>
        <v>Term payment 8</v>
      </c>
    </row>
    <row r="614" spans="1:7" x14ac:dyDescent="0.3">
      <c r="A614" s="17" t="str">
        <f>IF(PAYMENTS!A107="","",PAYMENTS!A107)</f>
        <v>2026-11-15</v>
      </c>
      <c r="B614" s="15" t="str">
        <f>IF($A614="","",PAYMENTS!B107)</f>
        <v>MSH-R1106</v>
      </c>
      <c r="C614" s="15" t="str">
        <f>IF($A614="","",PAYMENTS!C107)</f>
        <v>MSH202609006</v>
      </c>
      <c r="D614" s="15" t="str">
        <f>IF($A614="","",PAYMENTS!D107)</f>
        <v>Siyanda Mhlongo</v>
      </c>
      <c r="E614" s="16">
        <f>IF($A614="","",PAYMENTS!E107)</f>
        <v>288.60000000000002</v>
      </c>
      <c r="F614" s="15" t="str">
        <f>IF($A614="","",PAYMENTS!F107)</f>
        <v>Card</v>
      </c>
      <c r="G614" s="15" t="str">
        <f>IF($A614="","",PAYMENTS!G107)</f>
        <v>Term payment 11</v>
      </c>
    </row>
    <row r="615" spans="1:7" x14ac:dyDescent="0.3">
      <c r="A615" s="17" t="str">
        <f>IF(PAYMENTS!A108="","",PAYMENTS!A108)</f>
        <v>2026-03-20</v>
      </c>
      <c r="B615" s="15" t="str">
        <f>IF($A615="","",PAYMENTS!B108)</f>
        <v>MSH-R1107</v>
      </c>
      <c r="C615" s="15" t="str">
        <f>IF($A615="","",PAYMENTS!C108)</f>
        <v>MSH202609007</v>
      </c>
      <c r="D615" s="15" t="str">
        <f>IF($A615="","",PAYMENTS!D108)</f>
        <v>Siyanda Mahlangu</v>
      </c>
      <c r="E615" s="16">
        <f>IF($A615="","",PAYMENTS!E108)</f>
        <v>352.17</v>
      </c>
      <c r="F615" s="15" t="str">
        <f>IF($A615="","",PAYMENTS!F108)</f>
        <v>Card</v>
      </c>
      <c r="G615" s="15" t="str">
        <f>IF($A615="","",PAYMENTS!G108)</f>
        <v>Term payment 3</v>
      </c>
    </row>
    <row r="616" spans="1:7" x14ac:dyDescent="0.3">
      <c r="A616" s="17" t="str">
        <f>IF(PAYMENTS!A109="","",PAYMENTS!A109)</f>
        <v>2026-06-01</v>
      </c>
      <c r="B616" s="15" t="str">
        <f>IF($A616="","",PAYMENTS!B109)</f>
        <v>MSH-R1108</v>
      </c>
      <c r="C616" s="15" t="str">
        <f>IF($A616="","",PAYMENTS!C109)</f>
        <v>MSH202609007</v>
      </c>
      <c r="D616" s="15" t="str">
        <f>IF($A616="","",PAYMENTS!D109)</f>
        <v>Siyanda Mahlangu</v>
      </c>
      <c r="E616" s="16">
        <f>IF($A616="","",PAYMENTS!E109)</f>
        <v>312</v>
      </c>
      <c r="F616" s="15" t="str">
        <f>IF($A616="","",PAYMENTS!F109)</f>
        <v>Cash</v>
      </c>
      <c r="G616" s="15" t="str">
        <f>IF($A616="","",PAYMENTS!G109)</f>
        <v>Term payment 6</v>
      </c>
    </row>
    <row r="617" spans="1:7" x14ac:dyDescent="0.3">
      <c r="A617" s="17" t="str">
        <f>IF(PAYMENTS!A110="","",PAYMENTS!A110)</f>
        <v>2026-07-10</v>
      </c>
      <c r="B617" s="15" t="str">
        <f>IF($A617="","",PAYMENTS!B110)</f>
        <v>MSH-R1109</v>
      </c>
      <c r="C617" s="15" t="str">
        <f>IF($A617="","",PAYMENTS!C110)</f>
        <v>MSH202609007</v>
      </c>
      <c r="D617" s="15" t="str">
        <f>IF($A617="","",PAYMENTS!D110)</f>
        <v>Siyanda Mahlangu</v>
      </c>
      <c r="E617" s="16">
        <f>IF($A617="","",PAYMENTS!E110)</f>
        <v>167.35</v>
      </c>
      <c r="F617" s="15" t="str">
        <f>IF($A617="","",PAYMENTS!F110)</f>
        <v>Cash</v>
      </c>
      <c r="G617" s="15" t="str">
        <f>IF($A617="","",PAYMENTS!G110)</f>
        <v>Term payment 7</v>
      </c>
    </row>
    <row r="618" spans="1:7" x14ac:dyDescent="0.3">
      <c r="A618" s="17" t="str">
        <f>IF(PAYMENTS!A111="","",PAYMENTS!A111)</f>
        <v>2026-09-10</v>
      </c>
      <c r="B618" s="15" t="str">
        <f>IF($A618="","",PAYMENTS!B111)</f>
        <v>MSH-R1110</v>
      </c>
      <c r="C618" s="15" t="str">
        <f>IF($A618="","",PAYMENTS!C111)</f>
        <v>MSH202609007</v>
      </c>
      <c r="D618" s="15" t="str">
        <f>IF($A618="","",PAYMENTS!D111)</f>
        <v>Siyanda Mahlangu</v>
      </c>
      <c r="E618" s="16">
        <f>IF($A618="","",PAYMENTS!E111)</f>
        <v>268.37</v>
      </c>
      <c r="F618" s="15" t="str">
        <f>IF($A618="","",PAYMENTS!F111)</f>
        <v>EFT</v>
      </c>
      <c r="G618" s="15" t="str">
        <f>IF($A618="","",PAYMENTS!G111)</f>
        <v>Term payment 9</v>
      </c>
    </row>
    <row r="619" spans="1:7" x14ac:dyDescent="0.3">
      <c r="A619" s="17" t="str">
        <f>IF(PAYMENTS!A112="","",PAYMENTS!A112)</f>
        <v>2026-10-15</v>
      </c>
      <c r="B619" s="15" t="str">
        <f>IF($A619="","",PAYMENTS!B112)</f>
        <v>MSH-R1111</v>
      </c>
      <c r="C619" s="15" t="str">
        <f>IF($A619="","",PAYMENTS!C112)</f>
        <v>MSH202609007</v>
      </c>
      <c r="D619" s="15" t="str">
        <f>IF($A619="","",PAYMENTS!D112)</f>
        <v>Siyanda Mahlangu</v>
      </c>
      <c r="E619" s="16">
        <f>IF($A619="","",PAYMENTS!E112)</f>
        <v>347.36</v>
      </c>
      <c r="F619" s="15" t="str">
        <f>IF($A619="","",PAYMENTS!F112)</f>
        <v>Cash</v>
      </c>
      <c r="G619" s="15" t="str">
        <f>IF($A619="","",PAYMENTS!G112)</f>
        <v>Term payment 10</v>
      </c>
    </row>
    <row r="620" spans="1:7" x14ac:dyDescent="0.3">
      <c r="A620" s="17" t="str">
        <f>IF(PAYMENTS!A113="","",PAYMENTS!A113)</f>
        <v>2026-03-10</v>
      </c>
      <c r="B620" s="15" t="str">
        <f>IF($A620="","",PAYMENTS!B113)</f>
        <v>MSH-R1112</v>
      </c>
      <c r="C620" s="15" t="str">
        <f>IF($A620="","",PAYMENTS!C113)</f>
        <v>MSH202609008</v>
      </c>
      <c r="D620" s="15" t="str">
        <f>IF($A620="","",PAYMENTS!D113)</f>
        <v>Sifiso Ramushu</v>
      </c>
      <c r="E620" s="16">
        <f>IF($A620="","",PAYMENTS!E113)</f>
        <v>464.19</v>
      </c>
      <c r="F620" s="15" t="str">
        <f>IF($A620="","",PAYMENTS!F113)</f>
        <v>Card</v>
      </c>
      <c r="G620" s="15" t="str">
        <f>IF($A620="","",PAYMENTS!G113)</f>
        <v>Term payment 3</v>
      </c>
    </row>
    <row r="621" spans="1:7" x14ac:dyDescent="0.3">
      <c r="A621" s="17" t="str">
        <f>IF(PAYMENTS!A114="","",PAYMENTS!A114)</f>
        <v>2026-05-01</v>
      </c>
      <c r="B621" s="15" t="str">
        <f>IF($A621="","",PAYMENTS!B114)</f>
        <v>MSH-R1113</v>
      </c>
      <c r="C621" s="15" t="str">
        <f>IF($A621="","",PAYMENTS!C114)</f>
        <v>MSH202609008</v>
      </c>
      <c r="D621" s="15" t="str">
        <f>IF($A621="","",PAYMENTS!D114)</f>
        <v>Sifiso Ramushu</v>
      </c>
      <c r="E621" s="16">
        <f>IF($A621="","",PAYMENTS!E114)</f>
        <v>447.65</v>
      </c>
      <c r="F621" s="15" t="str">
        <f>IF($A621="","",PAYMENTS!F114)</f>
        <v>Card</v>
      </c>
      <c r="G621" s="15" t="str">
        <f>IF($A621="","",PAYMENTS!G114)</f>
        <v>Term payment 5</v>
      </c>
    </row>
    <row r="622" spans="1:7" x14ac:dyDescent="0.3">
      <c r="A622" s="17" t="str">
        <f>IF(PAYMENTS!A115="","",PAYMENTS!A115)</f>
        <v>2026-07-01</v>
      </c>
      <c r="B622" s="15" t="str">
        <f>IF($A622="","",PAYMENTS!B115)</f>
        <v>MSH-R1114</v>
      </c>
      <c r="C622" s="15" t="str">
        <f>IF($A622="","",PAYMENTS!C115)</f>
        <v>MSH202609008</v>
      </c>
      <c r="D622" s="15" t="str">
        <f>IF($A622="","",PAYMENTS!D115)</f>
        <v>Sifiso Ramushu</v>
      </c>
      <c r="E622" s="16">
        <f>IF($A622="","",PAYMENTS!E115)</f>
        <v>310.24</v>
      </c>
      <c r="F622" s="15" t="str">
        <f>IF($A622="","",PAYMENTS!F115)</f>
        <v>EFT</v>
      </c>
      <c r="G622" s="15" t="str">
        <f>IF($A622="","",PAYMENTS!G115)</f>
        <v>Term payment 7</v>
      </c>
    </row>
    <row r="623" spans="1:7" x14ac:dyDescent="0.3">
      <c r="A623" s="17" t="str">
        <f>IF(PAYMENTS!A116="","",PAYMENTS!A116)</f>
        <v>2026-11-25</v>
      </c>
      <c r="B623" s="15" t="str">
        <f>IF($A623="","",PAYMENTS!B116)</f>
        <v>MSH-R1115</v>
      </c>
      <c r="C623" s="15" t="str">
        <f>IF($A623="","",PAYMENTS!C116)</f>
        <v>MSH202609008</v>
      </c>
      <c r="D623" s="15" t="str">
        <f>IF($A623="","",PAYMENTS!D116)</f>
        <v>Sifiso Ramushu</v>
      </c>
      <c r="E623" s="16">
        <f>IF($A623="","",PAYMENTS!E116)</f>
        <v>317.39</v>
      </c>
      <c r="F623" s="15" t="str">
        <f>IF($A623="","",PAYMENTS!F116)</f>
        <v>Card</v>
      </c>
      <c r="G623" s="15" t="str">
        <f>IF($A623="","",PAYMENTS!G116)</f>
        <v>Term payment 11</v>
      </c>
    </row>
    <row r="624" spans="1:7" x14ac:dyDescent="0.3">
      <c r="A624" s="17" t="str">
        <f>IF(PAYMENTS!A117="","",PAYMENTS!A117)</f>
        <v>2026-02-25</v>
      </c>
      <c r="B624" s="15" t="str">
        <f>IF($A624="","",PAYMENTS!B117)</f>
        <v>MSH-R1116</v>
      </c>
      <c r="C624" s="15" t="str">
        <f>IF($A624="","",PAYMENTS!C117)</f>
        <v>MSH202609009</v>
      </c>
      <c r="D624" s="15" t="str">
        <f>IF($A624="","",PAYMENTS!D117)</f>
        <v>Nandi Ngobeni</v>
      </c>
      <c r="E624" s="16">
        <f>IF($A624="","",PAYMENTS!E117)</f>
        <v>336.58</v>
      </c>
      <c r="F624" s="15" t="str">
        <f>IF($A624="","",PAYMENTS!F117)</f>
        <v>EFT</v>
      </c>
      <c r="G624" s="15" t="str">
        <f>IF($A624="","",PAYMENTS!G117)</f>
        <v>Term payment 2</v>
      </c>
    </row>
    <row r="625" spans="1:7" x14ac:dyDescent="0.3">
      <c r="A625" s="17" t="str">
        <f>IF(PAYMENTS!A118="","",PAYMENTS!A118)</f>
        <v>2026-04-25</v>
      </c>
      <c r="B625" s="15" t="str">
        <f>IF($A625="","",PAYMENTS!B118)</f>
        <v>MSH-R1117</v>
      </c>
      <c r="C625" s="15" t="str">
        <f>IF($A625="","",PAYMENTS!C118)</f>
        <v>MSH202609009</v>
      </c>
      <c r="D625" s="15" t="str">
        <f>IF($A625="","",PAYMENTS!D118)</f>
        <v>Nandi Ngobeni</v>
      </c>
      <c r="E625" s="16">
        <f>IF($A625="","",PAYMENTS!E118)</f>
        <v>177.05</v>
      </c>
      <c r="F625" s="15" t="str">
        <f>IF($A625="","",PAYMENTS!F118)</f>
        <v>Cash</v>
      </c>
      <c r="G625" s="15" t="str">
        <f>IF($A625="","",PAYMENTS!G118)</f>
        <v>Term payment 4</v>
      </c>
    </row>
    <row r="626" spans="1:7" x14ac:dyDescent="0.3">
      <c r="A626" s="17" t="str">
        <f>IF(PAYMENTS!A119="","",PAYMENTS!A119)</f>
        <v>2026-05-25</v>
      </c>
      <c r="B626" s="15" t="str">
        <f>IF($A626="","",PAYMENTS!B119)</f>
        <v>MSH-R1118</v>
      </c>
      <c r="C626" s="15" t="str">
        <f>IF($A626="","",PAYMENTS!C119)</f>
        <v>MSH202609009</v>
      </c>
      <c r="D626" s="15" t="str">
        <f>IF($A626="","",PAYMENTS!D119)</f>
        <v>Nandi Ngobeni</v>
      </c>
      <c r="E626" s="16">
        <f>IF($A626="","",PAYMENTS!E119)</f>
        <v>256.7</v>
      </c>
      <c r="F626" s="15" t="str">
        <f>IF($A626="","",PAYMENTS!F119)</f>
        <v>Card</v>
      </c>
      <c r="G626" s="15" t="str">
        <f>IF($A626="","",PAYMENTS!G119)</f>
        <v>Term payment 5</v>
      </c>
    </row>
    <row r="627" spans="1:7" x14ac:dyDescent="0.3">
      <c r="A627" s="17" t="str">
        <f>IF(PAYMENTS!A120="","",PAYMENTS!A120)</f>
        <v>2026-08-10</v>
      </c>
      <c r="B627" s="15" t="str">
        <f>IF($A627="","",PAYMENTS!B120)</f>
        <v>MSH-R1119</v>
      </c>
      <c r="C627" s="15" t="str">
        <f>IF($A627="","",PAYMENTS!C120)</f>
        <v>MSH202609009</v>
      </c>
      <c r="D627" s="15" t="str">
        <f>IF($A627="","",PAYMENTS!D120)</f>
        <v>Nandi Ngobeni</v>
      </c>
      <c r="E627" s="16">
        <f>IF($A627="","",PAYMENTS!E120)</f>
        <v>277.04000000000002</v>
      </c>
      <c r="F627" s="15" t="str">
        <f>IF($A627="","",PAYMENTS!F120)</f>
        <v>Card</v>
      </c>
      <c r="G627" s="15" t="str">
        <f>IF($A627="","",PAYMENTS!G120)</f>
        <v>Term payment 8</v>
      </c>
    </row>
    <row r="628" spans="1:7" x14ac:dyDescent="0.3">
      <c r="A628" s="17" t="str">
        <f>IF(PAYMENTS!A121="","",PAYMENTS!A121)</f>
        <v>2026-09-15</v>
      </c>
      <c r="B628" s="15" t="str">
        <f>IF($A628="","",PAYMENTS!B121)</f>
        <v>MSH-R1120</v>
      </c>
      <c r="C628" s="15" t="str">
        <f>IF($A628="","",PAYMENTS!C121)</f>
        <v>MSH202609009</v>
      </c>
      <c r="D628" s="15" t="str">
        <f>IF($A628="","",PAYMENTS!D121)</f>
        <v>Nandi Ngobeni</v>
      </c>
      <c r="E628" s="16">
        <f>IF($A628="","",PAYMENTS!E121)</f>
        <v>244.41</v>
      </c>
      <c r="F628" s="15" t="str">
        <f>IF($A628="","",PAYMENTS!F121)</f>
        <v>Card</v>
      </c>
      <c r="G628" s="15" t="str">
        <f>IF($A628="","",PAYMENTS!G121)</f>
        <v>Term payment 9</v>
      </c>
    </row>
    <row r="629" spans="1:7" x14ac:dyDescent="0.3">
      <c r="A629" s="17" t="str">
        <f>IF(PAYMENTS!A122="","",PAYMENTS!A122)</f>
        <v>2026-11-20</v>
      </c>
      <c r="B629" s="15" t="str">
        <f>IF($A629="","",PAYMENTS!B122)</f>
        <v>MSH-R1121</v>
      </c>
      <c r="C629" s="15" t="str">
        <f>IF($A629="","",PAYMENTS!C122)</f>
        <v>MSH202609009</v>
      </c>
      <c r="D629" s="15" t="str">
        <f>IF($A629="","",PAYMENTS!D122)</f>
        <v>Nandi Ngobeni</v>
      </c>
      <c r="E629" s="16">
        <f>IF($A629="","",PAYMENTS!E122)</f>
        <v>201.97</v>
      </c>
      <c r="F629" s="15" t="str">
        <f>IF($A629="","",PAYMENTS!F122)</f>
        <v>Cash</v>
      </c>
      <c r="G629" s="15" t="str">
        <f>IF($A629="","",PAYMENTS!G122)</f>
        <v>Term payment 11</v>
      </c>
    </row>
    <row r="630" spans="1:7" x14ac:dyDescent="0.3">
      <c r="A630" s="17" t="str">
        <f>IF(PAYMENTS!A123="","",PAYMENTS!A123)</f>
        <v>2026-05-15</v>
      </c>
      <c r="B630" s="15" t="str">
        <f>IF($A630="","",PAYMENTS!B123)</f>
        <v>MSH-R1122</v>
      </c>
      <c r="C630" s="15" t="str">
        <f>IF($A630="","",PAYMENTS!C123)</f>
        <v>MSH202609010</v>
      </c>
      <c r="D630" s="15" t="str">
        <f>IF($A630="","",PAYMENTS!D123)</f>
        <v>Karabo Mokgadi</v>
      </c>
      <c r="E630" s="16">
        <f>IF($A630="","",PAYMENTS!E123)</f>
        <v>378.37</v>
      </c>
      <c r="F630" s="15" t="str">
        <f>IF($A630="","",PAYMENTS!F123)</f>
        <v>Card</v>
      </c>
      <c r="G630" s="15" t="str">
        <f>IF($A630="","",PAYMENTS!G123)</f>
        <v>Term payment 5</v>
      </c>
    </row>
    <row r="631" spans="1:7" x14ac:dyDescent="0.3">
      <c r="A631" s="17" t="str">
        <f>IF(PAYMENTS!A124="","",PAYMENTS!A124)</f>
        <v>2026-06-15</v>
      </c>
      <c r="B631" s="15" t="str">
        <f>IF($A631="","",PAYMENTS!B124)</f>
        <v>MSH-R1123</v>
      </c>
      <c r="C631" s="15" t="str">
        <f>IF($A631="","",PAYMENTS!C124)</f>
        <v>MSH202609010</v>
      </c>
      <c r="D631" s="15" t="str">
        <f>IF($A631="","",PAYMENTS!D124)</f>
        <v>Karabo Mokgadi</v>
      </c>
      <c r="E631" s="16">
        <f>IF($A631="","",PAYMENTS!E124)</f>
        <v>306.94</v>
      </c>
      <c r="F631" s="15" t="str">
        <f>IF($A631="","",PAYMENTS!F124)</f>
        <v>EFT</v>
      </c>
      <c r="G631" s="15" t="str">
        <f>IF($A631="","",PAYMENTS!G124)</f>
        <v>Term payment 6</v>
      </c>
    </row>
    <row r="632" spans="1:7" x14ac:dyDescent="0.3">
      <c r="A632" s="17" t="str">
        <f>IF(PAYMENTS!A125="","",PAYMENTS!A125)</f>
        <v>2026-08-10</v>
      </c>
      <c r="B632" s="15" t="str">
        <f>IF($A632="","",PAYMENTS!B125)</f>
        <v>MSH-R1124</v>
      </c>
      <c r="C632" s="15" t="str">
        <f>IF($A632="","",PAYMENTS!C125)</f>
        <v>MSH202609010</v>
      </c>
      <c r="D632" s="15" t="str">
        <f>IF($A632="","",PAYMENTS!D125)</f>
        <v>Karabo Mokgadi</v>
      </c>
      <c r="E632" s="16">
        <f>IF($A632="","",PAYMENTS!E125)</f>
        <v>259.64</v>
      </c>
      <c r="F632" s="15" t="str">
        <f>IF($A632="","",PAYMENTS!F125)</f>
        <v>Cash</v>
      </c>
      <c r="G632" s="15" t="str">
        <f>IF($A632="","",PAYMENTS!G125)</f>
        <v>Term payment 8</v>
      </c>
    </row>
    <row r="633" spans="1:7" x14ac:dyDescent="0.3">
      <c r="A633" s="17" t="str">
        <f>IF(PAYMENTS!A126="","",PAYMENTS!A126)</f>
        <v>2026-09-10</v>
      </c>
      <c r="B633" s="15" t="str">
        <f>IF($A633="","",PAYMENTS!B126)</f>
        <v>MSH-R1125</v>
      </c>
      <c r="C633" s="15" t="str">
        <f>IF($A633="","",PAYMENTS!C126)</f>
        <v>MSH202609010</v>
      </c>
      <c r="D633" s="15" t="str">
        <f>IF($A633="","",PAYMENTS!D126)</f>
        <v>Karabo Mokgadi</v>
      </c>
      <c r="E633" s="16">
        <f>IF($A633="","",PAYMENTS!E126)</f>
        <v>448.14</v>
      </c>
      <c r="F633" s="15" t="str">
        <f>IF($A633="","",PAYMENTS!F126)</f>
        <v>EFT</v>
      </c>
      <c r="G633" s="15" t="str">
        <f>IF($A633="","",PAYMENTS!G126)</f>
        <v>Term payment 9</v>
      </c>
    </row>
    <row r="634" spans="1:7" x14ac:dyDescent="0.3">
      <c r="A634" s="17" t="str">
        <f>IF(PAYMENTS!A127="","",PAYMENTS!A127)</f>
        <v>2026-02-05</v>
      </c>
      <c r="B634" s="15" t="str">
        <f>IF($A634="","",PAYMENTS!B127)</f>
        <v>MSH-R1126</v>
      </c>
      <c r="C634" s="15" t="str">
        <f>IF($A634="","",PAYMENTS!C127)</f>
        <v>MSH202609011</v>
      </c>
      <c r="D634" s="15" t="str">
        <f>IF($A634="","",PAYMENTS!D127)</f>
        <v>Sifiso Mahlangu</v>
      </c>
      <c r="E634" s="16">
        <f>IF($A634="","",PAYMENTS!E127)</f>
        <v>299.54000000000002</v>
      </c>
      <c r="F634" s="15" t="str">
        <f>IF($A634="","",PAYMENTS!F127)</f>
        <v>EFT</v>
      </c>
      <c r="G634" s="15" t="str">
        <f>IF($A634="","",PAYMENTS!G127)</f>
        <v>Term payment 2</v>
      </c>
    </row>
    <row r="635" spans="1:7" x14ac:dyDescent="0.3">
      <c r="A635" s="17" t="str">
        <f>IF(PAYMENTS!A128="","",PAYMENTS!A128)</f>
        <v>2026-03-20</v>
      </c>
      <c r="B635" s="15" t="str">
        <f>IF($A635="","",PAYMENTS!B128)</f>
        <v>MSH-R1127</v>
      </c>
      <c r="C635" s="15" t="str">
        <f>IF($A635="","",PAYMENTS!C128)</f>
        <v>MSH202609011</v>
      </c>
      <c r="D635" s="15" t="str">
        <f>IF($A635="","",PAYMENTS!D128)</f>
        <v>Sifiso Mahlangu</v>
      </c>
      <c r="E635" s="16">
        <f>IF($A635="","",PAYMENTS!E128)</f>
        <v>307.76</v>
      </c>
      <c r="F635" s="15" t="str">
        <f>IF($A635="","",PAYMENTS!F128)</f>
        <v>Card</v>
      </c>
      <c r="G635" s="15" t="str">
        <f>IF($A635="","",PAYMENTS!G128)</f>
        <v>Term payment 3</v>
      </c>
    </row>
    <row r="636" spans="1:7" x14ac:dyDescent="0.3">
      <c r="A636" s="17" t="str">
        <f>IF(PAYMENTS!A129="","",PAYMENTS!A129)</f>
        <v>2026-06-15</v>
      </c>
      <c r="B636" s="15" t="str">
        <f>IF($A636="","",PAYMENTS!B129)</f>
        <v>MSH-R1128</v>
      </c>
      <c r="C636" s="15" t="str">
        <f>IF($A636="","",PAYMENTS!C129)</f>
        <v>MSH202609011</v>
      </c>
      <c r="D636" s="15" t="str">
        <f>IF($A636="","",PAYMENTS!D129)</f>
        <v>Sifiso Mahlangu</v>
      </c>
      <c r="E636" s="16">
        <f>IF($A636="","",PAYMENTS!E129)</f>
        <v>283.52</v>
      </c>
      <c r="F636" s="15" t="str">
        <f>IF($A636="","",PAYMENTS!F129)</f>
        <v>EFT</v>
      </c>
      <c r="G636" s="15" t="str">
        <f>IF($A636="","",PAYMENTS!G129)</f>
        <v>Term payment 6</v>
      </c>
    </row>
    <row r="637" spans="1:7" x14ac:dyDescent="0.3">
      <c r="A637" s="17" t="str">
        <f>IF(PAYMENTS!A130="","",PAYMENTS!A130)</f>
        <v>2026-09-15</v>
      </c>
      <c r="B637" s="15" t="str">
        <f>IF($A637="","",PAYMENTS!B130)</f>
        <v>MSH-R1129</v>
      </c>
      <c r="C637" s="15" t="str">
        <f>IF($A637="","",PAYMENTS!C130)</f>
        <v>MSH202609011</v>
      </c>
      <c r="D637" s="15" t="str">
        <f>IF($A637="","",PAYMENTS!D130)</f>
        <v>Sifiso Mahlangu</v>
      </c>
      <c r="E637" s="16">
        <f>IF($A637="","",PAYMENTS!E130)</f>
        <v>315.27</v>
      </c>
      <c r="F637" s="15" t="str">
        <f>IF($A637="","",PAYMENTS!F130)</f>
        <v>Cash</v>
      </c>
      <c r="G637" s="15" t="str">
        <f>IF($A637="","",PAYMENTS!G130)</f>
        <v>Term payment 9</v>
      </c>
    </row>
    <row r="638" spans="1:7" x14ac:dyDescent="0.3">
      <c r="A638" s="17" t="str">
        <f>IF(PAYMENTS!A131="","",PAYMENTS!A131)</f>
        <v>2026-10-10</v>
      </c>
      <c r="B638" s="15" t="str">
        <f>IF($A638="","",PAYMENTS!B131)</f>
        <v>MSH-R1130</v>
      </c>
      <c r="C638" s="15" t="str">
        <f>IF($A638="","",PAYMENTS!C131)</f>
        <v>MSH202609011</v>
      </c>
      <c r="D638" s="15" t="str">
        <f>IF($A638="","",PAYMENTS!D131)</f>
        <v>Sifiso Mahlangu</v>
      </c>
      <c r="E638" s="16">
        <f>IF($A638="","",PAYMENTS!E131)</f>
        <v>191.86</v>
      </c>
      <c r="F638" s="15" t="str">
        <f>IF($A638="","",PAYMENTS!F131)</f>
        <v>Card</v>
      </c>
      <c r="G638" s="15" t="str">
        <f>IF($A638="","",PAYMENTS!G131)</f>
        <v>Term payment 10</v>
      </c>
    </row>
    <row r="639" spans="1:7" x14ac:dyDescent="0.3">
      <c r="A639" s="17" t="str">
        <f>IF(PAYMENTS!A132="","",PAYMENTS!A132)</f>
        <v>2026-11-05</v>
      </c>
      <c r="B639" s="15" t="str">
        <f>IF($A639="","",PAYMENTS!B132)</f>
        <v>MSH-R1131</v>
      </c>
      <c r="C639" s="15" t="str">
        <f>IF($A639="","",PAYMENTS!C132)</f>
        <v>MSH202609011</v>
      </c>
      <c r="D639" s="15" t="str">
        <f>IF($A639="","",PAYMENTS!D132)</f>
        <v>Sifiso Mahlangu</v>
      </c>
      <c r="E639" s="16">
        <f>IF($A639="","",PAYMENTS!E132)</f>
        <v>210.14</v>
      </c>
      <c r="F639" s="15" t="str">
        <f>IF($A639="","",PAYMENTS!F132)</f>
        <v>Card</v>
      </c>
      <c r="G639" s="15" t="str">
        <f>IF($A639="","",PAYMENTS!G132)</f>
        <v>Term payment 11</v>
      </c>
    </row>
    <row r="640" spans="1:7" x14ac:dyDescent="0.3">
      <c r="A640" s="17" t="str">
        <f>IF(PAYMENTS!A133="","",PAYMENTS!A133)</f>
        <v>2026-05-10</v>
      </c>
      <c r="B640" s="15" t="str">
        <f>IF($A640="","",PAYMENTS!B133)</f>
        <v>MSH-R1132</v>
      </c>
      <c r="C640" s="15" t="str">
        <f>IF($A640="","",PAYMENTS!C133)</f>
        <v>MSH202609012</v>
      </c>
      <c r="D640" s="15" t="str">
        <f>IF($A640="","",PAYMENTS!D133)</f>
        <v>Kgothatso Radebe</v>
      </c>
      <c r="E640" s="16">
        <f>IF($A640="","",PAYMENTS!E133)</f>
        <v>219.99</v>
      </c>
      <c r="F640" s="15" t="str">
        <f>IF($A640="","",PAYMENTS!F133)</f>
        <v>EFT</v>
      </c>
      <c r="G640" s="15" t="str">
        <f>IF($A640="","",PAYMENTS!G133)</f>
        <v>Term payment 5</v>
      </c>
    </row>
    <row r="641" spans="1:7" x14ac:dyDescent="0.3">
      <c r="A641" s="17" t="str">
        <f>IF(PAYMENTS!A134="","",PAYMENTS!A134)</f>
        <v>2026-06-10</v>
      </c>
      <c r="B641" s="15" t="str">
        <f>IF($A641="","",PAYMENTS!B134)</f>
        <v>MSH-R1133</v>
      </c>
      <c r="C641" s="15" t="str">
        <f>IF($A641="","",PAYMENTS!C134)</f>
        <v>MSH202609012</v>
      </c>
      <c r="D641" s="15" t="str">
        <f>IF($A641="","",PAYMENTS!D134)</f>
        <v>Kgothatso Radebe</v>
      </c>
      <c r="E641" s="16">
        <f>IF($A641="","",PAYMENTS!E134)</f>
        <v>210.23</v>
      </c>
      <c r="F641" s="15" t="str">
        <f>IF($A641="","",PAYMENTS!F134)</f>
        <v>Cash</v>
      </c>
      <c r="G641" s="15" t="str">
        <f>IF($A641="","",PAYMENTS!G134)</f>
        <v>Term payment 6</v>
      </c>
    </row>
    <row r="642" spans="1:7" x14ac:dyDescent="0.3">
      <c r="A642" s="17" t="str">
        <f>IF(PAYMENTS!A135="","",PAYMENTS!A135)</f>
        <v>2026-07-01</v>
      </c>
      <c r="B642" s="15" t="str">
        <f>IF($A642="","",PAYMENTS!B135)</f>
        <v>MSH-R1134</v>
      </c>
      <c r="C642" s="15" t="str">
        <f>IF($A642="","",PAYMENTS!C135)</f>
        <v>MSH202609012</v>
      </c>
      <c r="D642" s="15" t="str">
        <f>IF($A642="","",PAYMENTS!D135)</f>
        <v>Kgothatso Radebe</v>
      </c>
      <c r="E642" s="16">
        <f>IF($A642="","",PAYMENTS!E135)</f>
        <v>299.8</v>
      </c>
      <c r="F642" s="15" t="str">
        <f>IF($A642="","",PAYMENTS!F135)</f>
        <v>EFT</v>
      </c>
      <c r="G642" s="15" t="str">
        <f>IF($A642="","",PAYMENTS!G135)</f>
        <v>Term payment 7</v>
      </c>
    </row>
    <row r="643" spans="1:7" x14ac:dyDescent="0.3">
      <c r="A643" s="17" t="str">
        <f>IF(PAYMENTS!A136="","",PAYMENTS!A136)</f>
        <v>2026-09-01</v>
      </c>
      <c r="B643" s="15" t="str">
        <f>IF($A643="","",PAYMENTS!B136)</f>
        <v>MSH-R1135</v>
      </c>
      <c r="C643" s="15" t="str">
        <f>IF($A643="","",PAYMENTS!C136)</f>
        <v>MSH202609012</v>
      </c>
      <c r="D643" s="15" t="str">
        <f>IF($A643="","",PAYMENTS!D136)</f>
        <v>Kgothatso Radebe</v>
      </c>
      <c r="E643" s="16">
        <f>IF($A643="","",PAYMENTS!E136)</f>
        <v>304.45999999999998</v>
      </c>
      <c r="F643" s="15" t="str">
        <f>IF($A643="","",PAYMENTS!F136)</f>
        <v>Card</v>
      </c>
      <c r="G643" s="15" t="str">
        <f>IF($A643="","",PAYMENTS!G136)</f>
        <v>Term payment 9</v>
      </c>
    </row>
    <row r="644" spans="1:7" x14ac:dyDescent="0.3">
      <c r="A644" s="17" t="str">
        <f>IF(PAYMENTS!A137="","",PAYMENTS!A137)</f>
        <v>2026-10-05</v>
      </c>
      <c r="B644" s="15" t="str">
        <f>IF($A644="","",PAYMENTS!B137)</f>
        <v>MSH-R1136</v>
      </c>
      <c r="C644" s="15" t="str">
        <f>IF($A644="","",PAYMENTS!C137)</f>
        <v>MSH202609012</v>
      </c>
      <c r="D644" s="15" t="str">
        <f>IF($A644="","",PAYMENTS!D137)</f>
        <v>Kgothatso Radebe</v>
      </c>
      <c r="E644" s="16">
        <f>IF($A644="","",PAYMENTS!E137)</f>
        <v>185.37</v>
      </c>
      <c r="F644" s="15" t="str">
        <f>IF($A644="","",PAYMENTS!F137)</f>
        <v>Card</v>
      </c>
      <c r="G644" s="15" t="str">
        <f>IF($A644="","",PAYMENTS!G137)</f>
        <v>Term payment 10</v>
      </c>
    </row>
    <row r="645" spans="1:7" x14ac:dyDescent="0.3">
      <c r="A645" s="17" t="str">
        <f>IF(PAYMENTS!A138="","",PAYMENTS!A138)</f>
        <v>2026-11-15</v>
      </c>
      <c r="B645" s="15" t="str">
        <f>IF($A645="","",PAYMENTS!B138)</f>
        <v>MSH-R1137</v>
      </c>
      <c r="C645" s="15" t="str">
        <f>IF($A645="","",PAYMENTS!C138)</f>
        <v>MSH202609012</v>
      </c>
      <c r="D645" s="15" t="str">
        <f>IF($A645="","",PAYMENTS!D138)</f>
        <v>Kgothatso Radebe</v>
      </c>
      <c r="E645" s="16">
        <f>IF($A645="","",PAYMENTS!E138)</f>
        <v>203.72</v>
      </c>
      <c r="F645" s="15" t="str">
        <f>IF($A645="","",PAYMENTS!F138)</f>
        <v>Card</v>
      </c>
      <c r="G645" s="15" t="str">
        <f>IF($A645="","",PAYMENTS!G138)</f>
        <v>Term payment 11</v>
      </c>
    </row>
    <row r="646" spans="1:7" x14ac:dyDescent="0.3">
      <c r="A646" s="17" t="str">
        <f>IF(PAYMENTS!A139="","",PAYMENTS!A139)</f>
        <v>2026-03-05</v>
      </c>
      <c r="B646" s="15" t="str">
        <f>IF($A646="","",PAYMENTS!B139)</f>
        <v>MSH-R1138</v>
      </c>
      <c r="C646" s="15" t="str">
        <f>IF($A646="","",PAYMENTS!C139)</f>
        <v>MSH202610001</v>
      </c>
      <c r="D646" s="15" t="str">
        <f>IF($A646="","",PAYMENTS!D139)</f>
        <v>Lerato Maseko</v>
      </c>
      <c r="E646" s="16">
        <f>IF($A646="","",PAYMENTS!E139)</f>
        <v>279.05</v>
      </c>
      <c r="F646" s="15" t="str">
        <f>IF($A646="","",PAYMENTS!F139)</f>
        <v>Card</v>
      </c>
      <c r="G646" s="15" t="str">
        <f>IF($A646="","",PAYMENTS!G139)</f>
        <v>Term payment 3</v>
      </c>
    </row>
    <row r="647" spans="1:7" x14ac:dyDescent="0.3">
      <c r="A647" s="17" t="str">
        <f>IF(PAYMENTS!A140="","",PAYMENTS!A140)</f>
        <v>2026-04-20</v>
      </c>
      <c r="B647" s="15" t="str">
        <f>IF($A647="","",PAYMENTS!B140)</f>
        <v>MSH-R1139</v>
      </c>
      <c r="C647" s="15" t="str">
        <f>IF($A647="","",PAYMENTS!C140)</f>
        <v>MSH202610001</v>
      </c>
      <c r="D647" s="15" t="str">
        <f>IF($A647="","",PAYMENTS!D140)</f>
        <v>Lerato Maseko</v>
      </c>
      <c r="E647" s="16">
        <f>IF($A647="","",PAYMENTS!E140)</f>
        <v>228.46</v>
      </c>
      <c r="F647" s="15" t="str">
        <f>IF($A647="","",PAYMENTS!F140)</f>
        <v>Cash</v>
      </c>
      <c r="G647" s="15" t="str">
        <f>IF($A647="","",PAYMENTS!G140)</f>
        <v>Term payment 4</v>
      </c>
    </row>
    <row r="648" spans="1:7" x14ac:dyDescent="0.3">
      <c r="A648" s="17" t="str">
        <f>IF(PAYMENTS!A141="","",PAYMENTS!A141)</f>
        <v>2026-05-01</v>
      </c>
      <c r="B648" s="15" t="str">
        <f>IF($A648="","",PAYMENTS!B141)</f>
        <v>MSH-R1140</v>
      </c>
      <c r="C648" s="15" t="str">
        <f>IF($A648="","",PAYMENTS!C141)</f>
        <v>MSH202610001</v>
      </c>
      <c r="D648" s="15" t="str">
        <f>IF($A648="","",PAYMENTS!D141)</f>
        <v>Lerato Maseko</v>
      </c>
      <c r="E648" s="16">
        <f>IF($A648="","",PAYMENTS!E141)</f>
        <v>351.37</v>
      </c>
      <c r="F648" s="15" t="str">
        <f>IF($A648="","",PAYMENTS!F141)</f>
        <v>Card</v>
      </c>
      <c r="G648" s="15" t="str">
        <f>IF($A648="","",PAYMENTS!G141)</f>
        <v>Term payment 5</v>
      </c>
    </row>
    <row r="649" spans="1:7" x14ac:dyDescent="0.3">
      <c r="A649" s="17" t="str">
        <f>IF(PAYMENTS!A142="","",PAYMENTS!A142)</f>
        <v>2026-06-05</v>
      </c>
      <c r="B649" s="15" t="str">
        <f>IF($A649="","",PAYMENTS!B142)</f>
        <v>MSH-R1141</v>
      </c>
      <c r="C649" s="15" t="str">
        <f>IF($A649="","",PAYMENTS!C142)</f>
        <v>MSH202610001</v>
      </c>
      <c r="D649" s="15" t="str">
        <f>IF($A649="","",PAYMENTS!D142)</f>
        <v>Lerato Maseko</v>
      </c>
      <c r="E649" s="16">
        <f>IF($A649="","",PAYMENTS!E142)</f>
        <v>375.71</v>
      </c>
      <c r="F649" s="15" t="str">
        <f>IF($A649="","",PAYMENTS!F142)</f>
        <v>EFT</v>
      </c>
      <c r="G649" s="15" t="str">
        <f>IF($A649="","",PAYMENTS!G142)</f>
        <v>Term payment 6</v>
      </c>
    </row>
    <row r="650" spans="1:7" x14ac:dyDescent="0.3">
      <c r="A650" s="17" t="str">
        <f>IF(PAYMENTS!A143="","",PAYMENTS!A143)</f>
        <v>2026-07-01</v>
      </c>
      <c r="B650" s="15" t="str">
        <f>IF($A650="","",PAYMENTS!B143)</f>
        <v>MSH-R1142</v>
      </c>
      <c r="C650" s="15" t="str">
        <f>IF($A650="","",PAYMENTS!C143)</f>
        <v>MSH202610001</v>
      </c>
      <c r="D650" s="15" t="str">
        <f>IF($A650="","",PAYMENTS!D143)</f>
        <v>Lerato Maseko</v>
      </c>
      <c r="E650" s="16">
        <f>IF($A650="","",PAYMENTS!E143)</f>
        <v>443.34</v>
      </c>
      <c r="F650" s="15" t="str">
        <f>IF($A650="","",PAYMENTS!F143)</f>
        <v>Card</v>
      </c>
      <c r="G650" s="15" t="str">
        <f>IF($A650="","",PAYMENTS!G143)</f>
        <v>Term payment 7</v>
      </c>
    </row>
    <row r="651" spans="1:7" x14ac:dyDescent="0.3">
      <c r="A651" s="17" t="str">
        <f>IF(PAYMENTS!A144="","",PAYMENTS!A144)</f>
        <v>2026-08-10</v>
      </c>
      <c r="B651" s="15" t="str">
        <f>IF($A651="","",PAYMENTS!B144)</f>
        <v>MSH-R1143</v>
      </c>
      <c r="C651" s="15" t="str">
        <f>IF($A651="","",PAYMENTS!C144)</f>
        <v>MSH202610001</v>
      </c>
      <c r="D651" s="15" t="str">
        <f>IF($A651="","",PAYMENTS!D144)</f>
        <v>Lerato Maseko</v>
      </c>
      <c r="E651" s="16">
        <f>IF($A651="","",PAYMENTS!E144)</f>
        <v>327.19</v>
      </c>
      <c r="F651" s="15" t="str">
        <f>IF($A651="","",PAYMENTS!F144)</f>
        <v>EFT</v>
      </c>
      <c r="G651" s="15" t="str">
        <f>IF($A651="","",PAYMENTS!G144)</f>
        <v>Term payment 8</v>
      </c>
    </row>
    <row r="652" spans="1:7" x14ac:dyDescent="0.3">
      <c r="A652" s="17" t="str">
        <f>IF(PAYMENTS!A145="","",PAYMENTS!A145)</f>
        <v>2026-09-10</v>
      </c>
      <c r="B652" s="15" t="str">
        <f>IF($A652="","",PAYMENTS!B145)</f>
        <v>MSH-R1144</v>
      </c>
      <c r="C652" s="15" t="str">
        <f>IF($A652="","",PAYMENTS!C145)</f>
        <v>MSH202610001</v>
      </c>
      <c r="D652" s="15" t="str">
        <f>IF($A652="","",PAYMENTS!D145)</f>
        <v>Lerato Maseko</v>
      </c>
      <c r="E652" s="16">
        <f>IF($A652="","",PAYMENTS!E145)</f>
        <v>245.1</v>
      </c>
      <c r="F652" s="15" t="str">
        <f>IF($A652="","",PAYMENTS!F145)</f>
        <v>Cash</v>
      </c>
      <c r="G652" s="15" t="str">
        <f>IF($A652="","",PAYMENTS!G145)</f>
        <v>Term payment 9</v>
      </c>
    </row>
    <row r="653" spans="1:7" x14ac:dyDescent="0.3">
      <c r="A653" s="17" t="str">
        <f>IF(PAYMENTS!A146="","",PAYMENTS!A146)</f>
        <v>2026-11-10</v>
      </c>
      <c r="B653" s="15" t="str">
        <f>IF($A653="","",PAYMENTS!B146)</f>
        <v>MSH-R1145</v>
      </c>
      <c r="C653" s="15" t="str">
        <f>IF($A653="","",PAYMENTS!C146)</f>
        <v>MSH202610001</v>
      </c>
      <c r="D653" s="15" t="str">
        <f>IF($A653="","",PAYMENTS!D146)</f>
        <v>Lerato Maseko</v>
      </c>
      <c r="E653" s="16">
        <f>IF($A653="","",PAYMENTS!E146)</f>
        <v>463.03</v>
      </c>
      <c r="F653" s="15" t="str">
        <f>IF($A653="","",PAYMENTS!F146)</f>
        <v>EFT</v>
      </c>
      <c r="G653" s="15" t="str">
        <f>IF($A653="","",PAYMENTS!G146)</f>
        <v>Term payment 11</v>
      </c>
    </row>
    <row r="654" spans="1:7" x14ac:dyDescent="0.3">
      <c r="A654" s="17" t="str">
        <f>IF(PAYMENTS!A147="","",PAYMENTS!A147)</f>
        <v>2026-02-20</v>
      </c>
      <c r="B654" s="15" t="str">
        <f>IF($A654="","",PAYMENTS!B147)</f>
        <v>MSH-R1146</v>
      </c>
      <c r="C654" s="15" t="str">
        <f>IF($A654="","",PAYMENTS!C147)</f>
        <v>MSH202610002</v>
      </c>
      <c r="D654" s="15" t="str">
        <f>IF($A654="","",PAYMENTS!D147)</f>
        <v>Sibusiso Molefe</v>
      </c>
      <c r="E654" s="16">
        <f>IF($A654="","",PAYMENTS!E147)</f>
        <v>373.28</v>
      </c>
      <c r="F654" s="15" t="str">
        <f>IF($A654="","",PAYMENTS!F147)</f>
        <v>Cash</v>
      </c>
      <c r="G654" s="15" t="str">
        <f>IF($A654="","",PAYMENTS!G147)</f>
        <v>Term payment 2</v>
      </c>
    </row>
    <row r="655" spans="1:7" x14ac:dyDescent="0.3">
      <c r="A655" s="17" t="str">
        <f>IF(PAYMENTS!A148="","",PAYMENTS!A148)</f>
        <v>2026-03-05</v>
      </c>
      <c r="B655" s="15" t="str">
        <f>IF($A655="","",PAYMENTS!B148)</f>
        <v>MSH-R1147</v>
      </c>
      <c r="C655" s="15" t="str">
        <f>IF($A655="","",PAYMENTS!C148)</f>
        <v>MSH202610002</v>
      </c>
      <c r="D655" s="15" t="str">
        <f>IF($A655="","",PAYMENTS!D148)</f>
        <v>Sibusiso Molefe</v>
      </c>
      <c r="E655" s="16">
        <f>IF($A655="","",PAYMENTS!E148)</f>
        <v>234.97</v>
      </c>
      <c r="F655" s="15" t="str">
        <f>IF($A655="","",PAYMENTS!F148)</f>
        <v>Card</v>
      </c>
      <c r="G655" s="15" t="str">
        <f>IF($A655="","",PAYMENTS!G148)</f>
        <v>Term payment 3</v>
      </c>
    </row>
    <row r="656" spans="1:7" x14ac:dyDescent="0.3">
      <c r="A656" s="17" t="str">
        <f>IF(PAYMENTS!A149="","",PAYMENTS!A149)</f>
        <v>2026-08-10</v>
      </c>
      <c r="B656" s="15" t="str">
        <f>IF($A656="","",PAYMENTS!B149)</f>
        <v>MSH-R1148</v>
      </c>
      <c r="C656" s="15" t="str">
        <f>IF($A656="","",PAYMENTS!C149)</f>
        <v>MSH202610002</v>
      </c>
      <c r="D656" s="15" t="str">
        <f>IF($A656="","",PAYMENTS!D149)</f>
        <v>Sibusiso Molefe</v>
      </c>
      <c r="E656" s="16">
        <f>IF($A656="","",PAYMENTS!E149)</f>
        <v>216.53</v>
      </c>
      <c r="F656" s="15" t="str">
        <f>IF($A656="","",PAYMENTS!F149)</f>
        <v>Cash</v>
      </c>
      <c r="G656" s="15" t="str">
        <f>IF($A656="","",PAYMENTS!G149)</f>
        <v>Term payment 8</v>
      </c>
    </row>
    <row r="657" spans="1:7" x14ac:dyDescent="0.3">
      <c r="A657" s="17" t="str">
        <f>IF(PAYMENTS!A150="","",PAYMENTS!A150)</f>
        <v>2026-09-01</v>
      </c>
      <c r="B657" s="15" t="str">
        <f>IF($A657="","",PAYMENTS!B150)</f>
        <v>MSH-R1149</v>
      </c>
      <c r="C657" s="15" t="str">
        <f>IF($A657="","",PAYMENTS!C150)</f>
        <v>MSH202610002</v>
      </c>
      <c r="D657" s="15" t="str">
        <f>IF($A657="","",PAYMENTS!D150)</f>
        <v>Sibusiso Molefe</v>
      </c>
      <c r="E657" s="16">
        <f>IF($A657="","",PAYMENTS!E150)</f>
        <v>352.73</v>
      </c>
      <c r="F657" s="15" t="str">
        <f>IF($A657="","",PAYMENTS!F150)</f>
        <v>EFT</v>
      </c>
      <c r="G657" s="15" t="str">
        <f>IF($A657="","",PAYMENTS!G150)</f>
        <v>Term payment 9</v>
      </c>
    </row>
    <row r="658" spans="1:7" x14ac:dyDescent="0.3">
      <c r="A658" s="17" t="str">
        <f>IF(PAYMENTS!A151="","",PAYMENTS!A151)</f>
        <v>2026-03-20</v>
      </c>
      <c r="B658" s="15" t="str">
        <f>IF($A658="","",PAYMENTS!B151)</f>
        <v>MSH-R1150</v>
      </c>
      <c r="C658" s="15" t="str">
        <f>IF($A658="","",PAYMENTS!C151)</f>
        <v>MSH202610003</v>
      </c>
      <c r="D658" s="15" t="str">
        <f>IF($A658="","",PAYMENTS!D151)</f>
        <v>Nandi Molefe</v>
      </c>
      <c r="E658" s="16">
        <f>IF($A658="","",PAYMENTS!E151)</f>
        <v>220.2</v>
      </c>
      <c r="F658" s="15" t="str">
        <f>IF($A658="","",PAYMENTS!F151)</f>
        <v>Card</v>
      </c>
      <c r="G658" s="15" t="str">
        <f>IF($A658="","",PAYMENTS!G151)</f>
        <v>Term payment 3</v>
      </c>
    </row>
    <row r="659" spans="1:7" x14ac:dyDescent="0.3">
      <c r="A659" s="17" t="str">
        <f>IF(PAYMENTS!A152="","",PAYMENTS!A152)</f>
        <v>2026-04-25</v>
      </c>
      <c r="B659" s="15" t="str">
        <f>IF($A659="","",PAYMENTS!B152)</f>
        <v>MSH-R1151</v>
      </c>
      <c r="C659" s="15" t="str">
        <f>IF($A659="","",PAYMENTS!C152)</f>
        <v>MSH202610003</v>
      </c>
      <c r="D659" s="15" t="str">
        <f>IF($A659="","",PAYMENTS!D152)</f>
        <v>Nandi Molefe</v>
      </c>
      <c r="E659" s="16">
        <f>IF($A659="","",PAYMENTS!E152)</f>
        <v>130.97</v>
      </c>
      <c r="F659" s="15" t="str">
        <f>IF($A659="","",PAYMENTS!F152)</f>
        <v>Cash</v>
      </c>
      <c r="G659" s="15" t="str">
        <f>IF($A659="","",PAYMENTS!G152)</f>
        <v>Term payment 4</v>
      </c>
    </row>
    <row r="660" spans="1:7" x14ac:dyDescent="0.3">
      <c r="A660" s="17" t="str">
        <f>IF(PAYMENTS!A153="","",PAYMENTS!A153)</f>
        <v>2026-05-25</v>
      </c>
      <c r="B660" s="15" t="str">
        <f>IF($A660="","",PAYMENTS!B153)</f>
        <v>MSH-R1152</v>
      </c>
      <c r="C660" s="15" t="str">
        <f>IF($A660="","",PAYMENTS!C153)</f>
        <v>MSH202610003</v>
      </c>
      <c r="D660" s="15" t="str">
        <f>IF($A660="","",PAYMENTS!D153)</f>
        <v>Nandi Molefe</v>
      </c>
      <c r="E660" s="16">
        <f>IF($A660="","",PAYMENTS!E153)</f>
        <v>150.09</v>
      </c>
      <c r="F660" s="15" t="str">
        <f>IF($A660="","",PAYMENTS!F153)</f>
        <v>Card</v>
      </c>
      <c r="G660" s="15" t="str">
        <f>IF($A660="","",PAYMENTS!G153)</f>
        <v>Term payment 5</v>
      </c>
    </row>
    <row r="661" spans="1:7" x14ac:dyDescent="0.3">
      <c r="A661" s="17" t="str">
        <f>IF(PAYMENTS!A154="","",PAYMENTS!A154)</f>
        <v>2026-07-01</v>
      </c>
      <c r="B661" s="15" t="str">
        <f>IF($A661="","",PAYMENTS!B154)</f>
        <v>MSH-R1153</v>
      </c>
      <c r="C661" s="15" t="str">
        <f>IF($A661="","",PAYMENTS!C154)</f>
        <v>MSH202610003</v>
      </c>
      <c r="D661" s="15" t="str">
        <f>IF($A661="","",PAYMENTS!D154)</f>
        <v>Nandi Molefe</v>
      </c>
      <c r="E661" s="16">
        <f>IF($A661="","",PAYMENTS!E154)</f>
        <v>140.86000000000001</v>
      </c>
      <c r="F661" s="15" t="str">
        <f>IF($A661="","",PAYMENTS!F154)</f>
        <v>Cash</v>
      </c>
      <c r="G661" s="15" t="str">
        <f>IF($A661="","",PAYMENTS!G154)</f>
        <v>Term payment 7</v>
      </c>
    </row>
    <row r="662" spans="1:7" x14ac:dyDescent="0.3">
      <c r="A662" s="17" t="str">
        <f>IF(PAYMENTS!A155="","",PAYMENTS!A155)</f>
        <v>2026-08-20</v>
      </c>
      <c r="B662" s="15" t="str">
        <f>IF($A662="","",PAYMENTS!B155)</f>
        <v>MSH-R1154</v>
      </c>
      <c r="C662" s="15" t="str">
        <f>IF($A662="","",PAYMENTS!C155)</f>
        <v>MSH202610003</v>
      </c>
      <c r="D662" s="15" t="str">
        <f>IF($A662="","",PAYMENTS!D155)</f>
        <v>Nandi Molefe</v>
      </c>
      <c r="E662" s="16">
        <f>IF($A662="","",PAYMENTS!E155)</f>
        <v>126.84</v>
      </c>
      <c r="F662" s="15" t="str">
        <f>IF($A662="","",PAYMENTS!F155)</f>
        <v>Cash</v>
      </c>
      <c r="G662" s="15" t="str">
        <f>IF($A662="","",PAYMENTS!G155)</f>
        <v>Term payment 8</v>
      </c>
    </row>
    <row r="663" spans="1:7" x14ac:dyDescent="0.3">
      <c r="A663" s="17" t="str">
        <f>IF(PAYMENTS!A156="","",PAYMENTS!A156)</f>
        <v>2026-09-15</v>
      </c>
      <c r="B663" s="15" t="str">
        <f>IF($A663="","",PAYMENTS!B156)</f>
        <v>MSH-R1155</v>
      </c>
      <c r="C663" s="15" t="str">
        <f>IF($A663="","",PAYMENTS!C156)</f>
        <v>MSH202610003</v>
      </c>
      <c r="D663" s="15" t="str">
        <f>IF($A663="","",PAYMENTS!D156)</f>
        <v>Nandi Molefe</v>
      </c>
      <c r="E663" s="16">
        <f>IF($A663="","",PAYMENTS!E156)</f>
        <v>191.04</v>
      </c>
      <c r="F663" s="15" t="str">
        <f>IF($A663="","",PAYMENTS!F156)</f>
        <v>Card</v>
      </c>
      <c r="G663" s="15" t="str">
        <f>IF($A663="","",PAYMENTS!G156)</f>
        <v>Term payment 9</v>
      </c>
    </row>
    <row r="664" spans="1:7" x14ac:dyDescent="0.3">
      <c r="A664" s="17" t="str">
        <f>IF(PAYMENTS!A157="","",PAYMENTS!A157)</f>
        <v>2026-10-15</v>
      </c>
      <c r="B664" s="15" t="str">
        <f>IF($A664="","",PAYMENTS!B157)</f>
        <v>MSH-R1156</v>
      </c>
      <c r="C664" s="15" t="str">
        <f>IF($A664="","",PAYMENTS!C157)</f>
        <v>MSH202610003</v>
      </c>
      <c r="D664" s="15" t="str">
        <f>IF($A664="","",PAYMENTS!D157)</f>
        <v>Nandi Molefe</v>
      </c>
      <c r="E664" s="16">
        <f>IF($A664="","",PAYMENTS!E157)</f>
        <v>163.81</v>
      </c>
      <c r="F664" s="15" t="str">
        <f>IF($A664="","",PAYMENTS!F157)</f>
        <v>Cash</v>
      </c>
      <c r="G664" s="15" t="str">
        <f>IF($A664="","",PAYMENTS!G157)</f>
        <v>Term payment 10</v>
      </c>
    </row>
    <row r="665" spans="1:7" x14ac:dyDescent="0.3">
      <c r="A665" s="17" t="str">
        <f>IF(PAYMENTS!A158="","",PAYMENTS!A158)</f>
        <v>2026-11-10</v>
      </c>
      <c r="B665" s="15" t="str">
        <f>IF($A665="","",PAYMENTS!B158)</f>
        <v>MSH-R1157</v>
      </c>
      <c r="C665" s="15" t="str">
        <f>IF($A665="","",PAYMENTS!C158)</f>
        <v>MSH202610003</v>
      </c>
      <c r="D665" s="15" t="str">
        <f>IF($A665="","",PAYMENTS!D158)</f>
        <v>Nandi Molefe</v>
      </c>
      <c r="E665" s="16">
        <f>IF($A665="","",PAYMENTS!E158)</f>
        <v>234.89</v>
      </c>
      <c r="F665" s="15" t="str">
        <f>IF($A665="","",PAYMENTS!F158)</f>
        <v>Card</v>
      </c>
      <c r="G665" s="15" t="str">
        <f>IF($A665="","",PAYMENTS!G158)</f>
        <v>Term payment 11</v>
      </c>
    </row>
    <row r="666" spans="1:7" x14ac:dyDescent="0.3">
      <c r="A666" s="17" t="str">
        <f>IF(PAYMENTS!A159="","",PAYMENTS!A159)</f>
        <v>2026-03-15</v>
      </c>
      <c r="B666" s="15" t="str">
        <f>IF($A666="","",PAYMENTS!B159)</f>
        <v>MSH-R1158</v>
      </c>
      <c r="C666" s="15" t="str">
        <f>IF($A666="","",PAYMENTS!C159)</f>
        <v>MSH202610004</v>
      </c>
      <c r="D666" s="15" t="str">
        <f>IF($A666="","",PAYMENTS!D159)</f>
        <v>Kgothatso Baloyi</v>
      </c>
      <c r="E666" s="16">
        <f>IF($A666="","",PAYMENTS!E159)</f>
        <v>133.63</v>
      </c>
      <c r="F666" s="15" t="str">
        <f>IF($A666="","",PAYMENTS!F159)</f>
        <v>Cash</v>
      </c>
      <c r="G666" s="15" t="str">
        <f>IF($A666="","",PAYMENTS!G159)</f>
        <v>Term payment 3</v>
      </c>
    </row>
    <row r="667" spans="1:7" x14ac:dyDescent="0.3">
      <c r="A667" s="17" t="str">
        <f>IF(PAYMENTS!A160="","",PAYMENTS!A160)</f>
        <v>2026-05-25</v>
      </c>
      <c r="B667" s="15" t="str">
        <f>IF($A667="","",PAYMENTS!B160)</f>
        <v>MSH-R1159</v>
      </c>
      <c r="C667" s="15" t="str">
        <f>IF($A667="","",PAYMENTS!C160)</f>
        <v>MSH202610004</v>
      </c>
      <c r="D667" s="15" t="str">
        <f>IF($A667="","",PAYMENTS!D160)</f>
        <v>Kgothatso Baloyi</v>
      </c>
      <c r="E667" s="16">
        <f>IF($A667="","",PAYMENTS!E160)</f>
        <v>139.47999999999999</v>
      </c>
      <c r="F667" s="15" t="str">
        <f>IF($A667="","",PAYMENTS!F160)</f>
        <v>EFT</v>
      </c>
      <c r="G667" s="15" t="str">
        <f>IF($A667="","",PAYMENTS!G160)</f>
        <v>Term payment 5</v>
      </c>
    </row>
    <row r="668" spans="1:7" x14ac:dyDescent="0.3">
      <c r="A668" s="17" t="str">
        <f>IF(PAYMENTS!A161="","",PAYMENTS!A161)</f>
        <v>2026-06-05</v>
      </c>
      <c r="B668" s="15" t="str">
        <f>IF($A668="","",PAYMENTS!B161)</f>
        <v>MSH-R1160</v>
      </c>
      <c r="C668" s="15" t="str">
        <f>IF($A668="","",PAYMENTS!C161)</f>
        <v>MSH202610004</v>
      </c>
      <c r="D668" s="15" t="str">
        <f>IF($A668="","",PAYMENTS!D161)</f>
        <v>Kgothatso Baloyi</v>
      </c>
      <c r="E668" s="16">
        <f>IF($A668="","",PAYMENTS!E161)</f>
        <v>126.21</v>
      </c>
      <c r="F668" s="15" t="str">
        <f>IF($A668="","",PAYMENTS!F161)</f>
        <v>Cash</v>
      </c>
      <c r="G668" s="15" t="str">
        <f>IF($A668="","",PAYMENTS!G161)</f>
        <v>Term payment 6</v>
      </c>
    </row>
    <row r="669" spans="1:7" x14ac:dyDescent="0.3">
      <c r="A669" s="17" t="str">
        <f>IF(PAYMENTS!A162="","",PAYMENTS!A162)</f>
        <v>2026-07-10</v>
      </c>
      <c r="B669" s="15" t="str">
        <f>IF($A669="","",PAYMENTS!B162)</f>
        <v>MSH-R1161</v>
      </c>
      <c r="C669" s="15" t="str">
        <f>IF($A669="","",PAYMENTS!C162)</f>
        <v>MSH202610004</v>
      </c>
      <c r="D669" s="15" t="str">
        <f>IF($A669="","",PAYMENTS!D162)</f>
        <v>Kgothatso Baloyi</v>
      </c>
      <c r="E669" s="16">
        <f>IF($A669="","",PAYMENTS!E162)</f>
        <v>215.75</v>
      </c>
      <c r="F669" s="15" t="str">
        <f>IF($A669="","",PAYMENTS!F162)</f>
        <v>Card</v>
      </c>
      <c r="G669" s="15" t="str">
        <f>IF($A669="","",PAYMENTS!G162)</f>
        <v>Term payment 7</v>
      </c>
    </row>
    <row r="670" spans="1:7" x14ac:dyDescent="0.3">
      <c r="A670" s="17" t="str">
        <f>IF(PAYMENTS!A163="","",PAYMENTS!A163)</f>
        <v>2026-08-10</v>
      </c>
      <c r="B670" s="15" t="str">
        <f>IF($A670="","",PAYMENTS!B163)</f>
        <v>MSH-R1162</v>
      </c>
      <c r="C670" s="15" t="str">
        <f>IF($A670="","",PAYMENTS!C163)</f>
        <v>MSH202610004</v>
      </c>
      <c r="D670" s="15" t="str">
        <f>IF($A670="","",PAYMENTS!D163)</f>
        <v>Kgothatso Baloyi</v>
      </c>
      <c r="E670" s="16">
        <f>IF($A670="","",PAYMENTS!E163)</f>
        <v>189.1</v>
      </c>
      <c r="F670" s="15" t="str">
        <f>IF($A670="","",PAYMENTS!F163)</f>
        <v>EFT</v>
      </c>
      <c r="G670" s="15" t="str">
        <f>IF($A670="","",PAYMENTS!G163)</f>
        <v>Term payment 8</v>
      </c>
    </row>
    <row r="671" spans="1:7" x14ac:dyDescent="0.3">
      <c r="A671" s="17" t="str">
        <f>IF(PAYMENTS!A164="","",PAYMENTS!A164)</f>
        <v>2026-09-25</v>
      </c>
      <c r="B671" s="15" t="str">
        <f>IF($A671="","",PAYMENTS!B164)</f>
        <v>MSH-R1163</v>
      </c>
      <c r="C671" s="15" t="str">
        <f>IF($A671="","",PAYMENTS!C164)</f>
        <v>MSH202610004</v>
      </c>
      <c r="D671" s="15" t="str">
        <f>IF($A671="","",PAYMENTS!D164)</f>
        <v>Kgothatso Baloyi</v>
      </c>
      <c r="E671" s="16">
        <f>IF($A671="","",PAYMENTS!E164)</f>
        <v>166</v>
      </c>
      <c r="F671" s="15" t="str">
        <f>IF($A671="","",PAYMENTS!F164)</f>
        <v>EFT</v>
      </c>
      <c r="G671" s="15" t="str">
        <f>IF($A671="","",PAYMENTS!G164)</f>
        <v>Term payment 9</v>
      </c>
    </row>
    <row r="672" spans="1:7" x14ac:dyDescent="0.3">
      <c r="A672" s="17" t="str">
        <f>IF(PAYMENTS!A165="","",PAYMENTS!A165)</f>
        <v>2026-11-10</v>
      </c>
      <c r="B672" s="15" t="str">
        <f>IF($A672="","",PAYMENTS!B165)</f>
        <v>MSH-R1164</v>
      </c>
      <c r="C672" s="15" t="str">
        <f>IF($A672="","",PAYMENTS!C165)</f>
        <v>MSH202610004</v>
      </c>
      <c r="D672" s="15" t="str">
        <f>IF($A672="","",PAYMENTS!D165)</f>
        <v>Kgothatso Baloyi</v>
      </c>
      <c r="E672" s="16">
        <f>IF($A672="","",PAYMENTS!E165)</f>
        <v>199.58</v>
      </c>
      <c r="F672" s="15" t="str">
        <f>IF($A672="","",PAYMENTS!F165)</f>
        <v>EFT</v>
      </c>
      <c r="G672" s="15" t="str">
        <f>IF($A672="","",PAYMENTS!G165)</f>
        <v>Term payment 11</v>
      </c>
    </row>
    <row r="673" spans="1:7" x14ac:dyDescent="0.3">
      <c r="A673" s="17" t="str">
        <f>IF(PAYMENTS!A166="","",PAYMENTS!A166)</f>
        <v>2026-02-01</v>
      </c>
      <c r="B673" s="15" t="str">
        <f>IF($A673="","",PAYMENTS!B166)</f>
        <v>MSH-R1165</v>
      </c>
      <c r="C673" s="15" t="str">
        <f>IF($A673="","",PAYMENTS!C166)</f>
        <v>MSH202610005</v>
      </c>
      <c r="D673" s="15" t="str">
        <f>IF($A673="","",PAYMENTS!D166)</f>
        <v>Ayanda Mokoena</v>
      </c>
      <c r="E673" s="16">
        <f>IF($A673="","",PAYMENTS!E166)</f>
        <v>218.3</v>
      </c>
      <c r="F673" s="15" t="str">
        <f>IF($A673="","",PAYMENTS!F166)</f>
        <v>Card</v>
      </c>
      <c r="G673" s="15" t="str">
        <f>IF($A673="","",PAYMENTS!G166)</f>
        <v>Term payment 2</v>
      </c>
    </row>
    <row r="674" spans="1:7" x14ac:dyDescent="0.3">
      <c r="A674" s="17" t="str">
        <f>IF(PAYMENTS!A167="","",PAYMENTS!A167)</f>
        <v>2026-03-20</v>
      </c>
      <c r="B674" s="15" t="str">
        <f>IF($A674="","",PAYMENTS!B167)</f>
        <v>MSH-R1166</v>
      </c>
      <c r="C674" s="15" t="str">
        <f>IF($A674="","",PAYMENTS!C167)</f>
        <v>MSH202610005</v>
      </c>
      <c r="D674" s="15" t="str">
        <f>IF($A674="","",PAYMENTS!D167)</f>
        <v>Ayanda Mokoena</v>
      </c>
      <c r="E674" s="16">
        <f>IF($A674="","",PAYMENTS!E167)</f>
        <v>361.09</v>
      </c>
      <c r="F674" s="15" t="str">
        <f>IF($A674="","",PAYMENTS!F167)</f>
        <v>Cash</v>
      </c>
      <c r="G674" s="15" t="str">
        <f>IF($A674="","",PAYMENTS!G167)</f>
        <v>Term payment 3</v>
      </c>
    </row>
    <row r="675" spans="1:7" x14ac:dyDescent="0.3">
      <c r="A675" s="17" t="str">
        <f>IF(PAYMENTS!A168="","",PAYMENTS!A168)</f>
        <v>2026-04-25</v>
      </c>
      <c r="B675" s="15" t="str">
        <f>IF($A675="","",PAYMENTS!B168)</f>
        <v>MSH-R1167</v>
      </c>
      <c r="C675" s="15" t="str">
        <f>IF($A675="","",PAYMENTS!C168)</f>
        <v>MSH202610005</v>
      </c>
      <c r="D675" s="15" t="str">
        <f>IF($A675="","",PAYMENTS!D168)</f>
        <v>Ayanda Mokoena</v>
      </c>
      <c r="E675" s="16">
        <f>IF($A675="","",PAYMENTS!E168)</f>
        <v>428.57</v>
      </c>
      <c r="F675" s="15" t="str">
        <f>IF($A675="","",PAYMENTS!F168)</f>
        <v>Card</v>
      </c>
      <c r="G675" s="15" t="str">
        <f>IF($A675="","",PAYMENTS!G168)</f>
        <v>Term payment 4</v>
      </c>
    </row>
    <row r="676" spans="1:7" x14ac:dyDescent="0.3">
      <c r="A676" s="17" t="str">
        <f>IF(PAYMENTS!A169="","",PAYMENTS!A169)</f>
        <v>2026-06-01</v>
      </c>
      <c r="B676" s="15" t="str">
        <f>IF($A676="","",PAYMENTS!B169)</f>
        <v>MSH-R1168</v>
      </c>
      <c r="C676" s="15" t="str">
        <f>IF($A676="","",PAYMENTS!C169)</f>
        <v>MSH202610005</v>
      </c>
      <c r="D676" s="15" t="str">
        <f>IF($A676="","",PAYMENTS!D169)</f>
        <v>Ayanda Mokoena</v>
      </c>
      <c r="E676" s="16">
        <f>IF($A676="","",PAYMENTS!E169)</f>
        <v>411.78</v>
      </c>
      <c r="F676" s="15" t="str">
        <f>IF($A676="","",PAYMENTS!F169)</f>
        <v>Cash</v>
      </c>
      <c r="G676" s="15" t="str">
        <f>IF($A676="","",PAYMENTS!G169)</f>
        <v>Term payment 6</v>
      </c>
    </row>
    <row r="677" spans="1:7" x14ac:dyDescent="0.3">
      <c r="A677" s="17" t="str">
        <f>IF(PAYMENTS!A170="","",PAYMENTS!A170)</f>
        <v>2026-07-15</v>
      </c>
      <c r="B677" s="15" t="str">
        <f>IF($A677="","",PAYMENTS!B170)</f>
        <v>MSH-R1169</v>
      </c>
      <c r="C677" s="15" t="str">
        <f>IF($A677="","",PAYMENTS!C170)</f>
        <v>MSH202610005</v>
      </c>
      <c r="D677" s="15" t="str">
        <f>IF($A677="","",PAYMENTS!D170)</f>
        <v>Ayanda Mokoena</v>
      </c>
      <c r="E677" s="16">
        <f>IF($A677="","",PAYMENTS!E170)</f>
        <v>341.46</v>
      </c>
      <c r="F677" s="15" t="str">
        <f>IF($A677="","",PAYMENTS!F170)</f>
        <v>EFT</v>
      </c>
      <c r="G677" s="15" t="str">
        <f>IF($A677="","",PAYMENTS!G170)</f>
        <v>Term payment 7</v>
      </c>
    </row>
    <row r="678" spans="1:7" x14ac:dyDescent="0.3">
      <c r="A678" s="17" t="str">
        <f>IF(PAYMENTS!A171="","",PAYMENTS!A171)</f>
        <v>2026-08-10</v>
      </c>
      <c r="B678" s="15" t="str">
        <f>IF($A678="","",PAYMENTS!B171)</f>
        <v>MSH-R1170</v>
      </c>
      <c r="C678" s="15" t="str">
        <f>IF($A678="","",PAYMENTS!C171)</f>
        <v>MSH202610005</v>
      </c>
      <c r="D678" s="15" t="str">
        <f>IF($A678="","",PAYMENTS!D171)</f>
        <v>Ayanda Mokoena</v>
      </c>
      <c r="E678" s="16">
        <f>IF($A678="","",PAYMENTS!E171)</f>
        <v>244.27</v>
      </c>
      <c r="F678" s="15" t="str">
        <f>IF($A678="","",PAYMENTS!F171)</f>
        <v>Card</v>
      </c>
      <c r="G678" s="15" t="str">
        <f>IF($A678="","",PAYMENTS!G171)</f>
        <v>Term payment 8</v>
      </c>
    </row>
    <row r="679" spans="1:7" x14ac:dyDescent="0.3">
      <c r="A679" s="17" t="str">
        <f>IF(PAYMENTS!A172="","",PAYMENTS!A172)</f>
        <v>2026-09-15</v>
      </c>
      <c r="B679" s="15" t="str">
        <f>IF($A679="","",PAYMENTS!B172)</f>
        <v>MSH-R1171</v>
      </c>
      <c r="C679" s="15" t="str">
        <f>IF($A679="","",PAYMENTS!C172)</f>
        <v>MSH202610005</v>
      </c>
      <c r="D679" s="15" t="str">
        <f>IF($A679="","",PAYMENTS!D172)</f>
        <v>Ayanda Mokoena</v>
      </c>
      <c r="E679" s="16">
        <f>IF($A679="","",PAYMENTS!E172)</f>
        <v>374.82</v>
      </c>
      <c r="F679" s="15" t="str">
        <f>IF($A679="","",PAYMENTS!F172)</f>
        <v>EFT</v>
      </c>
      <c r="G679" s="15" t="str">
        <f>IF($A679="","",PAYMENTS!G172)</f>
        <v>Term payment 9</v>
      </c>
    </row>
    <row r="680" spans="1:7" x14ac:dyDescent="0.3">
      <c r="A680" s="17" t="str">
        <f>IF(PAYMENTS!A173="","",PAYMENTS!A173)</f>
        <v>2026-04-10</v>
      </c>
      <c r="B680" s="15" t="str">
        <f>IF($A680="","",PAYMENTS!B173)</f>
        <v>MSH-R1172</v>
      </c>
      <c r="C680" s="15" t="str">
        <f>IF($A680="","",PAYMENTS!C173)</f>
        <v>MSH202610006</v>
      </c>
      <c r="D680" s="15" t="str">
        <f>IF($A680="","",PAYMENTS!D173)</f>
        <v>Lwazi Baloyi</v>
      </c>
      <c r="E680" s="16">
        <f>IF($A680="","",PAYMENTS!E173)</f>
        <v>228.59</v>
      </c>
      <c r="F680" s="15" t="str">
        <f>IF($A680="","",PAYMENTS!F173)</f>
        <v>Cash</v>
      </c>
      <c r="G680" s="15" t="str">
        <f>IF($A680="","",PAYMENTS!G173)</f>
        <v>Term payment 4</v>
      </c>
    </row>
    <row r="681" spans="1:7" x14ac:dyDescent="0.3">
      <c r="A681" s="17" t="str">
        <f>IF(PAYMENTS!A174="","",PAYMENTS!A174)</f>
        <v>2026-07-10</v>
      </c>
      <c r="B681" s="15" t="str">
        <f>IF($A681="","",PAYMENTS!B174)</f>
        <v>MSH-R1173</v>
      </c>
      <c r="C681" s="15" t="str">
        <f>IF($A681="","",PAYMENTS!C174)</f>
        <v>MSH202610006</v>
      </c>
      <c r="D681" s="15" t="str">
        <f>IF($A681="","",PAYMENTS!D174)</f>
        <v>Lwazi Baloyi</v>
      </c>
      <c r="E681" s="16">
        <f>IF($A681="","",PAYMENTS!E174)</f>
        <v>184.39</v>
      </c>
      <c r="F681" s="15" t="str">
        <f>IF($A681="","",PAYMENTS!F174)</f>
        <v>EFT</v>
      </c>
      <c r="G681" s="15" t="str">
        <f>IF($A681="","",PAYMENTS!G174)</f>
        <v>Term payment 7</v>
      </c>
    </row>
    <row r="682" spans="1:7" x14ac:dyDescent="0.3">
      <c r="A682" s="17" t="str">
        <f>IF(PAYMENTS!A175="","",PAYMENTS!A175)</f>
        <v>2026-08-10</v>
      </c>
      <c r="B682" s="15" t="str">
        <f>IF($A682="","",PAYMENTS!B175)</f>
        <v>MSH-R1174</v>
      </c>
      <c r="C682" s="15" t="str">
        <f>IF($A682="","",PAYMENTS!C175)</f>
        <v>MSH202610006</v>
      </c>
      <c r="D682" s="15" t="str">
        <f>IF($A682="","",PAYMENTS!D175)</f>
        <v>Lwazi Baloyi</v>
      </c>
      <c r="E682" s="16">
        <f>IF($A682="","",PAYMENTS!E175)</f>
        <v>227.3</v>
      </c>
      <c r="F682" s="15" t="str">
        <f>IF($A682="","",PAYMENTS!F175)</f>
        <v>EFT</v>
      </c>
      <c r="G682" s="15" t="str">
        <f>IF($A682="","",PAYMENTS!G175)</f>
        <v>Term payment 8</v>
      </c>
    </row>
    <row r="683" spans="1:7" x14ac:dyDescent="0.3">
      <c r="A683" s="17" t="str">
        <f>IF(PAYMENTS!A176="","",PAYMENTS!A176)</f>
        <v>2026-09-20</v>
      </c>
      <c r="B683" s="15" t="str">
        <f>IF($A683="","",PAYMENTS!B176)</f>
        <v>MSH-R1175</v>
      </c>
      <c r="C683" s="15" t="str">
        <f>IF($A683="","",PAYMENTS!C176)</f>
        <v>MSH202610006</v>
      </c>
      <c r="D683" s="15" t="str">
        <f>IF($A683="","",PAYMENTS!D176)</f>
        <v>Lwazi Baloyi</v>
      </c>
      <c r="E683" s="16">
        <f>IF($A683="","",PAYMENTS!E176)</f>
        <v>120.28</v>
      </c>
      <c r="F683" s="15" t="str">
        <f>IF($A683="","",PAYMENTS!F176)</f>
        <v>Cash</v>
      </c>
      <c r="G683" s="15" t="str">
        <f>IF($A683="","",PAYMENTS!G176)</f>
        <v>Term payment 9</v>
      </c>
    </row>
    <row r="684" spans="1:7" x14ac:dyDescent="0.3">
      <c r="A684" s="17" t="str">
        <f>IF(PAYMENTS!A177="","",PAYMENTS!A177)</f>
        <v>2026-03-01</v>
      </c>
      <c r="B684" s="15" t="str">
        <f>IF($A684="","",PAYMENTS!B177)</f>
        <v>MSH-R1176</v>
      </c>
      <c r="C684" s="15" t="str">
        <f>IF($A684="","",PAYMENTS!C177)</f>
        <v>MSH202610007</v>
      </c>
      <c r="D684" s="15" t="str">
        <f>IF($A684="","",PAYMENTS!D177)</f>
        <v>Siyanda Mokoena</v>
      </c>
      <c r="E684" s="16">
        <f>IF($A684="","",PAYMENTS!E177)</f>
        <v>381.41</v>
      </c>
      <c r="F684" s="15" t="str">
        <f>IF($A684="","",PAYMENTS!F177)</f>
        <v>Card</v>
      </c>
      <c r="G684" s="15" t="str">
        <f>IF($A684="","",PAYMENTS!G177)</f>
        <v>Term payment 3</v>
      </c>
    </row>
    <row r="685" spans="1:7" x14ac:dyDescent="0.3">
      <c r="A685" s="17" t="str">
        <f>IF(PAYMENTS!A178="","",PAYMENTS!A178)</f>
        <v>2026-05-15</v>
      </c>
      <c r="B685" s="15" t="str">
        <f>IF($A685="","",PAYMENTS!B178)</f>
        <v>MSH-R1177</v>
      </c>
      <c r="C685" s="15" t="str">
        <f>IF($A685="","",PAYMENTS!C178)</f>
        <v>MSH202610007</v>
      </c>
      <c r="D685" s="15" t="str">
        <f>IF($A685="","",PAYMENTS!D178)</f>
        <v>Siyanda Mokoena</v>
      </c>
      <c r="E685" s="16">
        <f>IF($A685="","",PAYMENTS!E178)</f>
        <v>311.02</v>
      </c>
      <c r="F685" s="15" t="str">
        <f>IF($A685="","",PAYMENTS!F178)</f>
        <v>Cash</v>
      </c>
      <c r="G685" s="15" t="str">
        <f>IF($A685="","",PAYMENTS!G178)</f>
        <v>Term payment 5</v>
      </c>
    </row>
    <row r="686" spans="1:7" x14ac:dyDescent="0.3">
      <c r="A686" s="17" t="str">
        <f>IF(PAYMENTS!A179="","",PAYMENTS!A179)</f>
        <v>2026-06-20</v>
      </c>
      <c r="B686" s="15" t="str">
        <f>IF($A686="","",PAYMENTS!B179)</f>
        <v>MSH-R1178</v>
      </c>
      <c r="C686" s="15" t="str">
        <f>IF($A686="","",PAYMENTS!C179)</f>
        <v>MSH202610007</v>
      </c>
      <c r="D686" s="15" t="str">
        <f>IF($A686="","",PAYMENTS!D179)</f>
        <v>Siyanda Mokoena</v>
      </c>
      <c r="E686" s="16">
        <f>IF($A686="","",PAYMENTS!E179)</f>
        <v>296.19</v>
      </c>
      <c r="F686" s="15" t="str">
        <f>IF($A686="","",PAYMENTS!F179)</f>
        <v>EFT</v>
      </c>
      <c r="G686" s="15" t="str">
        <f>IF($A686="","",PAYMENTS!G179)</f>
        <v>Term payment 6</v>
      </c>
    </row>
    <row r="687" spans="1:7" x14ac:dyDescent="0.3">
      <c r="A687" s="17" t="str">
        <f>IF(PAYMENTS!A180="","",PAYMENTS!A180)</f>
        <v>2026-07-25</v>
      </c>
      <c r="B687" s="15" t="str">
        <f>IF($A687="","",PAYMENTS!B180)</f>
        <v>MSH-R1179</v>
      </c>
      <c r="C687" s="15" t="str">
        <f>IF($A687="","",PAYMENTS!C180)</f>
        <v>MSH202610007</v>
      </c>
      <c r="D687" s="15" t="str">
        <f>IF($A687="","",PAYMENTS!D180)</f>
        <v>Siyanda Mokoena</v>
      </c>
      <c r="E687" s="16">
        <f>IF($A687="","",PAYMENTS!E180)</f>
        <v>319.31</v>
      </c>
      <c r="F687" s="15" t="str">
        <f>IF($A687="","",PAYMENTS!F180)</f>
        <v>Cash</v>
      </c>
      <c r="G687" s="15" t="str">
        <f>IF($A687="","",PAYMENTS!G180)</f>
        <v>Term payment 7</v>
      </c>
    </row>
    <row r="688" spans="1:7" x14ac:dyDescent="0.3">
      <c r="A688" s="17" t="str">
        <f>IF(PAYMENTS!A181="","",PAYMENTS!A181)</f>
        <v>2026-08-05</v>
      </c>
      <c r="B688" s="15" t="str">
        <f>IF($A688="","",PAYMENTS!B181)</f>
        <v>MSH-R1180</v>
      </c>
      <c r="C688" s="15" t="str">
        <f>IF($A688="","",PAYMENTS!C181)</f>
        <v>MSH202610007</v>
      </c>
      <c r="D688" s="15" t="str">
        <f>IF($A688="","",PAYMENTS!D181)</f>
        <v>Siyanda Mokoena</v>
      </c>
      <c r="E688" s="16">
        <f>IF($A688="","",PAYMENTS!E181)</f>
        <v>268.91000000000003</v>
      </c>
      <c r="F688" s="15" t="str">
        <f>IF($A688="","",PAYMENTS!F181)</f>
        <v>Cash</v>
      </c>
      <c r="G688" s="15" t="str">
        <f>IF($A688="","",PAYMENTS!G181)</f>
        <v>Term payment 8</v>
      </c>
    </row>
    <row r="689" spans="1:7" x14ac:dyDescent="0.3">
      <c r="A689" s="17" t="str">
        <f>IF(PAYMENTS!A182="","",PAYMENTS!A182)</f>
        <v>2026-11-10</v>
      </c>
      <c r="B689" s="15" t="str">
        <f>IF($A689="","",PAYMENTS!B182)</f>
        <v>MSH-R1181</v>
      </c>
      <c r="C689" s="15" t="str">
        <f>IF($A689="","",PAYMENTS!C182)</f>
        <v>MSH202610007</v>
      </c>
      <c r="D689" s="15" t="str">
        <f>IF($A689="","",PAYMENTS!D182)</f>
        <v>Siyanda Mokoena</v>
      </c>
      <c r="E689" s="16">
        <f>IF($A689="","",PAYMENTS!E182)</f>
        <v>318.18</v>
      </c>
      <c r="F689" s="15" t="str">
        <f>IF($A689="","",PAYMENTS!F182)</f>
        <v>Card</v>
      </c>
      <c r="G689" s="15" t="str">
        <f>IF($A689="","",PAYMENTS!G182)</f>
        <v>Term payment 11</v>
      </c>
    </row>
    <row r="690" spans="1:7" x14ac:dyDescent="0.3">
      <c r="A690" s="17" t="str">
        <f>IF(PAYMENTS!A183="","",PAYMENTS!A183)</f>
        <v>2026-02-20</v>
      </c>
      <c r="B690" s="15" t="str">
        <f>IF($A690="","",PAYMENTS!B183)</f>
        <v>MSH-R1182</v>
      </c>
      <c r="C690" s="15" t="str">
        <f>IF($A690="","",PAYMENTS!C183)</f>
        <v>MSH202610008</v>
      </c>
      <c r="D690" s="15" t="str">
        <f>IF($A690="","",PAYMENTS!D183)</f>
        <v>Mpho Ngobeni</v>
      </c>
      <c r="E690" s="16">
        <f>IF($A690="","",PAYMENTS!E183)</f>
        <v>309.5</v>
      </c>
      <c r="F690" s="15" t="str">
        <f>IF($A690="","",PAYMENTS!F183)</f>
        <v>Cash</v>
      </c>
      <c r="G690" s="15" t="str">
        <f>IF($A690="","",PAYMENTS!G183)</f>
        <v>Term payment 2</v>
      </c>
    </row>
    <row r="691" spans="1:7" x14ac:dyDescent="0.3">
      <c r="A691" s="17" t="str">
        <f>IF(PAYMENTS!A184="","",PAYMENTS!A184)</f>
        <v>2026-03-01</v>
      </c>
      <c r="B691" s="15" t="str">
        <f>IF($A691="","",PAYMENTS!B184)</f>
        <v>MSH-R1183</v>
      </c>
      <c r="C691" s="15" t="str">
        <f>IF($A691="","",PAYMENTS!C184)</f>
        <v>MSH202610008</v>
      </c>
      <c r="D691" s="15" t="str">
        <f>IF($A691="","",PAYMENTS!D184)</f>
        <v>Mpho Ngobeni</v>
      </c>
      <c r="E691" s="16">
        <f>IF($A691="","",PAYMENTS!E184)</f>
        <v>324.89999999999998</v>
      </c>
      <c r="F691" s="15" t="str">
        <f>IF($A691="","",PAYMENTS!F184)</f>
        <v>Cash</v>
      </c>
      <c r="G691" s="15" t="str">
        <f>IF($A691="","",PAYMENTS!G184)</f>
        <v>Term payment 3</v>
      </c>
    </row>
    <row r="692" spans="1:7" x14ac:dyDescent="0.3">
      <c r="A692" s="17" t="str">
        <f>IF(PAYMENTS!A185="","",PAYMENTS!A185)</f>
        <v>2026-04-25</v>
      </c>
      <c r="B692" s="15" t="str">
        <f>IF($A692="","",PAYMENTS!B185)</f>
        <v>MSH-R1184</v>
      </c>
      <c r="C692" s="15" t="str">
        <f>IF($A692="","",PAYMENTS!C185)</f>
        <v>MSH202610008</v>
      </c>
      <c r="D692" s="15" t="str">
        <f>IF($A692="","",PAYMENTS!D185)</f>
        <v>Mpho Ngobeni</v>
      </c>
      <c r="E692" s="16">
        <f>IF($A692="","",PAYMENTS!E185)</f>
        <v>431.66</v>
      </c>
      <c r="F692" s="15" t="str">
        <f>IF($A692="","",PAYMENTS!F185)</f>
        <v>EFT</v>
      </c>
      <c r="G692" s="15" t="str">
        <f>IF($A692="","",PAYMENTS!G185)</f>
        <v>Term payment 4</v>
      </c>
    </row>
    <row r="693" spans="1:7" x14ac:dyDescent="0.3">
      <c r="A693" s="17" t="str">
        <f>IF(PAYMENTS!A186="","",PAYMENTS!A186)</f>
        <v>2026-05-25</v>
      </c>
      <c r="B693" s="15" t="str">
        <f>IF($A693="","",PAYMENTS!B186)</f>
        <v>MSH-R1185</v>
      </c>
      <c r="C693" s="15" t="str">
        <f>IF($A693="","",PAYMENTS!C186)</f>
        <v>MSH202610008</v>
      </c>
      <c r="D693" s="15" t="str">
        <f>IF($A693="","",PAYMENTS!D186)</f>
        <v>Mpho Ngobeni</v>
      </c>
      <c r="E693" s="16">
        <f>IF($A693="","",PAYMENTS!E186)</f>
        <v>276.06</v>
      </c>
      <c r="F693" s="15" t="str">
        <f>IF($A693="","",PAYMENTS!F186)</f>
        <v>Card</v>
      </c>
      <c r="G693" s="15" t="str">
        <f>IF($A693="","",PAYMENTS!G186)</f>
        <v>Term payment 5</v>
      </c>
    </row>
    <row r="694" spans="1:7" x14ac:dyDescent="0.3">
      <c r="A694" s="17" t="str">
        <f>IF(PAYMENTS!A187="","",PAYMENTS!A187)</f>
        <v>2026-07-10</v>
      </c>
      <c r="B694" s="15" t="str">
        <f>IF($A694="","",PAYMENTS!B187)</f>
        <v>MSH-R1186</v>
      </c>
      <c r="C694" s="15" t="str">
        <f>IF($A694="","",PAYMENTS!C187)</f>
        <v>MSH202610008</v>
      </c>
      <c r="D694" s="15" t="str">
        <f>IF($A694="","",PAYMENTS!D187)</f>
        <v>Mpho Ngobeni</v>
      </c>
      <c r="E694" s="16">
        <f>IF($A694="","",PAYMENTS!E187)</f>
        <v>311.66000000000003</v>
      </c>
      <c r="F694" s="15" t="str">
        <f>IF($A694="","",PAYMENTS!F187)</f>
        <v>EFT</v>
      </c>
      <c r="G694" s="15" t="str">
        <f>IF($A694="","",PAYMENTS!G187)</f>
        <v>Term payment 7</v>
      </c>
    </row>
    <row r="695" spans="1:7" x14ac:dyDescent="0.3">
      <c r="A695" s="17" t="str">
        <f>IF(PAYMENTS!A188="","",PAYMENTS!A188)</f>
        <v>2026-10-15</v>
      </c>
      <c r="B695" s="15" t="str">
        <f>IF($A695="","",PAYMENTS!B188)</f>
        <v>MSH-R1187</v>
      </c>
      <c r="C695" s="15" t="str">
        <f>IF($A695="","",PAYMENTS!C188)</f>
        <v>MSH202610008</v>
      </c>
      <c r="D695" s="15" t="str">
        <f>IF($A695="","",PAYMENTS!D188)</f>
        <v>Mpho Ngobeni</v>
      </c>
      <c r="E695" s="16">
        <f>IF($A695="","",PAYMENTS!E188)</f>
        <v>262.19</v>
      </c>
      <c r="F695" s="15" t="str">
        <f>IF($A695="","",PAYMENTS!F188)</f>
        <v>Card</v>
      </c>
      <c r="G695" s="15" t="str">
        <f>IF($A695="","",PAYMENTS!G188)</f>
        <v>Term payment 10</v>
      </c>
    </row>
    <row r="696" spans="1:7" x14ac:dyDescent="0.3">
      <c r="A696" s="17" t="str">
        <f>IF(PAYMENTS!A189="","",PAYMENTS!A189)</f>
        <v>2026-11-05</v>
      </c>
      <c r="B696" s="15" t="str">
        <f>IF($A696="","",PAYMENTS!B189)</f>
        <v>MSH-R1188</v>
      </c>
      <c r="C696" s="15" t="str">
        <f>IF($A696="","",PAYMENTS!C189)</f>
        <v>MSH202610008</v>
      </c>
      <c r="D696" s="15" t="str">
        <f>IF($A696="","",PAYMENTS!D189)</f>
        <v>Mpho Ngobeni</v>
      </c>
      <c r="E696" s="16">
        <f>IF($A696="","",PAYMENTS!E189)</f>
        <v>302.47000000000003</v>
      </c>
      <c r="F696" s="15" t="str">
        <f>IF($A696="","",PAYMENTS!F189)</f>
        <v>Card</v>
      </c>
      <c r="G696" s="15" t="str">
        <f>IF($A696="","",PAYMENTS!G189)</f>
        <v>Term payment 11</v>
      </c>
    </row>
    <row r="697" spans="1:7" x14ac:dyDescent="0.3">
      <c r="A697" s="17" t="str">
        <f>IF(PAYMENTS!A190="","",PAYMENTS!A190)</f>
        <v>2026-02-10</v>
      </c>
      <c r="B697" s="15" t="str">
        <f>IF($A697="","",PAYMENTS!B190)</f>
        <v>MSH-R1189</v>
      </c>
      <c r="C697" s="15" t="str">
        <f>IF($A697="","",PAYMENTS!C190)</f>
        <v>MSH202610009</v>
      </c>
      <c r="D697" s="15" t="str">
        <f>IF($A697="","",PAYMENTS!D190)</f>
        <v>Naledi Makhubela</v>
      </c>
      <c r="E697" s="16">
        <f>IF($A697="","",PAYMENTS!E190)</f>
        <v>238.15</v>
      </c>
      <c r="F697" s="15" t="str">
        <f>IF($A697="","",PAYMENTS!F190)</f>
        <v>Card</v>
      </c>
      <c r="G697" s="15" t="str">
        <f>IF($A697="","",PAYMENTS!G190)</f>
        <v>Term payment 2</v>
      </c>
    </row>
    <row r="698" spans="1:7" x14ac:dyDescent="0.3">
      <c r="A698" s="17" t="str">
        <f>IF(PAYMENTS!A191="","",PAYMENTS!A191)</f>
        <v>2026-03-20</v>
      </c>
      <c r="B698" s="15" t="str">
        <f>IF($A698="","",PAYMENTS!B191)</f>
        <v>MSH-R1190</v>
      </c>
      <c r="C698" s="15" t="str">
        <f>IF($A698="","",PAYMENTS!C191)</f>
        <v>MSH202610009</v>
      </c>
      <c r="D698" s="15" t="str">
        <f>IF($A698="","",PAYMENTS!D191)</f>
        <v>Naledi Makhubela</v>
      </c>
      <c r="E698" s="16">
        <f>IF($A698="","",PAYMENTS!E191)</f>
        <v>284.81</v>
      </c>
      <c r="F698" s="15" t="str">
        <f>IF($A698="","",PAYMENTS!F191)</f>
        <v>EFT</v>
      </c>
      <c r="G698" s="15" t="str">
        <f>IF($A698="","",PAYMENTS!G191)</f>
        <v>Term payment 3</v>
      </c>
    </row>
    <row r="699" spans="1:7" x14ac:dyDescent="0.3">
      <c r="A699" s="17" t="str">
        <f>IF(PAYMENTS!A192="","",PAYMENTS!A192)</f>
        <v>2026-04-05</v>
      </c>
      <c r="B699" s="15" t="str">
        <f>IF($A699="","",PAYMENTS!B192)</f>
        <v>MSH-R1191</v>
      </c>
      <c r="C699" s="15" t="str">
        <f>IF($A699="","",PAYMENTS!C192)</f>
        <v>MSH202610009</v>
      </c>
      <c r="D699" s="15" t="str">
        <f>IF($A699="","",PAYMENTS!D192)</f>
        <v>Naledi Makhubela</v>
      </c>
      <c r="E699" s="16">
        <f>IF($A699="","",PAYMENTS!E192)</f>
        <v>190.36</v>
      </c>
      <c r="F699" s="15" t="str">
        <f>IF($A699="","",PAYMENTS!F192)</f>
        <v>EFT</v>
      </c>
      <c r="G699" s="15" t="str">
        <f>IF($A699="","",PAYMENTS!G192)</f>
        <v>Term payment 4</v>
      </c>
    </row>
    <row r="700" spans="1:7" x14ac:dyDescent="0.3">
      <c r="A700" s="17" t="str">
        <f>IF(PAYMENTS!A193="","",PAYMENTS!A193)</f>
        <v>2026-05-10</v>
      </c>
      <c r="B700" s="15" t="str">
        <f>IF($A700="","",PAYMENTS!B193)</f>
        <v>MSH-R1192</v>
      </c>
      <c r="C700" s="15" t="str">
        <f>IF($A700="","",PAYMENTS!C193)</f>
        <v>MSH202610009</v>
      </c>
      <c r="D700" s="15" t="str">
        <f>IF($A700="","",PAYMENTS!D193)</f>
        <v>Naledi Makhubela</v>
      </c>
      <c r="E700" s="16">
        <f>IF($A700="","",PAYMENTS!E193)</f>
        <v>170.85</v>
      </c>
      <c r="F700" s="15" t="str">
        <f>IF($A700="","",PAYMENTS!F193)</f>
        <v>Card</v>
      </c>
      <c r="G700" s="15" t="str">
        <f>IF($A700="","",PAYMENTS!G193)</f>
        <v>Term payment 5</v>
      </c>
    </row>
    <row r="701" spans="1:7" x14ac:dyDescent="0.3">
      <c r="A701" s="17" t="str">
        <f>IF(PAYMENTS!A194="","",PAYMENTS!A194)</f>
        <v>2026-06-15</v>
      </c>
      <c r="B701" s="15" t="str">
        <f>IF($A701="","",PAYMENTS!B194)</f>
        <v>MSH-R1193</v>
      </c>
      <c r="C701" s="15" t="str">
        <f>IF($A701="","",PAYMENTS!C194)</f>
        <v>MSH202610009</v>
      </c>
      <c r="D701" s="15" t="str">
        <f>IF($A701="","",PAYMENTS!D194)</f>
        <v>Naledi Makhubela</v>
      </c>
      <c r="E701" s="16">
        <f>IF($A701="","",PAYMENTS!E194)</f>
        <v>191.86</v>
      </c>
      <c r="F701" s="15" t="str">
        <f>IF($A701="","",PAYMENTS!F194)</f>
        <v>EFT</v>
      </c>
      <c r="G701" s="15" t="str">
        <f>IF($A701="","",PAYMENTS!G194)</f>
        <v>Term payment 6</v>
      </c>
    </row>
    <row r="702" spans="1:7" x14ac:dyDescent="0.3">
      <c r="A702" s="17" t="str">
        <f>IF(PAYMENTS!A195="","",PAYMENTS!A195)</f>
        <v>2026-08-05</v>
      </c>
      <c r="B702" s="15" t="str">
        <f>IF($A702="","",PAYMENTS!B195)</f>
        <v>MSH-R1194</v>
      </c>
      <c r="C702" s="15" t="str">
        <f>IF($A702="","",PAYMENTS!C195)</f>
        <v>MSH202610009</v>
      </c>
      <c r="D702" s="15" t="str">
        <f>IF($A702="","",PAYMENTS!D195)</f>
        <v>Naledi Makhubela</v>
      </c>
      <c r="E702" s="16">
        <f>IF($A702="","",PAYMENTS!E195)</f>
        <v>281.70999999999998</v>
      </c>
      <c r="F702" s="15" t="str">
        <f>IF($A702="","",PAYMENTS!F195)</f>
        <v>Cash</v>
      </c>
      <c r="G702" s="15" t="str">
        <f>IF($A702="","",PAYMENTS!G195)</f>
        <v>Term payment 8</v>
      </c>
    </row>
    <row r="703" spans="1:7" x14ac:dyDescent="0.3">
      <c r="A703" s="17" t="str">
        <f>IF(PAYMENTS!A196="","",PAYMENTS!A196)</f>
        <v>2026-09-20</v>
      </c>
      <c r="B703" s="15" t="str">
        <f>IF($A703="","",PAYMENTS!B196)</f>
        <v>MSH-R1195</v>
      </c>
      <c r="C703" s="15" t="str">
        <f>IF($A703="","",PAYMENTS!C196)</f>
        <v>MSH202610009</v>
      </c>
      <c r="D703" s="15" t="str">
        <f>IF($A703="","",PAYMENTS!D196)</f>
        <v>Naledi Makhubela</v>
      </c>
      <c r="E703" s="16">
        <f>IF($A703="","",PAYMENTS!E196)</f>
        <v>179.49</v>
      </c>
      <c r="F703" s="15" t="str">
        <f>IF($A703="","",PAYMENTS!F196)</f>
        <v>EFT</v>
      </c>
      <c r="G703" s="15" t="str">
        <f>IF($A703="","",PAYMENTS!G196)</f>
        <v>Term payment 9</v>
      </c>
    </row>
    <row r="704" spans="1:7" x14ac:dyDescent="0.3">
      <c r="A704" s="17" t="str">
        <f>IF(PAYMENTS!A197="","",PAYMENTS!A197)</f>
        <v>2026-11-01</v>
      </c>
      <c r="B704" s="15" t="str">
        <f>IF($A704="","",PAYMENTS!B197)</f>
        <v>MSH-R1196</v>
      </c>
      <c r="C704" s="15" t="str">
        <f>IF($A704="","",PAYMENTS!C197)</f>
        <v>MSH202610009</v>
      </c>
      <c r="D704" s="15" t="str">
        <f>IF($A704="","",PAYMENTS!D197)</f>
        <v>Naledi Makhubela</v>
      </c>
      <c r="E704" s="16">
        <f>IF($A704="","",PAYMENTS!E197)</f>
        <v>168.41</v>
      </c>
      <c r="F704" s="15" t="str">
        <f>IF($A704="","",PAYMENTS!F197)</f>
        <v>EFT</v>
      </c>
      <c r="G704" s="15" t="str">
        <f>IF($A704="","",PAYMENTS!G197)</f>
        <v>Term payment 11</v>
      </c>
    </row>
    <row r="705" spans="1:7" x14ac:dyDescent="0.3">
      <c r="A705" s="17" t="str">
        <f>IF(PAYMENTS!A198="","",PAYMENTS!A198)</f>
        <v>2026-02-01</v>
      </c>
      <c r="B705" s="15" t="str">
        <f>IF($A705="","",PAYMENTS!B198)</f>
        <v>MSH-R1197</v>
      </c>
      <c r="C705" s="15" t="str">
        <f>IF($A705="","",PAYMENTS!C198)</f>
        <v>MSH202610010</v>
      </c>
      <c r="D705" s="15" t="str">
        <f>IF($A705="","",PAYMENTS!D198)</f>
        <v>Kgothatso Mokoena</v>
      </c>
      <c r="E705" s="16">
        <f>IF($A705="","",PAYMENTS!E198)</f>
        <v>263.49</v>
      </c>
      <c r="F705" s="15" t="str">
        <f>IF($A705="","",PAYMENTS!F198)</f>
        <v>EFT</v>
      </c>
      <c r="G705" s="15" t="str">
        <f>IF($A705="","",PAYMENTS!G198)</f>
        <v>Term payment 2</v>
      </c>
    </row>
    <row r="706" spans="1:7" x14ac:dyDescent="0.3">
      <c r="A706" s="17" t="str">
        <f>IF(PAYMENTS!A199="","",PAYMENTS!A199)</f>
        <v>2026-03-01</v>
      </c>
      <c r="B706" s="15" t="str">
        <f>IF($A706="","",PAYMENTS!B199)</f>
        <v>MSH-R1198</v>
      </c>
      <c r="C706" s="15" t="str">
        <f>IF($A706="","",PAYMENTS!C199)</f>
        <v>MSH202610010</v>
      </c>
      <c r="D706" s="15" t="str">
        <f>IF($A706="","",PAYMENTS!D199)</f>
        <v>Kgothatso Mokoena</v>
      </c>
      <c r="E706" s="16">
        <f>IF($A706="","",PAYMENTS!E199)</f>
        <v>203.94</v>
      </c>
      <c r="F706" s="15" t="str">
        <f>IF($A706="","",PAYMENTS!F199)</f>
        <v>EFT</v>
      </c>
      <c r="G706" s="15" t="str">
        <f>IF($A706="","",PAYMENTS!G199)</f>
        <v>Term payment 3</v>
      </c>
    </row>
    <row r="707" spans="1:7" x14ac:dyDescent="0.3">
      <c r="A707" s="17" t="str">
        <f>IF(PAYMENTS!A200="","",PAYMENTS!A200)</f>
        <v>2026-04-01</v>
      </c>
      <c r="B707" s="15" t="str">
        <f>IF($A707="","",PAYMENTS!B200)</f>
        <v>MSH-R1199</v>
      </c>
      <c r="C707" s="15" t="str">
        <f>IF($A707="","",PAYMENTS!C200)</f>
        <v>MSH202610010</v>
      </c>
      <c r="D707" s="15" t="str">
        <f>IF($A707="","",PAYMENTS!D200)</f>
        <v>Kgothatso Mokoena</v>
      </c>
      <c r="E707" s="16">
        <f>IF($A707="","",PAYMENTS!E200)</f>
        <v>237.54</v>
      </c>
      <c r="F707" s="15" t="str">
        <f>IF($A707="","",PAYMENTS!F200)</f>
        <v>EFT</v>
      </c>
      <c r="G707" s="15" t="str">
        <f>IF($A707="","",PAYMENTS!G200)</f>
        <v>Term payment 4</v>
      </c>
    </row>
    <row r="708" spans="1:7" x14ac:dyDescent="0.3">
      <c r="A708" s="17" t="str">
        <f>IF(PAYMENTS!A201="","",PAYMENTS!A201)</f>
        <v>2026-06-25</v>
      </c>
      <c r="B708" s="15" t="str">
        <f>IF($A708="","",PAYMENTS!B201)</f>
        <v>MSH-R1200</v>
      </c>
      <c r="C708" s="15" t="str">
        <f>IF($A708="","",PAYMENTS!C201)</f>
        <v>MSH202610010</v>
      </c>
      <c r="D708" s="15" t="str">
        <f>IF($A708="","",PAYMENTS!D201)</f>
        <v>Kgothatso Mokoena</v>
      </c>
      <c r="E708" s="16">
        <f>IF($A708="","",PAYMENTS!E201)</f>
        <v>279.86</v>
      </c>
      <c r="F708" s="15" t="str">
        <f>IF($A708="","",PAYMENTS!F201)</f>
        <v>Cash</v>
      </c>
      <c r="G708" s="15" t="str">
        <f>IF($A708="","",PAYMENTS!G201)</f>
        <v>Term payment 6</v>
      </c>
    </row>
    <row r="709" spans="1:7" x14ac:dyDescent="0.3">
      <c r="A709" s="17" t="str">
        <f>IF(PAYMENTS!A202="","",PAYMENTS!A202)</f>
        <v>2026-08-15</v>
      </c>
      <c r="B709" s="15" t="str">
        <f>IF($A709="","",PAYMENTS!B202)</f>
        <v>MSH-R1201</v>
      </c>
      <c r="C709" s="15" t="str">
        <f>IF($A709="","",PAYMENTS!C202)</f>
        <v>MSH202610010</v>
      </c>
      <c r="D709" s="15" t="str">
        <f>IF($A709="","",PAYMENTS!D202)</f>
        <v>Kgothatso Mokoena</v>
      </c>
      <c r="E709" s="16">
        <f>IF($A709="","",PAYMENTS!E202)</f>
        <v>247.64</v>
      </c>
      <c r="F709" s="15" t="str">
        <f>IF($A709="","",PAYMENTS!F202)</f>
        <v>EFT</v>
      </c>
      <c r="G709" s="15" t="str">
        <f>IF($A709="","",PAYMENTS!G202)</f>
        <v>Term payment 8</v>
      </c>
    </row>
    <row r="710" spans="1:7" x14ac:dyDescent="0.3">
      <c r="A710" s="17" t="str">
        <f>IF(PAYMENTS!A203="","",PAYMENTS!A203)</f>
        <v>2026-09-10</v>
      </c>
      <c r="B710" s="15" t="str">
        <f>IF($A710="","",PAYMENTS!B203)</f>
        <v>MSH-R1202</v>
      </c>
      <c r="C710" s="15" t="str">
        <f>IF($A710="","",PAYMENTS!C203)</f>
        <v>MSH202610010</v>
      </c>
      <c r="D710" s="15" t="str">
        <f>IF($A710="","",PAYMENTS!D203)</f>
        <v>Kgothatso Mokoena</v>
      </c>
      <c r="E710" s="16">
        <f>IF($A710="","",PAYMENTS!E203)</f>
        <v>220.58</v>
      </c>
      <c r="F710" s="15" t="str">
        <f>IF($A710="","",PAYMENTS!F203)</f>
        <v>EFT</v>
      </c>
      <c r="G710" s="15" t="str">
        <f>IF($A710="","",PAYMENTS!G203)</f>
        <v>Term payment 9</v>
      </c>
    </row>
    <row r="711" spans="1:7" x14ac:dyDescent="0.3">
      <c r="A711" s="17" t="str">
        <f>IF(PAYMENTS!A204="","",PAYMENTS!A204)</f>
        <v>2026-10-25</v>
      </c>
      <c r="B711" s="15" t="str">
        <f>IF($A711="","",PAYMENTS!B204)</f>
        <v>MSH-R1203</v>
      </c>
      <c r="C711" s="15" t="str">
        <f>IF($A711="","",PAYMENTS!C204)</f>
        <v>MSH202610010</v>
      </c>
      <c r="D711" s="15" t="str">
        <f>IF($A711="","",PAYMENTS!D204)</f>
        <v>Kgothatso Mokoena</v>
      </c>
      <c r="E711" s="16">
        <f>IF($A711="","",PAYMENTS!E204)</f>
        <v>127.73</v>
      </c>
      <c r="F711" s="15" t="str">
        <f>IF($A711="","",PAYMENTS!F204)</f>
        <v>EFT</v>
      </c>
      <c r="G711" s="15" t="str">
        <f>IF($A711="","",PAYMENTS!G204)</f>
        <v>Term payment 10</v>
      </c>
    </row>
    <row r="712" spans="1:7" x14ac:dyDescent="0.3">
      <c r="A712" s="17" t="str">
        <f>IF(PAYMENTS!A205="","",PAYMENTS!A205)</f>
        <v>2026-02-25</v>
      </c>
      <c r="B712" s="15" t="str">
        <f>IF($A712="","",PAYMENTS!B205)</f>
        <v>MSH-R1204</v>
      </c>
      <c r="C712" s="15" t="str">
        <f>IF($A712="","",PAYMENTS!C205)</f>
        <v>MSH202610011</v>
      </c>
      <c r="D712" s="15" t="str">
        <f>IF($A712="","",PAYMENTS!D205)</f>
        <v>Bongani Makhubela</v>
      </c>
      <c r="E712" s="16">
        <f>IF($A712="","",PAYMENTS!E205)</f>
        <v>389.11</v>
      </c>
      <c r="F712" s="15" t="str">
        <f>IF($A712="","",PAYMENTS!F205)</f>
        <v>EFT</v>
      </c>
      <c r="G712" s="15" t="str">
        <f>IF($A712="","",PAYMENTS!G205)</f>
        <v>Term payment 2</v>
      </c>
    </row>
    <row r="713" spans="1:7" x14ac:dyDescent="0.3">
      <c r="A713" s="17" t="str">
        <f>IF(PAYMENTS!A206="","",PAYMENTS!A206)</f>
        <v>2026-05-05</v>
      </c>
      <c r="B713" s="15" t="str">
        <f>IF($A713="","",PAYMENTS!B206)</f>
        <v>MSH-R1205</v>
      </c>
      <c r="C713" s="15" t="str">
        <f>IF($A713="","",PAYMENTS!C206)</f>
        <v>MSH202610011</v>
      </c>
      <c r="D713" s="15" t="str">
        <f>IF($A713="","",PAYMENTS!D206)</f>
        <v>Bongani Makhubela</v>
      </c>
      <c r="E713" s="16">
        <f>IF($A713="","",PAYMENTS!E206)</f>
        <v>407.07</v>
      </c>
      <c r="F713" s="15" t="str">
        <f>IF($A713="","",PAYMENTS!F206)</f>
        <v>EFT</v>
      </c>
      <c r="G713" s="15" t="str">
        <f>IF($A713="","",PAYMENTS!G206)</f>
        <v>Term payment 5</v>
      </c>
    </row>
    <row r="714" spans="1:7" x14ac:dyDescent="0.3">
      <c r="A714" s="17" t="str">
        <f>IF(PAYMENTS!A207="","",PAYMENTS!A207)</f>
        <v>2026-06-01</v>
      </c>
      <c r="B714" s="15" t="str">
        <f>IF($A714="","",PAYMENTS!B207)</f>
        <v>MSH-R1206</v>
      </c>
      <c r="C714" s="15" t="str">
        <f>IF($A714="","",PAYMENTS!C207)</f>
        <v>MSH202610011</v>
      </c>
      <c r="D714" s="15" t="str">
        <f>IF($A714="","",PAYMENTS!D207)</f>
        <v>Bongani Makhubela</v>
      </c>
      <c r="E714" s="16">
        <f>IF($A714="","",PAYMENTS!E207)</f>
        <v>410.99</v>
      </c>
      <c r="F714" s="15" t="str">
        <f>IF($A714="","",PAYMENTS!F207)</f>
        <v>Card</v>
      </c>
      <c r="G714" s="15" t="str">
        <f>IF($A714="","",PAYMENTS!G207)</f>
        <v>Term payment 6</v>
      </c>
    </row>
    <row r="715" spans="1:7" x14ac:dyDescent="0.3">
      <c r="A715" s="17" t="str">
        <f>IF(PAYMENTS!A208="","",PAYMENTS!A208)</f>
        <v>2026-07-01</v>
      </c>
      <c r="B715" s="15" t="str">
        <f>IF($A715="","",PAYMENTS!B208)</f>
        <v>MSH-R1207</v>
      </c>
      <c r="C715" s="15" t="str">
        <f>IF($A715="","",PAYMENTS!C208)</f>
        <v>MSH202610011</v>
      </c>
      <c r="D715" s="15" t="str">
        <f>IF($A715="","",PAYMENTS!D208)</f>
        <v>Bongani Makhubela</v>
      </c>
      <c r="E715" s="16">
        <f>IF($A715="","",PAYMENTS!E208)</f>
        <v>319.77999999999997</v>
      </c>
      <c r="F715" s="15" t="str">
        <f>IF($A715="","",PAYMENTS!F208)</f>
        <v>Card</v>
      </c>
      <c r="G715" s="15" t="str">
        <f>IF($A715="","",PAYMENTS!G208)</f>
        <v>Term payment 7</v>
      </c>
    </row>
    <row r="716" spans="1:7" x14ac:dyDescent="0.3">
      <c r="A716" s="17" t="str">
        <f>IF(PAYMENTS!A209="","",PAYMENTS!A209)</f>
        <v>2026-08-10</v>
      </c>
      <c r="B716" s="15" t="str">
        <f>IF($A716="","",PAYMENTS!B209)</f>
        <v>MSH-R1208</v>
      </c>
      <c r="C716" s="15" t="str">
        <f>IF($A716="","",PAYMENTS!C209)</f>
        <v>MSH202610011</v>
      </c>
      <c r="D716" s="15" t="str">
        <f>IF($A716="","",PAYMENTS!D209)</f>
        <v>Bongani Makhubela</v>
      </c>
      <c r="E716" s="16">
        <f>IF($A716="","",PAYMENTS!E209)</f>
        <v>452.19</v>
      </c>
      <c r="F716" s="15" t="str">
        <f>IF($A716="","",PAYMENTS!F209)</f>
        <v>Cash</v>
      </c>
      <c r="G716" s="15" t="str">
        <f>IF($A716="","",PAYMENTS!G209)</f>
        <v>Term payment 8</v>
      </c>
    </row>
    <row r="717" spans="1:7" x14ac:dyDescent="0.3">
      <c r="A717" s="17" t="str">
        <f>IF(PAYMENTS!A210="","",PAYMENTS!A210)</f>
        <v>2026-09-10</v>
      </c>
      <c r="B717" s="15" t="str">
        <f>IF($A717="","",PAYMENTS!B210)</f>
        <v>MSH-R1209</v>
      </c>
      <c r="C717" s="15" t="str">
        <f>IF($A717="","",PAYMENTS!C210)</f>
        <v>MSH202610011</v>
      </c>
      <c r="D717" s="15" t="str">
        <f>IF($A717="","",PAYMENTS!D210)</f>
        <v>Bongani Makhubela</v>
      </c>
      <c r="E717" s="16">
        <f>IF($A717="","",PAYMENTS!E210)</f>
        <v>421.29</v>
      </c>
      <c r="F717" s="15" t="str">
        <f>IF($A717="","",PAYMENTS!F210)</f>
        <v>EFT</v>
      </c>
      <c r="G717" s="15" t="str">
        <f>IF($A717="","",PAYMENTS!G210)</f>
        <v>Term payment 9</v>
      </c>
    </row>
    <row r="718" spans="1:7" x14ac:dyDescent="0.3">
      <c r="A718" s="17" t="str">
        <f>IF(PAYMENTS!A211="","",PAYMENTS!A211)</f>
        <v>2026-10-10</v>
      </c>
      <c r="B718" s="15" t="str">
        <f>IF($A718="","",PAYMENTS!B211)</f>
        <v>MSH-R1210</v>
      </c>
      <c r="C718" s="15" t="str">
        <f>IF($A718="","",PAYMENTS!C211)</f>
        <v>MSH202610011</v>
      </c>
      <c r="D718" s="15" t="str">
        <f>IF($A718="","",PAYMENTS!D211)</f>
        <v>Bongani Makhubela</v>
      </c>
      <c r="E718" s="16">
        <f>IF($A718="","",PAYMENTS!E211)</f>
        <v>299.95</v>
      </c>
      <c r="F718" s="15" t="str">
        <f>IF($A718="","",PAYMENTS!F211)</f>
        <v>Cash</v>
      </c>
      <c r="G718" s="15" t="str">
        <f>IF($A718="","",PAYMENTS!G211)</f>
        <v>Term payment 10</v>
      </c>
    </row>
    <row r="719" spans="1:7" x14ac:dyDescent="0.3">
      <c r="A719" s="17" t="str">
        <f>IF(PAYMENTS!A212="","",PAYMENTS!A212)</f>
        <v>2026-11-05</v>
      </c>
      <c r="B719" s="15" t="str">
        <f>IF($A719="","",PAYMENTS!B212)</f>
        <v>MSH-R1211</v>
      </c>
      <c r="C719" s="15" t="str">
        <f>IF($A719="","",PAYMENTS!C212)</f>
        <v>MSH202610011</v>
      </c>
      <c r="D719" s="15" t="str">
        <f>IF($A719="","",PAYMENTS!D212)</f>
        <v>Bongani Makhubela</v>
      </c>
      <c r="E719" s="16">
        <f>IF($A719="","",PAYMENTS!E212)</f>
        <v>344.98</v>
      </c>
      <c r="F719" s="15" t="str">
        <f>IF($A719="","",PAYMENTS!F212)</f>
        <v>Card</v>
      </c>
      <c r="G719" s="15" t="str">
        <f>IF($A719="","",PAYMENTS!G212)</f>
        <v>Term payment 11</v>
      </c>
    </row>
    <row r="720" spans="1:7" x14ac:dyDescent="0.3">
      <c r="A720" s="17" t="str">
        <f>IF(PAYMENTS!A213="","",PAYMENTS!A213)</f>
        <v>2026-03-20</v>
      </c>
      <c r="B720" s="15" t="str">
        <f>IF($A720="","",PAYMENTS!B213)</f>
        <v>MSH-R1212</v>
      </c>
      <c r="C720" s="15" t="str">
        <f>IF($A720="","",PAYMENTS!C213)</f>
        <v>MSH202610012</v>
      </c>
      <c r="D720" s="15" t="str">
        <f>IF($A720="","",PAYMENTS!D213)</f>
        <v>Kagiso Kekana</v>
      </c>
      <c r="E720" s="16">
        <f>IF($A720="","",PAYMENTS!E213)</f>
        <v>230.82</v>
      </c>
      <c r="F720" s="15" t="str">
        <f>IF($A720="","",PAYMENTS!F213)</f>
        <v>EFT</v>
      </c>
      <c r="G720" s="15" t="str">
        <f>IF($A720="","",PAYMENTS!G213)</f>
        <v>Term payment 3</v>
      </c>
    </row>
    <row r="721" spans="1:7" x14ac:dyDescent="0.3">
      <c r="A721" s="17" t="str">
        <f>IF(PAYMENTS!A214="","",PAYMENTS!A214)</f>
        <v>2026-04-20</v>
      </c>
      <c r="B721" s="15" t="str">
        <f>IF($A721="","",PAYMENTS!B214)</f>
        <v>MSH-R1213</v>
      </c>
      <c r="C721" s="15" t="str">
        <f>IF($A721="","",PAYMENTS!C214)</f>
        <v>MSH202610012</v>
      </c>
      <c r="D721" s="15" t="str">
        <f>IF($A721="","",PAYMENTS!D214)</f>
        <v>Kagiso Kekana</v>
      </c>
      <c r="E721" s="16">
        <f>IF($A721="","",PAYMENTS!E214)</f>
        <v>138.47</v>
      </c>
      <c r="F721" s="15" t="str">
        <f>IF($A721="","",PAYMENTS!F214)</f>
        <v>EFT</v>
      </c>
      <c r="G721" s="15" t="str">
        <f>IF($A721="","",PAYMENTS!G214)</f>
        <v>Term payment 4</v>
      </c>
    </row>
    <row r="722" spans="1:7" x14ac:dyDescent="0.3">
      <c r="A722" s="17" t="str">
        <f>IF(PAYMENTS!A215="","",PAYMENTS!A215)</f>
        <v>2026-05-25</v>
      </c>
      <c r="B722" s="15" t="str">
        <f>IF($A722="","",PAYMENTS!B215)</f>
        <v>MSH-R1214</v>
      </c>
      <c r="C722" s="15" t="str">
        <f>IF($A722="","",PAYMENTS!C215)</f>
        <v>MSH202610012</v>
      </c>
      <c r="D722" s="15" t="str">
        <f>IF($A722="","",PAYMENTS!D215)</f>
        <v>Kagiso Kekana</v>
      </c>
      <c r="E722" s="16">
        <f>IF($A722="","",PAYMENTS!E215)</f>
        <v>157.43</v>
      </c>
      <c r="F722" s="15" t="str">
        <f>IF($A722="","",PAYMENTS!F215)</f>
        <v>EFT</v>
      </c>
      <c r="G722" s="15" t="str">
        <f>IF($A722="","",PAYMENTS!G215)</f>
        <v>Term payment 5</v>
      </c>
    </row>
    <row r="723" spans="1:7" x14ac:dyDescent="0.3">
      <c r="A723" s="17" t="str">
        <f>IF(PAYMENTS!A216="","",PAYMENTS!A216)</f>
        <v>2026-06-25</v>
      </c>
      <c r="B723" s="15" t="str">
        <f>IF($A723="","",PAYMENTS!B216)</f>
        <v>MSH-R1215</v>
      </c>
      <c r="C723" s="15" t="str">
        <f>IF($A723="","",PAYMENTS!C216)</f>
        <v>MSH202610012</v>
      </c>
      <c r="D723" s="15" t="str">
        <f>IF($A723="","",PAYMENTS!D216)</f>
        <v>Kagiso Kekana</v>
      </c>
      <c r="E723" s="16">
        <f>IF($A723="","",PAYMENTS!E216)</f>
        <v>115.61</v>
      </c>
      <c r="F723" s="15" t="str">
        <f>IF($A723="","",PAYMENTS!F216)</f>
        <v>EFT</v>
      </c>
      <c r="G723" s="15" t="str">
        <f>IF($A723="","",PAYMENTS!G216)</f>
        <v>Term payment 6</v>
      </c>
    </row>
    <row r="724" spans="1:7" x14ac:dyDescent="0.3">
      <c r="A724" s="17" t="str">
        <f>IF(PAYMENTS!A217="","",PAYMENTS!A217)</f>
        <v>2026-11-10</v>
      </c>
      <c r="B724" s="15" t="str">
        <f>IF($A724="","",PAYMENTS!B217)</f>
        <v>MSH-R1216</v>
      </c>
      <c r="C724" s="15" t="str">
        <f>IF($A724="","",PAYMENTS!C217)</f>
        <v>MSH202610012</v>
      </c>
      <c r="D724" s="15" t="str">
        <f>IF($A724="","",PAYMENTS!D217)</f>
        <v>Kagiso Kekana</v>
      </c>
      <c r="E724" s="16">
        <f>IF($A724="","",PAYMENTS!E217)</f>
        <v>229.87</v>
      </c>
      <c r="F724" s="15" t="str">
        <f>IF($A724="","",PAYMENTS!F217)</f>
        <v>Cash</v>
      </c>
      <c r="G724" s="15" t="str">
        <f>IF($A724="","",PAYMENTS!G217)</f>
        <v>Term payment 11</v>
      </c>
    </row>
    <row r="725" spans="1:7" x14ac:dyDescent="0.3">
      <c r="A725" s="17" t="str">
        <f>IF(PAYMENTS!A218="","",PAYMENTS!A218)</f>
        <v>2026-06-15</v>
      </c>
      <c r="B725" s="15" t="str">
        <f>IF($A725="","",PAYMENTS!B218)</f>
        <v>MSH-R1217</v>
      </c>
      <c r="C725" s="15" t="str">
        <f>IF($A725="","",PAYMENTS!C218)</f>
        <v>MSH202611001</v>
      </c>
      <c r="D725" s="15" t="str">
        <f>IF($A725="","",PAYMENTS!D218)</f>
        <v>Lwazi Makhubela</v>
      </c>
      <c r="E725" s="16">
        <f>IF($A725="","",PAYMENTS!E218)</f>
        <v>232.04</v>
      </c>
      <c r="F725" s="15" t="str">
        <f>IF($A725="","",PAYMENTS!F218)</f>
        <v>EFT</v>
      </c>
      <c r="G725" s="15" t="str">
        <f>IF($A725="","",PAYMENTS!G218)</f>
        <v>Term payment 6</v>
      </c>
    </row>
    <row r="726" spans="1:7" x14ac:dyDescent="0.3">
      <c r="A726" s="17" t="str">
        <f>IF(PAYMENTS!A219="","",PAYMENTS!A219)</f>
        <v>2026-07-10</v>
      </c>
      <c r="B726" s="15" t="str">
        <f>IF($A726="","",PAYMENTS!B219)</f>
        <v>MSH-R1218</v>
      </c>
      <c r="C726" s="15" t="str">
        <f>IF($A726="","",PAYMENTS!C219)</f>
        <v>MSH202611001</v>
      </c>
      <c r="D726" s="15" t="str">
        <f>IF($A726="","",PAYMENTS!D219)</f>
        <v>Lwazi Makhubela</v>
      </c>
      <c r="E726" s="16">
        <f>IF($A726="","",PAYMENTS!E219)</f>
        <v>148.07</v>
      </c>
      <c r="F726" s="15" t="str">
        <f>IF($A726="","",PAYMENTS!F219)</f>
        <v>EFT</v>
      </c>
      <c r="G726" s="15" t="str">
        <f>IF($A726="","",PAYMENTS!G219)</f>
        <v>Term payment 7</v>
      </c>
    </row>
    <row r="727" spans="1:7" x14ac:dyDescent="0.3">
      <c r="A727" s="17" t="str">
        <f>IF(PAYMENTS!A220="","",PAYMENTS!A220)</f>
        <v>2026-09-15</v>
      </c>
      <c r="B727" s="15" t="str">
        <f>IF($A727="","",PAYMENTS!B220)</f>
        <v>MSH-R1219</v>
      </c>
      <c r="C727" s="15" t="str">
        <f>IF($A727="","",PAYMENTS!C220)</f>
        <v>MSH202611001</v>
      </c>
      <c r="D727" s="15" t="str">
        <f>IF($A727="","",PAYMENTS!D220)</f>
        <v>Lwazi Makhubela</v>
      </c>
      <c r="E727" s="16">
        <f>IF($A727="","",PAYMENTS!E220)</f>
        <v>132.24</v>
      </c>
      <c r="F727" s="15" t="str">
        <f>IF($A727="","",PAYMENTS!F220)</f>
        <v>EFT</v>
      </c>
      <c r="G727" s="15" t="str">
        <f>IF($A727="","",PAYMENTS!G220)</f>
        <v>Term payment 9</v>
      </c>
    </row>
    <row r="728" spans="1:7" x14ac:dyDescent="0.3">
      <c r="A728" s="17" t="str">
        <f>IF(PAYMENTS!A221="","",PAYMENTS!A221)</f>
        <v>2026-10-20</v>
      </c>
      <c r="B728" s="15" t="str">
        <f>IF($A728="","",PAYMENTS!B221)</f>
        <v>MSH-R1220</v>
      </c>
      <c r="C728" s="15" t="str">
        <f>IF($A728="","",PAYMENTS!C221)</f>
        <v>MSH202611001</v>
      </c>
      <c r="D728" s="15" t="str">
        <f>IF($A728="","",PAYMENTS!D221)</f>
        <v>Lwazi Makhubela</v>
      </c>
      <c r="E728" s="16">
        <f>IF($A728="","",PAYMENTS!E221)</f>
        <v>175.38</v>
      </c>
      <c r="F728" s="15" t="str">
        <f>IF($A728="","",PAYMENTS!F221)</f>
        <v>EFT</v>
      </c>
      <c r="G728" s="15" t="str">
        <f>IF($A728="","",PAYMENTS!G221)</f>
        <v>Term payment 10</v>
      </c>
    </row>
    <row r="729" spans="1:7" x14ac:dyDescent="0.3">
      <c r="A729" s="17" t="str">
        <f>IF(PAYMENTS!A222="","",PAYMENTS!A222)</f>
        <v>2026-02-20</v>
      </c>
      <c r="B729" s="15" t="str">
        <f>IF($A729="","",PAYMENTS!B222)</f>
        <v>MSH-R1221</v>
      </c>
      <c r="C729" s="15" t="str">
        <f>IF($A729="","",PAYMENTS!C222)</f>
        <v>MSH202611002</v>
      </c>
      <c r="D729" s="15" t="str">
        <f>IF($A729="","",PAYMENTS!D222)</f>
        <v>Lebogang Ramushu</v>
      </c>
      <c r="E729" s="16">
        <f>IF($A729="","",PAYMENTS!E222)</f>
        <v>406.61</v>
      </c>
      <c r="F729" s="15" t="str">
        <f>IF($A729="","",PAYMENTS!F222)</f>
        <v>EFT</v>
      </c>
      <c r="G729" s="15" t="str">
        <f>IF($A729="","",PAYMENTS!G222)</f>
        <v>Term payment 2</v>
      </c>
    </row>
    <row r="730" spans="1:7" x14ac:dyDescent="0.3">
      <c r="A730" s="17" t="str">
        <f>IF(PAYMENTS!A223="","",PAYMENTS!A223)</f>
        <v>2026-06-05</v>
      </c>
      <c r="B730" s="15" t="str">
        <f>IF($A730="","",PAYMENTS!B223)</f>
        <v>MSH-R1222</v>
      </c>
      <c r="C730" s="15" t="str">
        <f>IF($A730="","",PAYMENTS!C223)</f>
        <v>MSH202611002</v>
      </c>
      <c r="D730" s="15" t="str">
        <f>IF($A730="","",PAYMENTS!D223)</f>
        <v>Lebogang Ramushu</v>
      </c>
      <c r="E730" s="16">
        <f>IF($A730="","",PAYMENTS!E223)</f>
        <v>366.83</v>
      </c>
      <c r="F730" s="15" t="str">
        <f>IF($A730="","",PAYMENTS!F223)</f>
        <v>EFT</v>
      </c>
      <c r="G730" s="15" t="str">
        <f>IF($A730="","",PAYMENTS!G223)</f>
        <v>Term payment 6</v>
      </c>
    </row>
    <row r="731" spans="1:7" x14ac:dyDescent="0.3">
      <c r="A731" s="17" t="str">
        <f>IF(PAYMENTS!A224="","",PAYMENTS!A224)</f>
        <v>2026-08-05</v>
      </c>
      <c r="B731" s="15" t="str">
        <f>IF($A731="","",PAYMENTS!B224)</f>
        <v>MSH-R1223</v>
      </c>
      <c r="C731" s="15" t="str">
        <f>IF($A731="","",PAYMENTS!C224)</f>
        <v>MSH202611002</v>
      </c>
      <c r="D731" s="15" t="str">
        <f>IF($A731="","",PAYMENTS!D224)</f>
        <v>Lebogang Ramushu</v>
      </c>
      <c r="E731" s="16">
        <f>IF($A731="","",PAYMENTS!E224)</f>
        <v>375.35</v>
      </c>
      <c r="F731" s="15" t="str">
        <f>IF($A731="","",PAYMENTS!F224)</f>
        <v>Card</v>
      </c>
      <c r="G731" s="15" t="str">
        <f>IF($A731="","",PAYMENTS!G224)</f>
        <v>Term payment 8</v>
      </c>
    </row>
    <row r="732" spans="1:7" x14ac:dyDescent="0.3">
      <c r="A732" s="17" t="str">
        <f>IF(PAYMENTS!A225="","",PAYMENTS!A225)</f>
        <v>2026-09-10</v>
      </c>
      <c r="B732" s="15" t="str">
        <f>IF($A732="","",PAYMENTS!B225)</f>
        <v>MSH-R1224</v>
      </c>
      <c r="C732" s="15" t="str">
        <f>IF($A732="","",PAYMENTS!C225)</f>
        <v>MSH202611002</v>
      </c>
      <c r="D732" s="15" t="str">
        <f>IF($A732="","",PAYMENTS!D225)</f>
        <v>Lebogang Ramushu</v>
      </c>
      <c r="E732" s="16">
        <f>IF($A732="","",PAYMENTS!E225)</f>
        <v>387.2</v>
      </c>
      <c r="F732" s="15" t="str">
        <f>IF($A732="","",PAYMENTS!F225)</f>
        <v>Card</v>
      </c>
      <c r="G732" s="15" t="str">
        <f>IF($A732="","",PAYMENTS!G225)</f>
        <v>Term payment 9</v>
      </c>
    </row>
    <row r="733" spans="1:7" x14ac:dyDescent="0.3">
      <c r="A733" s="17" t="str">
        <f>IF(PAYMENTS!A226="","",PAYMENTS!A226)</f>
        <v>2026-10-25</v>
      </c>
      <c r="B733" s="15" t="str">
        <f>IF($A733="","",PAYMENTS!B226)</f>
        <v>MSH-R1225</v>
      </c>
      <c r="C733" s="15" t="str">
        <f>IF($A733="","",PAYMENTS!C226)</f>
        <v>MSH202611002</v>
      </c>
      <c r="D733" s="15" t="str">
        <f>IF($A733="","",PAYMENTS!D226)</f>
        <v>Lebogang Ramushu</v>
      </c>
      <c r="E733" s="16">
        <f>IF($A733="","",PAYMENTS!E226)</f>
        <v>388.09</v>
      </c>
      <c r="F733" s="15" t="str">
        <f>IF($A733="","",PAYMENTS!F226)</f>
        <v>Cash</v>
      </c>
      <c r="G733" s="15" t="str">
        <f>IF($A733="","",PAYMENTS!G226)</f>
        <v>Term payment 10</v>
      </c>
    </row>
    <row r="734" spans="1:7" x14ac:dyDescent="0.3">
      <c r="A734" s="17" t="str">
        <f>IF(PAYMENTS!A227="","",PAYMENTS!A227)</f>
        <v>2026-11-25</v>
      </c>
      <c r="B734" s="15" t="str">
        <f>IF($A734="","",PAYMENTS!B227)</f>
        <v>MSH-R1226</v>
      </c>
      <c r="C734" s="15" t="str">
        <f>IF($A734="","",PAYMENTS!C227)</f>
        <v>MSH202611002</v>
      </c>
      <c r="D734" s="15" t="str">
        <f>IF($A734="","",PAYMENTS!D227)</f>
        <v>Lebogang Ramushu</v>
      </c>
      <c r="E734" s="16">
        <f>IF($A734="","",PAYMENTS!E227)</f>
        <v>219.98</v>
      </c>
      <c r="F734" s="15" t="str">
        <f>IF($A734="","",PAYMENTS!F227)</f>
        <v>Card</v>
      </c>
      <c r="G734" s="15" t="str">
        <f>IF($A734="","",PAYMENTS!G227)</f>
        <v>Term payment 11</v>
      </c>
    </row>
    <row r="735" spans="1:7" x14ac:dyDescent="0.3">
      <c r="A735" s="17" t="str">
        <f>IF(PAYMENTS!A228="","",PAYMENTS!A228)</f>
        <v>2026-02-10</v>
      </c>
      <c r="B735" s="15" t="str">
        <f>IF($A735="","",PAYMENTS!B228)</f>
        <v>MSH-R1227</v>
      </c>
      <c r="C735" s="15" t="str">
        <f>IF($A735="","",PAYMENTS!C228)</f>
        <v>MSH202611003</v>
      </c>
      <c r="D735" s="15" t="str">
        <f>IF($A735="","",PAYMENTS!D228)</f>
        <v>Lerato Kekana</v>
      </c>
      <c r="E735" s="16">
        <f>IF($A735="","",PAYMENTS!E228)</f>
        <v>239.23</v>
      </c>
      <c r="F735" s="15" t="str">
        <f>IF($A735="","",PAYMENTS!F228)</f>
        <v>Cash</v>
      </c>
      <c r="G735" s="15" t="str">
        <f>IF($A735="","",PAYMENTS!G228)</f>
        <v>Term payment 2</v>
      </c>
    </row>
    <row r="736" spans="1:7" x14ac:dyDescent="0.3">
      <c r="A736" s="17" t="str">
        <f>IF(PAYMENTS!A229="","",PAYMENTS!A229)</f>
        <v>2026-06-10</v>
      </c>
      <c r="B736" s="15" t="str">
        <f>IF($A736="","",PAYMENTS!B229)</f>
        <v>MSH-R1228</v>
      </c>
      <c r="C736" s="15" t="str">
        <f>IF($A736="","",PAYMENTS!C229)</f>
        <v>MSH202611003</v>
      </c>
      <c r="D736" s="15" t="str">
        <f>IF($A736="","",PAYMENTS!D229)</f>
        <v>Lerato Kekana</v>
      </c>
      <c r="E736" s="16">
        <f>IF($A736="","",PAYMENTS!E229)</f>
        <v>169.87</v>
      </c>
      <c r="F736" s="15" t="str">
        <f>IF($A736="","",PAYMENTS!F229)</f>
        <v>EFT</v>
      </c>
      <c r="G736" s="15" t="str">
        <f>IF($A736="","",PAYMENTS!G229)</f>
        <v>Term payment 6</v>
      </c>
    </row>
    <row r="737" spans="1:7" x14ac:dyDescent="0.3">
      <c r="A737" s="17" t="str">
        <f>IF(PAYMENTS!A230="","",PAYMENTS!A230)</f>
        <v>2026-09-05</v>
      </c>
      <c r="B737" s="15" t="str">
        <f>IF($A737="","",PAYMENTS!B230)</f>
        <v>MSH-R1229</v>
      </c>
      <c r="C737" s="15" t="str">
        <f>IF($A737="","",PAYMENTS!C230)</f>
        <v>MSH202611003</v>
      </c>
      <c r="D737" s="15" t="str">
        <f>IF($A737="","",PAYMENTS!D230)</f>
        <v>Lerato Kekana</v>
      </c>
      <c r="E737" s="16">
        <f>IF($A737="","",PAYMENTS!E230)</f>
        <v>148.34</v>
      </c>
      <c r="F737" s="15" t="str">
        <f>IF($A737="","",PAYMENTS!F230)</f>
        <v>Card</v>
      </c>
      <c r="G737" s="15" t="str">
        <f>IF($A737="","",PAYMENTS!G230)</f>
        <v>Term payment 9</v>
      </c>
    </row>
    <row r="738" spans="1:7" x14ac:dyDescent="0.3">
      <c r="A738" s="17" t="str">
        <f>IF(PAYMENTS!A231="","",PAYMENTS!A231)</f>
        <v>2026-11-10</v>
      </c>
      <c r="B738" s="15" t="str">
        <f>IF($A738="","",PAYMENTS!B231)</f>
        <v>MSH-R1230</v>
      </c>
      <c r="C738" s="15" t="str">
        <f>IF($A738="","",PAYMENTS!C231)</f>
        <v>MSH202611003</v>
      </c>
      <c r="D738" s="15" t="str">
        <f>IF($A738="","",PAYMENTS!D231)</f>
        <v>Lerato Kekana</v>
      </c>
      <c r="E738" s="16">
        <f>IF($A738="","",PAYMENTS!E231)</f>
        <v>204.78</v>
      </c>
      <c r="F738" s="15" t="str">
        <f>IF($A738="","",PAYMENTS!F231)</f>
        <v>EFT</v>
      </c>
      <c r="G738" s="15" t="str">
        <f>IF($A738="","",PAYMENTS!G231)</f>
        <v>Term payment 11</v>
      </c>
    </row>
    <row r="739" spans="1:7" x14ac:dyDescent="0.3">
      <c r="A739" s="17" t="str">
        <f>IF(PAYMENTS!A232="","",PAYMENTS!A232)</f>
        <v>2026-04-01</v>
      </c>
      <c r="B739" s="15" t="str">
        <f>IF($A739="","",PAYMENTS!B232)</f>
        <v>MSH-R1231</v>
      </c>
      <c r="C739" s="15" t="str">
        <f>IF($A739="","",PAYMENTS!C232)</f>
        <v>MSH202611004</v>
      </c>
      <c r="D739" s="15" t="str">
        <f>IF($A739="","",PAYMENTS!D232)</f>
        <v>Bongani Ndlovu</v>
      </c>
      <c r="E739" s="16">
        <f>IF($A739="","",PAYMENTS!E232)</f>
        <v>326.88</v>
      </c>
      <c r="F739" s="15" t="str">
        <f>IF($A739="","",PAYMENTS!F232)</f>
        <v>Cash</v>
      </c>
      <c r="G739" s="15" t="str">
        <f>IF($A739="","",PAYMENTS!G232)</f>
        <v>Term payment 4</v>
      </c>
    </row>
    <row r="740" spans="1:7" x14ac:dyDescent="0.3">
      <c r="A740" s="17" t="str">
        <f>IF(PAYMENTS!A233="","",PAYMENTS!A233)</f>
        <v>2026-06-05</v>
      </c>
      <c r="B740" s="15" t="str">
        <f>IF($A740="","",PAYMENTS!B233)</f>
        <v>MSH-R1232</v>
      </c>
      <c r="C740" s="15" t="str">
        <f>IF($A740="","",PAYMENTS!C233)</f>
        <v>MSH202611004</v>
      </c>
      <c r="D740" s="15" t="str">
        <f>IF($A740="","",PAYMENTS!D233)</f>
        <v>Bongani Ndlovu</v>
      </c>
      <c r="E740" s="16">
        <f>IF($A740="","",PAYMENTS!E233)</f>
        <v>409.2</v>
      </c>
      <c r="F740" s="15" t="str">
        <f>IF($A740="","",PAYMENTS!F233)</f>
        <v>Cash</v>
      </c>
      <c r="G740" s="15" t="str">
        <f>IF($A740="","",PAYMENTS!G233)</f>
        <v>Term payment 6</v>
      </c>
    </row>
    <row r="741" spans="1:7" x14ac:dyDescent="0.3">
      <c r="A741" s="17" t="str">
        <f>IF(PAYMENTS!A234="","",PAYMENTS!A234)</f>
        <v>2026-07-25</v>
      </c>
      <c r="B741" s="15" t="str">
        <f>IF($A741="","",PAYMENTS!B234)</f>
        <v>MSH-R1233</v>
      </c>
      <c r="C741" s="15" t="str">
        <f>IF($A741="","",PAYMENTS!C234)</f>
        <v>MSH202611004</v>
      </c>
      <c r="D741" s="15" t="str">
        <f>IF($A741="","",PAYMENTS!D234)</f>
        <v>Bongani Ndlovu</v>
      </c>
      <c r="E741" s="16">
        <f>IF($A741="","",PAYMENTS!E234)</f>
        <v>400.57</v>
      </c>
      <c r="F741" s="15" t="str">
        <f>IF($A741="","",PAYMENTS!F234)</f>
        <v>EFT</v>
      </c>
      <c r="G741" s="15" t="str">
        <f>IF($A741="","",PAYMENTS!G234)</f>
        <v>Term payment 7</v>
      </c>
    </row>
    <row r="742" spans="1:7" x14ac:dyDescent="0.3">
      <c r="A742" s="17" t="str">
        <f>IF(PAYMENTS!A235="","",PAYMENTS!A235)</f>
        <v>2026-09-20</v>
      </c>
      <c r="B742" s="15" t="str">
        <f>IF($A742="","",PAYMENTS!B235)</f>
        <v>MSH-R1234</v>
      </c>
      <c r="C742" s="15" t="str">
        <f>IF($A742="","",PAYMENTS!C235)</f>
        <v>MSH202611004</v>
      </c>
      <c r="D742" s="15" t="str">
        <f>IF($A742="","",PAYMENTS!D235)</f>
        <v>Bongani Ndlovu</v>
      </c>
      <c r="E742" s="16">
        <f>IF($A742="","",PAYMENTS!E235)</f>
        <v>297.33999999999997</v>
      </c>
      <c r="F742" s="15" t="str">
        <f>IF($A742="","",PAYMENTS!F235)</f>
        <v>EFT</v>
      </c>
      <c r="G742" s="15" t="str">
        <f>IF($A742="","",PAYMENTS!G235)</f>
        <v>Term payment 9</v>
      </c>
    </row>
    <row r="743" spans="1:7" x14ac:dyDescent="0.3">
      <c r="A743" s="17" t="str">
        <f>IF(PAYMENTS!A236="","",PAYMENTS!A236)</f>
        <v>2026-11-01</v>
      </c>
      <c r="B743" s="15" t="str">
        <f>IF($A743="","",PAYMENTS!B236)</f>
        <v>MSH-R1235</v>
      </c>
      <c r="C743" s="15" t="str">
        <f>IF($A743="","",PAYMENTS!C236)</f>
        <v>MSH202611004</v>
      </c>
      <c r="D743" s="15" t="str">
        <f>IF($A743="","",PAYMENTS!D236)</f>
        <v>Bongani Ndlovu</v>
      </c>
      <c r="E743" s="16">
        <f>IF($A743="","",PAYMENTS!E236)</f>
        <v>268.16000000000003</v>
      </c>
      <c r="F743" s="15" t="str">
        <f>IF($A743="","",PAYMENTS!F236)</f>
        <v>Cash</v>
      </c>
      <c r="G743" s="15" t="str">
        <f>IF($A743="","",PAYMENTS!G236)</f>
        <v>Term payment 11</v>
      </c>
    </row>
    <row r="744" spans="1:7" x14ac:dyDescent="0.3">
      <c r="A744" s="17" t="str">
        <f>IF(PAYMENTS!A237="","",PAYMENTS!A237)</f>
        <v>2026-02-25</v>
      </c>
      <c r="B744" s="15" t="str">
        <f>IF($A744="","",PAYMENTS!B237)</f>
        <v>MSH-R1236</v>
      </c>
      <c r="C744" s="15" t="str">
        <f>IF($A744="","",PAYMENTS!C237)</f>
        <v>MSH202611005</v>
      </c>
      <c r="D744" s="15" t="str">
        <f>IF($A744="","",PAYMENTS!D237)</f>
        <v>Sifiso Dlamini</v>
      </c>
      <c r="E744" s="16">
        <f>IF($A744="","",PAYMENTS!E237)</f>
        <v>259.33999999999997</v>
      </c>
      <c r="F744" s="15" t="str">
        <f>IF($A744="","",PAYMENTS!F237)</f>
        <v>Cash</v>
      </c>
      <c r="G744" s="15" t="str">
        <f>IF($A744="","",PAYMENTS!G237)</f>
        <v>Term payment 2</v>
      </c>
    </row>
    <row r="745" spans="1:7" x14ac:dyDescent="0.3">
      <c r="A745" s="17" t="str">
        <f>IF(PAYMENTS!A238="","",PAYMENTS!A238)</f>
        <v>2026-04-20</v>
      </c>
      <c r="B745" s="15" t="str">
        <f>IF($A745="","",PAYMENTS!B238)</f>
        <v>MSH-R1237</v>
      </c>
      <c r="C745" s="15" t="str">
        <f>IF($A745="","",PAYMENTS!C238)</f>
        <v>MSH202611005</v>
      </c>
      <c r="D745" s="15" t="str">
        <f>IF($A745="","",PAYMENTS!D238)</f>
        <v>Sifiso Dlamini</v>
      </c>
      <c r="E745" s="16">
        <f>IF($A745="","",PAYMENTS!E238)</f>
        <v>446.66</v>
      </c>
      <c r="F745" s="15" t="str">
        <f>IF($A745="","",PAYMENTS!F238)</f>
        <v>Card</v>
      </c>
      <c r="G745" s="15" t="str">
        <f>IF($A745="","",PAYMENTS!G238)</f>
        <v>Term payment 4</v>
      </c>
    </row>
    <row r="746" spans="1:7" x14ac:dyDescent="0.3">
      <c r="A746" s="17" t="str">
        <f>IF(PAYMENTS!A239="","",PAYMENTS!A239)</f>
        <v>2026-06-10</v>
      </c>
      <c r="B746" s="15" t="str">
        <f>IF($A746="","",PAYMENTS!B239)</f>
        <v>MSH-R1238</v>
      </c>
      <c r="C746" s="15" t="str">
        <f>IF($A746="","",PAYMENTS!C239)</f>
        <v>MSH202611005</v>
      </c>
      <c r="D746" s="15" t="str">
        <f>IF($A746="","",PAYMENTS!D239)</f>
        <v>Sifiso Dlamini</v>
      </c>
      <c r="E746" s="16">
        <f>IF($A746="","",PAYMENTS!E239)</f>
        <v>455.59</v>
      </c>
      <c r="F746" s="15" t="str">
        <f>IF($A746="","",PAYMENTS!F239)</f>
        <v>Cash</v>
      </c>
      <c r="G746" s="15" t="str">
        <f>IF($A746="","",PAYMENTS!G239)</f>
        <v>Term payment 6</v>
      </c>
    </row>
    <row r="747" spans="1:7" x14ac:dyDescent="0.3">
      <c r="A747" s="17" t="str">
        <f>IF(PAYMENTS!A240="","",PAYMENTS!A240)</f>
        <v>2026-07-25</v>
      </c>
      <c r="B747" s="15" t="str">
        <f>IF($A747="","",PAYMENTS!B240)</f>
        <v>MSH-R1239</v>
      </c>
      <c r="C747" s="15" t="str">
        <f>IF($A747="","",PAYMENTS!C240)</f>
        <v>MSH202611005</v>
      </c>
      <c r="D747" s="15" t="str">
        <f>IF($A747="","",PAYMENTS!D240)</f>
        <v>Sifiso Dlamini</v>
      </c>
      <c r="E747" s="16">
        <f>IF($A747="","",PAYMENTS!E240)</f>
        <v>210.21</v>
      </c>
      <c r="F747" s="15" t="str">
        <f>IF($A747="","",PAYMENTS!F240)</f>
        <v>EFT</v>
      </c>
      <c r="G747" s="15" t="str">
        <f>IF($A747="","",PAYMENTS!G240)</f>
        <v>Term payment 7</v>
      </c>
    </row>
    <row r="748" spans="1:7" x14ac:dyDescent="0.3">
      <c r="A748" s="17" t="str">
        <f>IF(PAYMENTS!A241="","",PAYMENTS!A241)</f>
        <v>2026-08-25</v>
      </c>
      <c r="B748" s="15" t="str">
        <f>IF($A748="","",PAYMENTS!B241)</f>
        <v>MSH-R1240</v>
      </c>
      <c r="C748" s="15" t="str">
        <f>IF($A748="","",PAYMENTS!C241)</f>
        <v>MSH202611005</v>
      </c>
      <c r="D748" s="15" t="str">
        <f>IF($A748="","",PAYMENTS!D241)</f>
        <v>Sifiso Dlamini</v>
      </c>
      <c r="E748" s="16">
        <f>IF($A748="","",PAYMENTS!E241)</f>
        <v>279.02999999999997</v>
      </c>
      <c r="F748" s="15" t="str">
        <f>IF($A748="","",PAYMENTS!F241)</f>
        <v>EFT</v>
      </c>
      <c r="G748" s="15" t="str">
        <f>IF($A748="","",PAYMENTS!G241)</f>
        <v>Term payment 8</v>
      </c>
    </row>
    <row r="749" spans="1:7" x14ac:dyDescent="0.3">
      <c r="A749" s="17" t="str">
        <f>IF(PAYMENTS!A242="","",PAYMENTS!A242)</f>
        <v>2026-09-01</v>
      </c>
      <c r="B749" s="15" t="str">
        <f>IF($A749="","",PAYMENTS!B242)</f>
        <v>MSH-R1241</v>
      </c>
      <c r="C749" s="15" t="str">
        <f>IF($A749="","",PAYMENTS!C242)</f>
        <v>MSH202611005</v>
      </c>
      <c r="D749" s="15" t="str">
        <f>IF($A749="","",PAYMENTS!D242)</f>
        <v>Sifiso Dlamini</v>
      </c>
      <c r="E749" s="16">
        <f>IF($A749="","",PAYMENTS!E242)</f>
        <v>232.26</v>
      </c>
      <c r="F749" s="15" t="str">
        <f>IF($A749="","",PAYMENTS!F242)</f>
        <v>Cash</v>
      </c>
      <c r="G749" s="15" t="str">
        <f>IF($A749="","",PAYMENTS!G242)</f>
        <v>Term payment 9</v>
      </c>
    </row>
    <row r="750" spans="1:7" x14ac:dyDescent="0.3">
      <c r="A750" s="17" t="str">
        <f>IF(PAYMENTS!A243="","",PAYMENTS!A243)</f>
        <v>2026-11-10</v>
      </c>
      <c r="B750" s="15" t="str">
        <f>IF($A750="","",PAYMENTS!B243)</f>
        <v>MSH-R1242</v>
      </c>
      <c r="C750" s="15" t="str">
        <f>IF($A750="","",PAYMENTS!C243)</f>
        <v>MSH202611005</v>
      </c>
      <c r="D750" s="15" t="str">
        <f>IF($A750="","",PAYMENTS!D243)</f>
        <v>Sifiso Dlamini</v>
      </c>
      <c r="E750" s="16">
        <f>IF($A750="","",PAYMENTS!E243)</f>
        <v>478.83</v>
      </c>
      <c r="F750" s="15" t="str">
        <f>IF($A750="","",PAYMENTS!F243)</f>
        <v>Cash</v>
      </c>
      <c r="G750" s="15" t="str">
        <f>IF($A750="","",PAYMENTS!G243)</f>
        <v>Term payment 11</v>
      </c>
    </row>
    <row r="751" spans="1:7" x14ac:dyDescent="0.3">
      <c r="A751" s="17" t="str">
        <f>IF(PAYMENTS!A244="","",PAYMENTS!A244)</f>
        <v>2026-04-15</v>
      </c>
      <c r="B751" s="15" t="str">
        <f>IF($A751="","",PAYMENTS!B244)</f>
        <v>MSH-R1243</v>
      </c>
      <c r="C751" s="15" t="str">
        <f>IF($A751="","",PAYMENTS!C244)</f>
        <v>MSH202611006</v>
      </c>
      <c r="D751" s="15" t="str">
        <f>IF($A751="","",PAYMENTS!D244)</f>
        <v>Refilwe Dlamini</v>
      </c>
      <c r="E751" s="16">
        <f>IF($A751="","",PAYMENTS!E244)</f>
        <v>177.44</v>
      </c>
      <c r="F751" s="15" t="str">
        <f>IF($A751="","",PAYMENTS!F244)</f>
        <v>Card</v>
      </c>
      <c r="G751" s="15" t="str">
        <f>IF($A751="","",PAYMENTS!G244)</f>
        <v>Term payment 4</v>
      </c>
    </row>
    <row r="752" spans="1:7" x14ac:dyDescent="0.3">
      <c r="A752" s="17" t="str">
        <f>IF(PAYMENTS!A245="","",PAYMENTS!A245)</f>
        <v>2026-05-25</v>
      </c>
      <c r="B752" s="15" t="str">
        <f>IF($A752="","",PAYMENTS!B245)</f>
        <v>MSH-R1244</v>
      </c>
      <c r="C752" s="15" t="str">
        <f>IF($A752="","",PAYMENTS!C245)</f>
        <v>MSH202611006</v>
      </c>
      <c r="D752" s="15" t="str">
        <f>IF($A752="","",PAYMENTS!D245)</f>
        <v>Refilwe Dlamini</v>
      </c>
      <c r="E752" s="16">
        <f>IF($A752="","",PAYMENTS!E245)</f>
        <v>275.76</v>
      </c>
      <c r="F752" s="15" t="str">
        <f>IF($A752="","",PAYMENTS!F245)</f>
        <v>EFT</v>
      </c>
      <c r="G752" s="15" t="str">
        <f>IF($A752="","",PAYMENTS!G245)</f>
        <v>Term payment 5</v>
      </c>
    </row>
    <row r="753" spans="1:7" x14ac:dyDescent="0.3">
      <c r="A753" s="17" t="str">
        <f>IF(PAYMENTS!A246="","",PAYMENTS!A246)</f>
        <v>2026-10-20</v>
      </c>
      <c r="B753" s="15" t="str">
        <f>IF($A753="","",PAYMENTS!B246)</f>
        <v>MSH-R1245</v>
      </c>
      <c r="C753" s="15" t="str">
        <f>IF($A753="","",PAYMENTS!C246)</f>
        <v>MSH202611006</v>
      </c>
      <c r="D753" s="15" t="str">
        <f>IF($A753="","",PAYMENTS!D246)</f>
        <v>Refilwe Dlamini</v>
      </c>
      <c r="E753" s="16">
        <f>IF($A753="","",PAYMENTS!E246)</f>
        <v>240.93</v>
      </c>
      <c r="F753" s="15" t="str">
        <f>IF($A753="","",PAYMENTS!F246)</f>
        <v>Cash</v>
      </c>
      <c r="G753" s="15" t="str">
        <f>IF($A753="","",PAYMENTS!G246)</f>
        <v>Term payment 10</v>
      </c>
    </row>
    <row r="754" spans="1:7" x14ac:dyDescent="0.3">
      <c r="A754" s="17" t="str">
        <f>IF(PAYMENTS!A247="","",PAYMENTS!A247)</f>
        <v>2026-11-15</v>
      </c>
      <c r="B754" s="15" t="str">
        <f>IF($A754="","",PAYMENTS!B247)</f>
        <v>MSH-R1246</v>
      </c>
      <c r="C754" s="15" t="str">
        <f>IF($A754="","",PAYMENTS!C247)</f>
        <v>MSH202611006</v>
      </c>
      <c r="D754" s="15" t="str">
        <f>IF($A754="","",PAYMENTS!D247)</f>
        <v>Refilwe Dlamini</v>
      </c>
      <c r="E754" s="16">
        <f>IF($A754="","",PAYMENTS!E247)</f>
        <v>225.99</v>
      </c>
      <c r="F754" s="15" t="str">
        <f>IF($A754="","",PAYMENTS!F247)</f>
        <v>EFT</v>
      </c>
      <c r="G754" s="15" t="str">
        <f>IF($A754="","",PAYMENTS!G247)</f>
        <v>Term payment 11</v>
      </c>
    </row>
    <row r="755" spans="1:7" x14ac:dyDescent="0.3">
      <c r="A755" s="17" t="str">
        <f>IF(PAYMENTS!A248="","",PAYMENTS!A248)</f>
        <v>2026-02-05</v>
      </c>
      <c r="B755" s="15" t="str">
        <f>IF($A755="","",PAYMENTS!B248)</f>
        <v>MSH-R1247</v>
      </c>
      <c r="C755" s="15" t="str">
        <f>IF($A755="","",PAYMENTS!C248)</f>
        <v>MSH202611007</v>
      </c>
      <c r="D755" s="15" t="str">
        <f>IF($A755="","",PAYMENTS!D248)</f>
        <v>Lwazi Maseko</v>
      </c>
      <c r="E755" s="16">
        <f>IF($A755="","",PAYMENTS!E248)</f>
        <v>438.37</v>
      </c>
      <c r="F755" s="15" t="str">
        <f>IF($A755="","",PAYMENTS!F248)</f>
        <v>Cash</v>
      </c>
      <c r="G755" s="15" t="str">
        <f>IF($A755="","",PAYMENTS!G248)</f>
        <v>Term payment 2</v>
      </c>
    </row>
    <row r="756" spans="1:7" x14ac:dyDescent="0.3">
      <c r="A756" s="17" t="str">
        <f>IF(PAYMENTS!A249="","",PAYMENTS!A249)</f>
        <v>2026-03-25</v>
      </c>
      <c r="B756" s="15" t="str">
        <f>IF($A756="","",PAYMENTS!B249)</f>
        <v>MSH-R1248</v>
      </c>
      <c r="C756" s="15" t="str">
        <f>IF($A756="","",PAYMENTS!C249)</f>
        <v>MSH202611007</v>
      </c>
      <c r="D756" s="15" t="str">
        <f>IF($A756="","",PAYMENTS!D249)</f>
        <v>Lwazi Maseko</v>
      </c>
      <c r="E756" s="16">
        <f>IF($A756="","",PAYMENTS!E249)</f>
        <v>297.79000000000002</v>
      </c>
      <c r="F756" s="15" t="str">
        <f>IF($A756="","",PAYMENTS!F249)</f>
        <v>Card</v>
      </c>
      <c r="G756" s="15" t="str">
        <f>IF($A756="","",PAYMENTS!G249)</f>
        <v>Term payment 3</v>
      </c>
    </row>
    <row r="757" spans="1:7" x14ac:dyDescent="0.3">
      <c r="A757" s="17" t="str">
        <f>IF(PAYMENTS!A250="","",PAYMENTS!A250)</f>
        <v>2026-04-10</v>
      </c>
      <c r="B757" s="15" t="str">
        <f>IF($A757="","",PAYMENTS!B250)</f>
        <v>MSH-R1249</v>
      </c>
      <c r="C757" s="15" t="str">
        <f>IF($A757="","",PAYMENTS!C250)</f>
        <v>MSH202611007</v>
      </c>
      <c r="D757" s="15" t="str">
        <f>IF($A757="","",PAYMENTS!D250)</f>
        <v>Lwazi Maseko</v>
      </c>
      <c r="E757" s="16">
        <f>IF($A757="","",PAYMENTS!E250)</f>
        <v>209.44</v>
      </c>
      <c r="F757" s="15" t="str">
        <f>IF($A757="","",PAYMENTS!F250)</f>
        <v>EFT</v>
      </c>
      <c r="G757" s="15" t="str">
        <f>IF($A757="","",PAYMENTS!G250)</f>
        <v>Term payment 4</v>
      </c>
    </row>
    <row r="758" spans="1:7" x14ac:dyDescent="0.3">
      <c r="A758" s="17" t="str">
        <f>IF(PAYMENTS!A251="","",PAYMENTS!A251)</f>
        <v>2026-05-05</v>
      </c>
      <c r="B758" s="15" t="str">
        <f>IF($A758="","",PAYMENTS!B251)</f>
        <v>MSH-R1250</v>
      </c>
      <c r="C758" s="15" t="str">
        <f>IF($A758="","",PAYMENTS!C251)</f>
        <v>MSH202611007</v>
      </c>
      <c r="D758" s="15" t="str">
        <f>IF($A758="","",PAYMENTS!D251)</f>
        <v>Lwazi Maseko</v>
      </c>
      <c r="E758" s="16">
        <f>IF($A758="","",PAYMENTS!E251)</f>
        <v>470.84</v>
      </c>
      <c r="F758" s="15" t="str">
        <f>IF($A758="","",PAYMENTS!F251)</f>
        <v>EFT</v>
      </c>
      <c r="G758" s="15" t="str">
        <f>IF($A758="","",PAYMENTS!G251)</f>
        <v>Term payment 5</v>
      </c>
    </row>
    <row r="759" spans="1:7" x14ac:dyDescent="0.3">
      <c r="A759" s="17" t="str">
        <f>IF(PAYMENTS!A252="","",PAYMENTS!A252)</f>
        <v>2026-06-01</v>
      </c>
      <c r="B759" s="15" t="str">
        <f>IF($A759="","",PAYMENTS!B252)</f>
        <v>MSH-R1251</v>
      </c>
      <c r="C759" s="15" t="str">
        <f>IF($A759="","",PAYMENTS!C252)</f>
        <v>MSH202611007</v>
      </c>
      <c r="D759" s="15" t="str">
        <f>IF($A759="","",PAYMENTS!D252)</f>
        <v>Lwazi Maseko</v>
      </c>
      <c r="E759" s="16">
        <f>IF($A759="","",PAYMENTS!E252)</f>
        <v>382.88</v>
      </c>
      <c r="F759" s="15" t="str">
        <f>IF($A759="","",PAYMENTS!F252)</f>
        <v>Card</v>
      </c>
      <c r="G759" s="15" t="str">
        <f>IF($A759="","",PAYMENTS!G252)</f>
        <v>Term payment 6</v>
      </c>
    </row>
    <row r="760" spans="1:7" x14ac:dyDescent="0.3">
      <c r="A760" s="17" t="str">
        <f>IF(PAYMENTS!A253="","",PAYMENTS!A253)</f>
        <v>2026-07-25</v>
      </c>
      <c r="B760" s="15" t="str">
        <f>IF($A760="","",PAYMENTS!B253)</f>
        <v>MSH-R1252</v>
      </c>
      <c r="C760" s="15" t="str">
        <f>IF($A760="","",PAYMENTS!C253)</f>
        <v>MSH202611007</v>
      </c>
      <c r="D760" s="15" t="str">
        <f>IF($A760="","",PAYMENTS!D253)</f>
        <v>Lwazi Maseko</v>
      </c>
      <c r="E760" s="16">
        <f>IF($A760="","",PAYMENTS!E253)</f>
        <v>363.98</v>
      </c>
      <c r="F760" s="15" t="str">
        <f>IF($A760="","",PAYMENTS!F253)</f>
        <v>Cash</v>
      </c>
      <c r="G760" s="15" t="str">
        <f>IF($A760="","",PAYMENTS!G253)</f>
        <v>Term payment 7</v>
      </c>
    </row>
    <row r="761" spans="1:7" x14ac:dyDescent="0.3">
      <c r="A761" s="17" t="str">
        <f>IF(PAYMENTS!A254="","",PAYMENTS!A254)</f>
        <v>2026-08-01</v>
      </c>
      <c r="B761" s="15" t="str">
        <f>IF($A761="","",PAYMENTS!B254)</f>
        <v>MSH-R1253</v>
      </c>
      <c r="C761" s="15" t="str">
        <f>IF($A761="","",PAYMENTS!C254)</f>
        <v>MSH202611007</v>
      </c>
      <c r="D761" s="15" t="str">
        <f>IF($A761="","",PAYMENTS!D254)</f>
        <v>Lwazi Maseko</v>
      </c>
      <c r="E761" s="16">
        <f>IF($A761="","",PAYMENTS!E254)</f>
        <v>418.6</v>
      </c>
      <c r="F761" s="15" t="str">
        <f>IF($A761="","",PAYMENTS!F254)</f>
        <v>Cash</v>
      </c>
      <c r="G761" s="15" t="str">
        <f>IF($A761="","",PAYMENTS!G254)</f>
        <v>Term payment 8</v>
      </c>
    </row>
    <row r="762" spans="1:7" x14ac:dyDescent="0.3">
      <c r="A762" s="17" t="str">
        <f>IF(PAYMENTS!A255="","",PAYMENTS!A255)</f>
        <v>2026-10-05</v>
      </c>
      <c r="B762" s="15" t="str">
        <f>IF($A762="","",PAYMENTS!B255)</f>
        <v>MSH-R1254</v>
      </c>
      <c r="C762" s="15" t="str">
        <f>IF($A762="","",PAYMENTS!C255)</f>
        <v>MSH202611007</v>
      </c>
      <c r="D762" s="15" t="str">
        <f>IF($A762="","",PAYMENTS!D255)</f>
        <v>Lwazi Maseko</v>
      </c>
      <c r="E762" s="16">
        <f>IF($A762="","",PAYMENTS!E255)</f>
        <v>418.65</v>
      </c>
      <c r="F762" s="15" t="str">
        <f>IF($A762="","",PAYMENTS!F255)</f>
        <v>Cash</v>
      </c>
      <c r="G762" s="15" t="str">
        <f>IF($A762="","",PAYMENTS!G255)</f>
        <v>Term payment 10</v>
      </c>
    </row>
    <row r="763" spans="1:7" x14ac:dyDescent="0.3">
      <c r="A763" s="17" t="str">
        <f>IF(PAYMENTS!A256="","",PAYMENTS!A256)</f>
        <v>2026-05-05</v>
      </c>
      <c r="B763" s="15" t="str">
        <f>IF($A763="","",PAYMENTS!B256)</f>
        <v>MSH-R1255</v>
      </c>
      <c r="C763" s="15" t="str">
        <f>IF($A763="","",PAYMENTS!C256)</f>
        <v>MSH202611008</v>
      </c>
      <c r="D763" s="15" t="str">
        <f>IF($A763="","",PAYMENTS!D256)</f>
        <v>Refilwe Mokgadi</v>
      </c>
      <c r="E763" s="16">
        <f>IF($A763="","",PAYMENTS!E256)</f>
        <v>286.63</v>
      </c>
      <c r="F763" s="15" t="str">
        <f>IF($A763="","",PAYMENTS!F256)</f>
        <v>Cash</v>
      </c>
      <c r="G763" s="15" t="str">
        <f>IF($A763="","",PAYMENTS!G256)</f>
        <v>Term payment 5</v>
      </c>
    </row>
    <row r="764" spans="1:7" x14ac:dyDescent="0.3">
      <c r="A764" s="17" t="str">
        <f>IF(PAYMENTS!A257="","",PAYMENTS!A257)</f>
        <v>2026-08-20</v>
      </c>
      <c r="B764" s="15" t="str">
        <f>IF($A764="","",PAYMENTS!B257)</f>
        <v>MSH-R1256</v>
      </c>
      <c r="C764" s="15" t="str">
        <f>IF($A764="","",PAYMENTS!C257)</f>
        <v>MSH202611008</v>
      </c>
      <c r="D764" s="15" t="str">
        <f>IF($A764="","",PAYMENTS!D257)</f>
        <v>Refilwe Mokgadi</v>
      </c>
      <c r="E764" s="16">
        <f>IF($A764="","",PAYMENTS!E257)</f>
        <v>192.82</v>
      </c>
      <c r="F764" s="15" t="str">
        <f>IF($A764="","",PAYMENTS!F257)</f>
        <v>Cash</v>
      </c>
      <c r="G764" s="15" t="str">
        <f>IF($A764="","",PAYMENTS!G257)</f>
        <v>Term payment 8</v>
      </c>
    </row>
    <row r="765" spans="1:7" x14ac:dyDescent="0.3">
      <c r="A765" s="17" t="str">
        <f>IF(PAYMENTS!A258="","",PAYMENTS!A258)</f>
        <v>2026-10-05</v>
      </c>
      <c r="B765" s="15" t="str">
        <f>IF($A765="","",PAYMENTS!B258)</f>
        <v>MSH-R1257</v>
      </c>
      <c r="C765" s="15" t="str">
        <f>IF($A765="","",PAYMENTS!C258)</f>
        <v>MSH202611008</v>
      </c>
      <c r="D765" s="15" t="str">
        <f>IF($A765="","",PAYMENTS!D258)</f>
        <v>Refilwe Mokgadi</v>
      </c>
      <c r="E765" s="16">
        <f>IF($A765="","",PAYMENTS!E258)</f>
        <v>347.58</v>
      </c>
      <c r="F765" s="15" t="str">
        <f>IF($A765="","",PAYMENTS!F258)</f>
        <v>Cash</v>
      </c>
      <c r="G765" s="15" t="str">
        <f>IF($A765="","",PAYMENTS!G258)</f>
        <v>Term payment 10</v>
      </c>
    </row>
    <row r="766" spans="1:7" x14ac:dyDescent="0.3">
      <c r="A766" s="17" t="str">
        <f>IF(PAYMENTS!A259="","",PAYMENTS!A259)</f>
        <v>2026-11-01</v>
      </c>
      <c r="B766" s="15" t="str">
        <f>IF($A766="","",PAYMENTS!B259)</f>
        <v>MSH-R1258</v>
      </c>
      <c r="C766" s="15" t="str">
        <f>IF($A766="","",PAYMENTS!C259)</f>
        <v>MSH202611008</v>
      </c>
      <c r="D766" s="15" t="str">
        <f>IF($A766="","",PAYMENTS!D259)</f>
        <v>Refilwe Mokgadi</v>
      </c>
      <c r="E766" s="16">
        <f>IF($A766="","",PAYMENTS!E259)</f>
        <v>382.38</v>
      </c>
      <c r="F766" s="15" t="str">
        <f>IF($A766="","",PAYMENTS!F259)</f>
        <v>Cash</v>
      </c>
      <c r="G766" s="15" t="str">
        <f>IF($A766="","",PAYMENTS!G259)</f>
        <v>Term payment 11</v>
      </c>
    </row>
    <row r="767" spans="1:7" x14ac:dyDescent="0.3">
      <c r="A767" s="17" t="str">
        <f>IF(PAYMENTS!A260="","",PAYMENTS!A260)</f>
        <v>2026-02-01</v>
      </c>
      <c r="B767" s="15" t="str">
        <f>IF($A767="","",PAYMENTS!B260)</f>
        <v>MSH-R1259</v>
      </c>
      <c r="C767" s="15" t="str">
        <f>IF($A767="","",PAYMENTS!C260)</f>
        <v>MSH202611009</v>
      </c>
      <c r="D767" s="15" t="str">
        <f>IF($A767="","",PAYMENTS!D260)</f>
        <v>Kgothatso Molefe</v>
      </c>
      <c r="E767" s="16">
        <f>IF($A767="","",PAYMENTS!E260)</f>
        <v>242.18</v>
      </c>
      <c r="F767" s="15" t="str">
        <f>IF($A767="","",PAYMENTS!F260)</f>
        <v>Cash</v>
      </c>
      <c r="G767" s="15" t="str">
        <f>IF($A767="","",PAYMENTS!G260)</f>
        <v>Term payment 2</v>
      </c>
    </row>
    <row r="768" spans="1:7" x14ac:dyDescent="0.3">
      <c r="A768" s="17" t="str">
        <f>IF(PAYMENTS!A261="","",PAYMENTS!A261)</f>
        <v>2026-04-05</v>
      </c>
      <c r="B768" s="15" t="str">
        <f>IF($A768="","",PAYMENTS!B261)</f>
        <v>MSH-R1260</v>
      </c>
      <c r="C768" s="15" t="str">
        <f>IF($A768="","",PAYMENTS!C261)</f>
        <v>MSH202611009</v>
      </c>
      <c r="D768" s="15" t="str">
        <f>IF($A768="","",PAYMENTS!D261)</f>
        <v>Kgothatso Molefe</v>
      </c>
      <c r="E768" s="16">
        <f>IF($A768="","",PAYMENTS!E261)</f>
        <v>405.61</v>
      </c>
      <c r="F768" s="15" t="str">
        <f>IF($A768="","",PAYMENTS!F261)</f>
        <v>Card</v>
      </c>
      <c r="G768" s="15" t="str">
        <f>IF($A768="","",PAYMENTS!G261)</f>
        <v>Term payment 4</v>
      </c>
    </row>
    <row r="769" spans="1:7" x14ac:dyDescent="0.3">
      <c r="A769" s="17" t="str">
        <f>IF(PAYMENTS!A262="","",PAYMENTS!A262)</f>
        <v>2026-05-01</v>
      </c>
      <c r="B769" s="15" t="str">
        <f>IF($A769="","",PAYMENTS!B262)</f>
        <v>MSH-R1261</v>
      </c>
      <c r="C769" s="15" t="str">
        <f>IF($A769="","",PAYMENTS!C262)</f>
        <v>MSH202611009</v>
      </c>
      <c r="D769" s="15" t="str">
        <f>IF($A769="","",PAYMENTS!D262)</f>
        <v>Kgothatso Molefe</v>
      </c>
      <c r="E769" s="16">
        <f>IF($A769="","",PAYMENTS!E262)</f>
        <v>406.75</v>
      </c>
      <c r="F769" s="15" t="str">
        <f>IF($A769="","",PAYMENTS!F262)</f>
        <v>EFT</v>
      </c>
      <c r="G769" s="15" t="str">
        <f>IF($A769="","",PAYMENTS!G262)</f>
        <v>Term payment 5</v>
      </c>
    </row>
    <row r="770" spans="1:7" x14ac:dyDescent="0.3">
      <c r="A770" s="17" t="str">
        <f>IF(PAYMENTS!A263="","",PAYMENTS!A263)</f>
        <v>2026-06-15</v>
      </c>
      <c r="B770" s="15" t="str">
        <f>IF($A770="","",PAYMENTS!B263)</f>
        <v>MSH-R1262</v>
      </c>
      <c r="C770" s="15" t="str">
        <f>IF($A770="","",PAYMENTS!C263)</f>
        <v>MSH202611009</v>
      </c>
      <c r="D770" s="15" t="str">
        <f>IF($A770="","",PAYMENTS!D263)</f>
        <v>Kgothatso Molefe</v>
      </c>
      <c r="E770" s="16">
        <f>IF($A770="","",PAYMENTS!E263)</f>
        <v>416.07</v>
      </c>
      <c r="F770" s="15" t="str">
        <f>IF($A770="","",PAYMENTS!F263)</f>
        <v>Card</v>
      </c>
      <c r="G770" s="15" t="str">
        <f>IF($A770="","",PAYMENTS!G263)</f>
        <v>Term payment 6</v>
      </c>
    </row>
    <row r="771" spans="1:7" x14ac:dyDescent="0.3">
      <c r="A771" s="17" t="str">
        <f>IF(PAYMENTS!A264="","",PAYMENTS!A264)</f>
        <v>2026-07-20</v>
      </c>
      <c r="B771" s="15" t="str">
        <f>IF($A771="","",PAYMENTS!B264)</f>
        <v>MSH-R1263</v>
      </c>
      <c r="C771" s="15" t="str">
        <f>IF($A771="","",PAYMENTS!C264)</f>
        <v>MSH202611009</v>
      </c>
      <c r="D771" s="15" t="str">
        <f>IF($A771="","",PAYMENTS!D264)</f>
        <v>Kgothatso Molefe</v>
      </c>
      <c r="E771" s="16">
        <f>IF($A771="","",PAYMENTS!E264)</f>
        <v>223.41</v>
      </c>
      <c r="F771" s="15" t="str">
        <f>IF($A771="","",PAYMENTS!F264)</f>
        <v>Card</v>
      </c>
      <c r="G771" s="15" t="str">
        <f>IF($A771="","",PAYMENTS!G264)</f>
        <v>Term payment 7</v>
      </c>
    </row>
    <row r="772" spans="1:7" x14ac:dyDescent="0.3">
      <c r="A772" s="17" t="str">
        <f>IF(PAYMENTS!A265="","",PAYMENTS!A265)</f>
        <v>2026-02-01</v>
      </c>
      <c r="B772" s="15" t="str">
        <f>IF($A772="","",PAYMENTS!B265)</f>
        <v>MSH-R1264</v>
      </c>
      <c r="C772" s="15" t="str">
        <f>IF($A772="","",PAYMENTS!C265)</f>
        <v>MSH202611010</v>
      </c>
      <c r="D772" s="15" t="str">
        <f>IF($A772="","",PAYMENTS!D265)</f>
        <v>Tshepo Mokgadi</v>
      </c>
      <c r="E772" s="16">
        <f>IF($A772="","",PAYMENTS!E265)</f>
        <v>124.4</v>
      </c>
      <c r="F772" s="15" t="str">
        <f>IF($A772="","",PAYMENTS!F265)</f>
        <v>EFT</v>
      </c>
      <c r="G772" s="15" t="str">
        <f>IF($A772="","",PAYMENTS!G265)</f>
        <v>Term payment 2</v>
      </c>
    </row>
    <row r="773" spans="1:7" x14ac:dyDescent="0.3">
      <c r="A773" s="17" t="str">
        <f>IF(PAYMENTS!A266="","",PAYMENTS!A266)</f>
        <v>2026-05-15</v>
      </c>
      <c r="B773" s="15" t="str">
        <f>IF($A773="","",PAYMENTS!B266)</f>
        <v>MSH-R1265</v>
      </c>
      <c r="C773" s="15" t="str">
        <f>IF($A773="","",PAYMENTS!C266)</f>
        <v>MSH202611010</v>
      </c>
      <c r="D773" s="15" t="str">
        <f>IF($A773="","",PAYMENTS!D266)</f>
        <v>Tshepo Mokgadi</v>
      </c>
      <c r="E773" s="16">
        <f>IF($A773="","",PAYMENTS!E266)</f>
        <v>186.89</v>
      </c>
      <c r="F773" s="15" t="str">
        <f>IF($A773="","",PAYMENTS!F266)</f>
        <v>Cash</v>
      </c>
      <c r="G773" s="15" t="str">
        <f>IF($A773="","",PAYMENTS!G266)</f>
        <v>Term payment 5</v>
      </c>
    </row>
    <row r="774" spans="1:7" x14ac:dyDescent="0.3">
      <c r="A774" s="17" t="str">
        <f>IF(PAYMENTS!A267="","",PAYMENTS!A267)</f>
        <v>2026-06-15</v>
      </c>
      <c r="B774" s="15" t="str">
        <f>IF($A774="","",PAYMENTS!B267)</f>
        <v>MSH-R1266</v>
      </c>
      <c r="C774" s="15" t="str">
        <f>IF($A774="","",PAYMENTS!C267)</f>
        <v>MSH202611010</v>
      </c>
      <c r="D774" s="15" t="str">
        <f>IF($A774="","",PAYMENTS!D267)</f>
        <v>Tshepo Mokgadi</v>
      </c>
      <c r="E774" s="16">
        <f>IF($A774="","",PAYMENTS!E267)</f>
        <v>235.82</v>
      </c>
      <c r="F774" s="15" t="str">
        <f>IF($A774="","",PAYMENTS!F267)</f>
        <v>EFT</v>
      </c>
      <c r="G774" s="15" t="str">
        <f>IF($A774="","",PAYMENTS!G267)</f>
        <v>Term payment 6</v>
      </c>
    </row>
    <row r="775" spans="1:7" x14ac:dyDescent="0.3">
      <c r="A775" s="17" t="str">
        <f>IF(PAYMENTS!A268="","",PAYMENTS!A268)</f>
        <v>2026-07-01</v>
      </c>
      <c r="B775" s="15" t="str">
        <f>IF($A775="","",PAYMENTS!B268)</f>
        <v>MSH-R1267</v>
      </c>
      <c r="C775" s="15" t="str">
        <f>IF($A775="","",PAYMENTS!C268)</f>
        <v>MSH202611010</v>
      </c>
      <c r="D775" s="15" t="str">
        <f>IF($A775="","",PAYMENTS!D268)</f>
        <v>Tshepo Mokgadi</v>
      </c>
      <c r="E775" s="16">
        <f>IF($A775="","",PAYMENTS!E268)</f>
        <v>267.77</v>
      </c>
      <c r="F775" s="15" t="str">
        <f>IF($A775="","",PAYMENTS!F268)</f>
        <v>EFT</v>
      </c>
      <c r="G775" s="15" t="str">
        <f>IF($A775="","",PAYMENTS!G268)</f>
        <v>Term payment 7</v>
      </c>
    </row>
    <row r="776" spans="1:7" x14ac:dyDescent="0.3">
      <c r="A776" s="17" t="str">
        <f>IF(PAYMENTS!A269="","",PAYMENTS!A269)</f>
        <v>2026-11-20</v>
      </c>
      <c r="B776" s="15" t="str">
        <f>IF($A776="","",PAYMENTS!B269)</f>
        <v>MSH-R1268</v>
      </c>
      <c r="C776" s="15" t="str">
        <f>IF($A776="","",PAYMENTS!C269)</f>
        <v>MSH202611010</v>
      </c>
      <c r="D776" s="15" t="str">
        <f>IF($A776="","",PAYMENTS!D269)</f>
        <v>Tshepo Mokgadi</v>
      </c>
      <c r="E776" s="16">
        <f>IF($A776="","",PAYMENTS!E269)</f>
        <v>139.37</v>
      </c>
      <c r="F776" s="15" t="str">
        <f>IF($A776="","",PAYMENTS!F269)</f>
        <v>Cash</v>
      </c>
      <c r="G776" s="15" t="str">
        <f>IF($A776="","",PAYMENTS!G269)</f>
        <v>Term payment 11</v>
      </c>
    </row>
    <row r="777" spans="1:7" x14ac:dyDescent="0.3">
      <c r="A777" s="17" t="str">
        <f>IF(PAYMENTS!A270="","",PAYMENTS!A270)</f>
        <v>2026-05-10</v>
      </c>
      <c r="B777" s="15" t="str">
        <f>IF($A777="","",PAYMENTS!B270)</f>
        <v>MSH-R1269</v>
      </c>
      <c r="C777" s="15" t="str">
        <f>IF($A777="","",PAYMENTS!C270)</f>
        <v>MSH202611011</v>
      </c>
      <c r="D777" s="15" t="str">
        <f>IF($A777="","",PAYMENTS!D270)</f>
        <v>Tshepo Phiri</v>
      </c>
      <c r="E777" s="16">
        <f>IF($A777="","",PAYMENTS!E270)</f>
        <v>322.67</v>
      </c>
      <c r="F777" s="15" t="str">
        <f>IF($A777="","",PAYMENTS!F270)</f>
        <v>Card</v>
      </c>
      <c r="G777" s="15" t="str">
        <f>IF($A777="","",PAYMENTS!G270)</f>
        <v>Term payment 5</v>
      </c>
    </row>
    <row r="778" spans="1:7" x14ac:dyDescent="0.3">
      <c r="A778" s="17" t="str">
        <f>IF(PAYMENTS!A271="","",PAYMENTS!A271)</f>
        <v>2026-06-15</v>
      </c>
      <c r="B778" s="15" t="str">
        <f>IF($A778="","",PAYMENTS!B271)</f>
        <v>MSH-R1270</v>
      </c>
      <c r="C778" s="15" t="str">
        <f>IF($A778="","",PAYMENTS!C271)</f>
        <v>MSH202611011</v>
      </c>
      <c r="D778" s="15" t="str">
        <f>IF($A778="","",PAYMENTS!D271)</f>
        <v>Tshepo Phiri</v>
      </c>
      <c r="E778" s="16">
        <f>IF($A778="","",PAYMENTS!E271)</f>
        <v>220.56</v>
      </c>
      <c r="F778" s="15" t="str">
        <f>IF($A778="","",PAYMENTS!F271)</f>
        <v>Card</v>
      </c>
      <c r="G778" s="15" t="str">
        <f>IF($A778="","",PAYMENTS!G271)</f>
        <v>Term payment 6</v>
      </c>
    </row>
    <row r="779" spans="1:7" x14ac:dyDescent="0.3">
      <c r="A779" s="17" t="str">
        <f>IF(PAYMENTS!A272="","",PAYMENTS!A272)</f>
        <v>2026-07-01</v>
      </c>
      <c r="B779" s="15" t="str">
        <f>IF($A779="","",PAYMENTS!B272)</f>
        <v>MSH-R1271</v>
      </c>
      <c r="C779" s="15" t="str">
        <f>IF($A779="","",PAYMENTS!C272)</f>
        <v>MSH202611011</v>
      </c>
      <c r="D779" s="15" t="str">
        <f>IF($A779="","",PAYMENTS!D272)</f>
        <v>Tshepo Phiri</v>
      </c>
      <c r="E779" s="16">
        <f>IF($A779="","",PAYMENTS!E272)</f>
        <v>437.6</v>
      </c>
      <c r="F779" s="15" t="str">
        <f>IF($A779="","",PAYMENTS!F272)</f>
        <v>Card</v>
      </c>
      <c r="G779" s="15" t="str">
        <f>IF($A779="","",PAYMENTS!G272)</f>
        <v>Term payment 7</v>
      </c>
    </row>
    <row r="780" spans="1:7" x14ac:dyDescent="0.3">
      <c r="A780" s="17" t="str">
        <f>IF(PAYMENTS!A273="","",PAYMENTS!A273)</f>
        <v>2026-09-20</v>
      </c>
      <c r="B780" s="15" t="str">
        <f>IF($A780="","",PAYMENTS!B273)</f>
        <v>MSH-R1272</v>
      </c>
      <c r="C780" s="15" t="str">
        <f>IF($A780="","",PAYMENTS!C273)</f>
        <v>MSH202611011</v>
      </c>
      <c r="D780" s="15" t="str">
        <f>IF($A780="","",PAYMENTS!D273)</f>
        <v>Tshepo Phiri</v>
      </c>
      <c r="E780" s="16">
        <f>IF($A780="","",PAYMENTS!E273)</f>
        <v>399.6</v>
      </c>
      <c r="F780" s="15" t="str">
        <f>IF($A780="","",PAYMENTS!F273)</f>
        <v>Cash</v>
      </c>
      <c r="G780" s="15" t="str">
        <f>IF($A780="","",PAYMENTS!G273)</f>
        <v>Term payment 9</v>
      </c>
    </row>
    <row r="781" spans="1:7" x14ac:dyDescent="0.3">
      <c r="A781" s="17" t="str">
        <f>IF(PAYMENTS!A274="","",PAYMENTS!A274)</f>
        <v>2026-10-15</v>
      </c>
      <c r="B781" s="15" t="str">
        <f>IF($A781="","",PAYMENTS!B274)</f>
        <v>MSH-R1273</v>
      </c>
      <c r="C781" s="15" t="str">
        <f>IF($A781="","",PAYMENTS!C274)</f>
        <v>MSH202611011</v>
      </c>
      <c r="D781" s="15" t="str">
        <f>IF($A781="","",PAYMENTS!D274)</f>
        <v>Tshepo Phiri</v>
      </c>
      <c r="E781" s="16">
        <f>IF($A781="","",PAYMENTS!E274)</f>
        <v>322.05</v>
      </c>
      <c r="F781" s="15" t="str">
        <f>IF($A781="","",PAYMENTS!F274)</f>
        <v>Cash</v>
      </c>
      <c r="G781" s="15" t="str">
        <f>IF($A781="","",PAYMENTS!G274)</f>
        <v>Term payment 10</v>
      </c>
    </row>
    <row r="782" spans="1:7" x14ac:dyDescent="0.3">
      <c r="A782" s="17" t="str">
        <f>IF(PAYMENTS!A275="","",PAYMENTS!A275)</f>
        <v>2026-11-15</v>
      </c>
      <c r="B782" s="15" t="str">
        <f>IF($A782="","",PAYMENTS!B275)</f>
        <v>MSH-R1274</v>
      </c>
      <c r="C782" s="15" t="str">
        <f>IF($A782="","",PAYMENTS!C275)</f>
        <v>MSH202611011</v>
      </c>
      <c r="D782" s="15" t="str">
        <f>IF($A782="","",PAYMENTS!D275)</f>
        <v>Tshepo Phiri</v>
      </c>
      <c r="E782" s="16">
        <f>IF($A782="","",PAYMENTS!E275)</f>
        <v>289.61</v>
      </c>
      <c r="F782" s="15" t="str">
        <f>IF($A782="","",PAYMENTS!F275)</f>
        <v>EFT</v>
      </c>
      <c r="G782" s="15" t="str">
        <f>IF($A782="","",PAYMENTS!G275)</f>
        <v>Term payment 11</v>
      </c>
    </row>
    <row r="783" spans="1:7" x14ac:dyDescent="0.3">
      <c r="A783" s="17" t="str">
        <f>IF(PAYMENTS!A276="","",PAYMENTS!A276)</f>
        <v>2026-03-05</v>
      </c>
      <c r="B783" s="15" t="str">
        <f>IF($A783="","",PAYMENTS!B276)</f>
        <v>MSH-R1275</v>
      </c>
      <c r="C783" s="15" t="str">
        <f>IF($A783="","",PAYMENTS!C276)</f>
        <v>MSH202611012</v>
      </c>
      <c r="D783" s="15" t="str">
        <f>IF($A783="","",PAYMENTS!D276)</f>
        <v>Zanele Ngobeni</v>
      </c>
      <c r="E783" s="16">
        <f>IF($A783="","",PAYMENTS!E276)</f>
        <v>231.45</v>
      </c>
      <c r="F783" s="15" t="str">
        <f>IF($A783="","",PAYMENTS!F276)</f>
        <v>EFT</v>
      </c>
      <c r="G783" s="15" t="str">
        <f>IF($A783="","",PAYMENTS!G276)</f>
        <v>Term payment 3</v>
      </c>
    </row>
    <row r="784" spans="1:7" x14ac:dyDescent="0.3">
      <c r="A784" s="17" t="str">
        <f>IF(PAYMENTS!A277="","",PAYMENTS!A277)</f>
        <v>2026-04-01</v>
      </c>
      <c r="B784" s="15" t="str">
        <f>IF($A784="","",PAYMENTS!B277)</f>
        <v>MSH-R1276</v>
      </c>
      <c r="C784" s="15" t="str">
        <f>IF($A784="","",PAYMENTS!C277)</f>
        <v>MSH202611012</v>
      </c>
      <c r="D784" s="15" t="str">
        <f>IF($A784="","",PAYMENTS!D277)</f>
        <v>Zanele Ngobeni</v>
      </c>
      <c r="E784" s="16">
        <f>IF($A784="","",PAYMENTS!E277)</f>
        <v>129.6</v>
      </c>
      <c r="F784" s="15" t="str">
        <f>IF($A784="","",PAYMENTS!F277)</f>
        <v>Cash</v>
      </c>
      <c r="G784" s="15" t="str">
        <f>IF($A784="","",PAYMENTS!G277)</f>
        <v>Term payment 4</v>
      </c>
    </row>
    <row r="785" spans="1:7" x14ac:dyDescent="0.3">
      <c r="A785" s="17" t="str">
        <f>IF(PAYMENTS!A278="","",PAYMENTS!A278)</f>
        <v>2026-05-01</v>
      </c>
      <c r="B785" s="15" t="str">
        <f>IF($A785="","",PAYMENTS!B278)</f>
        <v>MSH-R1277</v>
      </c>
      <c r="C785" s="15" t="str">
        <f>IF($A785="","",PAYMENTS!C278)</f>
        <v>MSH202611012</v>
      </c>
      <c r="D785" s="15" t="str">
        <f>IF($A785="","",PAYMENTS!D278)</f>
        <v>Zanele Ngobeni</v>
      </c>
      <c r="E785" s="16">
        <f>IF($A785="","",PAYMENTS!E278)</f>
        <v>187.85</v>
      </c>
      <c r="F785" s="15" t="str">
        <f>IF($A785="","",PAYMENTS!F278)</f>
        <v>Card</v>
      </c>
      <c r="G785" s="15" t="str">
        <f>IF($A785="","",PAYMENTS!G278)</f>
        <v>Term payment 5</v>
      </c>
    </row>
    <row r="786" spans="1:7" x14ac:dyDescent="0.3">
      <c r="A786" s="17" t="str">
        <f>IF(PAYMENTS!A279="","",PAYMENTS!A279)</f>
        <v>2026-06-25</v>
      </c>
      <c r="B786" s="15" t="str">
        <f>IF($A786="","",PAYMENTS!B279)</f>
        <v>MSH-R1278</v>
      </c>
      <c r="C786" s="15" t="str">
        <f>IF($A786="","",PAYMENTS!C279)</f>
        <v>MSH202611012</v>
      </c>
      <c r="D786" s="15" t="str">
        <f>IF($A786="","",PAYMENTS!D279)</f>
        <v>Zanele Ngobeni</v>
      </c>
      <c r="E786" s="16">
        <f>IF($A786="","",PAYMENTS!E279)</f>
        <v>177.72</v>
      </c>
      <c r="F786" s="15" t="str">
        <f>IF($A786="","",PAYMENTS!F279)</f>
        <v>Cash</v>
      </c>
      <c r="G786" s="15" t="str">
        <f>IF($A786="","",PAYMENTS!G279)</f>
        <v>Term payment 6</v>
      </c>
    </row>
    <row r="787" spans="1:7" x14ac:dyDescent="0.3">
      <c r="A787" s="17" t="str">
        <f>IF(PAYMENTS!A280="","",PAYMENTS!A280)</f>
        <v>2026-07-20</v>
      </c>
      <c r="B787" s="15" t="str">
        <f>IF($A787="","",PAYMENTS!B280)</f>
        <v>MSH-R1279</v>
      </c>
      <c r="C787" s="15" t="str">
        <f>IF($A787="","",PAYMENTS!C280)</f>
        <v>MSH202611012</v>
      </c>
      <c r="D787" s="15" t="str">
        <f>IF($A787="","",PAYMENTS!D280)</f>
        <v>Zanele Ngobeni</v>
      </c>
      <c r="E787" s="16">
        <f>IF($A787="","",PAYMENTS!E280)</f>
        <v>124.26</v>
      </c>
      <c r="F787" s="15" t="str">
        <f>IF($A787="","",PAYMENTS!F280)</f>
        <v>Card</v>
      </c>
      <c r="G787" s="15" t="str">
        <f>IF($A787="","",PAYMENTS!G280)</f>
        <v>Term payment 7</v>
      </c>
    </row>
    <row r="788" spans="1:7" x14ac:dyDescent="0.3">
      <c r="A788" s="17" t="str">
        <f>IF(PAYMENTS!A281="","",PAYMENTS!A281)</f>
        <v>2026-08-20</v>
      </c>
      <c r="B788" s="15" t="str">
        <f>IF($A788="","",PAYMENTS!B281)</f>
        <v>MSH-R1280</v>
      </c>
      <c r="C788" s="15" t="str">
        <f>IF($A788="","",PAYMENTS!C281)</f>
        <v>MSH202611012</v>
      </c>
      <c r="D788" s="15" t="str">
        <f>IF($A788="","",PAYMENTS!D281)</f>
        <v>Zanele Ngobeni</v>
      </c>
      <c r="E788" s="16">
        <f>IF($A788="","",PAYMENTS!E281)</f>
        <v>170.37</v>
      </c>
      <c r="F788" s="15" t="str">
        <f>IF($A788="","",PAYMENTS!F281)</f>
        <v>Cash</v>
      </c>
      <c r="G788" s="15" t="str">
        <f>IF($A788="","",PAYMENTS!G281)</f>
        <v>Term payment 8</v>
      </c>
    </row>
    <row r="789" spans="1:7" x14ac:dyDescent="0.3">
      <c r="A789" s="17" t="str">
        <f>IF(PAYMENTS!A282="","",PAYMENTS!A282)</f>
        <v>2026-09-15</v>
      </c>
      <c r="B789" s="15" t="str">
        <f>IF($A789="","",PAYMENTS!B282)</f>
        <v>MSH-R1281</v>
      </c>
      <c r="C789" s="15" t="str">
        <f>IF($A789="","",PAYMENTS!C282)</f>
        <v>MSH202611012</v>
      </c>
      <c r="D789" s="15" t="str">
        <f>IF($A789="","",PAYMENTS!D282)</f>
        <v>Zanele Ngobeni</v>
      </c>
      <c r="E789" s="16">
        <f>IF($A789="","",PAYMENTS!E282)</f>
        <v>174.47</v>
      </c>
      <c r="F789" s="15" t="str">
        <f>IF($A789="","",PAYMENTS!F282)</f>
        <v>Card</v>
      </c>
      <c r="G789" s="15" t="str">
        <f>IF($A789="","",PAYMENTS!G282)</f>
        <v>Term payment 9</v>
      </c>
    </row>
    <row r="790" spans="1:7" x14ac:dyDescent="0.3">
      <c r="A790" s="17" t="str">
        <f>IF(PAYMENTS!A283="","",PAYMENTS!A283)</f>
        <v>2026-02-05</v>
      </c>
      <c r="B790" s="15" t="str">
        <f>IF($A790="","",PAYMENTS!B283)</f>
        <v>MSH-R1282</v>
      </c>
      <c r="C790" s="15" t="str">
        <f>IF($A790="","",PAYMENTS!C283)</f>
        <v>MSH202612001</v>
      </c>
      <c r="D790" s="15" t="str">
        <f>IF($A790="","",PAYMENTS!D283)</f>
        <v>Palesa Mokoena</v>
      </c>
      <c r="E790" s="16">
        <f>IF($A790="","",PAYMENTS!E283)</f>
        <v>381.14</v>
      </c>
      <c r="F790" s="15" t="str">
        <f>IF($A790="","",PAYMENTS!F283)</f>
        <v>Cash</v>
      </c>
      <c r="G790" s="15" t="str">
        <f>IF($A790="","",PAYMENTS!G283)</f>
        <v>Term payment 2</v>
      </c>
    </row>
    <row r="791" spans="1:7" x14ac:dyDescent="0.3">
      <c r="A791" s="17" t="str">
        <f>IF(PAYMENTS!A284="","",PAYMENTS!A284)</f>
        <v>2026-03-01</v>
      </c>
      <c r="B791" s="15" t="str">
        <f>IF($A791="","",PAYMENTS!B284)</f>
        <v>MSH-R1283</v>
      </c>
      <c r="C791" s="15" t="str">
        <f>IF($A791="","",PAYMENTS!C284)</f>
        <v>MSH202612001</v>
      </c>
      <c r="D791" s="15" t="str">
        <f>IF($A791="","",PAYMENTS!D284)</f>
        <v>Palesa Mokoena</v>
      </c>
      <c r="E791" s="16">
        <f>IF($A791="","",PAYMENTS!E284)</f>
        <v>292.83</v>
      </c>
      <c r="F791" s="15" t="str">
        <f>IF($A791="","",PAYMENTS!F284)</f>
        <v>Card</v>
      </c>
      <c r="G791" s="15" t="str">
        <f>IF($A791="","",PAYMENTS!G284)</f>
        <v>Term payment 3</v>
      </c>
    </row>
    <row r="792" spans="1:7" x14ac:dyDescent="0.3">
      <c r="A792" s="17" t="str">
        <f>IF(PAYMENTS!A285="","",PAYMENTS!A285)</f>
        <v>2026-04-10</v>
      </c>
      <c r="B792" s="15" t="str">
        <f>IF($A792="","",PAYMENTS!B285)</f>
        <v>MSH-R1284</v>
      </c>
      <c r="C792" s="15" t="str">
        <f>IF($A792="","",PAYMENTS!C285)</f>
        <v>MSH202612001</v>
      </c>
      <c r="D792" s="15" t="str">
        <f>IF($A792="","",PAYMENTS!D285)</f>
        <v>Palesa Mokoena</v>
      </c>
      <c r="E792" s="16">
        <f>IF($A792="","",PAYMENTS!E285)</f>
        <v>225.09</v>
      </c>
      <c r="F792" s="15" t="str">
        <f>IF($A792="","",PAYMENTS!F285)</f>
        <v>EFT</v>
      </c>
      <c r="G792" s="15" t="str">
        <f>IF($A792="","",PAYMENTS!G285)</f>
        <v>Term payment 4</v>
      </c>
    </row>
    <row r="793" spans="1:7" x14ac:dyDescent="0.3">
      <c r="A793" s="17" t="str">
        <f>IF(PAYMENTS!A286="","",PAYMENTS!A286)</f>
        <v>2026-06-20</v>
      </c>
      <c r="B793" s="15" t="str">
        <f>IF($A793="","",PAYMENTS!B286)</f>
        <v>MSH-R1285</v>
      </c>
      <c r="C793" s="15" t="str">
        <f>IF($A793="","",PAYMENTS!C286)</f>
        <v>MSH202612001</v>
      </c>
      <c r="D793" s="15" t="str">
        <f>IF($A793="","",PAYMENTS!D286)</f>
        <v>Palesa Mokoena</v>
      </c>
      <c r="E793" s="16">
        <f>IF($A793="","",PAYMENTS!E286)</f>
        <v>257.13</v>
      </c>
      <c r="F793" s="15" t="str">
        <f>IF($A793="","",PAYMENTS!F286)</f>
        <v>EFT</v>
      </c>
      <c r="G793" s="15" t="str">
        <f>IF($A793="","",PAYMENTS!G286)</f>
        <v>Term payment 6</v>
      </c>
    </row>
    <row r="794" spans="1:7" x14ac:dyDescent="0.3">
      <c r="A794" s="17" t="str">
        <f>IF(PAYMENTS!A287="","",PAYMENTS!A287)</f>
        <v>2026-09-20</v>
      </c>
      <c r="B794" s="15" t="str">
        <f>IF($A794="","",PAYMENTS!B287)</f>
        <v>MSH-R1286</v>
      </c>
      <c r="C794" s="15" t="str">
        <f>IF($A794="","",PAYMENTS!C287)</f>
        <v>MSH202612001</v>
      </c>
      <c r="D794" s="15" t="str">
        <f>IF($A794="","",PAYMENTS!D287)</f>
        <v>Palesa Mokoena</v>
      </c>
      <c r="E794" s="16">
        <f>IF($A794="","",PAYMENTS!E287)</f>
        <v>472.67</v>
      </c>
      <c r="F794" s="15" t="str">
        <f>IF($A794="","",PAYMENTS!F287)</f>
        <v>Card</v>
      </c>
      <c r="G794" s="15" t="str">
        <f>IF($A794="","",PAYMENTS!G287)</f>
        <v>Term payment 9</v>
      </c>
    </row>
    <row r="795" spans="1:7" x14ac:dyDescent="0.3">
      <c r="A795" s="17" t="str">
        <f>IF(PAYMENTS!A288="","",PAYMENTS!A288)</f>
        <v>2026-10-20</v>
      </c>
      <c r="B795" s="15" t="str">
        <f>IF($A795="","",PAYMENTS!B288)</f>
        <v>MSH-R1287</v>
      </c>
      <c r="C795" s="15" t="str">
        <f>IF($A795="","",PAYMENTS!C288)</f>
        <v>MSH202612001</v>
      </c>
      <c r="D795" s="15" t="str">
        <f>IF($A795="","",PAYMENTS!D288)</f>
        <v>Palesa Mokoena</v>
      </c>
      <c r="E795" s="16">
        <f>IF($A795="","",PAYMENTS!E288)</f>
        <v>386.39</v>
      </c>
      <c r="F795" s="15" t="str">
        <f>IF($A795="","",PAYMENTS!F288)</f>
        <v>Card</v>
      </c>
      <c r="G795" s="15" t="str">
        <f>IF($A795="","",PAYMENTS!G288)</f>
        <v>Term payment 10</v>
      </c>
    </row>
    <row r="796" spans="1:7" x14ac:dyDescent="0.3">
      <c r="A796" s="17" t="str">
        <f>IF(PAYMENTS!A289="","",PAYMENTS!A289)</f>
        <v>2026-11-01</v>
      </c>
      <c r="B796" s="15" t="str">
        <f>IF($A796="","",PAYMENTS!B289)</f>
        <v>MSH-R1288</v>
      </c>
      <c r="C796" s="15" t="str">
        <f>IF($A796="","",PAYMENTS!C289)</f>
        <v>MSH202612001</v>
      </c>
      <c r="D796" s="15" t="str">
        <f>IF($A796="","",PAYMENTS!D289)</f>
        <v>Palesa Mokoena</v>
      </c>
      <c r="E796" s="16">
        <f>IF($A796="","",PAYMENTS!E289)</f>
        <v>367.39</v>
      </c>
      <c r="F796" s="15" t="str">
        <f>IF($A796="","",PAYMENTS!F289)</f>
        <v>Card</v>
      </c>
      <c r="G796" s="15" t="str">
        <f>IF($A796="","",PAYMENTS!G289)</f>
        <v>Term payment 11</v>
      </c>
    </row>
    <row r="797" spans="1:7" x14ac:dyDescent="0.3">
      <c r="A797" s="17" t="str">
        <f>IF(PAYMENTS!A290="","",PAYMENTS!A290)</f>
        <v>2026-02-10</v>
      </c>
      <c r="B797" s="15" t="str">
        <f>IF($A797="","",PAYMENTS!B290)</f>
        <v>MSH-R1289</v>
      </c>
      <c r="C797" s="15" t="str">
        <f>IF($A797="","",PAYMENTS!C290)</f>
        <v>MSH202612002</v>
      </c>
      <c r="D797" s="15" t="str">
        <f>IF($A797="","",PAYMENTS!D290)</f>
        <v>Thabo Ramushu</v>
      </c>
      <c r="E797" s="16">
        <f>IF($A797="","",PAYMENTS!E290)</f>
        <v>193.76</v>
      </c>
      <c r="F797" s="15" t="str">
        <f>IF($A797="","",PAYMENTS!F290)</f>
        <v>Cash</v>
      </c>
      <c r="G797" s="15" t="str">
        <f>IF($A797="","",PAYMENTS!G290)</f>
        <v>Term payment 2</v>
      </c>
    </row>
    <row r="798" spans="1:7" x14ac:dyDescent="0.3">
      <c r="A798" s="17" t="str">
        <f>IF(PAYMENTS!A291="","",PAYMENTS!A291)</f>
        <v>2026-04-20</v>
      </c>
      <c r="B798" s="15" t="str">
        <f>IF($A798="","",PAYMENTS!B291)</f>
        <v>MSH-R1290</v>
      </c>
      <c r="C798" s="15" t="str">
        <f>IF($A798="","",PAYMENTS!C291)</f>
        <v>MSH202612002</v>
      </c>
      <c r="D798" s="15" t="str">
        <f>IF($A798="","",PAYMENTS!D291)</f>
        <v>Thabo Ramushu</v>
      </c>
      <c r="E798" s="16">
        <f>IF($A798="","",PAYMENTS!E291)</f>
        <v>381.32</v>
      </c>
      <c r="F798" s="15" t="str">
        <f>IF($A798="","",PAYMENTS!F291)</f>
        <v>Cash</v>
      </c>
      <c r="G798" s="15" t="str">
        <f>IF($A798="","",PAYMENTS!G291)</f>
        <v>Term payment 4</v>
      </c>
    </row>
    <row r="799" spans="1:7" x14ac:dyDescent="0.3">
      <c r="A799" s="17" t="str">
        <f>IF(PAYMENTS!A292="","",PAYMENTS!A292)</f>
        <v>2026-06-05</v>
      </c>
      <c r="B799" s="15" t="str">
        <f>IF($A799="","",PAYMENTS!B292)</f>
        <v>MSH-R1291</v>
      </c>
      <c r="C799" s="15" t="str">
        <f>IF($A799="","",PAYMENTS!C292)</f>
        <v>MSH202612002</v>
      </c>
      <c r="D799" s="15" t="str">
        <f>IF($A799="","",PAYMENTS!D292)</f>
        <v>Thabo Ramushu</v>
      </c>
      <c r="E799" s="16">
        <f>IF($A799="","",PAYMENTS!E292)</f>
        <v>405.4</v>
      </c>
      <c r="F799" s="15" t="str">
        <f>IF($A799="","",PAYMENTS!F292)</f>
        <v>Cash</v>
      </c>
      <c r="G799" s="15" t="str">
        <f>IF($A799="","",PAYMENTS!G292)</f>
        <v>Term payment 6</v>
      </c>
    </row>
    <row r="800" spans="1:7" x14ac:dyDescent="0.3">
      <c r="A800" s="17" t="str">
        <f>IF(PAYMENTS!A293="","",PAYMENTS!A293)</f>
        <v>2026-07-01</v>
      </c>
      <c r="B800" s="15" t="str">
        <f>IF($A800="","",PAYMENTS!B293)</f>
        <v>MSH-R1292</v>
      </c>
      <c r="C800" s="15" t="str">
        <f>IF($A800="","",PAYMENTS!C293)</f>
        <v>MSH202612002</v>
      </c>
      <c r="D800" s="15" t="str">
        <f>IF($A800="","",PAYMENTS!D293)</f>
        <v>Thabo Ramushu</v>
      </c>
      <c r="E800" s="16">
        <f>IF($A800="","",PAYMENTS!E293)</f>
        <v>406.88</v>
      </c>
      <c r="F800" s="15" t="str">
        <f>IF($A800="","",PAYMENTS!F293)</f>
        <v>Cash</v>
      </c>
      <c r="G800" s="15" t="str">
        <f>IF($A800="","",PAYMENTS!G293)</f>
        <v>Term payment 7</v>
      </c>
    </row>
    <row r="801" spans="1:7" x14ac:dyDescent="0.3">
      <c r="A801" s="17" t="str">
        <f>IF(PAYMENTS!A294="","",PAYMENTS!A294)</f>
        <v>2026-08-15</v>
      </c>
      <c r="B801" s="15" t="str">
        <f>IF($A801="","",PAYMENTS!B294)</f>
        <v>MSH-R1293</v>
      </c>
      <c r="C801" s="15" t="str">
        <f>IF($A801="","",PAYMENTS!C294)</f>
        <v>MSH202612002</v>
      </c>
      <c r="D801" s="15" t="str">
        <f>IF($A801="","",PAYMENTS!D294)</f>
        <v>Thabo Ramushu</v>
      </c>
      <c r="E801" s="16">
        <f>IF($A801="","",PAYMENTS!E294)</f>
        <v>312.91000000000003</v>
      </c>
      <c r="F801" s="15" t="str">
        <f>IF($A801="","",PAYMENTS!F294)</f>
        <v>EFT</v>
      </c>
      <c r="G801" s="15" t="str">
        <f>IF($A801="","",PAYMENTS!G294)</f>
        <v>Term payment 8</v>
      </c>
    </row>
    <row r="802" spans="1:7" x14ac:dyDescent="0.3">
      <c r="A802" s="17" t="str">
        <f>IF(PAYMENTS!A295="","",PAYMENTS!A295)</f>
        <v>2026-10-05</v>
      </c>
      <c r="B802" s="15" t="str">
        <f>IF($A802="","",PAYMENTS!B295)</f>
        <v>MSH-R1294</v>
      </c>
      <c r="C802" s="15" t="str">
        <f>IF($A802="","",PAYMENTS!C295)</f>
        <v>MSH202612002</v>
      </c>
      <c r="D802" s="15" t="str">
        <f>IF($A802="","",PAYMENTS!D295)</f>
        <v>Thabo Ramushu</v>
      </c>
      <c r="E802" s="16">
        <f>IF($A802="","",PAYMENTS!E295)</f>
        <v>298.58</v>
      </c>
      <c r="F802" s="15" t="str">
        <f>IF($A802="","",PAYMENTS!F295)</f>
        <v>Card</v>
      </c>
      <c r="G802" s="15" t="str">
        <f>IF($A802="","",PAYMENTS!G295)</f>
        <v>Term payment 10</v>
      </c>
    </row>
    <row r="803" spans="1:7" x14ac:dyDescent="0.3">
      <c r="A803" s="17" t="str">
        <f>IF(PAYMENTS!A296="","",PAYMENTS!A296)</f>
        <v>2026-02-01</v>
      </c>
      <c r="B803" s="15" t="str">
        <f>IF($A803="","",PAYMENTS!B296)</f>
        <v>MSH-R1295</v>
      </c>
      <c r="C803" s="15" t="str">
        <f>IF($A803="","",PAYMENTS!C296)</f>
        <v>MSH202612003</v>
      </c>
      <c r="D803" s="15" t="str">
        <f>IF($A803="","",PAYMENTS!D296)</f>
        <v>Lwazi Ndlovu</v>
      </c>
      <c r="E803" s="16">
        <f>IF($A803="","",PAYMENTS!E296)</f>
        <v>386.1</v>
      </c>
      <c r="F803" s="15" t="str">
        <f>IF($A803="","",PAYMENTS!F296)</f>
        <v>EFT</v>
      </c>
      <c r="G803" s="15" t="str">
        <f>IF($A803="","",PAYMENTS!G296)</f>
        <v>Term payment 2</v>
      </c>
    </row>
    <row r="804" spans="1:7" x14ac:dyDescent="0.3">
      <c r="A804" s="17" t="str">
        <f>IF(PAYMENTS!A297="","",PAYMENTS!A297)</f>
        <v>2026-03-15</v>
      </c>
      <c r="B804" s="15" t="str">
        <f>IF($A804="","",PAYMENTS!B297)</f>
        <v>MSH-R1296</v>
      </c>
      <c r="C804" s="15" t="str">
        <f>IF($A804="","",PAYMENTS!C297)</f>
        <v>MSH202612003</v>
      </c>
      <c r="D804" s="15" t="str">
        <f>IF($A804="","",PAYMENTS!D297)</f>
        <v>Lwazi Ndlovu</v>
      </c>
      <c r="E804" s="16">
        <f>IF($A804="","",PAYMENTS!E297)</f>
        <v>382.64</v>
      </c>
      <c r="F804" s="15" t="str">
        <f>IF($A804="","",PAYMENTS!F297)</f>
        <v>EFT</v>
      </c>
      <c r="G804" s="15" t="str">
        <f>IF($A804="","",PAYMENTS!G297)</f>
        <v>Term payment 3</v>
      </c>
    </row>
    <row r="805" spans="1:7" x14ac:dyDescent="0.3">
      <c r="A805" s="17" t="str">
        <f>IF(PAYMENTS!A298="","",PAYMENTS!A298)</f>
        <v>2026-06-20</v>
      </c>
      <c r="B805" s="15" t="str">
        <f>IF($A805="","",PAYMENTS!B298)</f>
        <v>MSH-R1297</v>
      </c>
      <c r="C805" s="15" t="str">
        <f>IF($A805="","",PAYMENTS!C298)</f>
        <v>MSH202612003</v>
      </c>
      <c r="D805" s="15" t="str">
        <f>IF($A805="","",PAYMENTS!D298)</f>
        <v>Lwazi Ndlovu</v>
      </c>
      <c r="E805" s="16">
        <f>IF($A805="","",PAYMENTS!E298)</f>
        <v>319.31</v>
      </c>
      <c r="F805" s="15" t="str">
        <f>IF($A805="","",PAYMENTS!F298)</f>
        <v>EFT</v>
      </c>
      <c r="G805" s="15" t="str">
        <f>IF($A805="","",PAYMENTS!G298)</f>
        <v>Term payment 6</v>
      </c>
    </row>
    <row r="806" spans="1:7" x14ac:dyDescent="0.3">
      <c r="A806" s="17" t="str">
        <f>IF(PAYMENTS!A299="","",PAYMENTS!A299)</f>
        <v>2026-08-05</v>
      </c>
      <c r="B806" s="15" t="str">
        <f>IF($A806="","",PAYMENTS!B299)</f>
        <v>MSH-R1298</v>
      </c>
      <c r="C806" s="15" t="str">
        <f>IF($A806="","",PAYMENTS!C299)</f>
        <v>MSH202612003</v>
      </c>
      <c r="D806" s="15" t="str">
        <f>IF($A806="","",PAYMENTS!D299)</f>
        <v>Lwazi Ndlovu</v>
      </c>
      <c r="E806" s="16">
        <f>IF($A806="","",PAYMENTS!E299)</f>
        <v>409.42</v>
      </c>
      <c r="F806" s="15" t="str">
        <f>IF($A806="","",PAYMENTS!F299)</f>
        <v>Cash</v>
      </c>
      <c r="G806" s="15" t="str">
        <f>IF($A806="","",PAYMENTS!G299)</f>
        <v>Term payment 8</v>
      </c>
    </row>
    <row r="807" spans="1:7" x14ac:dyDescent="0.3">
      <c r="A807" s="17" t="str">
        <f>IF(PAYMENTS!A300="","",PAYMENTS!A300)</f>
        <v>2026-10-10</v>
      </c>
      <c r="B807" s="15" t="str">
        <f>IF($A807="","",PAYMENTS!B300)</f>
        <v>MSH-R1299</v>
      </c>
      <c r="C807" s="15" t="str">
        <f>IF($A807="","",PAYMENTS!C300)</f>
        <v>MSH202612003</v>
      </c>
      <c r="D807" s="15" t="str">
        <f>IF($A807="","",PAYMENTS!D300)</f>
        <v>Lwazi Ndlovu</v>
      </c>
      <c r="E807" s="16">
        <f>IF($A807="","",PAYMENTS!E300)</f>
        <v>315.82</v>
      </c>
      <c r="F807" s="15" t="str">
        <f>IF($A807="","",PAYMENTS!F300)</f>
        <v>EFT</v>
      </c>
      <c r="G807" s="15" t="str">
        <f>IF($A807="","",PAYMENTS!G300)</f>
        <v>Term payment 10</v>
      </c>
    </row>
    <row r="808" spans="1:7" x14ac:dyDescent="0.3">
      <c r="A808" s="17" t="str">
        <f>IF(PAYMENTS!A301="","",PAYMENTS!A301)</f>
        <v>2026-11-25</v>
      </c>
      <c r="B808" s="15" t="str">
        <f>IF($A808="","",PAYMENTS!B301)</f>
        <v>MSH-R1300</v>
      </c>
      <c r="C808" s="15" t="str">
        <f>IF($A808="","",PAYMENTS!C301)</f>
        <v>MSH202612003</v>
      </c>
      <c r="D808" s="15" t="str">
        <f>IF($A808="","",PAYMENTS!D301)</f>
        <v>Lwazi Ndlovu</v>
      </c>
      <c r="E808" s="16">
        <f>IF($A808="","",PAYMENTS!E301)</f>
        <v>387.4</v>
      </c>
      <c r="F808" s="15" t="str">
        <f>IF($A808="","",PAYMENTS!F301)</f>
        <v>EFT</v>
      </c>
      <c r="G808" s="15" t="str">
        <f>IF($A808="","",PAYMENTS!G301)</f>
        <v>Term payment 11</v>
      </c>
    </row>
    <row r="809" spans="1:7" x14ac:dyDescent="0.3">
      <c r="A809" s="17" t="str">
        <f>IF(PAYMENTS!A302="","",PAYMENTS!A302)</f>
        <v>2026-02-10</v>
      </c>
      <c r="B809" s="15" t="str">
        <f>IF($A809="","",PAYMENTS!B302)</f>
        <v>MSH-R1301</v>
      </c>
      <c r="C809" s="15" t="str">
        <f>IF($A809="","",PAYMENTS!C302)</f>
        <v>MSH202612004</v>
      </c>
      <c r="D809" s="15" t="str">
        <f>IF($A809="","",PAYMENTS!D302)</f>
        <v>Ayanda Dlamini</v>
      </c>
      <c r="E809" s="16">
        <f>IF($A809="","",PAYMENTS!E302)</f>
        <v>275.64999999999998</v>
      </c>
      <c r="F809" s="15" t="str">
        <f>IF($A809="","",PAYMENTS!F302)</f>
        <v>Cash</v>
      </c>
      <c r="G809" s="15" t="str">
        <f>IF($A809="","",PAYMENTS!G302)</f>
        <v>Term payment 2</v>
      </c>
    </row>
    <row r="810" spans="1:7" x14ac:dyDescent="0.3">
      <c r="A810" s="17" t="str">
        <f>IF(PAYMENTS!A303="","",PAYMENTS!A303)</f>
        <v>2026-05-10</v>
      </c>
      <c r="B810" s="15" t="str">
        <f>IF($A810="","",PAYMENTS!B303)</f>
        <v>MSH-R1302</v>
      </c>
      <c r="C810" s="15" t="str">
        <f>IF($A810="","",PAYMENTS!C303)</f>
        <v>MSH202612004</v>
      </c>
      <c r="D810" s="15" t="str">
        <f>IF($A810="","",PAYMENTS!D303)</f>
        <v>Ayanda Dlamini</v>
      </c>
      <c r="E810" s="16">
        <f>IF($A810="","",PAYMENTS!E303)</f>
        <v>163.5</v>
      </c>
      <c r="F810" s="15" t="str">
        <f>IF($A810="","",PAYMENTS!F303)</f>
        <v>Cash</v>
      </c>
      <c r="G810" s="15" t="str">
        <f>IF($A810="","",PAYMENTS!G303)</f>
        <v>Term payment 5</v>
      </c>
    </row>
    <row r="811" spans="1:7" x14ac:dyDescent="0.3">
      <c r="A811" s="17" t="str">
        <f>IF(PAYMENTS!A304="","",PAYMENTS!A304)</f>
        <v>2026-06-01</v>
      </c>
      <c r="B811" s="15" t="str">
        <f>IF($A811="","",PAYMENTS!B304)</f>
        <v>MSH-R1303</v>
      </c>
      <c r="C811" s="15" t="str">
        <f>IF($A811="","",PAYMENTS!C304)</f>
        <v>MSH202612004</v>
      </c>
      <c r="D811" s="15" t="str">
        <f>IF($A811="","",PAYMENTS!D304)</f>
        <v>Ayanda Dlamini</v>
      </c>
      <c r="E811" s="16">
        <f>IF($A811="","",PAYMENTS!E304)</f>
        <v>199.05</v>
      </c>
      <c r="F811" s="15" t="str">
        <f>IF($A811="","",PAYMENTS!F304)</f>
        <v>EFT</v>
      </c>
      <c r="G811" s="15" t="str">
        <f>IF($A811="","",PAYMENTS!G304)</f>
        <v>Term payment 6</v>
      </c>
    </row>
    <row r="812" spans="1:7" x14ac:dyDescent="0.3">
      <c r="A812" s="17" t="str">
        <f>IF(PAYMENTS!A305="","",PAYMENTS!A305)</f>
        <v>2026-07-05</v>
      </c>
      <c r="B812" s="15" t="str">
        <f>IF($A812="","",PAYMENTS!B305)</f>
        <v>MSH-R1304</v>
      </c>
      <c r="C812" s="15" t="str">
        <f>IF($A812="","",PAYMENTS!C305)</f>
        <v>MSH202612004</v>
      </c>
      <c r="D812" s="15" t="str">
        <f>IF($A812="","",PAYMENTS!D305)</f>
        <v>Ayanda Dlamini</v>
      </c>
      <c r="E812" s="16">
        <f>IF($A812="","",PAYMENTS!E305)</f>
        <v>136.09</v>
      </c>
      <c r="F812" s="15" t="str">
        <f>IF($A812="","",PAYMENTS!F305)</f>
        <v>Card</v>
      </c>
      <c r="G812" s="15" t="str">
        <f>IF($A812="","",PAYMENTS!G305)</f>
        <v>Term payment 7</v>
      </c>
    </row>
    <row r="813" spans="1:7" x14ac:dyDescent="0.3">
      <c r="A813" s="17" t="str">
        <f>IF(PAYMENTS!A306="","",PAYMENTS!A306)</f>
        <v>2026-08-25</v>
      </c>
      <c r="B813" s="15" t="str">
        <f>IF($A813="","",PAYMENTS!B306)</f>
        <v>MSH-R1305</v>
      </c>
      <c r="C813" s="15" t="str">
        <f>IF($A813="","",PAYMENTS!C306)</f>
        <v>MSH202612004</v>
      </c>
      <c r="D813" s="15" t="str">
        <f>IF($A813="","",PAYMENTS!D306)</f>
        <v>Ayanda Dlamini</v>
      </c>
      <c r="E813" s="16">
        <f>IF($A813="","",PAYMENTS!E306)</f>
        <v>153.35</v>
      </c>
      <c r="F813" s="15" t="str">
        <f>IF($A813="","",PAYMENTS!F306)</f>
        <v>Card</v>
      </c>
      <c r="G813" s="15" t="str">
        <f>IF($A813="","",PAYMENTS!G306)</f>
        <v>Term payment 8</v>
      </c>
    </row>
    <row r="814" spans="1:7" x14ac:dyDescent="0.3">
      <c r="A814" s="17" t="str">
        <f>IF(PAYMENTS!A307="","",PAYMENTS!A307)</f>
        <v>2026-09-25</v>
      </c>
      <c r="B814" s="15" t="str">
        <f>IF($A814="","",PAYMENTS!B307)</f>
        <v>MSH-R1306</v>
      </c>
      <c r="C814" s="15" t="str">
        <f>IF($A814="","",PAYMENTS!C307)</f>
        <v>MSH202612004</v>
      </c>
      <c r="D814" s="15" t="str">
        <f>IF($A814="","",PAYMENTS!D307)</f>
        <v>Ayanda Dlamini</v>
      </c>
      <c r="E814" s="16">
        <f>IF($A814="","",PAYMENTS!E307)</f>
        <v>251.86</v>
      </c>
      <c r="F814" s="15" t="str">
        <f>IF($A814="","",PAYMENTS!F307)</f>
        <v>Cash</v>
      </c>
      <c r="G814" s="15" t="str">
        <f>IF($A814="","",PAYMENTS!G307)</f>
        <v>Term payment 9</v>
      </c>
    </row>
    <row r="815" spans="1:7" x14ac:dyDescent="0.3">
      <c r="A815" s="17" t="str">
        <f>IF(PAYMENTS!A308="","",PAYMENTS!A308)</f>
        <v>2026-10-15</v>
      </c>
      <c r="B815" s="15" t="str">
        <f>IF($A815="","",PAYMENTS!B308)</f>
        <v>MSH-R1307</v>
      </c>
      <c r="C815" s="15" t="str">
        <f>IF($A815="","",PAYMENTS!C308)</f>
        <v>MSH202612004</v>
      </c>
      <c r="D815" s="15" t="str">
        <f>IF($A815="","",PAYMENTS!D308)</f>
        <v>Ayanda Dlamini</v>
      </c>
      <c r="E815" s="16">
        <f>IF($A815="","",PAYMENTS!E308)</f>
        <v>261.36</v>
      </c>
      <c r="F815" s="15" t="str">
        <f>IF($A815="","",PAYMENTS!F308)</f>
        <v>Cash</v>
      </c>
      <c r="G815" s="15" t="str">
        <f>IF($A815="","",PAYMENTS!G308)</f>
        <v>Term payment 10</v>
      </c>
    </row>
    <row r="816" spans="1:7" x14ac:dyDescent="0.3">
      <c r="A816" s="17" t="str">
        <f>IF(PAYMENTS!A309="","",PAYMENTS!A309)</f>
        <v>2026-11-15</v>
      </c>
      <c r="B816" s="15" t="str">
        <f>IF($A816="","",PAYMENTS!B309)</f>
        <v>MSH-R1308</v>
      </c>
      <c r="C816" s="15" t="str">
        <f>IF($A816="","",PAYMENTS!C309)</f>
        <v>MSH202612004</v>
      </c>
      <c r="D816" s="15" t="str">
        <f>IF($A816="","",PAYMENTS!D309)</f>
        <v>Ayanda Dlamini</v>
      </c>
      <c r="E816" s="16">
        <f>IF($A816="","",PAYMENTS!E309)</f>
        <v>117.2</v>
      </c>
      <c r="F816" s="15" t="str">
        <f>IF($A816="","",PAYMENTS!F309)</f>
        <v>Cash</v>
      </c>
      <c r="G816" s="15" t="str">
        <f>IF($A816="","",PAYMENTS!G309)</f>
        <v>Term payment 11</v>
      </c>
    </row>
    <row r="817" spans="1:7" x14ac:dyDescent="0.3">
      <c r="A817" s="17" t="str">
        <f>IF(PAYMENTS!A310="","",PAYMENTS!A310)</f>
        <v>2026-05-10</v>
      </c>
      <c r="B817" s="15" t="str">
        <f>IF($A817="","",PAYMENTS!B310)</f>
        <v>MSH-R1309</v>
      </c>
      <c r="C817" s="15" t="str">
        <f>IF($A817="","",PAYMENTS!C310)</f>
        <v>MSH202612005</v>
      </c>
      <c r="D817" s="15" t="str">
        <f>IF($A817="","",PAYMENTS!D310)</f>
        <v>Neo Ndlovu</v>
      </c>
      <c r="E817" s="16">
        <f>IF($A817="","",PAYMENTS!E310)</f>
        <v>225.17</v>
      </c>
      <c r="F817" s="15" t="str">
        <f>IF($A817="","",PAYMENTS!F310)</f>
        <v>Cash</v>
      </c>
      <c r="G817" s="15" t="str">
        <f>IF($A817="","",PAYMENTS!G310)</f>
        <v>Term payment 5</v>
      </c>
    </row>
    <row r="818" spans="1:7" x14ac:dyDescent="0.3">
      <c r="A818" s="17" t="str">
        <f>IF(PAYMENTS!A311="","",PAYMENTS!A311)</f>
        <v>2026-07-10</v>
      </c>
      <c r="B818" s="15" t="str">
        <f>IF($A818="","",PAYMENTS!B311)</f>
        <v>MSH-R1310</v>
      </c>
      <c r="C818" s="15" t="str">
        <f>IF($A818="","",PAYMENTS!C311)</f>
        <v>MSH202612005</v>
      </c>
      <c r="D818" s="15" t="str">
        <f>IF($A818="","",PAYMENTS!D311)</f>
        <v>Neo Ndlovu</v>
      </c>
      <c r="E818" s="16">
        <f>IF($A818="","",PAYMENTS!E311)</f>
        <v>241.5</v>
      </c>
      <c r="F818" s="15" t="str">
        <f>IF($A818="","",PAYMENTS!F311)</f>
        <v>Card</v>
      </c>
      <c r="G818" s="15" t="str">
        <f>IF($A818="","",PAYMENTS!G311)</f>
        <v>Term payment 7</v>
      </c>
    </row>
    <row r="819" spans="1:7" x14ac:dyDescent="0.3">
      <c r="A819" s="17" t="str">
        <f>IF(PAYMENTS!A312="","",PAYMENTS!A312)</f>
        <v>2026-08-15</v>
      </c>
      <c r="B819" s="15" t="str">
        <f>IF($A819="","",PAYMENTS!B312)</f>
        <v>MSH-R1311</v>
      </c>
      <c r="C819" s="15" t="str">
        <f>IF($A819="","",PAYMENTS!C312)</f>
        <v>MSH202612005</v>
      </c>
      <c r="D819" s="15" t="str">
        <f>IF($A819="","",PAYMENTS!D312)</f>
        <v>Neo Ndlovu</v>
      </c>
      <c r="E819" s="16">
        <f>IF($A819="","",PAYMENTS!E312)</f>
        <v>431.62</v>
      </c>
      <c r="F819" s="15" t="str">
        <f>IF($A819="","",PAYMENTS!F312)</f>
        <v>EFT</v>
      </c>
      <c r="G819" s="15" t="str">
        <f>IF($A819="","",PAYMENTS!G312)</f>
        <v>Term payment 8</v>
      </c>
    </row>
    <row r="820" spans="1:7" x14ac:dyDescent="0.3">
      <c r="A820" s="17" t="str">
        <f>IF(PAYMENTS!A313="","",PAYMENTS!A313)</f>
        <v>2026-09-01</v>
      </c>
      <c r="B820" s="15" t="str">
        <f>IF($A820="","",PAYMENTS!B313)</f>
        <v>MSH-R1312</v>
      </c>
      <c r="C820" s="15" t="str">
        <f>IF($A820="","",PAYMENTS!C313)</f>
        <v>MSH202612005</v>
      </c>
      <c r="D820" s="15" t="str">
        <f>IF($A820="","",PAYMENTS!D313)</f>
        <v>Neo Ndlovu</v>
      </c>
      <c r="E820" s="16">
        <f>IF($A820="","",PAYMENTS!E313)</f>
        <v>317.77</v>
      </c>
      <c r="F820" s="15" t="str">
        <f>IF($A820="","",PAYMENTS!F313)</f>
        <v>Cash</v>
      </c>
      <c r="G820" s="15" t="str">
        <f>IF($A820="","",PAYMENTS!G313)</f>
        <v>Term payment 9</v>
      </c>
    </row>
    <row r="821" spans="1:7" x14ac:dyDescent="0.3">
      <c r="A821" s="17" t="str">
        <f>IF(PAYMENTS!A314="","",PAYMENTS!A314)</f>
        <v>2026-10-05</v>
      </c>
      <c r="B821" s="15" t="str">
        <f>IF($A821="","",PAYMENTS!B314)</f>
        <v>MSH-R1313</v>
      </c>
      <c r="C821" s="15" t="str">
        <f>IF($A821="","",PAYMENTS!C314)</f>
        <v>MSH202612005</v>
      </c>
      <c r="D821" s="15" t="str">
        <f>IF($A821="","",PAYMENTS!D314)</f>
        <v>Neo Ndlovu</v>
      </c>
      <c r="E821" s="16">
        <f>IF($A821="","",PAYMENTS!E314)</f>
        <v>317.47000000000003</v>
      </c>
      <c r="F821" s="15" t="str">
        <f>IF($A821="","",PAYMENTS!F314)</f>
        <v>EFT</v>
      </c>
      <c r="G821" s="15" t="str">
        <f>IF($A821="","",PAYMENTS!G314)</f>
        <v>Term payment 10</v>
      </c>
    </row>
    <row r="822" spans="1:7" x14ac:dyDescent="0.3">
      <c r="A822" s="17" t="str">
        <f>IF(PAYMENTS!A315="","",PAYMENTS!A315)</f>
        <v>2026-11-20</v>
      </c>
      <c r="B822" s="15" t="str">
        <f>IF($A822="","",PAYMENTS!B315)</f>
        <v>MSH-R1314</v>
      </c>
      <c r="C822" s="15" t="str">
        <f>IF($A822="","",PAYMENTS!C315)</f>
        <v>MSH202612005</v>
      </c>
      <c r="D822" s="15" t="str">
        <f>IF($A822="","",PAYMENTS!D315)</f>
        <v>Neo Ndlovu</v>
      </c>
      <c r="E822" s="16">
        <f>IF($A822="","",PAYMENTS!E315)</f>
        <v>214.65</v>
      </c>
      <c r="F822" s="15" t="str">
        <f>IF($A822="","",PAYMENTS!F315)</f>
        <v>EFT</v>
      </c>
      <c r="G822" s="15" t="str">
        <f>IF($A822="","",PAYMENTS!G315)</f>
        <v>Term payment 11</v>
      </c>
    </row>
    <row r="823" spans="1:7" x14ac:dyDescent="0.3">
      <c r="A823" s="17" t="str">
        <f>IF(PAYMENTS!A316="","",PAYMENTS!A316)</f>
        <v>2026-02-20</v>
      </c>
      <c r="B823" s="15" t="str">
        <f>IF($A823="","",PAYMENTS!B316)</f>
        <v>MSH-R1315</v>
      </c>
      <c r="C823" s="15" t="str">
        <f>IF($A823="","",PAYMENTS!C316)</f>
        <v>MSH202612006</v>
      </c>
      <c r="D823" s="15" t="str">
        <f>IF($A823="","",PAYMENTS!D316)</f>
        <v>Neo Ramushu</v>
      </c>
      <c r="E823" s="16">
        <f>IF($A823="","",PAYMENTS!E316)</f>
        <v>338.87</v>
      </c>
      <c r="F823" s="15" t="str">
        <f>IF($A823="","",PAYMENTS!F316)</f>
        <v>EFT</v>
      </c>
      <c r="G823" s="15" t="str">
        <f>IF($A823="","",PAYMENTS!G316)</f>
        <v>Term payment 2</v>
      </c>
    </row>
    <row r="824" spans="1:7" x14ac:dyDescent="0.3">
      <c r="A824" s="17" t="str">
        <f>IF(PAYMENTS!A317="","",PAYMENTS!A317)</f>
        <v>2026-04-10</v>
      </c>
      <c r="B824" s="15" t="str">
        <f>IF($A824="","",PAYMENTS!B317)</f>
        <v>MSH-R1316</v>
      </c>
      <c r="C824" s="15" t="str">
        <f>IF($A824="","",PAYMENTS!C317)</f>
        <v>MSH202612006</v>
      </c>
      <c r="D824" s="15" t="str">
        <f>IF($A824="","",PAYMENTS!D317)</f>
        <v>Neo Ramushu</v>
      </c>
      <c r="E824" s="16">
        <f>IF($A824="","",PAYMENTS!E317)</f>
        <v>401.49</v>
      </c>
      <c r="F824" s="15" t="str">
        <f>IF($A824="","",PAYMENTS!F317)</f>
        <v>Card</v>
      </c>
      <c r="G824" s="15" t="str">
        <f>IF($A824="","",PAYMENTS!G317)</f>
        <v>Term payment 4</v>
      </c>
    </row>
    <row r="825" spans="1:7" x14ac:dyDescent="0.3">
      <c r="A825" s="17" t="str">
        <f>IF(PAYMENTS!A318="","",PAYMENTS!A318)</f>
        <v>2026-05-05</v>
      </c>
      <c r="B825" s="15" t="str">
        <f>IF($A825="","",PAYMENTS!B318)</f>
        <v>MSH-R1317</v>
      </c>
      <c r="C825" s="15" t="str">
        <f>IF($A825="","",PAYMENTS!C318)</f>
        <v>MSH202612006</v>
      </c>
      <c r="D825" s="15" t="str">
        <f>IF($A825="","",PAYMENTS!D318)</f>
        <v>Neo Ramushu</v>
      </c>
      <c r="E825" s="16">
        <f>IF($A825="","",PAYMENTS!E318)</f>
        <v>260.05</v>
      </c>
      <c r="F825" s="15" t="str">
        <f>IF($A825="","",PAYMENTS!F318)</f>
        <v>Cash</v>
      </c>
      <c r="G825" s="15" t="str">
        <f>IF($A825="","",PAYMENTS!G318)</f>
        <v>Term payment 5</v>
      </c>
    </row>
    <row r="826" spans="1:7" x14ac:dyDescent="0.3">
      <c r="A826" s="17" t="str">
        <f>IF(PAYMENTS!A319="","",PAYMENTS!A319)</f>
        <v>2026-06-10</v>
      </c>
      <c r="B826" s="15" t="str">
        <f>IF($A826="","",PAYMENTS!B319)</f>
        <v>MSH-R1318</v>
      </c>
      <c r="C826" s="15" t="str">
        <f>IF($A826="","",PAYMENTS!C319)</f>
        <v>MSH202612006</v>
      </c>
      <c r="D826" s="15" t="str">
        <f>IF($A826="","",PAYMENTS!D319)</f>
        <v>Neo Ramushu</v>
      </c>
      <c r="E826" s="16">
        <f>IF($A826="","",PAYMENTS!E319)</f>
        <v>248.81</v>
      </c>
      <c r="F826" s="15" t="str">
        <f>IF($A826="","",PAYMENTS!F319)</f>
        <v>Card</v>
      </c>
      <c r="G826" s="15" t="str">
        <f>IF($A826="","",PAYMENTS!G319)</f>
        <v>Term payment 6</v>
      </c>
    </row>
    <row r="827" spans="1:7" x14ac:dyDescent="0.3">
      <c r="A827" s="17" t="str">
        <f>IF(PAYMENTS!A320="","",PAYMENTS!A320)</f>
        <v>2026-07-05</v>
      </c>
      <c r="B827" s="15" t="str">
        <f>IF($A827="","",PAYMENTS!B320)</f>
        <v>MSH-R1319</v>
      </c>
      <c r="C827" s="15" t="str">
        <f>IF($A827="","",PAYMENTS!C320)</f>
        <v>MSH202612006</v>
      </c>
      <c r="D827" s="15" t="str">
        <f>IF($A827="","",PAYMENTS!D320)</f>
        <v>Neo Ramushu</v>
      </c>
      <c r="E827" s="16">
        <f>IF($A827="","",PAYMENTS!E320)</f>
        <v>410.94</v>
      </c>
      <c r="F827" s="15" t="str">
        <f>IF($A827="","",PAYMENTS!F320)</f>
        <v>Card</v>
      </c>
      <c r="G827" s="15" t="str">
        <f>IF($A827="","",PAYMENTS!G320)</f>
        <v>Term payment 7</v>
      </c>
    </row>
    <row r="828" spans="1:7" x14ac:dyDescent="0.3">
      <c r="A828" s="17" t="str">
        <f>IF(PAYMENTS!A321="","",PAYMENTS!A321)</f>
        <v>2026-08-01</v>
      </c>
      <c r="B828" s="15" t="str">
        <f>IF($A828="","",PAYMENTS!B321)</f>
        <v>MSH-R1320</v>
      </c>
      <c r="C828" s="15" t="str">
        <f>IF($A828="","",PAYMENTS!C321)</f>
        <v>MSH202612006</v>
      </c>
      <c r="D828" s="15" t="str">
        <f>IF($A828="","",PAYMENTS!D321)</f>
        <v>Neo Ramushu</v>
      </c>
      <c r="E828" s="16">
        <f>IF($A828="","",PAYMENTS!E321)</f>
        <v>243.02</v>
      </c>
      <c r="F828" s="15" t="str">
        <f>IF($A828="","",PAYMENTS!F321)</f>
        <v>Card</v>
      </c>
      <c r="G828" s="15" t="str">
        <f>IF($A828="","",PAYMENTS!G321)</f>
        <v>Term payment 8</v>
      </c>
    </row>
    <row r="829" spans="1:7" x14ac:dyDescent="0.3">
      <c r="A829" s="17" t="str">
        <f>IF(PAYMENTS!A322="","",PAYMENTS!A322)</f>
        <v>2026-03-15</v>
      </c>
      <c r="B829" s="15" t="str">
        <f>IF($A829="","",PAYMENTS!B322)</f>
        <v>MSH-R1321</v>
      </c>
      <c r="C829" s="15" t="str">
        <f>IF($A829="","",PAYMENTS!C322)</f>
        <v>MSH202612007</v>
      </c>
      <c r="D829" s="15" t="str">
        <f>IF($A829="","",PAYMENTS!D322)</f>
        <v>Karabo Baloyi</v>
      </c>
      <c r="E829" s="16">
        <f>IF($A829="","",PAYMENTS!E322)</f>
        <v>211.67</v>
      </c>
      <c r="F829" s="15" t="str">
        <f>IF($A829="","",PAYMENTS!F322)</f>
        <v>EFT</v>
      </c>
      <c r="G829" s="15" t="str">
        <f>IF($A829="","",PAYMENTS!G322)</f>
        <v>Term payment 3</v>
      </c>
    </row>
    <row r="830" spans="1:7" x14ac:dyDescent="0.3">
      <c r="A830" s="17" t="str">
        <f>IF(PAYMENTS!A323="","",PAYMENTS!A323)</f>
        <v>2026-04-25</v>
      </c>
      <c r="B830" s="15" t="str">
        <f>IF($A830="","",PAYMENTS!B323)</f>
        <v>MSH-R1322</v>
      </c>
      <c r="C830" s="15" t="str">
        <f>IF($A830="","",PAYMENTS!C323)</f>
        <v>MSH202612007</v>
      </c>
      <c r="D830" s="15" t="str">
        <f>IF($A830="","",PAYMENTS!D323)</f>
        <v>Karabo Baloyi</v>
      </c>
      <c r="E830" s="16">
        <f>IF($A830="","",PAYMENTS!E323)</f>
        <v>279.20999999999998</v>
      </c>
      <c r="F830" s="15" t="str">
        <f>IF($A830="","",PAYMENTS!F323)</f>
        <v>EFT</v>
      </c>
      <c r="G830" s="15" t="str">
        <f>IF($A830="","",PAYMENTS!G323)</f>
        <v>Term payment 4</v>
      </c>
    </row>
    <row r="831" spans="1:7" x14ac:dyDescent="0.3">
      <c r="A831" s="17" t="str">
        <f>IF(PAYMENTS!A324="","",PAYMENTS!A324)</f>
        <v>2026-07-20</v>
      </c>
      <c r="B831" s="15" t="str">
        <f>IF($A831="","",PAYMENTS!B324)</f>
        <v>MSH-R1323</v>
      </c>
      <c r="C831" s="15" t="str">
        <f>IF($A831="","",PAYMENTS!C324)</f>
        <v>MSH202612007</v>
      </c>
      <c r="D831" s="15" t="str">
        <f>IF($A831="","",PAYMENTS!D324)</f>
        <v>Karabo Baloyi</v>
      </c>
      <c r="E831" s="16">
        <f>IF($A831="","",PAYMENTS!E324)</f>
        <v>208.18</v>
      </c>
      <c r="F831" s="15" t="str">
        <f>IF($A831="","",PAYMENTS!F324)</f>
        <v>Card</v>
      </c>
      <c r="G831" s="15" t="str">
        <f>IF($A831="","",PAYMENTS!G324)</f>
        <v>Term payment 7</v>
      </c>
    </row>
    <row r="832" spans="1:7" x14ac:dyDescent="0.3">
      <c r="A832" s="17" t="str">
        <f>IF(PAYMENTS!A325="","",PAYMENTS!A325)</f>
        <v>2026-08-01</v>
      </c>
      <c r="B832" s="15" t="str">
        <f>IF($A832="","",PAYMENTS!B325)</f>
        <v>MSH-R1324</v>
      </c>
      <c r="C832" s="15" t="str">
        <f>IF($A832="","",PAYMENTS!C325)</f>
        <v>MSH202612007</v>
      </c>
      <c r="D832" s="15" t="str">
        <f>IF($A832="","",PAYMENTS!D325)</f>
        <v>Karabo Baloyi</v>
      </c>
      <c r="E832" s="16">
        <f>IF($A832="","",PAYMENTS!E325)</f>
        <v>281.39999999999998</v>
      </c>
      <c r="F832" s="15" t="str">
        <f>IF($A832="","",PAYMENTS!F325)</f>
        <v>EFT</v>
      </c>
      <c r="G832" s="15" t="str">
        <f>IF($A832="","",PAYMENTS!G325)</f>
        <v>Term payment 8</v>
      </c>
    </row>
    <row r="833" spans="1:7" x14ac:dyDescent="0.3">
      <c r="A833" s="17" t="str">
        <f>IF(PAYMENTS!A326="","",PAYMENTS!A326)</f>
        <v>2026-09-01</v>
      </c>
      <c r="B833" s="15" t="str">
        <f>IF($A833="","",PAYMENTS!B326)</f>
        <v>MSH-R1325</v>
      </c>
      <c r="C833" s="15" t="str">
        <f>IF($A833="","",PAYMENTS!C326)</f>
        <v>MSH202612007</v>
      </c>
      <c r="D833" s="15" t="str">
        <f>IF($A833="","",PAYMENTS!D326)</f>
        <v>Karabo Baloyi</v>
      </c>
      <c r="E833" s="16">
        <f>IF($A833="","",PAYMENTS!E326)</f>
        <v>208.38</v>
      </c>
      <c r="F833" s="15" t="str">
        <f>IF($A833="","",PAYMENTS!F326)</f>
        <v>EFT</v>
      </c>
      <c r="G833" s="15" t="str">
        <f>IF($A833="","",PAYMENTS!G326)</f>
        <v>Term payment 9</v>
      </c>
    </row>
    <row r="834" spans="1:7" x14ac:dyDescent="0.3">
      <c r="A834" s="17" t="str">
        <f>IF(PAYMENTS!A327="","",PAYMENTS!A327)</f>
        <v>2026-10-01</v>
      </c>
      <c r="B834" s="15" t="str">
        <f>IF($A834="","",PAYMENTS!B327)</f>
        <v>MSH-R1326</v>
      </c>
      <c r="C834" s="15" t="str">
        <f>IF($A834="","",PAYMENTS!C327)</f>
        <v>MSH202612007</v>
      </c>
      <c r="D834" s="15" t="str">
        <f>IF($A834="","",PAYMENTS!D327)</f>
        <v>Karabo Baloyi</v>
      </c>
      <c r="E834" s="16">
        <f>IF($A834="","",PAYMENTS!E327)</f>
        <v>377.66</v>
      </c>
      <c r="F834" s="15" t="str">
        <f>IF($A834="","",PAYMENTS!F327)</f>
        <v>Cash</v>
      </c>
      <c r="G834" s="15" t="str">
        <f>IF($A834="","",PAYMENTS!G327)</f>
        <v>Term payment 10</v>
      </c>
    </row>
    <row r="835" spans="1:7" x14ac:dyDescent="0.3">
      <c r="A835" s="17" t="str">
        <f>IF(PAYMENTS!A328="","",PAYMENTS!A328)</f>
        <v>2026-11-20</v>
      </c>
      <c r="B835" s="15" t="str">
        <f>IF($A835="","",PAYMENTS!B328)</f>
        <v>MSH-R1327</v>
      </c>
      <c r="C835" s="15" t="str">
        <f>IF($A835="","",PAYMENTS!C328)</f>
        <v>MSH202612007</v>
      </c>
      <c r="D835" s="15" t="str">
        <f>IF($A835="","",PAYMENTS!D328)</f>
        <v>Karabo Baloyi</v>
      </c>
      <c r="E835" s="16">
        <f>IF($A835="","",PAYMENTS!E328)</f>
        <v>363.09</v>
      </c>
      <c r="F835" s="15" t="str">
        <f>IF($A835="","",PAYMENTS!F328)</f>
        <v>EFT</v>
      </c>
      <c r="G835" s="15" t="str">
        <f>IF($A835="","",PAYMENTS!G328)</f>
        <v>Term payment 11</v>
      </c>
    </row>
    <row r="836" spans="1:7" x14ac:dyDescent="0.3">
      <c r="A836" s="17" t="str">
        <f>IF(PAYMENTS!A329="","",PAYMENTS!A329)</f>
        <v>2026-02-20</v>
      </c>
      <c r="B836" s="15" t="str">
        <f>IF($A836="","",PAYMENTS!B329)</f>
        <v>MSH-R1328</v>
      </c>
      <c r="C836" s="15" t="str">
        <f>IF($A836="","",PAYMENTS!C329)</f>
        <v>MSH202612008</v>
      </c>
      <c r="D836" s="15" t="str">
        <f>IF($A836="","",PAYMENTS!D329)</f>
        <v>Tshepo Mokgadi</v>
      </c>
      <c r="E836" s="16">
        <f>IF($A836="","",PAYMENTS!E329)</f>
        <v>328.98</v>
      </c>
      <c r="F836" s="15" t="str">
        <f>IF($A836="","",PAYMENTS!F329)</f>
        <v>Cash</v>
      </c>
      <c r="G836" s="15" t="str">
        <f>IF($A836="","",PAYMENTS!G329)</f>
        <v>Term payment 2</v>
      </c>
    </row>
    <row r="837" spans="1:7" x14ac:dyDescent="0.3">
      <c r="A837" s="17" t="str">
        <f>IF(PAYMENTS!A330="","",PAYMENTS!A330)</f>
        <v>2026-03-01</v>
      </c>
      <c r="B837" s="15" t="str">
        <f>IF($A837="","",PAYMENTS!B330)</f>
        <v>MSH-R1329</v>
      </c>
      <c r="C837" s="15" t="str">
        <f>IF($A837="","",PAYMENTS!C330)</f>
        <v>MSH202612008</v>
      </c>
      <c r="D837" s="15" t="str">
        <f>IF($A837="","",PAYMENTS!D330)</f>
        <v>Tshepo Mokgadi</v>
      </c>
      <c r="E837" s="16">
        <f>IF($A837="","",PAYMENTS!E330)</f>
        <v>321.75</v>
      </c>
      <c r="F837" s="15" t="str">
        <f>IF($A837="","",PAYMENTS!F330)</f>
        <v>EFT</v>
      </c>
      <c r="G837" s="15" t="str">
        <f>IF($A837="","",PAYMENTS!G330)</f>
        <v>Term payment 3</v>
      </c>
    </row>
    <row r="838" spans="1:7" x14ac:dyDescent="0.3">
      <c r="A838" s="17" t="str">
        <f>IF(PAYMENTS!A331="","",PAYMENTS!A331)</f>
        <v>2026-04-25</v>
      </c>
      <c r="B838" s="15" t="str">
        <f>IF($A838="","",PAYMENTS!B331)</f>
        <v>MSH-R1330</v>
      </c>
      <c r="C838" s="15" t="str">
        <f>IF($A838="","",PAYMENTS!C331)</f>
        <v>MSH202612008</v>
      </c>
      <c r="D838" s="15" t="str">
        <f>IF($A838="","",PAYMENTS!D331)</f>
        <v>Tshepo Mokgadi</v>
      </c>
      <c r="E838" s="16">
        <f>IF($A838="","",PAYMENTS!E331)</f>
        <v>216.29</v>
      </c>
      <c r="F838" s="15" t="str">
        <f>IF($A838="","",PAYMENTS!F331)</f>
        <v>Card</v>
      </c>
      <c r="G838" s="15" t="str">
        <f>IF($A838="","",PAYMENTS!G331)</f>
        <v>Term payment 4</v>
      </c>
    </row>
    <row r="839" spans="1:7" x14ac:dyDescent="0.3">
      <c r="A839" s="17" t="str">
        <f>IF(PAYMENTS!A332="","",PAYMENTS!A332)</f>
        <v>2026-05-05</v>
      </c>
      <c r="B839" s="15" t="str">
        <f>IF($A839="","",PAYMENTS!B332)</f>
        <v>MSH-R1331</v>
      </c>
      <c r="C839" s="15" t="str">
        <f>IF($A839="","",PAYMENTS!C332)</f>
        <v>MSH202612008</v>
      </c>
      <c r="D839" s="15" t="str">
        <f>IF($A839="","",PAYMENTS!D332)</f>
        <v>Tshepo Mokgadi</v>
      </c>
      <c r="E839" s="16">
        <f>IF($A839="","",PAYMENTS!E332)</f>
        <v>203.27</v>
      </c>
      <c r="F839" s="15" t="str">
        <f>IF($A839="","",PAYMENTS!F332)</f>
        <v>Card</v>
      </c>
      <c r="G839" s="15" t="str">
        <f>IF($A839="","",PAYMENTS!G332)</f>
        <v>Term payment 5</v>
      </c>
    </row>
    <row r="840" spans="1:7" x14ac:dyDescent="0.3">
      <c r="A840" s="17" t="str">
        <f>IF(PAYMENTS!A333="","",PAYMENTS!A333)</f>
        <v>2026-06-15</v>
      </c>
      <c r="B840" s="15" t="str">
        <f>IF($A840="","",PAYMENTS!B333)</f>
        <v>MSH-R1332</v>
      </c>
      <c r="C840" s="15" t="str">
        <f>IF($A840="","",PAYMENTS!C333)</f>
        <v>MSH202612008</v>
      </c>
      <c r="D840" s="15" t="str">
        <f>IF($A840="","",PAYMENTS!D333)</f>
        <v>Tshepo Mokgadi</v>
      </c>
      <c r="E840" s="16">
        <f>IF($A840="","",PAYMENTS!E333)</f>
        <v>477.4</v>
      </c>
      <c r="F840" s="15" t="str">
        <f>IF($A840="","",PAYMENTS!F333)</f>
        <v>Card</v>
      </c>
      <c r="G840" s="15" t="str">
        <f>IF($A840="","",PAYMENTS!G333)</f>
        <v>Term payment 6</v>
      </c>
    </row>
    <row r="841" spans="1:7" x14ac:dyDescent="0.3">
      <c r="A841" s="17" t="str">
        <f>IF(PAYMENTS!A334="","",PAYMENTS!A334)</f>
        <v>2026-10-20</v>
      </c>
      <c r="B841" s="15" t="str">
        <f>IF($A841="","",PAYMENTS!B334)</f>
        <v>MSH-R1333</v>
      </c>
      <c r="C841" s="15" t="str">
        <f>IF($A841="","",PAYMENTS!C334)</f>
        <v>MSH202612008</v>
      </c>
      <c r="D841" s="15" t="str">
        <f>IF($A841="","",PAYMENTS!D334)</f>
        <v>Tshepo Mokgadi</v>
      </c>
      <c r="E841" s="16">
        <f>IF($A841="","",PAYMENTS!E334)</f>
        <v>367.62</v>
      </c>
      <c r="F841" s="15" t="str">
        <f>IF($A841="","",PAYMENTS!F334)</f>
        <v>EFT</v>
      </c>
      <c r="G841" s="15" t="str">
        <f>IF($A841="","",PAYMENTS!G334)</f>
        <v>Term payment 10</v>
      </c>
    </row>
    <row r="842" spans="1:7" x14ac:dyDescent="0.3">
      <c r="A842" s="17" t="str">
        <f>IF(PAYMENTS!A335="","",PAYMENTS!A335)</f>
        <v>2026-11-10</v>
      </c>
      <c r="B842" s="15" t="str">
        <f>IF($A842="","",PAYMENTS!B335)</f>
        <v>MSH-R1334</v>
      </c>
      <c r="C842" s="15" t="str">
        <f>IF($A842="","",PAYMENTS!C335)</f>
        <v>MSH202612008</v>
      </c>
      <c r="D842" s="15" t="str">
        <f>IF($A842="","",PAYMENTS!D335)</f>
        <v>Tshepo Mokgadi</v>
      </c>
      <c r="E842" s="16">
        <f>IF($A842="","",PAYMENTS!E335)</f>
        <v>456.37</v>
      </c>
      <c r="F842" s="15" t="str">
        <f>IF($A842="","",PAYMENTS!F335)</f>
        <v>EFT</v>
      </c>
      <c r="G842" s="15" t="str">
        <f>IF($A842="","",PAYMENTS!G335)</f>
        <v>Term payment 11</v>
      </c>
    </row>
    <row r="843" spans="1:7" x14ac:dyDescent="0.3">
      <c r="A843" s="17" t="str">
        <f>IF(PAYMENTS!A336="","",PAYMENTS!A336)</f>
        <v>2026-02-10</v>
      </c>
      <c r="B843" s="15" t="str">
        <f>IF($A843="","",PAYMENTS!B336)</f>
        <v>MSH-R1335</v>
      </c>
      <c r="C843" s="15" t="str">
        <f>IF($A843="","",PAYMENTS!C336)</f>
        <v>MSH202612009</v>
      </c>
      <c r="D843" s="15" t="str">
        <f>IF($A843="","",PAYMENTS!D336)</f>
        <v>Sifiso Mavuso</v>
      </c>
      <c r="E843" s="16">
        <f>IF($A843="","",PAYMENTS!E336)</f>
        <v>264.57</v>
      </c>
      <c r="F843" s="15" t="str">
        <f>IF($A843="","",PAYMENTS!F336)</f>
        <v>Card</v>
      </c>
      <c r="G843" s="15" t="str">
        <f>IF($A843="","",PAYMENTS!G336)</f>
        <v>Term payment 2</v>
      </c>
    </row>
    <row r="844" spans="1:7" x14ac:dyDescent="0.3">
      <c r="A844" s="17" t="str">
        <f>IF(PAYMENTS!A337="","",PAYMENTS!A337)</f>
        <v>2026-04-20</v>
      </c>
      <c r="B844" s="15" t="str">
        <f>IF($A844="","",PAYMENTS!B337)</f>
        <v>MSH-R1336</v>
      </c>
      <c r="C844" s="15" t="str">
        <f>IF($A844="","",PAYMENTS!C337)</f>
        <v>MSH202612009</v>
      </c>
      <c r="D844" s="15" t="str">
        <f>IF($A844="","",PAYMENTS!D337)</f>
        <v>Sifiso Mavuso</v>
      </c>
      <c r="E844" s="16">
        <f>IF($A844="","",PAYMENTS!E337)</f>
        <v>443.5</v>
      </c>
      <c r="F844" s="15" t="str">
        <f>IF($A844="","",PAYMENTS!F337)</f>
        <v>EFT</v>
      </c>
      <c r="G844" s="15" t="str">
        <f>IF($A844="","",PAYMENTS!G337)</f>
        <v>Term payment 4</v>
      </c>
    </row>
    <row r="845" spans="1:7" x14ac:dyDescent="0.3">
      <c r="A845" s="17" t="str">
        <f>IF(PAYMENTS!A338="","",PAYMENTS!A338)</f>
        <v>2026-05-01</v>
      </c>
      <c r="B845" s="15" t="str">
        <f>IF($A845="","",PAYMENTS!B338)</f>
        <v>MSH-R1337</v>
      </c>
      <c r="C845" s="15" t="str">
        <f>IF($A845="","",PAYMENTS!C338)</f>
        <v>MSH202612009</v>
      </c>
      <c r="D845" s="15" t="str">
        <f>IF($A845="","",PAYMENTS!D338)</f>
        <v>Sifiso Mavuso</v>
      </c>
      <c r="E845" s="16">
        <f>IF($A845="","",PAYMENTS!E338)</f>
        <v>359.83</v>
      </c>
      <c r="F845" s="15" t="str">
        <f>IF($A845="","",PAYMENTS!F338)</f>
        <v>Cash</v>
      </c>
      <c r="G845" s="15" t="str">
        <f>IF($A845="","",PAYMENTS!G338)</f>
        <v>Term payment 5</v>
      </c>
    </row>
    <row r="846" spans="1:7" x14ac:dyDescent="0.3">
      <c r="A846" s="17" t="str">
        <f>IF(PAYMENTS!A339="","",PAYMENTS!A339)</f>
        <v>2026-07-10</v>
      </c>
      <c r="B846" s="15" t="str">
        <f>IF($A846="","",PAYMENTS!B339)</f>
        <v>MSH-R1338</v>
      </c>
      <c r="C846" s="15" t="str">
        <f>IF($A846="","",PAYMENTS!C339)</f>
        <v>MSH202612009</v>
      </c>
      <c r="D846" s="15" t="str">
        <f>IF($A846="","",PAYMENTS!D339)</f>
        <v>Sifiso Mavuso</v>
      </c>
      <c r="E846" s="16">
        <f>IF($A846="","",PAYMENTS!E339)</f>
        <v>281.35000000000002</v>
      </c>
      <c r="F846" s="15" t="str">
        <f>IF($A846="","",PAYMENTS!F339)</f>
        <v>Card</v>
      </c>
      <c r="G846" s="15" t="str">
        <f>IF($A846="","",PAYMENTS!G339)</f>
        <v>Term payment 7</v>
      </c>
    </row>
    <row r="847" spans="1:7" x14ac:dyDescent="0.3">
      <c r="A847" s="17" t="str">
        <f>IF(PAYMENTS!A340="","",PAYMENTS!A340)</f>
        <v>2026-08-25</v>
      </c>
      <c r="B847" s="15" t="str">
        <f>IF($A847="","",PAYMENTS!B340)</f>
        <v>MSH-R1339</v>
      </c>
      <c r="C847" s="15" t="str">
        <f>IF($A847="","",PAYMENTS!C340)</f>
        <v>MSH202612009</v>
      </c>
      <c r="D847" s="15" t="str">
        <f>IF($A847="","",PAYMENTS!D340)</f>
        <v>Sifiso Mavuso</v>
      </c>
      <c r="E847" s="16">
        <f>IF($A847="","",PAYMENTS!E340)</f>
        <v>382.69</v>
      </c>
      <c r="F847" s="15" t="str">
        <f>IF($A847="","",PAYMENTS!F340)</f>
        <v>Cash</v>
      </c>
      <c r="G847" s="15" t="str">
        <f>IF($A847="","",PAYMENTS!G340)</f>
        <v>Term payment 8</v>
      </c>
    </row>
    <row r="848" spans="1:7" x14ac:dyDescent="0.3">
      <c r="A848" s="17" t="str">
        <f>IF(PAYMENTS!A341="","",PAYMENTS!A341)</f>
        <v>2026-10-20</v>
      </c>
      <c r="B848" s="15" t="str">
        <f>IF($A848="","",PAYMENTS!B341)</f>
        <v>MSH-R1340</v>
      </c>
      <c r="C848" s="15" t="str">
        <f>IF($A848="","",PAYMENTS!C341)</f>
        <v>MSH202612009</v>
      </c>
      <c r="D848" s="15" t="str">
        <f>IF($A848="","",PAYMENTS!D341)</f>
        <v>Sifiso Mavuso</v>
      </c>
      <c r="E848" s="16">
        <f>IF($A848="","",PAYMENTS!E341)</f>
        <v>396.14</v>
      </c>
      <c r="F848" s="15" t="str">
        <f>IF($A848="","",PAYMENTS!F341)</f>
        <v>Cash</v>
      </c>
      <c r="G848" s="15" t="str">
        <f>IF($A848="","",PAYMENTS!G341)</f>
        <v>Term payment 10</v>
      </c>
    </row>
    <row r="849" spans="1:7" x14ac:dyDescent="0.3">
      <c r="A849" s="17" t="str">
        <f>IF(PAYMENTS!A342="","",PAYMENTS!A342)</f>
        <v>2026-11-10</v>
      </c>
      <c r="B849" s="15" t="str">
        <f>IF($A849="","",PAYMENTS!B342)</f>
        <v>MSH-R1341</v>
      </c>
      <c r="C849" s="15" t="str">
        <f>IF($A849="","",PAYMENTS!C342)</f>
        <v>MSH202612009</v>
      </c>
      <c r="D849" s="15" t="str">
        <f>IF($A849="","",PAYMENTS!D342)</f>
        <v>Sifiso Mavuso</v>
      </c>
      <c r="E849" s="16">
        <f>IF($A849="","",PAYMENTS!E342)</f>
        <v>352.97</v>
      </c>
      <c r="F849" s="15" t="str">
        <f>IF($A849="","",PAYMENTS!F342)</f>
        <v>Card</v>
      </c>
      <c r="G849" s="15" t="str">
        <f>IF($A849="","",PAYMENTS!G342)</f>
        <v>Term payment 11</v>
      </c>
    </row>
    <row r="850" spans="1:7" x14ac:dyDescent="0.3">
      <c r="A850" s="17" t="str">
        <f>IF(PAYMENTS!A343="","",PAYMENTS!A343)</f>
        <v>2026-03-20</v>
      </c>
      <c r="B850" s="15" t="str">
        <f>IF($A850="","",PAYMENTS!B343)</f>
        <v>MSH-R1342</v>
      </c>
      <c r="C850" s="15" t="str">
        <f>IF($A850="","",PAYMENTS!C343)</f>
        <v>MSH202612010</v>
      </c>
      <c r="D850" s="15" t="str">
        <f>IF($A850="","",PAYMENTS!D343)</f>
        <v>Refilwe Sithole</v>
      </c>
      <c r="E850" s="16">
        <f>IF($A850="","",PAYMENTS!E343)</f>
        <v>296.20999999999998</v>
      </c>
      <c r="F850" s="15" t="str">
        <f>IF($A850="","",PAYMENTS!F343)</f>
        <v>EFT</v>
      </c>
      <c r="G850" s="15" t="str">
        <f>IF($A850="","",PAYMENTS!G343)</f>
        <v>Term payment 3</v>
      </c>
    </row>
    <row r="851" spans="1:7" x14ac:dyDescent="0.3">
      <c r="A851" s="17" t="str">
        <f>IF(PAYMENTS!A344="","",PAYMENTS!A344)</f>
        <v>2026-04-10</v>
      </c>
      <c r="B851" s="15" t="str">
        <f>IF($A851="","",PAYMENTS!B344)</f>
        <v>MSH-R1343</v>
      </c>
      <c r="C851" s="15" t="str">
        <f>IF($A851="","",PAYMENTS!C344)</f>
        <v>MSH202612010</v>
      </c>
      <c r="D851" s="15" t="str">
        <f>IF($A851="","",PAYMENTS!D344)</f>
        <v>Refilwe Sithole</v>
      </c>
      <c r="E851" s="16">
        <f>IF($A851="","",PAYMENTS!E344)</f>
        <v>243.92</v>
      </c>
      <c r="F851" s="15" t="str">
        <f>IF($A851="","",PAYMENTS!F344)</f>
        <v>Cash</v>
      </c>
      <c r="G851" s="15" t="str">
        <f>IF($A851="","",PAYMENTS!G344)</f>
        <v>Term payment 4</v>
      </c>
    </row>
    <row r="852" spans="1:7" x14ac:dyDescent="0.3">
      <c r="A852" s="17" t="str">
        <f>IF(PAYMENTS!A345="","",PAYMENTS!A345)</f>
        <v>2026-05-10</v>
      </c>
      <c r="B852" s="15" t="str">
        <f>IF($A852="","",PAYMENTS!B345)</f>
        <v>MSH-R1344</v>
      </c>
      <c r="C852" s="15" t="str">
        <f>IF($A852="","",PAYMENTS!C345)</f>
        <v>MSH202612010</v>
      </c>
      <c r="D852" s="15" t="str">
        <f>IF($A852="","",PAYMENTS!D345)</f>
        <v>Refilwe Sithole</v>
      </c>
      <c r="E852" s="16">
        <f>IF($A852="","",PAYMENTS!E345)</f>
        <v>464.93</v>
      </c>
      <c r="F852" s="15" t="str">
        <f>IF($A852="","",PAYMENTS!F345)</f>
        <v>EFT</v>
      </c>
      <c r="G852" s="15" t="str">
        <f>IF($A852="","",PAYMENTS!G345)</f>
        <v>Term payment 5</v>
      </c>
    </row>
    <row r="853" spans="1:7" x14ac:dyDescent="0.3">
      <c r="A853" s="17" t="str">
        <f>IF(PAYMENTS!A346="","",PAYMENTS!A346)</f>
        <v>2026-07-05</v>
      </c>
      <c r="B853" s="15" t="str">
        <f>IF($A853="","",PAYMENTS!B346)</f>
        <v>MSH-R1345</v>
      </c>
      <c r="C853" s="15" t="str">
        <f>IF($A853="","",PAYMENTS!C346)</f>
        <v>MSH202612010</v>
      </c>
      <c r="D853" s="15" t="str">
        <f>IF($A853="","",PAYMENTS!D346)</f>
        <v>Refilwe Sithole</v>
      </c>
      <c r="E853" s="16">
        <f>IF($A853="","",PAYMENTS!E346)</f>
        <v>257.24</v>
      </c>
      <c r="F853" s="15" t="str">
        <f>IF($A853="","",PAYMENTS!F346)</f>
        <v>Cash</v>
      </c>
      <c r="G853" s="15" t="str">
        <f>IF($A853="","",PAYMENTS!G346)</f>
        <v>Term payment 7</v>
      </c>
    </row>
    <row r="854" spans="1:7" x14ac:dyDescent="0.3">
      <c r="A854" s="17" t="str">
        <f>IF(PAYMENTS!A347="","",PAYMENTS!A347)</f>
        <v>2026-08-05</v>
      </c>
      <c r="B854" s="15" t="str">
        <f>IF($A854="","",PAYMENTS!B347)</f>
        <v>MSH-R1346</v>
      </c>
      <c r="C854" s="15" t="str">
        <f>IF($A854="","",PAYMENTS!C347)</f>
        <v>MSH202612010</v>
      </c>
      <c r="D854" s="15" t="str">
        <f>IF($A854="","",PAYMENTS!D347)</f>
        <v>Refilwe Sithole</v>
      </c>
      <c r="E854" s="16">
        <f>IF($A854="","",PAYMENTS!E347)</f>
        <v>214.22</v>
      </c>
      <c r="F854" s="15" t="str">
        <f>IF($A854="","",PAYMENTS!F347)</f>
        <v>Cash</v>
      </c>
      <c r="G854" s="15" t="str">
        <f>IF($A854="","",PAYMENTS!G347)</f>
        <v>Term payment 8</v>
      </c>
    </row>
    <row r="855" spans="1:7" x14ac:dyDescent="0.3">
      <c r="A855" s="17" t="str">
        <f>IF(PAYMENTS!A348="","",PAYMENTS!A348)</f>
        <v>2026-10-20</v>
      </c>
      <c r="B855" s="15" t="str">
        <f>IF($A855="","",PAYMENTS!B348)</f>
        <v>MSH-R1347</v>
      </c>
      <c r="C855" s="15" t="str">
        <f>IF($A855="","",PAYMENTS!C348)</f>
        <v>MSH202612010</v>
      </c>
      <c r="D855" s="15" t="str">
        <f>IF($A855="","",PAYMENTS!D348)</f>
        <v>Refilwe Sithole</v>
      </c>
      <c r="E855" s="16">
        <f>IF($A855="","",PAYMENTS!E348)</f>
        <v>414.01</v>
      </c>
      <c r="F855" s="15" t="str">
        <f>IF($A855="","",PAYMENTS!F348)</f>
        <v>Card</v>
      </c>
      <c r="G855" s="15" t="str">
        <f>IF($A855="","",PAYMENTS!G348)</f>
        <v>Term payment 10</v>
      </c>
    </row>
    <row r="856" spans="1:7" x14ac:dyDescent="0.3">
      <c r="A856" s="17" t="str">
        <f>IF(PAYMENTS!A349="","",PAYMENTS!A349)</f>
        <v>2026-02-25</v>
      </c>
      <c r="B856" s="15" t="str">
        <f>IF($A856="","",PAYMENTS!B349)</f>
        <v>MSH-R1348</v>
      </c>
      <c r="C856" s="15" t="str">
        <f>IF($A856="","",PAYMENTS!C349)</f>
        <v>MSH202612011</v>
      </c>
      <c r="D856" s="15" t="str">
        <f>IF($A856="","",PAYMENTS!D349)</f>
        <v>Lerato Sithole</v>
      </c>
      <c r="E856" s="16">
        <f>IF($A856="","",PAYMENTS!E349)</f>
        <v>414.08</v>
      </c>
      <c r="F856" s="15" t="str">
        <f>IF($A856="","",PAYMENTS!F349)</f>
        <v>Cash</v>
      </c>
      <c r="G856" s="15" t="str">
        <f>IF($A856="","",PAYMENTS!G349)</f>
        <v>Term payment 2</v>
      </c>
    </row>
    <row r="857" spans="1:7" x14ac:dyDescent="0.3">
      <c r="A857" s="17" t="str">
        <f>IF(PAYMENTS!A350="","",PAYMENTS!A350)</f>
        <v>2026-03-25</v>
      </c>
      <c r="B857" s="15" t="str">
        <f>IF($A857="","",PAYMENTS!B350)</f>
        <v>MSH-R1349</v>
      </c>
      <c r="C857" s="15" t="str">
        <f>IF($A857="","",PAYMENTS!C350)</f>
        <v>MSH202612011</v>
      </c>
      <c r="D857" s="15" t="str">
        <f>IF($A857="","",PAYMENTS!D350)</f>
        <v>Lerato Sithole</v>
      </c>
      <c r="E857" s="16">
        <f>IF($A857="","",PAYMENTS!E350)</f>
        <v>318.05</v>
      </c>
      <c r="F857" s="15" t="str">
        <f>IF($A857="","",PAYMENTS!F350)</f>
        <v>EFT</v>
      </c>
      <c r="G857" s="15" t="str">
        <f>IF($A857="","",PAYMENTS!G350)</f>
        <v>Term payment 3</v>
      </c>
    </row>
    <row r="858" spans="1:7" x14ac:dyDescent="0.3">
      <c r="A858" s="17" t="str">
        <f>IF(PAYMENTS!A351="","",PAYMENTS!A351)</f>
        <v>2026-04-10</v>
      </c>
      <c r="B858" s="15" t="str">
        <f>IF($A858="","",PAYMENTS!B351)</f>
        <v>MSH-R1350</v>
      </c>
      <c r="C858" s="15" t="str">
        <f>IF($A858="","",PAYMENTS!C351)</f>
        <v>MSH202612011</v>
      </c>
      <c r="D858" s="15" t="str">
        <f>IF($A858="","",PAYMENTS!D351)</f>
        <v>Lerato Sithole</v>
      </c>
      <c r="E858" s="16">
        <f>IF($A858="","",PAYMENTS!E351)</f>
        <v>386.79</v>
      </c>
      <c r="F858" s="15" t="str">
        <f>IF($A858="","",PAYMENTS!F351)</f>
        <v>Cash</v>
      </c>
      <c r="G858" s="15" t="str">
        <f>IF($A858="","",PAYMENTS!G351)</f>
        <v>Term payment 4</v>
      </c>
    </row>
    <row r="859" spans="1:7" x14ac:dyDescent="0.3">
      <c r="A859" s="17" t="str">
        <f>IF(PAYMENTS!A352="","",PAYMENTS!A352)</f>
        <v>2026-05-15</v>
      </c>
      <c r="B859" s="15" t="str">
        <f>IF($A859="","",PAYMENTS!B352)</f>
        <v>MSH-R1351</v>
      </c>
      <c r="C859" s="15" t="str">
        <f>IF($A859="","",PAYMENTS!C352)</f>
        <v>MSH202612011</v>
      </c>
      <c r="D859" s="15" t="str">
        <f>IF($A859="","",PAYMENTS!D352)</f>
        <v>Lerato Sithole</v>
      </c>
      <c r="E859" s="16">
        <f>IF($A859="","",PAYMENTS!E352)</f>
        <v>367.85</v>
      </c>
      <c r="F859" s="15" t="str">
        <f>IF($A859="","",PAYMENTS!F352)</f>
        <v>Card</v>
      </c>
      <c r="G859" s="15" t="str">
        <f>IF($A859="","",PAYMENTS!G352)</f>
        <v>Term payment 5</v>
      </c>
    </row>
    <row r="860" spans="1:7" x14ac:dyDescent="0.3">
      <c r="A860" s="17" t="str">
        <f>IF(PAYMENTS!A353="","",PAYMENTS!A353)</f>
        <v>2026-06-15</v>
      </c>
      <c r="B860" s="15" t="str">
        <f>IF($A860="","",PAYMENTS!B353)</f>
        <v>MSH-R1352</v>
      </c>
      <c r="C860" s="15" t="str">
        <f>IF($A860="","",PAYMENTS!C353)</f>
        <v>MSH202612011</v>
      </c>
      <c r="D860" s="15" t="str">
        <f>IF($A860="","",PAYMENTS!D353)</f>
        <v>Lerato Sithole</v>
      </c>
      <c r="E860" s="16">
        <f>IF($A860="","",PAYMENTS!E353)</f>
        <v>259.39</v>
      </c>
      <c r="F860" s="15" t="str">
        <f>IF($A860="","",PAYMENTS!F353)</f>
        <v>Cash</v>
      </c>
      <c r="G860" s="15" t="str">
        <f>IF($A860="","",PAYMENTS!G353)</f>
        <v>Term payment 6</v>
      </c>
    </row>
    <row r="861" spans="1:7" x14ac:dyDescent="0.3">
      <c r="A861" s="17" t="str">
        <f>IF(PAYMENTS!A354="","",PAYMENTS!A354)</f>
        <v>2026-07-10</v>
      </c>
      <c r="B861" s="15" t="str">
        <f>IF($A861="","",PAYMENTS!B354)</f>
        <v>MSH-R1353</v>
      </c>
      <c r="C861" s="15" t="str">
        <f>IF($A861="","",PAYMENTS!C354)</f>
        <v>MSH202612011</v>
      </c>
      <c r="D861" s="15" t="str">
        <f>IF($A861="","",PAYMENTS!D354)</f>
        <v>Lerato Sithole</v>
      </c>
      <c r="E861" s="16">
        <f>IF($A861="","",PAYMENTS!E354)</f>
        <v>470.09</v>
      </c>
      <c r="F861" s="15" t="str">
        <f>IF($A861="","",PAYMENTS!F354)</f>
        <v>EFT</v>
      </c>
      <c r="G861" s="15" t="str">
        <f>IF($A861="","",PAYMENTS!G354)</f>
        <v>Term payment 7</v>
      </c>
    </row>
    <row r="862" spans="1:7" x14ac:dyDescent="0.3">
      <c r="A862" s="17" t="str">
        <f>IF(PAYMENTS!A355="","",PAYMENTS!A355)</f>
        <v>2026-08-05</v>
      </c>
      <c r="B862" s="15" t="str">
        <f>IF($A862="","",PAYMENTS!B355)</f>
        <v>MSH-R1354</v>
      </c>
      <c r="C862" s="15" t="str">
        <f>IF($A862="","",PAYMENTS!C355)</f>
        <v>MSH202612011</v>
      </c>
      <c r="D862" s="15" t="str">
        <f>IF($A862="","",PAYMENTS!D355)</f>
        <v>Lerato Sithole</v>
      </c>
      <c r="E862" s="16">
        <f>IF($A862="","",PAYMENTS!E355)</f>
        <v>297.94</v>
      </c>
      <c r="F862" s="15" t="str">
        <f>IF($A862="","",PAYMENTS!F355)</f>
        <v>Card</v>
      </c>
      <c r="G862" s="15" t="str">
        <f>IF($A862="","",PAYMENTS!G355)</f>
        <v>Term payment 8</v>
      </c>
    </row>
    <row r="863" spans="1:7" x14ac:dyDescent="0.3">
      <c r="A863" s="17" t="str">
        <f>IF(PAYMENTS!A356="","",PAYMENTS!A356)</f>
        <v>2026-11-15</v>
      </c>
      <c r="B863" s="15" t="str">
        <f>IF($A863="","",PAYMENTS!B356)</f>
        <v>MSH-R1355</v>
      </c>
      <c r="C863" s="15" t="str">
        <f>IF($A863="","",PAYMENTS!C356)</f>
        <v>MSH202612011</v>
      </c>
      <c r="D863" s="15" t="str">
        <f>IF($A863="","",PAYMENTS!D356)</f>
        <v>Lerato Sithole</v>
      </c>
      <c r="E863" s="16">
        <f>IF($A863="","",PAYMENTS!E356)</f>
        <v>324.95999999999998</v>
      </c>
      <c r="F863" s="15" t="str">
        <f>IF($A863="","",PAYMENTS!F356)</f>
        <v>EFT</v>
      </c>
      <c r="G863" s="15" t="str">
        <f>IF($A863="","",PAYMENTS!G356)</f>
        <v>Term payment 11</v>
      </c>
    </row>
    <row r="864" spans="1:7" x14ac:dyDescent="0.3">
      <c r="A864" s="17" t="str">
        <f>IF(PAYMENTS!A357="","",PAYMENTS!A357)</f>
        <v>2026-03-10</v>
      </c>
      <c r="B864" s="15" t="str">
        <f>IF($A864="","",PAYMENTS!B357)</f>
        <v>MSH-R1356</v>
      </c>
      <c r="C864" s="15" t="str">
        <f>IF($A864="","",PAYMENTS!C357)</f>
        <v>MSH202612012</v>
      </c>
      <c r="D864" s="15" t="str">
        <f>IF($A864="","",PAYMENTS!D357)</f>
        <v>Sibusiso Ngobeni</v>
      </c>
      <c r="E864" s="16">
        <f>IF($A864="","",PAYMENTS!E357)</f>
        <v>122.92</v>
      </c>
      <c r="F864" s="15" t="str">
        <f>IF($A864="","",PAYMENTS!F357)</f>
        <v>EFT</v>
      </c>
      <c r="G864" s="15" t="str">
        <f>IF($A864="","",PAYMENTS!G357)</f>
        <v>Term payment 3</v>
      </c>
    </row>
    <row r="865" spans="1:7" x14ac:dyDescent="0.3">
      <c r="A865" s="17" t="str">
        <f>IF(PAYMENTS!A358="","",PAYMENTS!A358)</f>
        <v>2026-06-10</v>
      </c>
      <c r="B865" s="15" t="str">
        <f>IF($A865="","",PAYMENTS!B358)</f>
        <v>MSH-R1357</v>
      </c>
      <c r="C865" s="15" t="str">
        <f>IF($A865="","",PAYMENTS!C358)</f>
        <v>MSH202612012</v>
      </c>
      <c r="D865" s="15" t="str">
        <f>IF($A865="","",PAYMENTS!D358)</f>
        <v>Sibusiso Ngobeni</v>
      </c>
      <c r="E865" s="16">
        <f>IF($A865="","",PAYMENTS!E358)</f>
        <v>208.83</v>
      </c>
      <c r="F865" s="15" t="str">
        <f>IF($A865="","",PAYMENTS!F358)</f>
        <v>Cash</v>
      </c>
      <c r="G865" s="15" t="str">
        <f>IF($A865="","",PAYMENTS!G358)</f>
        <v>Term payment 6</v>
      </c>
    </row>
    <row r="866" spans="1:7" x14ac:dyDescent="0.3">
      <c r="A866" s="17" t="str">
        <f>IF(PAYMENTS!A359="","",PAYMENTS!A359)</f>
        <v>2026-07-25</v>
      </c>
      <c r="B866" s="15" t="str">
        <f>IF($A866="","",PAYMENTS!B359)</f>
        <v>MSH-R1358</v>
      </c>
      <c r="C866" s="15" t="str">
        <f>IF($A866="","",PAYMENTS!C359)</f>
        <v>MSH202612012</v>
      </c>
      <c r="D866" s="15" t="str">
        <f>IF($A866="","",PAYMENTS!D359)</f>
        <v>Sibusiso Ngobeni</v>
      </c>
      <c r="E866" s="16">
        <f>IF($A866="","",PAYMENTS!E359)</f>
        <v>258.64999999999998</v>
      </c>
      <c r="F866" s="15" t="str">
        <f>IF($A866="","",PAYMENTS!F359)</f>
        <v>Cash</v>
      </c>
      <c r="G866" s="15" t="str">
        <f>IF($A866="","",PAYMENTS!G359)</f>
        <v>Term payment 7</v>
      </c>
    </row>
    <row r="867" spans="1:7" x14ac:dyDescent="0.3">
      <c r="A867" s="17" t="str">
        <f>IF(PAYMENTS!A360="","",PAYMENTS!A360)</f>
        <v>2026-08-10</v>
      </c>
      <c r="B867" s="15" t="str">
        <f>IF($A867="","",PAYMENTS!B360)</f>
        <v>MSH-R1359</v>
      </c>
      <c r="C867" s="15" t="str">
        <f>IF($A867="","",PAYMENTS!C360)</f>
        <v>MSH202612012</v>
      </c>
      <c r="D867" s="15" t="str">
        <f>IF($A867="","",PAYMENTS!D360)</f>
        <v>Sibusiso Ngobeni</v>
      </c>
      <c r="E867" s="16">
        <f>IF($A867="","",PAYMENTS!E360)</f>
        <v>128.34</v>
      </c>
      <c r="F867" s="15" t="str">
        <f>IF($A867="","",PAYMENTS!F360)</f>
        <v>Cash</v>
      </c>
      <c r="G867" s="15" t="str">
        <f>IF($A867="","",PAYMENTS!G360)</f>
        <v>Term payment 8</v>
      </c>
    </row>
    <row r="868" spans="1:7" x14ac:dyDescent="0.3">
      <c r="A868" s="17" t="str">
        <f>IF(PAYMENTS!A361="","",PAYMENTS!A361)</f>
        <v>2026-09-10</v>
      </c>
      <c r="B868" s="15" t="str">
        <f>IF($A868="","",PAYMENTS!B361)</f>
        <v>MSH-R1360</v>
      </c>
      <c r="C868" s="15" t="str">
        <f>IF($A868="","",PAYMENTS!C361)</f>
        <v>MSH202612012</v>
      </c>
      <c r="D868" s="15" t="str">
        <f>IF($A868="","",PAYMENTS!D361)</f>
        <v>Sibusiso Ngobeni</v>
      </c>
      <c r="E868" s="16">
        <f>IF($A868="","",PAYMENTS!E361)</f>
        <v>190.83</v>
      </c>
      <c r="F868" s="15" t="str">
        <f>IF($A868="","",PAYMENTS!F361)</f>
        <v>Card</v>
      </c>
      <c r="G868" s="15" t="str">
        <f>IF($A868="","",PAYMENTS!G361)</f>
        <v>Term payment 9</v>
      </c>
    </row>
    <row r="869" spans="1:7" x14ac:dyDescent="0.3">
      <c r="A869" s="17" t="str">
        <f>IF(PAYMENTS!A362="","",PAYMENTS!A362)</f>
        <v>2026-10-05</v>
      </c>
      <c r="B869" s="15" t="str">
        <f>IF($A869="","",PAYMENTS!B362)</f>
        <v>MSH-R1361</v>
      </c>
      <c r="C869" s="15" t="str">
        <f>IF($A869="","",PAYMENTS!C362)</f>
        <v>MSH202612012</v>
      </c>
      <c r="D869" s="15" t="str">
        <f>IF($A869="","",PAYMENTS!D362)</f>
        <v>Sibusiso Ngobeni</v>
      </c>
      <c r="E869" s="16">
        <f>IF($A869="","",PAYMENTS!E362)</f>
        <v>256.11</v>
      </c>
      <c r="F869" s="15" t="str">
        <f>IF($A869="","",PAYMENTS!F362)</f>
        <v>Cash</v>
      </c>
      <c r="G869" s="15" t="str">
        <f>IF($A869="","",PAYMENTS!G362)</f>
        <v>Term payment 10</v>
      </c>
    </row>
    <row r="870" spans="1:7" x14ac:dyDescent="0.3">
      <c r="A870" s="17" t="str">
        <f>IF(PAYMENTS!A363="","",PAYMENTS!A363)</f>
        <v>2026-11-05</v>
      </c>
      <c r="B870" s="15" t="str">
        <f>IF($A870="","",PAYMENTS!B363)</f>
        <v>MSH-R1362</v>
      </c>
      <c r="C870" s="15" t="str">
        <f>IF($A870="","",PAYMENTS!C363)</f>
        <v>MSH202612012</v>
      </c>
      <c r="D870" s="15" t="str">
        <f>IF($A870="","",PAYMENTS!D363)</f>
        <v>Sibusiso Ngobeni</v>
      </c>
      <c r="E870" s="16">
        <f>IF($A870="","",PAYMENTS!E363)</f>
        <v>253.66</v>
      </c>
      <c r="F870" s="15" t="str">
        <f>IF($A870="","",PAYMENTS!F363)</f>
        <v>EFT</v>
      </c>
      <c r="G870" s="15" t="str">
        <f>IF($A870="","",PAYMENTS!G363)</f>
        <v>Term payment 11</v>
      </c>
    </row>
    <row r="871" spans="1:7" x14ac:dyDescent="0.3">
      <c r="A871" s="17" t="str">
        <f>IF(PAYMENTS!A364="","",PAYMENTS!A364)</f>
        <v/>
      </c>
      <c r="B871" s="15" t="str">
        <f>IF($A871="","",PAYMENTS!B364)</f>
        <v/>
      </c>
      <c r="C871" s="15" t="str">
        <f>IF($A871="","",PAYMENTS!C364)</f>
        <v/>
      </c>
      <c r="D871" s="15" t="str">
        <f>IF($A871="","",PAYMENTS!D364)</f>
        <v/>
      </c>
      <c r="E871" s="16" t="str">
        <f>IF($A871="","",PAYMENTS!E364)</f>
        <v/>
      </c>
      <c r="F871" s="15" t="str">
        <f>IF($A871="","",PAYMENTS!F364)</f>
        <v/>
      </c>
      <c r="G871" s="15" t="str">
        <f>IF($A871="","",PAYMENTS!G364)</f>
        <v/>
      </c>
    </row>
    <row r="872" spans="1:7" x14ac:dyDescent="0.3">
      <c r="A872" s="17" t="str">
        <f>IF(PAYMENTS!A365="","",PAYMENTS!A365)</f>
        <v/>
      </c>
      <c r="B872" s="15" t="str">
        <f>IF($A872="","",PAYMENTS!B365)</f>
        <v/>
      </c>
      <c r="C872" s="15" t="str">
        <f>IF($A872="","",PAYMENTS!C365)</f>
        <v/>
      </c>
      <c r="D872" s="15" t="str">
        <f>IF($A872="","",PAYMENTS!D365)</f>
        <v/>
      </c>
      <c r="E872" s="16" t="str">
        <f>IF($A872="","",PAYMENTS!E365)</f>
        <v/>
      </c>
      <c r="F872" s="15" t="str">
        <f>IF($A872="","",PAYMENTS!F365)</f>
        <v/>
      </c>
      <c r="G872" s="15" t="str">
        <f>IF($A872="","",PAYMENTS!G365)</f>
        <v/>
      </c>
    </row>
    <row r="873" spans="1:7" x14ac:dyDescent="0.3">
      <c r="A873" s="17" t="str">
        <f>IF(PAYMENTS!A366="","",PAYMENTS!A366)</f>
        <v/>
      </c>
      <c r="B873" s="15" t="str">
        <f>IF($A873="","",PAYMENTS!B366)</f>
        <v/>
      </c>
      <c r="C873" s="15" t="str">
        <f>IF($A873="","",PAYMENTS!C366)</f>
        <v/>
      </c>
      <c r="D873" s="15" t="str">
        <f>IF($A873="","",PAYMENTS!D366)</f>
        <v/>
      </c>
      <c r="E873" s="16" t="str">
        <f>IF($A873="","",PAYMENTS!E366)</f>
        <v/>
      </c>
      <c r="F873" s="15" t="str">
        <f>IF($A873="","",PAYMENTS!F366)</f>
        <v/>
      </c>
      <c r="G873" s="15" t="str">
        <f>IF($A873="","",PAYMENTS!G366)</f>
        <v/>
      </c>
    </row>
    <row r="874" spans="1:7" x14ac:dyDescent="0.3">
      <c r="A874" s="17" t="str">
        <f>IF(PAYMENTS!A367="","",PAYMENTS!A367)</f>
        <v/>
      </c>
      <c r="B874" s="15" t="str">
        <f>IF($A874="","",PAYMENTS!B367)</f>
        <v/>
      </c>
      <c r="C874" s="15" t="str">
        <f>IF($A874="","",PAYMENTS!C367)</f>
        <v/>
      </c>
      <c r="D874" s="15" t="str">
        <f>IF($A874="","",PAYMENTS!D367)</f>
        <v/>
      </c>
      <c r="E874" s="16" t="str">
        <f>IF($A874="","",PAYMENTS!E367)</f>
        <v/>
      </c>
      <c r="F874" s="15" t="str">
        <f>IF($A874="","",PAYMENTS!F367)</f>
        <v/>
      </c>
      <c r="G874" s="15" t="str">
        <f>IF($A874="","",PAYMENTS!G367)</f>
        <v/>
      </c>
    </row>
    <row r="875" spans="1:7" x14ac:dyDescent="0.3">
      <c r="A875" s="17" t="str">
        <f>IF(PAYMENTS!A368="","",PAYMENTS!A368)</f>
        <v/>
      </c>
      <c r="B875" s="15" t="str">
        <f>IF($A875="","",PAYMENTS!B368)</f>
        <v/>
      </c>
      <c r="C875" s="15" t="str">
        <f>IF($A875="","",PAYMENTS!C368)</f>
        <v/>
      </c>
      <c r="D875" s="15" t="str">
        <f>IF($A875="","",PAYMENTS!D368)</f>
        <v/>
      </c>
      <c r="E875" s="16" t="str">
        <f>IF($A875="","",PAYMENTS!E368)</f>
        <v/>
      </c>
      <c r="F875" s="15" t="str">
        <f>IF($A875="","",PAYMENTS!F368)</f>
        <v/>
      </c>
      <c r="G875" s="15" t="str">
        <f>IF($A875="","",PAYMENTS!G368)</f>
        <v/>
      </c>
    </row>
    <row r="876" spans="1:7" x14ac:dyDescent="0.3">
      <c r="A876" s="17" t="str">
        <f>IF(PAYMENTS!A369="","",PAYMENTS!A369)</f>
        <v/>
      </c>
      <c r="B876" s="15" t="str">
        <f>IF($A876="","",PAYMENTS!B369)</f>
        <v/>
      </c>
      <c r="C876" s="15" t="str">
        <f>IF($A876="","",PAYMENTS!C369)</f>
        <v/>
      </c>
      <c r="D876" s="15" t="str">
        <f>IF($A876="","",PAYMENTS!D369)</f>
        <v/>
      </c>
      <c r="E876" s="16" t="str">
        <f>IF($A876="","",PAYMENTS!E369)</f>
        <v/>
      </c>
      <c r="F876" s="15" t="str">
        <f>IF($A876="","",PAYMENTS!F369)</f>
        <v/>
      </c>
      <c r="G876" s="15" t="str">
        <f>IF($A876="","",PAYMENTS!G369)</f>
        <v/>
      </c>
    </row>
    <row r="877" spans="1:7" x14ac:dyDescent="0.3">
      <c r="A877" s="17" t="str">
        <f>IF(PAYMENTS!A370="","",PAYMENTS!A370)</f>
        <v/>
      </c>
      <c r="B877" s="15" t="str">
        <f>IF($A877="","",PAYMENTS!B370)</f>
        <v/>
      </c>
      <c r="C877" s="15" t="str">
        <f>IF($A877="","",PAYMENTS!C370)</f>
        <v/>
      </c>
      <c r="D877" s="15" t="str">
        <f>IF($A877="","",PAYMENTS!D370)</f>
        <v/>
      </c>
      <c r="E877" s="16" t="str">
        <f>IF($A877="","",PAYMENTS!E370)</f>
        <v/>
      </c>
      <c r="F877" s="15" t="str">
        <f>IF($A877="","",PAYMENTS!F370)</f>
        <v/>
      </c>
      <c r="G877" s="15" t="str">
        <f>IF($A877="","",PAYMENTS!G370)</f>
        <v/>
      </c>
    </row>
    <row r="878" spans="1:7" x14ac:dyDescent="0.3">
      <c r="A878" s="17" t="str">
        <f>IF(PAYMENTS!A371="","",PAYMENTS!A371)</f>
        <v/>
      </c>
      <c r="B878" s="15" t="str">
        <f>IF($A878="","",PAYMENTS!B371)</f>
        <v/>
      </c>
      <c r="C878" s="15" t="str">
        <f>IF($A878="","",PAYMENTS!C371)</f>
        <v/>
      </c>
      <c r="D878" s="15" t="str">
        <f>IF($A878="","",PAYMENTS!D371)</f>
        <v/>
      </c>
      <c r="E878" s="16" t="str">
        <f>IF($A878="","",PAYMENTS!E371)</f>
        <v/>
      </c>
      <c r="F878" s="15" t="str">
        <f>IF($A878="","",PAYMENTS!F371)</f>
        <v/>
      </c>
      <c r="G878" s="15" t="str">
        <f>IF($A878="","",PAYMENTS!G371)</f>
        <v/>
      </c>
    </row>
    <row r="879" spans="1:7" x14ac:dyDescent="0.3">
      <c r="A879" s="17" t="str">
        <f>IF(PAYMENTS!A372="","",PAYMENTS!A372)</f>
        <v/>
      </c>
      <c r="B879" s="15" t="str">
        <f>IF($A879="","",PAYMENTS!B372)</f>
        <v/>
      </c>
      <c r="C879" s="15" t="str">
        <f>IF($A879="","",PAYMENTS!C372)</f>
        <v/>
      </c>
      <c r="D879" s="15" t="str">
        <f>IF($A879="","",PAYMENTS!D372)</f>
        <v/>
      </c>
      <c r="E879" s="16" t="str">
        <f>IF($A879="","",PAYMENTS!E372)</f>
        <v/>
      </c>
      <c r="F879" s="15" t="str">
        <f>IF($A879="","",PAYMENTS!F372)</f>
        <v/>
      </c>
      <c r="G879" s="15" t="str">
        <f>IF($A879="","",PAYMENTS!G372)</f>
        <v/>
      </c>
    </row>
    <row r="880" spans="1:7" x14ac:dyDescent="0.3">
      <c r="A880" s="17" t="str">
        <f>IF(PAYMENTS!A373="","",PAYMENTS!A373)</f>
        <v/>
      </c>
      <c r="B880" s="15" t="str">
        <f>IF($A880="","",PAYMENTS!B373)</f>
        <v/>
      </c>
      <c r="C880" s="15" t="str">
        <f>IF($A880="","",PAYMENTS!C373)</f>
        <v/>
      </c>
      <c r="D880" s="15" t="str">
        <f>IF($A880="","",PAYMENTS!D373)</f>
        <v/>
      </c>
      <c r="E880" s="16" t="str">
        <f>IF($A880="","",PAYMENTS!E373)</f>
        <v/>
      </c>
      <c r="F880" s="15" t="str">
        <f>IF($A880="","",PAYMENTS!F373)</f>
        <v/>
      </c>
      <c r="G880" s="15" t="str">
        <f>IF($A880="","",PAYMENTS!G373)</f>
        <v/>
      </c>
    </row>
    <row r="881" spans="1:7" x14ac:dyDescent="0.3">
      <c r="A881" s="17" t="str">
        <f>IF(PAYMENTS!A374="","",PAYMENTS!A374)</f>
        <v/>
      </c>
      <c r="B881" s="15" t="str">
        <f>IF($A881="","",PAYMENTS!B374)</f>
        <v/>
      </c>
      <c r="C881" s="15" t="str">
        <f>IF($A881="","",PAYMENTS!C374)</f>
        <v/>
      </c>
      <c r="D881" s="15" t="str">
        <f>IF($A881="","",PAYMENTS!D374)</f>
        <v/>
      </c>
      <c r="E881" s="16" t="str">
        <f>IF($A881="","",PAYMENTS!E374)</f>
        <v/>
      </c>
      <c r="F881" s="15" t="str">
        <f>IF($A881="","",PAYMENTS!F374)</f>
        <v/>
      </c>
      <c r="G881" s="15" t="str">
        <f>IF($A881="","",PAYMENTS!G374)</f>
        <v/>
      </c>
    </row>
    <row r="882" spans="1:7" x14ac:dyDescent="0.3">
      <c r="A882" s="17" t="str">
        <f>IF(PAYMENTS!A375="","",PAYMENTS!A375)</f>
        <v/>
      </c>
      <c r="B882" s="15" t="str">
        <f>IF($A882="","",PAYMENTS!B375)</f>
        <v/>
      </c>
      <c r="C882" s="15" t="str">
        <f>IF($A882="","",PAYMENTS!C375)</f>
        <v/>
      </c>
      <c r="D882" s="15" t="str">
        <f>IF($A882="","",PAYMENTS!D375)</f>
        <v/>
      </c>
      <c r="E882" s="16" t="str">
        <f>IF($A882="","",PAYMENTS!E375)</f>
        <v/>
      </c>
      <c r="F882" s="15" t="str">
        <f>IF($A882="","",PAYMENTS!F375)</f>
        <v/>
      </c>
      <c r="G882" s="15" t="str">
        <f>IF($A882="","",PAYMENTS!G375)</f>
        <v/>
      </c>
    </row>
    <row r="883" spans="1:7" x14ac:dyDescent="0.3">
      <c r="A883" s="17" t="str">
        <f>IF(PAYMENTS!A376="","",PAYMENTS!A376)</f>
        <v/>
      </c>
      <c r="B883" s="15" t="str">
        <f>IF($A883="","",PAYMENTS!B376)</f>
        <v/>
      </c>
      <c r="C883" s="15" t="str">
        <f>IF($A883="","",PAYMENTS!C376)</f>
        <v/>
      </c>
      <c r="D883" s="15" t="str">
        <f>IF($A883="","",PAYMENTS!D376)</f>
        <v/>
      </c>
      <c r="E883" s="16" t="str">
        <f>IF($A883="","",PAYMENTS!E376)</f>
        <v/>
      </c>
      <c r="F883" s="15" t="str">
        <f>IF($A883="","",PAYMENTS!F376)</f>
        <v/>
      </c>
      <c r="G883" s="15" t="str">
        <f>IF($A883="","",PAYMENTS!G376)</f>
        <v/>
      </c>
    </row>
    <row r="884" spans="1:7" x14ac:dyDescent="0.3">
      <c r="A884" s="17" t="str">
        <f>IF(PAYMENTS!A377="","",PAYMENTS!A377)</f>
        <v/>
      </c>
      <c r="B884" s="15" t="str">
        <f>IF($A884="","",PAYMENTS!B377)</f>
        <v/>
      </c>
      <c r="C884" s="15" t="str">
        <f>IF($A884="","",PAYMENTS!C377)</f>
        <v/>
      </c>
      <c r="D884" s="15" t="str">
        <f>IF($A884="","",PAYMENTS!D377)</f>
        <v/>
      </c>
      <c r="E884" s="16" t="str">
        <f>IF($A884="","",PAYMENTS!E377)</f>
        <v/>
      </c>
      <c r="F884" s="15" t="str">
        <f>IF($A884="","",PAYMENTS!F377)</f>
        <v/>
      </c>
      <c r="G884" s="15" t="str">
        <f>IF($A884="","",PAYMENTS!G377)</f>
        <v/>
      </c>
    </row>
    <row r="885" spans="1:7" x14ac:dyDescent="0.3">
      <c r="A885" s="17" t="str">
        <f>IF(PAYMENTS!A378="","",PAYMENTS!A378)</f>
        <v/>
      </c>
      <c r="B885" s="15" t="str">
        <f>IF($A885="","",PAYMENTS!B378)</f>
        <v/>
      </c>
      <c r="C885" s="15" t="str">
        <f>IF($A885="","",PAYMENTS!C378)</f>
        <v/>
      </c>
      <c r="D885" s="15" t="str">
        <f>IF($A885="","",PAYMENTS!D378)</f>
        <v/>
      </c>
      <c r="E885" s="16" t="str">
        <f>IF($A885="","",PAYMENTS!E378)</f>
        <v/>
      </c>
      <c r="F885" s="15" t="str">
        <f>IF($A885="","",PAYMENTS!F378)</f>
        <v/>
      </c>
      <c r="G885" s="15" t="str">
        <f>IF($A885="","",PAYMENTS!G378)</f>
        <v/>
      </c>
    </row>
    <row r="886" spans="1:7" x14ac:dyDescent="0.3">
      <c r="A886" s="17" t="str">
        <f>IF(PAYMENTS!A379="","",PAYMENTS!A379)</f>
        <v/>
      </c>
      <c r="B886" s="15" t="str">
        <f>IF($A886="","",PAYMENTS!B379)</f>
        <v/>
      </c>
      <c r="C886" s="15" t="str">
        <f>IF($A886="","",PAYMENTS!C379)</f>
        <v/>
      </c>
      <c r="D886" s="15" t="str">
        <f>IF($A886="","",PAYMENTS!D379)</f>
        <v/>
      </c>
      <c r="E886" s="16" t="str">
        <f>IF($A886="","",PAYMENTS!E379)</f>
        <v/>
      </c>
      <c r="F886" s="15" t="str">
        <f>IF($A886="","",PAYMENTS!F379)</f>
        <v/>
      </c>
      <c r="G886" s="15" t="str">
        <f>IF($A886="","",PAYMENTS!G379)</f>
        <v/>
      </c>
    </row>
    <row r="887" spans="1:7" x14ac:dyDescent="0.3">
      <c r="A887" s="17" t="str">
        <f>IF(PAYMENTS!A380="","",PAYMENTS!A380)</f>
        <v/>
      </c>
      <c r="B887" s="15" t="str">
        <f>IF($A887="","",PAYMENTS!B380)</f>
        <v/>
      </c>
      <c r="C887" s="15" t="str">
        <f>IF($A887="","",PAYMENTS!C380)</f>
        <v/>
      </c>
      <c r="D887" s="15" t="str">
        <f>IF($A887="","",PAYMENTS!D380)</f>
        <v/>
      </c>
      <c r="E887" s="16" t="str">
        <f>IF($A887="","",PAYMENTS!E380)</f>
        <v/>
      </c>
      <c r="F887" s="15" t="str">
        <f>IF($A887="","",PAYMENTS!F380)</f>
        <v/>
      </c>
      <c r="G887" s="15" t="str">
        <f>IF($A887="","",PAYMENTS!G380)</f>
        <v/>
      </c>
    </row>
    <row r="888" spans="1:7" x14ac:dyDescent="0.3">
      <c r="A888" s="17" t="str">
        <f>IF(PAYMENTS!A381="","",PAYMENTS!A381)</f>
        <v/>
      </c>
      <c r="B888" s="15" t="str">
        <f>IF($A888="","",PAYMENTS!B381)</f>
        <v/>
      </c>
      <c r="C888" s="15" t="str">
        <f>IF($A888="","",PAYMENTS!C381)</f>
        <v/>
      </c>
      <c r="D888" s="15" t="str">
        <f>IF($A888="","",PAYMENTS!D381)</f>
        <v/>
      </c>
      <c r="E888" s="16" t="str">
        <f>IF($A888="","",PAYMENTS!E381)</f>
        <v/>
      </c>
      <c r="F888" s="15" t="str">
        <f>IF($A888="","",PAYMENTS!F381)</f>
        <v/>
      </c>
      <c r="G888" s="15" t="str">
        <f>IF($A888="","",PAYMENTS!G381)</f>
        <v/>
      </c>
    </row>
    <row r="889" spans="1:7" x14ac:dyDescent="0.3">
      <c r="A889" s="17" t="str">
        <f>IF(PAYMENTS!A382="","",PAYMENTS!A382)</f>
        <v/>
      </c>
      <c r="B889" s="15" t="str">
        <f>IF($A889="","",PAYMENTS!B382)</f>
        <v/>
      </c>
      <c r="C889" s="15" t="str">
        <f>IF($A889="","",PAYMENTS!C382)</f>
        <v/>
      </c>
      <c r="D889" s="15" t="str">
        <f>IF($A889="","",PAYMENTS!D382)</f>
        <v/>
      </c>
      <c r="E889" s="16" t="str">
        <f>IF($A889="","",PAYMENTS!E382)</f>
        <v/>
      </c>
      <c r="F889" s="15" t="str">
        <f>IF($A889="","",PAYMENTS!F382)</f>
        <v/>
      </c>
      <c r="G889" s="15" t="str">
        <f>IF($A889="","",PAYMENTS!G382)</f>
        <v/>
      </c>
    </row>
    <row r="890" spans="1:7" x14ac:dyDescent="0.3">
      <c r="A890" s="17" t="str">
        <f>IF(PAYMENTS!A383="","",PAYMENTS!A383)</f>
        <v/>
      </c>
      <c r="B890" s="15" t="str">
        <f>IF($A890="","",PAYMENTS!B383)</f>
        <v/>
      </c>
      <c r="C890" s="15" t="str">
        <f>IF($A890="","",PAYMENTS!C383)</f>
        <v/>
      </c>
      <c r="D890" s="15" t="str">
        <f>IF($A890="","",PAYMENTS!D383)</f>
        <v/>
      </c>
      <c r="E890" s="16" t="str">
        <f>IF($A890="","",PAYMENTS!E383)</f>
        <v/>
      </c>
      <c r="F890" s="15" t="str">
        <f>IF($A890="","",PAYMENTS!F383)</f>
        <v/>
      </c>
      <c r="G890" s="15" t="str">
        <f>IF($A890="","",PAYMENTS!G383)</f>
        <v/>
      </c>
    </row>
    <row r="891" spans="1:7" x14ac:dyDescent="0.3">
      <c r="A891" s="17" t="str">
        <f>IF(PAYMENTS!A384="","",PAYMENTS!A384)</f>
        <v/>
      </c>
      <c r="B891" s="15" t="str">
        <f>IF($A891="","",PAYMENTS!B384)</f>
        <v/>
      </c>
      <c r="C891" s="15" t="str">
        <f>IF($A891="","",PAYMENTS!C384)</f>
        <v/>
      </c>
      <c r="D891" s="15" t="str">
        <f>IF($A891="","",PAYMENTS!D384)</f>
        <v/>
      </c>
      <c r="E891" s="16" t="str">
        <f>IF($A891="","",PAYMENTS!E384)</f>
        <v/>
      </c>
      <c r="F891" s="15" t="str">
        <f>IF($A891="","",PAYMENTS!F384)</f>
        <v/>
      </c>
      <c r="G891" s="15" t="str">
        <f>IF($A891="","",PAYMENTS!G384)</f>
        <v/>
      </c>
    </row>
    <row r="892" spans="1:7" x14ac:dyDescent="0.3">
      <c r="A892" s="17" t="str">
        <f>IF(PAYMENTS!A385="","",PAYMENTS!A385)</f>
        <v/>
      </c>
      <c r="B892" s="15" t="str">
        <f>IF($A892="","",PAYMENTS!B385)</f>
        <v/>
      </c>
      <c r="C892" s="15" t="str">
        <f>IF($A892="","",PAYMENTS!C385)</f>
        <v/>
      </c>
      <c r="D892" s="15" t="str">
        <f>IF($A892="","",PAYMENTS!D385)</f>
        <v/>
      </c>
      <c r="E892" s="16" t="str">
        <f>IF($A892="","",PAYMENTS!E385)</f>
        <v/>
      </c>
      <c r="F892" s="15" t="str">
        <f>IF($A892="","",PAYMENTS!F385)</f>
        <v/>
      </c>
      <c r="G892" s="15" t="str">
        <f>IF($A892="","",PAYMENTS!G385)</f>
        <v/>
      </c>
    </row>
    <row r="893" spans="1:7" x14ac:dyDescent="0.3">
      <c r="A893" s="17" t="str">
        <f>IF(PAYMENTS!A386="","",PAYMENTS!A386)</f>
        <v/>
      </c>
      <c r="B893" s="15" t="str">
        <f>IF($A893="","",PAYMENTS!B386)</f>
        <v/>
      </c>
      <c r="C893" s="15" t="str">
        <f>IF($A893="","",PAYMENTS!C386)</f>
        <v/>
      </c>
      <c r="D893" s="15" t="str">
        <f>IF($A893="","",PAYMENTS!D386)</f>
        <v/>
      </c>
      <c r="E893" s="16" t="str">
        <f>IF($A893="","",PAYMENTS!E386)</f>
        <v/>
      </c>
      <c r="F893" s="15" t="str">
        <f>IF($A893="","",PAYMENTS!F386)</f>
        <v/>
      </c>
      <c r="G893" s="15" t="str">
        <f>IF($A893="","",PAYMENTS!G386)</f>
        <v/>
      </c>
    </row>
    <row r="894" spans="1:7" x14ac:dyDescent="0.3">
      <c r="A894" s="17" t="str">
        <f>IF(PAYMENTS!A387="","",PAYMENTS!A387)</f>
        <v/>
      </c>
      <c r="B894" s="15" t="str">
        <f>IF($A894="","",PAYMENTS!B387)</f>
        <v/>
      </c>
      <c r="C894" s="15" t="str">
        <f>IF($A894="","",PAYMENTS!C387)</f>
        <v/>
      </c>
      <c r="D894" s="15" t="str">
        <f>IF($A894="","",PAYMENTS!D387)</f>
        <v/>
      </c>
      <c r="E894" s="16" t="str">
        <f>IF($A894="","",PAYMENTS!E387)</f>
        <v/>
      </c>
      <c r="F894" s="15" t="str">
        <f>IF($A894="","",PAYMENTS!F387)</f>
        <v/>
      </c>
      <c r="G894" s="15" t="str">
        <f>IF($A894="","",PAYMENTS!G387)</f>
        <v/>
      </c>
    </row>
    <row r="895" spans="1:7" x14ac:dyDescent="0.3">
      <c r="A895" s="17" t="str">
        <f>IF(PAYMENTS!A388="","",PAYMENTS!A388)</f>
        <v/>
      </c>
      <c r="B895" s="15" t="str">
        <f>IF($A895="","",PAYMENTS!B388)</f>
        <v/>
      </c>
      <c r="C895" s="15" t="str">
        <f>IF($A895="","",PAYMENTS!C388)</f>
        <v/>
      </c>
      <c r="D895" s="15" t="str">
        <f>IF($A895="","",PAYMENTS!D388)</f>
        <v/>
      </c>
      <c r="E895" s="16" t="str">
        <f>IF($A895="","",PAYMENTS!E388)</f>
        <v/>
      </c>
      <c r="F895" s="15" t="str">
        <f>IF($A895="","",PAYMENTS!F388)</f>
        <v/>
      </c>
      <c r="G895" s="15" t="str">
        <f>IF($A895="","",PAYMENTS!G388)</f>
        <v/>
      </c>
    </row>
    <row r="896" spans="1:7" x14ac:dyDescent="0.3">
      <c r="A896" s="17" t="str">
        <f>IF(PAYMENTS!A389="","",PAYMENTS!A389)</f>
        <v/>
      </c>
      <c r="B896" s="15" t="str">
        <f>IF($A896="","",PAYMENTS!B389)</f>
        <v/>
      </c>
      <c r="C896" s="15" t="str">
        <f>IF($A896="","",PAYMENTS!C389)</f>
        <v/>
      </c>
      <c r="D896" s="15" t="str">
        <f>IF($A896="","",PAYMENTS!D389)</f>
        <v/>
      </c>
      <c r="E896" s="16" t="str">
        <f>IF($A896="","",PAYMENTS!E389)</f>
        <v/>
      </c>
      <c r="F896" s="15" t="str">
        <f>IF($A896="","",PAYMENTS!F389)</f>
        <v/>
      </c>
      <c r="G896" s="15" t="str">
        <f>IF($A896="","",PAYMENTS!G389)</f>
        <v/>
      </c>
    </row>
    <row r="897" spans="1:7" x14ac:dyDescent="0.3">
      <c r="A897" s="17" t="str">
        <f>IF(PAYMENTS!A390="","",PAYMENTS!A390)</f>
        <v/>
      </c>
      <c r="B897" s="15" t="str">
        <f>IF($A897="","",PAYMENTS!B390)</f>
        <v/>
      </c>
      <c r="C897" s="15" t="str">
        <f>IF($A897="","",PAYMENTS!C390)</f>
        <v/>
      </c>
      <c r="D897" s="15" t="str">
        <f>IF($A897="","",PAYMENTS!D390)</f>
        <v/>
      </c>
      <c r="E897" s="16" t="str">
        <f>IF($A897="","",PAYMENTS!E390)</f>
        <v/>
      </c>
      <c r="F897" s="15" t="str">
        <f>IF($A897="","",PAYMENTS!F390)</f>
        <v/>
      </c>
      <c r="G897" s="15" t="str">
        <f>IF($A897="","",PAYMENTS!G390)</f>
        <v/>
      </c>
    </row>
    <row r="898" spans="1:7" x14ac:dyDescent="0.3">
      <c r="A898" s="17" t="str">
        <f>IF(PAYMENTS!A391="","",PAYMENTS!A391)</f>
        <v/>
      </c>
      <c r="B898" s="15" t="str">
        <f>IF($A898="","",PAYMENTS!B391)</f>
        <v/>
      </c>
      <c r="C898" s="15" t="str">
        <f>IF($A898="","",PAYMENTS!C391)</f>
        <v/>
      </c>
      <c r="D898" s="15" t="str">
        <f>IF($A898="","",PAYMENTS!D391)</f>
        <v/>
      </c>
      <c r="E898" s="16" t="str">
        <f>IF($A898="","",PAYMENTS!E391)</f>
        <v/>
      </c>
      <c r="F898" s="15" t="str">
        <f>IF($A898="","",PAYMENTS!F391)</f>
        <v/>
      </c>
      <c r="G898" s="15" t="str">
        <f>IF($A898="","",PAYMENTS!G391)</f>
        <v/>
      </c>
    </row>
    <row r="899" spans="1:7" x14ac:dyDescent="0.3">
      <c r="A899" s="17" t="str">
        <f>IF(PAYMENTS!A392="","",PAYMENTS!A392)</f>
        <v/>
      </c>
      <c r="B899" s="15" t="str">
        <f>IF($A899="","",PAYMENTS!B392)</f>
        <v/>
      </c>
      <c r="C899" s="15" t="str">
        <f>IF($A899="","",PAYMENTS!C392)</f>
        <v/>
      </c>
      <c r="D899" s="15" t="str">
        <f>IF($A899="","",PAYMENTS!D392)</f>
        <v/>
      </c>
      <c r="E899" s="16" t="str">
        <f>IF($A899="","",PAYMENTS!E392)</f>
        <v/>
      </c>
      <c r="F899" s="15" t="str">
        <f>IF($A899="","",PAYMENTS!F392)</f>
        <v/>
      </c>
      <c r="G899" s="15" t="str">
        <f>IF($A899="","",PAYMENTS!G392)</f>
        <v/>
      </c>
    </row>
    <row r="900" spans="1:7" x14ac:dyDescent="0.3">
      <c r="A900" s="17" t="str">
        <f>IF(PAYMENTS!A393="","",PAYMENTS!A393)</f>
        <v/>
      </c>
      <c r="B900" s="15" t="str">
        <f>IF($A900="","",PAYMENTS!B393)</f>
        <v/>
      </c>
      <c r="C900" s="15" t="str">
        <f>IF($A900="","",PAYMENTS!C393)</f>
        <v/>
      </c>
      <c r="D900" s="15" t="str">
        <f>IF($A900="","",PAYMENTS!D393)</f>
        <v/>
      </c>
      <c r="E900" s="16" t="str">
        <f>IF($A900="","",PAYMENTS!E393)</f>
        <v/>
      </c>
      <c r="F900" s="15" t="str">
        <f>IF($A900="","",PAYMENTS!F393)</f>
        <v/>
      </c>
      <c r="G900" s="15" t="str">
        <f>IF($A900="","",PAYMENTS!G393)</f>
        <v/>
      </c>
    </row>
    <row r="901" spans="1:7" x14ac:dyDescent="0.3">
      <c r="A901" s="17" t="str">
        <f>IF(PAYMENTS!A394="","",PAYMENTS!A394)</f>
        <v/>
      </c>
      <c r="B901" s="15" t="str">
        <f>IF($A901="","",PAYMENTS!B394)</f>
        <v/>
      </c>
      <c r="C901" s="15" t="str">
        <f>IF($A901="","",PAYMENTS!C394)</f>
        <v/>
      </c>
      <c r="D901" s="15" t="str">
        <f>IF($A901="","",PAYMENTS!D394)</f>
        <v/>
      </c>
      <c r="E901" s="16" t="str">
        <f>IF($A901="","",PAYMENTS!E394)</f>
        <v/>
      </c>
      <c r="F901" s="15" t="str">
        <f>IF($A901="","",PAYMENTS!F394)</f>
        <v/>
      </c>
      <c r="G901" s="15" t="str">
        <f>IF($A901="","",PAYMENTS!G394)</f>
        <v/>
      </c>
    </row>
    <row r="902" spans="1:7" x14ac:dyDescent="0.3">
      <c r="A902" s="17" t="str">
        <f>IF(PAYMENTS!A395="","",PAYMENTS!A395)</f>
        <v/>
      </c>
      <c r="B902" s="15" t="str">
        <f>IF($A902="","",PAYMENTS!B395)</f>
        <v/>
      </c>
      <c r="C902" s="15" t="str">
        <f>IF($A902="","",PAYMENTS!C395)</f>
        <v/>
      </c>
      <c r="D902" s="15" t="str">
        <f>IF($A902="","",PAYMENTS!D395)</f>
        <v/>
      </c>
      <c r="E902" s="16" t="str">
        <f>IF($A902="","",PAYMENTS!E395)</f>
        <v/>
      </c>
      <c r="F902" s="15" t="str">
        <f>IF($A902="","",PAYMENTS!F395)</f>
        <v/>
      </c>
      <c r="G902" s="15" t="str">
        <f>IF($A902="","",PAYMENTS!G395)</f>
        <v/>
      </c>
    </row>
    <row r="903" spans="1:7" x14ac:dyDescent="0.3">
      <c r="A903" s="17" t="str">
        <f>IF(PAYMENTS!A396="","",PAYMENTS!A396)</f>
        <v/>
      </c>
      <c r="B903" s="15" t="str">
        <f>IF($A903="","",PAYMENTS!B396)</f>
        <v/>
      </c>
      <c r="C903" s="15" t="str">
        <f>IF($A903="","",PAYMENTS!C396)</f>
        <v/>
      </c>
      <c r="D903" s="15" t="str">
        <f>IF($A903="","",PAYMENTS!D396)</f>
        <v/>
      </c>
      <c r="E903" s="16" t="str">
        <f>IF($A903="","",PAYMENTS!E396)</f>
        <v/>
      </c>
      <c r="F903" s="15" t="str">
        <f>IF($A903="","",PAYMENTS!F396)</f>
        <v/>
      </c>
      <c r="G903" s="15" t="str">
        <f>IF($A903="","",PAYMENTS!G396)</f>
        <v/>
      </c>
    </row>
    <row r="904" spans="1:7" x14ac:dyDescent="0.3">
      <c r="A904" s="17" t="str">
        <f>IF(PAYMENTS!A397="","",PAYMENTS!A397)</f>
        <v/>
      </c>
      <c r="B904" s="15" t="str">
        <f>IF($A904="","",PAYMENTS!B397)</f>
        <v/>
      </c>
      <c r="C904" s="15" t="str">
        <f>IF($A904="","",PAYMENTS!C397)</f>
        <v/>
      </c>
      <c r="D904" s="15" t="str">
        <f>IF($A904="","",PAYMENTS!D397)</f>
        <v/>
      </c>
      <c r="E904" s="16" t="str">
        <f>IF($A904="","",PAYMENTS!E397)</f>
        <v/>
      </c>
      <c r="F904" s="15" t="str">
        <f>IF($A904="","",PAYMENTS!F397)</f>
        <v/>
      </c>
      <c r="G904" s="15" t="str">
        <f>IF($A904="","",PAYMENTS!G397)</f>
        <v/>
      </c>
    </row>
    <row r="905" spans="1:7" x14ac:dyDescent="0.3">
      <c r="A905" s="17" t="str">
        <f>IF(PAYMENTS!A398="","",PAYMENTS!A398)</f>
        <v/>
      </c>
      <c r="B905" s="15" t="str">
        <f>IF($A905="","",PAYMENTS!B398)</f>
        <v/>
      </c>
      <c r="C905" s="15" t="str">
        <f>IF($A905="","",PAYMENTS!C398)</f>
        <v/>
      </c>
      <c r="D905" s="15" t="str">
        <f>IF($A905="","",PAYMENTS!D398)</f>
        <v/>
      </c>
      <c r="E905" s="16" t="str">
        <f>IF($A905="","",PAYMENTS!E398)</f>
        <v/>
      </c>
      <c r="F905" s="15" t="str">
        <f>IF($A905="","",PAYMENTS!F398)</f>
        <v/>
      </c>
      <c r="G905" s="15" t="str">
        <f>IF($A905="","",PAYMENTS!G398)</f>
        <v/>
      </c>
    </row>
    <row r="906" spans="1:7" x14ac:dyDescent="0.3">
      <c r="A906" s="17" t="str">
        <f>IF(PAYMENTS!A399="","",PAYMENTS!A399)</f>
        <v/>
      </c>
      <c r="B906" s="15" t="str">
        <f>IF($A906="","",PAYMENTS!B399)</f>
        <v/>
      </c>
      <c r="C906" s="15" t="str">
        <f>IF($A906="","",PAYMENTS!C399)</f>
        <v/>
      </c>
      <c r="D906" s="15" t="str">
        <f>IF($A906="","",PAYMENTS!D399)</f>
        <v/>
      </c>
      <c r="E906" s="16" t="str">
        <f>IF($A906="","",PAYMENTS!E399)</f>
        <v/>
      </c>
      <c r="F906" s="15" t="str">
        <f>IF($A906="","",PAYMENTS!F399)</f>
        <v/>
      </c>
      <c r="G906" s="15" t="str">
        <f>IF($A906="","",PAYMENTS!G399)</f>
        <v/>
      </c>
    </row>
    <row r="907" spans="1:7" x14ac:dyDescent="0.3">
      <c r="A907" s="17" t="str">
        <f>IF(PAYMENTS!A400="","",PAYMENTS!A400)</f>
        <v/>
      </c>
      <c r="B907" s="15" t="str">
        <f>IF($A907="","",PAYMENTS!B400)</f>
        <v/>
      </c>
      <c r="C907" s="15" t="str">
        <f>IF($A907="","",PAYMENTS!C400)</f>
        <v/>
      </c>
      <c r="D907" s="15" t="str">
        <f>IF($A907="","",PAYMENTS!D400)</f>
        <v/>
      </c>
      <c r="E907" s="16" t="str">
        <f>IF($A907="","",PAYMENTS!E400)</f>
        <v/>
      </c>
      <c r="F907" s="15" t="str">
        <f>IF($A907="","",PAYMENTS!F400)</f>
        <v/>
      </c>
      <c r="G907" s="15" t="str">
        <f>IF($A907="","",PAYMENTS!G400)</f>
        <v/>
      </c>
    </row>
    <row r="908" spans="1:7" x14ac:dyDescent="0.3">
      <c r="A908" s="17" t="str">
        <f>IF(PAYMENTS!A401="","",PAYMENTS!A401)</f>
        <v/>
      </c>
      <c r="B908" s="15" t="str">
        <f>IF($A908="","",PAYMENTS!B401)</f>
        <v/>
      </c>
      <c r="C908" s="15" t="str">
        <f>IF($A908="","",PAYMENTS!C401)</f>
        <v/>
      </c>
      <c r="D908" s="15" t="str">
        <f>IF($A908="","",PAYMENTS!D401)</f>
        <v/>
      </c>
      <c r="E908" s="16" t="str">
        <f>IF($A908="","",PAYMENTS!E401)</f>
        <v/>
      </c>
      <c r="F908" s="15" t="str">
        <f>IF($A908="","",PAYMENTS!F401)</f>
        <v/>
      </c>
      <c r="G908" s="15" t="str">
        <f>IF($A908="","",PAYMENTS!G401)</f>
        <v/>
      </c>
    </row>
    <row r="909" spans="1:7" x14ac:dyDescent="0.3">
      <c r="A909" s="17" t="str">
        <f>IF(PAYMENTS!A402="","",PAYMENTS!A402)</f>
        <v/>
      </c>
      <c r="B909" s="15" t="str">
        <f>IF($A909="","",PAYMENTS!B402)</f>
        <v/>
      </c>
      <c r="C909" s="15" t="str">
        <f>IF($A909="","",PAYMENTS!C402)</f>
        <v/>
      </c>
      <c r="D909" s="15" t="str">
        <f>IF($A909="","",PAYMENTS!D402)</f>
        <v/>
      </c>
      <c r="E909" s="16" t="str">
        <f>IF($A909="","",PAYMENTS!E402)</f>
        <v/>
      </c>
      <c r="F909" s="15" t="str">
        <f>IF($A909="","",PAYMENTS!F402)</f>
        <v/>
      </c>
      <c r="G909" s="15" t="str">
        <f>IF($A909="","",PAYMENTS!G402)</f>
        <v/>
      </c>
    </row>
    <row r="910" spans="1:7" x14ac:dyDescent="0.3">
      <c r="A910" s="17" t="str">
        <f>IF(PAYMENTS!A403="","",PAYMENTS!A403)</f>
        <v/>
      </c>
      <c r="B910" s="15" t="str">
        <f>IF($A910="","",PAYMENTS!B403)</f>
        <v/>
      </c>
      <c r="C910" s="15" t="str">
        <f>IF($A910="","",PAYMENTS!C403)</f>
        <v/>
      </c>
      <c r="D910" s="15" t="str">
        <f>IF($A910="","",PAYMENTS!D403)</f>
        <v/>
      </c>
      <c r="E910" s="16" t="str">
        <f>IF($A910="","",PAYMENTS!E403)</f>
        <v/>
      </c>
      <c r="F910" s="15" t="str">
        <f>IF($A910="","",PAYMENTS!F403)</f>
        <v/>
      </c>
      <c r="G910" s="15" t="str">
        <f>IF($A910="","",PAYMENTS!G403)</f>
        <v/>
      </c>
    </row>
    <row r="911" spans="1:7" x14ac:dyDescent="0.3">
      <c r="A911" s="17" t="str">
        <f>IF(PAYMENTS!A404="","",PAYMENTS!A404)</f>
        <v/>
      </c>
      <c r="B911" s="15" t="str">
        <f>IF($A911="","",PAYMENTS!B404)</f>
        <v/>
      </c>
      <c r="C911" s="15" t="str">
        <f>IF($A911="","",PAYMENTS!C404)</f>
        <v/>
      </c>
      <c r="D911" s="15" t="str">
        <f>IF($A911="","",PAYMENTS!D404)</f>
        <v/>
      </c>
      <c r="E911" s="16" t="str">
        <f>IF($A911="","",PAYMENTS!E404)</f>
        <v/>
      </c>
      <c r="F911" s="15" t="str">
        <f>IF($A911="","",PAYMENTS!F404)</f>
        <v/>
      </c>
      <c r="G911" s="15" t="str">
        <f>IF($A911="","",PAYMENTS!G404)</f>
        <v/>
      </c>
    </row>
    <row r="912" spans="1:7" x14ac:dyDescent="0.3">
      <c r="A912" s="17" t="str">
        <f>IF(PAYMENTS!A405="","",PAYMENTS!A405)</f>
        <v/>
      </c>
      <c r="B912" s="15" t="str">
        <f>IF($A912="","",PAYMENTS!B405)</f>
        <v/>
      </c>
      <c r="C912" s="15" t="str">
        <f>IF($A912="","",PAYMENTS!C405)</f>
        <v/>
      </c>
      <c r="D912" s="15" t="str">
        <f>IF($A912="","",PAYMENTS!D405)</f>
        <v/>
      </c>
      <c r="E912" s="16" t="str">
        <f>IF($A912="","",PAYMENTS!E405)</f>
        <v/>
      </c>
      <c r="F912" s="15" t="str">
        <f>IF($A912="","",PAYMENTS!F405)</f>
        <v/>
      </c>
      <c r="G912" s="15" t="str">
        <f>IF($A912="","",PAYMENTS!G405)</f>
        <v/>
      </c>
    </row>
    <row r="913" spans="1:7" x14ac:dyDescent="0.3">
      <c r="A913" s="17" t="str">
        <f>IF(PAYMENTS!A406="","",PAYMENTS!A406)</f>
        <v/>
      </c>
      <c r="B913" s="15" t="str">
        <f>IF($A913="","",PAYMENTS!B406)</f>
        <v/>
      </c>
      <c r="C913" s="15" t="str">
        <f>IF($A913="","",PAYMENTS!C406)</f>
        <v/>
      </c>
      <c r="D913" s="15" t="str">
        <f>IF($A913="","",PAYMENTS!D406)</f>
        <v/>
      </c>
      <c r="E913" s="16" t="str">
        <f>IF($A913="","",PAYMENTS!E406)</f>
        <v/>
      </c>
      <c r="F913" s="15" t="str">
        <f>IF($A913="","",PAYMENTS!F406)</f>
        <v/>
      </c>
      <c r="G913" s="15" t="str">
        <f>IF($A913="","",PAYMENTS!G406)</f>
        <v/>
      </c>
    </row>
    <row r="914" spans="1:7" x14ac:dyDescent="0.3">
      <c r="A914" s="17" t="str">
        <f>IF(PAYMENTS!A407="","",PAYMENTS!A407)</f>
        <v/>
      </c>
      <c r="B914" s="15" t="str">
        <f>IF($A914="","",PAYMENTS!B407)</f>
        <v/>
      </c>
      <c r="C914" s="15" t="str">
        <f>IF($A914="","",PAYMENTS!C407)</f>
        <v/>
      </c>
      <c r="D914" s="15" t="str">
        <f>IF($A914="","",PAYMENTS!D407)</f>
        <v/>
      </c>
      <c r="E914" s="16" t="str">
        <f>IF($A914="","",PAYMENTS!E407)</f>
        <v/>
      </c>
      <c r="F914" s="15" t="str">
        <f>IF($A914="","",PAYMENTS!F407)</f>
        <v/>
      </c>
      <c r="G914" s="15" t="str">
        <f>IF($A914="","",PAYMENTS!G407)</f>
        <v/>
      </c>
    </row>
    <row r="915" spans="1:7" x14ac:dyDescent="0.3">
      <c r="A915" s="17" t="str">
        <f>IF(PAYMENTS!A408="","",PAYMENTS!A408)</f>
        <v/>
      </c>
      <c r="B915" s="15" t="str">
        <f>IF($A915="","",PAYMENTS!B408)</f>
        <v/>
      </c>
      <c r="C915" s="15" t="str">
        <f>IF($A915="","",PAYMENTS!C408)</f>
        <v/>
      </c>
      <c r="D915" s="15" t="str">
        <f>IF($A915="","",PAYMENTS!D408)</f>
        <v/>
      </c>
      <c r="E915" s="16" t="str">
        <f>IF($A915="","",PAYMENTS!E408)</f>
        <v/>
      </c>
      <c r="F915" s="15" t="str">
        <f>IF($A915="","",PAYMENTS!F408)</f>
        <v/>
      </c>
      <c r="G915" s="15" t="str">
        <f>IF($A915="","",PAYMENTS!G408)</f>
        <v/>
      </c>
    </row>
    <row r="916" spans="1:7" x14ac:dyDescent="0.3">
      <c r="A916" s="17" t="str">
        <f>IF(PAYMENTS!A409="","",PAYMENTS!A409)</f>
        <v/>
      </c>
      <c r="B916" s="15" t="str">
        <f>IF($A916="","",PAYMENTS!B409)</f>
        <v/>
      </c>
      <c r="C916" s="15" t="str">
        <f>IF($A916="","",PAYMENTS!C409)</f>
        <v/>
      </c>
      <c r="D916" s="15" t="str">
        <f>IF($A916="","",PAYMENTS!D409)</f>
        <v/>
      </c>
      <c r="E916" s="16" t="str">
        <f>IF($A916="","",PAYMENTS!E409)</f>
        <v/>
      </c>
      <c r="F916" s="15" t="str">
        <f>IF($A916="","",PAYMENTS!F409)</f>
        <v/>
      </c>
      <c r="G916" s="15" t="str">
        <f>IF($A916="","",PAYMENTS!G409)</f>
        <v/>
      </c>
    </row>
    <row r="917" spans="1:7" x14ac:dyDescent="0.3">
      <c r="A917" s="17" t="str">
        <f>IF(PAYMENTS!A410="","",PAYMENTS!A410)</f>
        <v/>
      </c>
      <c r="B917" s="15" t="str">
        <f>IF($A917="","",PAYMENTS!B410)</f>
        <v/>
      </c>
      <c r="C917" s="15" t="str">
        <f>IF($A917="","",PAYMENTS!C410)</f>
        <v/>
      </c>
      <c r="D917" s="15" t="str">
        <f>IF($A917="","",PAYMENTS!D410)</f>
        <v/>
      </c>
      <c r="E917" s="16" t="str">
        <f>IF($A917="","",PAYMENTS!E410)</f>
        <v/>
      </c>
      <c r="F917" s="15" t="str">
        <f>IF($A917="","",PAYMENTS!F410)</f>
        <v/>
      </c>
      <c r="G917" s="15" t="str">
        <f>IF($A917="","",PAYMENTS!G410)</f>
        <v/>
      </c>
    </row>
    <row r="918" spans="1:7" x14ac:dyDescent="0.3">
      <c r="A918" s="17" t="str">
        <f>IF(PAYMENTS!A411="","",PAYMENTS!A411)</f>
        <v/>
      </c>
      <c r="B918" s="15" t="str">
        <f>IF($A918="","",PAYMENTS!B411)</f>
        <v/>
      </c>
      <c r="C918" s="15" t="str">
        <f>IF($A918="","",PAYMENTS!C411)</f>
        <v/>
      </c>
      <c r="D918" s="15" t="str">
        <f>IF($A918="","",PAYMENTS!D411)</f>
        <v/>
      </c>
      <c r="E918" s="16" t="str">
        <f>IF($A918="","",PAYMENTS!E411)</f>
        <v/>
      </c>
      <c r="F918" s="15" t="str">
        <f>IF($A918="","",PAYMENTS!F411)</f>
        <v/>
      </c>
      <c r="G918" s="15" t="str">
        <f>IF($A918="","",PAYMENTS!G411)</f>
        <v/>
      </c>
    </row>
    <row r="919" spans="1:7" x14ac:dyDescent="0.3">
      <c r="A919" s="17" t="str">
        <f>IF(PAYMENTS!A412="","",PAYMENTS!A412)</f>
        <v/>
      </c>
      <c r="B919" s="15" t="str">
        <f>IF($A919="","",PAYMENTS!B412)</f>
        <v/>
      </c>
      <c r="C919" s="15" t="str">
        <f>IF($A919="","",PAYMENTS!C412)</f>
        <v/>
      </c>
      <c r="D919" s="15" t="str">
        <f>IF($A919="","",PAYMENTS!D412)</f>
        <v/>
      </c>
      <c r="E919" s="16" t="str">
        <f>IF($A919="","",PAYMENTS!E412)</f>
        <v/>
      </c>
      <c r="F919" s="15" t="str">
        <f>IF($A919="","",PAYMENTS!F412)</f>
        <v/>
      </c>
      <c r="G919" s="15" t="str">
        <f>IF($A919="","",PAYMENTS!G412)</f>
        <v/>
      </c>
    </row>
    <row r="920" spans="1:7" x14ac:dyDescent="0.3">
      <c r="A920" s="17" t="str">
        <f>IF(PAYMENTS!A413="","",PAYMENTS!A413)</f>
        <v/>
      </c>
      <c r="B920" s="15" t="str">
        <f>IF($A920="","",PAYMENTS!B413)</f>
        <v/>
      </c>
      <c r="C920" s="15" t="str">
        <f>IF($A920="","",PAYMENTS!C413)</f>
        <v/>
      </c>
      <c r="D920" s="15" t="str">
        <f>IF($A920="","",PAYMENTS!D413)</f>
        <v/>
      </c>
      <c r="E920" s="16" t="str">
        <f>IF($A920="","",PAYMENTS!E413)</f>
        <v/>
      </c>
      <c r="F920" s="15" t="str">
        <f>IF($A920="","",PAYMENTS!F413)</f>
        <v/>
      </c>
      <c r="G920" s="15" t="str">
        <f>IF($A920="","",PAYMENTS!G413)</f>
        <v/>
      </c>
    </row>
    <row r="921" spans="1:7" x14ac:dyDescent="0.3">
      <c r="A921" s="17" t="str">
        <f>IF(PAYMENTS!A414="","",PAYMENTS!A414)</f>
        <v/>
      </c>
      <c r="B921" s="15" t="str">
        <f>IF($A921="","",PAYMENTS!B414)</f>
        <v/>
      </c>
      <c r="C921" s="15" t="str">
        <f>IF($A921="","",PAYMENTS!C414)</f>
        <v/>
      </c>
      <c r="D921" s="15" t="str">
        <f>IF($A921="","",PAYMENTS!D414)</f>
        <v/>
      </c>
      <c r="E921" s="16" t="str">
        <f>IF($A921="","",PAYMENTS!E414)</f>
        <v/>
      </c>
      <c r="F921" s="15" t="str">
        <f>IF($A921="","",PAYMENTS!F414)</f>
        <v/>
      </c>
      <c r="G921" s="15" t="str">
        <f>IF($A921="","",PAYMENTS!G414)</f>
        <v/>
      </c>
    </row>
    <row r="922" spans="1:7" x14ac:dyDescent="0.3">
      <c r="A922" s="17" t="str">
        <f>IF(PAYMENTS!A415="","",PAYMENTS!A415)</f>
        <v/>
      </c>
      <c r="B922" s="15" t="str">
        <f>IF($A922="","",PAYMENTS!B415)</f>
        <v/>
      </c>
      <c r="C922" s="15" t="str">
        <f>IF($A922="","",PAYMENTS!C415)</f>
        <v/>
      </c>
      <c r="D922" s="15" t="str">
        <f>IF($A922="","",PAYMENTS!D415)</f>
        <v/>
      </c>
      <c r="E922" s="16" t="str">
        <f>IF($A922="","",PAYMENTS!E415)</f>
        <v/>
      </c>
      <c r="F922" s="15" t="str">
        <f>IF($A922="","",PAYMENTS!F415)</f>
        <v/>
      </c>
      <c r="G922" s="15" t="str">
        <f>IF($A922="","",PAYMENTS!G415)</f>
        <v/>
      </c>
    </row>
    <row r="923" spans="1:7" x14ac:dyDescent="0.3">
      <c r="A923" s="17" t="str">
        <f>IF(PAYMENTS!A416="","",PAYMENTS!A416)</f>
        <v/>
      </c>
      <c r="B923" s="15" t="str">
        <f>IF($A923="","",PAYMENTS!B416)</f>
        <v/>
      </c>
      <c r="C923" s="15" t="str">
        <f>IF($A923="","",PAYMENTS!C416)</f>
        <v/>
      </c>
      <c r="D923" s="15" t="str">
        <f>IF($A923="","",PAYMENTS!D416)</f>
        <v/>
      </c>
      <c r="E923" s="16" t="str">
        <f>IF($A923="","",PAYMENTS!E416)</f>
        <v/>
      </c>
      <c r="F923" s="15" t="str">
        <f>IF($A923="","",PAYMENTS!F416)</f>
        <v/>
      </c>
      <c r="G923" s="15" t="str">
        <f>IF($A923="","",PAYMENTS!G416)</f>
        <v/>
      </c>
    </row>
    <row r="924" spans="1:7" x14ac:dyDescent="0.3">
      <c r="A924" s="17" t="str">
        <f>IF(PAYMENTS!A417="","",PAYMENTS!A417)</f>
        <v/>
      </c>
      <c r="B924" s="15" t="str">
        <f>IF($A924="","",PAYMENTS!B417)</f>
        <v/>
      </c>
      <c r="C924" s="15" t="str">
        <f>IF($A924="","",PAYMENTS!C417)</f>
        <v/>
      </c>
      <c r="D924" s="15" t="str">
        <f>IF($A924="","",PAYMENTS!D417)</f>
        <v/>
      </c>
      <c r="E924" s="16" t="str">
        <f>IF($A924="","",PAYMENTS!E417)</f>
        <v/>
      </c>
      <c r="F924" s="15" t="str">
        <f>IF($A924="","",PAYMENTS!F417)</f>
        <v/>
      </c>
      <c r="G924" s="15" t="str">
        <f>IF($A924="","",PAYMENTS!G417)</f>
        <v/>
      </c>
    </row>
    <row r="925" spans="1:7" x14ac:dyDescent="0.3">
      <c r="A925" s="17" t="str">
        <f>IF(PAYMENTS!A418="","",PAYMENTS!A418)</f>
        <v/>
      </c>
      <c r="B925" s="15" t="str">
        <f>IF($A925="","",PAYMENTS!B418)</f>
        <v/>
      </c>
      <c r="C925" s="15" t="str">
        <f>IF($A925="","",PAYMENTS!C418)</f>
        <v/>
      </c>
      <c r="D925" s="15" t="str">
        <f>IF($A925="","",PAYMENTS!D418)</f>
        <v/>
      </c>
      <c r="E925" s="16" t="str">
        <f>IF($A925="","",PAYMENTS!E418)</f>
        <v/>
      </c>
      <c r="F925" s="15" t="str">
        <f>IF($A925="","",PAYMENTS!F418)</f>
        <v/>
      </c>
      <c r="G925" s="15" t="str">
        <f>IF($A925="","",PAYMENTS!G418)</f>
        <v/>
      </c>
    </row>
    <row r="926" spans="1:7" x14ac:dyDescent="0.3">
      <c r="A926" s="17" t="str">
        <f>IF(PAYMENTS!A419="","",PAYMENTS!A419)</f>
        <v/>
      </c>
      <c r="B926" s="15" t="str">
        <f>IF($A926="","",PAYMENTS!B419)</f>
        <v/>
      </c>
      <c r="C926" s="15" t="str">
        <f>IF($A926="","",PAYMENTS!C419)</f>
        <v/>
      </c>
      <c r="D926" s="15" t="str">
        <f>IF($A926="","",PAYMENTS!D419)</f>
        <v/>
      </c>
      <c r="E926" s="16" t="str">
        <f>IF($A926="","",PAYMENTS!E419)</f>
        <v/>
      </c>
      <c r="F926" s="15" t="str">
        <f>IF($A926="","",PAYMENTS!F419)</f>
        <v/>
      </c>
      <c r="G926" s="15" t="str">
        <f>IF($A926="","",PAYMENTS!G419)</f>
        <v/>
      </c>
    </row>
    <row r="927" spans="1:7" x14ac:dyDescent="0.3">
      <c r="A927" s="17" t="str">
        <f>IF(PAYMENTS!A420="","",PAYMENTS!A420)</f>
        <v/>
      </c>
      <c r="B927" s="15" t="str">
        <f>IF($A927="","",PAYMENTS!B420)</f>
        <v/>
      </c>
      <c r="C927" s="15" t="str">
        <f>IF($A927="","",PAYMENTS!C420)</f>
        <v/>
      </c>
      <c r="D927" s="15" t="str">
        <f>IF($A927="","",PAYMENTS!D420)</f>
        <v/>
      </c>
      <c r="E927" s="16" t="str">
        <f>IF($A927="","",PAYMENTS!E420)</f>
        <v/>
      </c>
      <c r="F927" s="15" t="str">
        <f>IF($A927="","",PAYMENTS!F420)</f>
        <v/>
      </c>
      <c r="G927" s="15" t="str">
        <f>IF($A927="","",PAYMENTS!G420)</f>
        <v/>
      </c>
    </row>
    <row r="928" spans="1:7" x14ac:dyDescent="0.3">
      <c r="A928" s="17" t="str">
        <f>IF(PAYMENTS!A421="","",PAYMENTS!A421)</f>
        <v/>
      </c>
      <c r="B928" s="15" t="str">
        <f>IF($A928="","",PAYMENTS!B421)</f>
        <v/>
      </c>
      <c r="C928" s="15" t="str">
        <f>IF($A928="","",PAYMENTS!C421)</f>
        <v/>
      </c>
      <c r="D928" s="15" t="str">
        <f>IF($A928="","",PAYMENTS!D421)</f>
        <v/>
      </c>
      <c r="E928" s="16" t="str">
        <f>IF($A928="","",PAYMENTS!E421)</f>
        <v/>
      </c>
      <c r="F928" s="15" t="str">
        <f>IF($A928="","",PAYMENTS!F421)</f>
        <v/>
      </c>
      <c r="G928" s="15" t="str">
        <f>IF($A928="","",PAYMENTS!G421)</f>
        <v/>
      </c>
    </row>
    <row r="929" spans="1:7" x14ac:dyDescent="0.3">
      <c r="A929" s="17" t="str">
        <f>IF(PAYMENTS!A422="","",PAYMENTS!A422)</f>
        <v/>
      </c>
      <c r="B929" s="15" t="str">
        <f>IF($A929="","",PAYMENTS!B422)</f>
        <v/>
      </c>
      <c r="C929" s="15" t="str">
        <f>IF($A929="","",PAYMENTS!C422)</f>
        <v/>
      </c>
      <c r="D929" s="15" t="str">
        <f>IF($A929="","",PAYMENTS!D422)</f>
        <v/>
      </c>
      <c r="E929" s="16" t="str">
        <f>IF($A929="","",PAYMENTS!E422)</f>
        <v/>
      </c>
      <c r="F929" s="15" t="str">
        <f>IF($A929="","",PAYMENTS!F422)</f>
        <v/>
      </c>
      <c r="G929" s="15" t="str">
        <f>IF($A929="","",PAYMENTS!G422)</f>
        <v/>
      </c>
    </row>
    <row r="930" spans="1:7" x14ac:dyDescent="0.3">
      <c r="A930" s="17" t="str">
        <f>IF(PAYMENTS!A423="","",PAYMENTS!A423)</f>
        <v/>
      </c>
      <c r="B930" s="15" t="str">
        <f>IF($A930="","",PAYMENTS!B423)</f>
        <v/>
      </c>
      <c r="C930" s="15" t="str">
        <f>IF($A930="","",PAYMENTS!C423)</f>
        <v/>
      </c>
      <c r="D930" s="15" t="str">
        <f>IF($A930="","",PAYMENTS!D423)</f>
        <v/>
      </c>
      <c r="E930" s="16" t="str">
        <f>IF($A930="","",PAYMENTS!E423)</f>
        <v/>
      </c>
      <c r="F930" s="15" t="str">
        <f>IF($A930="","",PAYMENTS!F423)</f>
        <v/>
      </c>
      <c r="G930" s="15" t="str">
        <f>IF($A930="","",PAYMENTS!G423)</f>
        <v/>
      </c>
    </row>
    <row r="931" spans="1:7" x14ac:dyDescent="0.3">
      <c r="A931" s="17" t="str">
        <f>IF(PAYMENTS!A424="","",PAYMENTS!A424)</f>
        <v/>
      </c>
      <c r="B931" s="15" t="str">
        <f>IF($A931="","",PAYMENTS!B424)</f>
        <v/>
      </c>
      <c r="C931" s="15" t="str">
        <f>IF($A931="","",PAYMENTS!C424)</f>
        <v/>
      </c>
      <c r="D931" s="15" t="str">
        <f>IF($A931="","",PAYMENTS!D424)</f>
        <v/>
      </c>
      <c r="E931" s="16" t="str">
        <f>IF($A931="","",PAYMENTS!E424)</f>
        <v/>
      </c>
      <c r="F931" s="15" t="str">
        <f>IF($A931="","",PAYMENTS!F424)</f>
        <v/>
      </c>
      <c r="G931" s="15" t="str">
        <f>IF($A931="","",PAYMENTS!G424)</f>
        <v/>
      </c>
    </row>
    <row r="932" spans="1:7" x14ac:dyDescent="0.3">
      <c r="A932" s="17" t="str">
        <f>IF(PAYMENTS!A425="","",PAYMENTS!A425)</f>
        <v/>
      </c>
      <c r="B932" s="15" t="str">
        <f>IF($A932="","",PAYMENTS!B425)</f>
        <v/>
      </c>
      <c r="C932" s="15" t="str">
        <f>IF($A932="","",PAYMENTS!C425)</f>
        <v/>
      </c>
      <c r="D932" s="15" t="str">
        <f>IF($A932="","",PAYMENTS!D425)</f>
        <v/>
      </c>
      <c r="E932" s="16" t="str">
        <f>IF($A932="","",PAYMENTS!E425)</f>
        <v/>
      </c>
      <c r="F932" s="15" t="str">
        <f>IF($A932="","",PAYMENTS!F425)</f>
        <v/>
      </c>
      <c r="G932" s="15" t="str">
        <f>IF($A932="","",PAYMENTS!G425)</f>
        <v/>
      </c>
    </row>
    <row r="933" spans="1:7" x14ac:dyDescent="0.3">
      <c r="A933" s="17" t="str">
        <f>IF(PAYMENTS!A426="","",PAYMENTS!A426)</f>
        <v/>
      </c>
      <c r="B933" s="15" t="str">
        <f>IF($A933="","",PAYMENTS!B426)</f>
        <v/>
      </c>
      <c r="C933" s="15" t="str">
        <f>IF($A933="","",PAYMENTS!C426)</f>
        <v/>
      </c>
      <c r="D933" s="15" t="str">
        <f>IF($A933="","",PAYMENTS!D426)</f>
        <v/>
      </c>
      <c r="E933" s="16" t="str">
        <f>IF($A933="","",PAYMENTS!E426)</f>
        <v/>
      </c>
      <c r="F933" s="15" t="str">
        <f>IF($A933="","",PAYMENTS!F426)</f>
        <v/>
      </c>
      <c r="G933" s="15" t="str">
        <f>IF($A933="","",PAYMENTS!G426)</f>
        <v/>
      </c>
    </row>
    <row r="934" spans="1:7" x14ac:dyDescent="0.3">
      <c r="A934" s="17" t="str">
        <f>IF(PAYMENTS!A427="","",PAYMENTS!A427)</f>
        <v/>
      </c>
      <c r="B934" s="15" t="str">
        <f>IF($A934="","",PAYMENTS!B427)</f>
        <v/>
      </c>
      <c r="C934" s="15" t="str">
        <f>IF($A934="","",PAYMENTS!C427)</f>
        <v/>
      </c>
      <c r="D934" s="15" t="str">
        <f>IF($A934="","",PAYMENTS!D427)</f>
        <v/>
      </c>
      <c r="E934" s="16" t="str">
        <f>IF($A934="","",PAYMENTS!E427)</f>
        <v/>
      </c>
      <c r="F934" s="15" t="str">
        <f>IF($A934="","",PAYMENTS!F427)</f>
        <v/>
      </c>
      <c r="G934" s="15" t="str">
        <f>IF($A934="","",PAYMENTS!G427)</f>
        <v/>
      </c>
    </row>
    <row r="935" spans="1:7" x14ac:dyDescent="0.3">
      <c r="A935" s="17" t="str">
        <f>IF(PAYMENTS!A428="","",PAYMENTS!A428)</f>
        <v/>
      </c>
      <c r="B935" s="15" t="str">
        <f>IF($A935="","",PAYMENTS!B428)</f>
        <v/>
      </c>
      <c r="C935" s="15" t="str">
        <f>IF($A935="","",PAYMENTS!C428)</f>
        <v/>
      </c>
      <c r="D935" s="15" t="str">
        <f>IF($A935="","",PAYMENTS!D428)</f>
        <v/>
      </c>
      <c r="E935" s="16" t="str">
        <f>IF($A935="","",PAYMENTS!E428)</f>
        <v/>
      </c>
      <c r="F935" s="15" t="str">
        <f>IF($A935="","",PAYMENTS!F428)</f>
        <v/>
      </c>
      <c r="G935" s="15" t="str">
        <f>IF($A935="","",PAYMENTS!G428)</f>
        <v/>
      </c>
    </row>
    <row r="936" spans="1:7" x14ac:dyDescent="0.3">
      <c r="A936" s="17" t="str">
        <f>IF(PAYMENTS!A429="","",PAYMENTS!A429)</f>
        <v/>
      </c>
      <c r="B936" s="15" t="str">
        <f>IF($A936="","",PAYMENTS!B429)</f>
        <v/>
      </c>
      <c r="C936" s="15" t="str">
        <f>IF($A936="","",PAYMENTS!C429)</f>
        <v/>
      </c>
      <c r="D936" s="15" t="str">
        <f>IF($A936="","",PAYMENTS!D429)</f>
        <v/>
      </c>
      <c r="E936" s="16" t="str">
        <f>IF($A936="","",PAYMENTS!E429)</f>
        <v/>
      </c>
      <c r="F936" s="15" t="str">
        <f>IF($A936="","",PAYMENTS!F429)</f>
        <v/>
      </c>
      <c r="G936" s="15" t="str">
        <f>IF($A936="","",PAYMENTS!G429)</f>
        <v/>
      </c>
    </row>
    <row r="937" spans="1:7" x14ac:dyDescent="0.3">
      <c r="A937" s="17" t="str">
        <f>IF(PAYMENTS!A430="","",PAYMENTS!A430)</f>
        <v/>
      </c>
      <c r="B937" s="15" t="str">
        <f>IF($A937="","",PAYMENTS!B430)</f>
        <v/>
      </c>
      <c r="C937" s="15" t="str">
        <f>IF($A937="","",PAYMENTS!C430)</f>
        <v/>
      </c>
      <c r="D937" s="15" t="str">
        <f>IF($A937="","",PAYMENTS!D430)</f>
        <v/>
      </c>
      <c r="E937" s="16" t="str">
        <f>IF($A937="","",PAYMENTS!E430)</f>
        <v/>
      </c>
      <c r="F937" s="15" t="str">
        <f>IF($A937="","",PAYMENTS!F430)</f>
        <v/>
      </c>
      <c r="G937" s="15" t="str">
        <f>IF($A937="","",PAYMENTS!G430)</f>
        <v/>
      </c>
    </row>
    <row r="938" spans="1:7" x14ac:dyDescent="0.3">
      <c r="A938" s="17" t="str">
        <f>IF(PAYMENTS!A431="","",PAYMENTS!A431)</f>
        <v/>
      </c>
      <c r="B938" s="15" t="str">
        <f>IF($A938="","",PAYMENTS!B431)</f>
        <v/>
      </c>
      <c r="C938" s="15" t="str">
        <f>IF($A938="","",PAYMENTS!C431)</f>
        <v/>
      </c>
      <c r="D938" s="15" t="str">
        <f>IF($A938="","",PAYMENTS!D431)</f>
        <v/>
      </c>
      <c r="E938" s="16" t="str">
        <f>IF($A938="","",PAYMENTS!E431)</f>
        <v/>
      </c>
      <c r="F938" s="15" t="str">
        <f>IF($A938="","",PAYMENTS!F431)</f>
        <v/>
      </c>
      <c r="G938" s="15" t="str">
        <f>IF($A938="","",PAYMENTS!G431)</f>
        <v/>
      </c>
    </row>
    <row r="939" spans="1:7" x14ac:dyDescent="0.3">
      <c r="A939" s="17" t="str">
        <f>IF(PAYMENTS!A432="","",PAYMENTS!A432)</f>
        <v/>
      </c>
      <c r="B939" s="15" t="str">
        <f>IF($A939="","",PAYMENTS!B432)</f>
        <v/>
      </c>
      <c r="C939" s="15" t="str">
        <f>IF($A939="","",PAYMENTS!C432)</f>
        <v/>
      </c>
      <c r="D939" s="15" t="str">
        <f>IF($A939="","",PAYMENTS!D432)</f>
        <v/>
      </c>
      <c r="E939" s="16" t="str">
        <f>IF($A939="","",PAYMENTS!E432)</f>
        <v/>
      </c>
      <c r="F939" s="15" t="str">
        <f>IF($A939="","",PAYMENTS!F432)</f>
        <v/>
      </c>
      <c r="G939" s="15" t="str">
        <f>IF($A939="","",PAYMENTS!G432)</f>
        <v/>
      </c>
    </row>
    <row r="940" spans="1:7" x14ac:dyDescent="0.3">
      <c r="A940" s="17" t="str">
        <f>IF(PAYMENTS!A433="","",PAYMENTS!A433)</f>
        <v/>
      </c>
      <c r="B940" s="15" t="str">
        <f>IF($A940="","",PAYMENTS!B433)</f>
        <v/>
      </c>
      <c r="C940" s="15" t="str">
        <f>IF($A940="","",PAYMENTS!C433)</f>
        <v/>
      </c>
      <c r="D940" s="15" t="str">
        <f>IF($A940="","",PAYMENTS!D433)</f>
        <v/>
      </c>
      <c r="E940" s="16" t="str">
        <f>IF($A940="","",PAYMENTS!E433)</f>
        <v/>
      </c>
      <c r="F940" s="15" t="str">
        <f>IF($A940="","",PAYMENTS!F433)</f>
        <v/>
      </c>
      <c r="G940" s="15" t="str">
        <f>IF($A940="","",PAYMENTS!G433)</f>
        <v/>
      </c>
    </row>
    <row r="941" spans="1:7" x14ac:dyDescent="0.3">
      <c r="A941" s="17" t="str">
        <f>IF(PAYMENTS!A434="","",PAYMENTS!A434)</f>
        <v/>
      </c>
      <c r="B941" s="15" t="str">
        <f>IF($A941="","",PAYMENTS!B434)</f>
        <v/>
      </c>
      <c r="C941" s="15" t="str">
        <f>IF($A941="","",PAYMENTS!C434)</f>
        <v/>
      </c>
      <c r="D941" s="15" t="str">
        <f>IF($A941="","",PAYMENTS!D434)</f>
        <v/>
      </c>
      <c r="E941" s="16" t="str">
        <f>IF($A941="","",PAYMENTS!E434)</f>
        <v/>
      </c>
      <c r="F941" s="15" t="str">
        <f>IF($A941="","",PAYMENTS!F434)</f>
        <v/>
      </c>
      <c r="G941" s="15" t="str">
        <f>IF($A941="","",PAYMENTS!G434)</f>
        <v/>
      </c>
    </row>
    <row r="942" spans="1:7" x14ac:dyDescent="0.3">
      <c r="A942" s="17" t="str">
        <f>IF(PAYMENTS!A435="","",PAYMENTS!A435)</f>
        <v/>
      </c>
      <c r="B942" s="15" t="str">
        <f>IF($A942="","",PAYMENTS!B435)</f>
        <v/>
      </c>
      <c r="C942" s="15" t="str">
        <f>IF($A942="","",PAYMENTS!C435)</f>
        <v/>
      </c>
      <c r="D942" s="15" t="str">
        <f>IF($A942="","",PAYMENTS!D435)</f>
        <v/>
      </c>
      <c r="E942" s="16" t="str">
        <f>IF($A942="","",PAYMENTS!E435)</f>
        <v/>
      </c>
      <c r="F942" s="15" t="str">
        <f>IF($A942="","",PAYMENTS!F435)</f>
        <v/>
      </c>
      <c r="G942" s="15" t="str">
        <f>IF($A942="","",PAYMENTS!G435)</f>
        <v/>
      </c>
    </row>
    <row r="943" spans="1:7" x14ac:dyDescent="0.3">
      <c r="A943" s="17" t="str">
        <f>IF(PAYMENTS!A436="","",PAYMENTS!A436)</f>
        <v/>
      </c>
      <c r="B943" s="15" t="str">
        <f>IF($A943="","",PAYMENTS!B436)</f>
        <v/>
      </c>
      <c r="C943" s="15" t="str">
        <f>IF($A943="","",PAYMENTS!C436)</f>
        <v/>
      </c>
      <c r="D943" s="15" t="str">
        <f>IF($A943="","",PAYMENTS!D436)</f>
        <v/>
      </c>
      <c r="E943" s="16" t="str">
        <f>IF($A943="","",PAYMENTS!E436)</f>
        <v/>
      </c>
      <c r="F943" s="15" t="str">
        <f>IF($A943="","",PAYMENTS!F436)</f>
        <v/>
      </c>
      <c r="G943" s="15" t="str">
        <f>IF($A943="","",PAYMENTS!G436)</f>
        <v/>
      </c>
    </row>
    <row r="944" spans="1:7" x14ac:dyDescent="0.3">
      <c r="A944" s="17" t="str">
        <f>IF(PAYMENTS!A437="","",PAYMENTS!A437)</f>
        <v/>
      </c>
      <c r="B944" s="15" t="str">
        <f>IF($A944="","",PAYMENTS!B437)</f>
        <v/>
      </c>
      <c r="C944" s="15" t="str">
        <f>IF($A944="","",PAYMENTS!C437)</f>
        <v/>
      </c>
      <c r="D944" s="15" t="str">
        <f>IF($A944="","",PAYMENTS!D437)</f>
        <v/>
      </c>
      <c r="E944" s="16" t="str">
        <f>IF($A944="","",PAYMENTS!E437)</f>
        <v/>
      </c>
      <c r="F944" s="15" t="str">
        <f>IF($A944="","",PAYMENTS!F437)</f>
        <v/>
      </c>
      <c r="G944" s="15" t="str">
        <f>IF($A944="","",PAYMENTS!G437)</f>
        <v/>
      </c>
    </row>
    <row r="945" spans="1:7" x14ac:dyDescent="0.3">
      <c r="A945" s="17" t="str">
        <f>IF(PAYMENTS!A438="","",PAYMENTS!A438)</f>
        <v/>
      </c>
      <c r="B945" s="15" t="str">
        <f>IF($A945="","",PAYMENTS!B438)</f>
        <v/>
      </c>
      <c r="C945" s="15" t="str">
        <f>IF($A945="","",PAYMENTS!C438)</f>
        <v/>
      </c>
      <c r="D945" s="15" t="str">
        <f>IF($A945="","",PAYMENTS!D438)</f>
        <v/>
      </c>
      <c r="E945" s="16" t="str">
        <f>IF($A945="","",PAYMENTS!E438)</f>
        <v/>
      </c>
      <c r="F945" s="15" t="str">
        <f>IF($A945="","",PAYMENTS!F438)</f>
        <v/>
      </c>
      <c r="G945" s="15" t="str">
        <f>IF($A945="","",PAYMENTS!G438)</f>
        <v/>
      </c>
    </row>
    <row r="946" spans="1:7" x14ac:dyDescent="0.3">
      <c r="A946" s="17" t="str">
        <f>IF(PAYMENTS!A439="","",PAYMENTS!A439)</f>
        <v/>
      </c>
      <c r="B946" s="15" t="str">
        <f>IF($A946="","",PAYMENTS!B439)</f>
        <v/>
      </c>
      <c r="C946" s="15" t="str">
        <f>IF($A946="","",PAYMENTS!C439)</f>
        <v/>
      </c>
      <c r="D946" s="15" t="str">
        <f>IF($A946="","",PAYMENTS!D439)</f>
        <v/>
      </c>
      <c r="E946" s="16" t="str">
        <f>IF($A946="","",PAYMENTS!E439)</f>
        <v/>
      </c>
      <c r="F946" s="15" t="str">
        <f>IF($A946="","",PAYMENTS!F439)</f>
        <v/>
      </c>
      <c r="G946" s="15" t="str">
        <f>IF($A946="","",PAYMENTS!G439)</f>
        <v/>
      </c>
    </row>
    <row r="947" spans="1:7" x14ac:dyDescent="0.3">
      <c r="A947" s="17" t="str">
        <f>IF(PAYMENTS!A440="","",PAYMENTS!A440)</f>
        <v/>
      </c>
      <c r="B947" s="15" t="str">
        <f>IF($A947="","",PAYMENTS!B440)</f>
        <v/>
      </c>
      <c r="C947" s="15" t="str">
        <f>IF($A947="","",PAYMENTS!C440)</f>
        <v/>
      </c>
      <c r="D947" s="15" t="str">
        <f>IF($A947="","",PAYMENTS!D440)</f>
        <v/>
      </c>
      <c r="E947" s="16" t="str">
        <f>IF($A947="","",PAYMENTS!E440)</f>
        <v/>
      </c>
      <c r="F947" s="15" t="str">
        <f>IF($A947="","",PAYMENTS!F440)</f>
        <v/>
      </c>
      <c r="G947" s="15" t="str">
        <f>IF($A947="","",PAYMENTS!G440)</f>
        <v/>
      </c>
    </row>
    <row r="948" spans="1:7" x14ac:dyDescent="0.3">
      <c r="A948" s="17" t="str">
        <f>IF(PAYMENTS!A441="","",PAYMENTS!A441)</f>
        <v/>
      </c>
      <c r="B948" s="15" t="str">
        <f>IF($A948="","",PAYMENTS!B441)</f>
        <v/>
      </c>
      <c r="C948" s="15" t="str">
        <f>IF($A948="","",PAYMENTS!C441)</f>
        <v/>
      </c>
      <c r="D948" s="15" t="str">
        <f>IF($A948="","",PAYMENTS!D441)</f>
        <v/>
      </c>
      <c r="E948" s="16" t="str">
        <f>IF($A948="","",PAYMENTS!E441)</f>
        <v/>
      </c>
      <c r="F948" s="15" t="str">
        <f>IF($A948="","",PAYMENTS!F441)</f>
        <v/>
      </c>
      <c r="G948" s="15" t="str">
        <f>IF($A948="","",PAYMENTS!G441)</f>
        <v/>
      </c>
    </row>
    <row r="949" spans="1:7" x14ac:dyDescent="0.3">
      <c r="A949" s="17" t="str">
        <f>IF(PAYMENTS!A442="","",PAYMENTS!A442)</f>
        <v/>
      </c>
      <c r="B949" s="15" t="str">
        <f>IF($A949="","",PAYMENTS!B442)</f>
        <v/>
      </c>
      <c r="C949" s="15" t="str">
        <f>IF($A949="","",PAYMENTS!C442)</f>
        <v/>
      </c>
      <c r="D949" s="15" t="str">
        <f>IF($A949="","",PAYMENTS!D442)</f>
        <v/>
      </c>
      <c r="E949" s="16" t="str">
        <f>IF($A949="","",PAYMENTS!E442)</f>
        <v/>
      </c>
      <c r="F949" s="15" t="str">
        <f>IF($A949="","",PAYMENTS!F442)</f>
        <v/>
      </c>
      <c r="G949" s="15" t="str">
        <f>IF($A949="","",PAYMENTS!G442)</f>
        <v/>
      </c>
    </row>
    <row r="950" spans="1:7" x14ac:dyDescent="0.3">
      <c r="A950" s="17" t="str">
        <f>IF(PAYMENTS!A443="","",PAYMENTS!A443)</f>
        <v/>
      </c>
      <c r="B950" s="15" t="str">
        <f>IF($A950="","",PAYMENTS!B443)</f>
        <v/>
      </c>
      <c r="C950" s="15" t="str">
        <f>IF($A950="","",PAYMENTS!C443)</f>
        <v/>
      </c>
      <c r="D950" s="15" t="str">
        <f>IF($A950="","",PAYMENTS!D443)</f>
        <v/>
      </c>
      <c r="E950" s="16" t="str">
        <f>IF($A950="","",PAYMENTS!E443)</f>
        <v/>
      </c>
      <c r="F950" s="15" t="str">
        <f>IF($A950="","",PAYMENTS!F443)</f>
        <v/>
      </c>
      <c r="G950" s="15" t="str">
        <f>IF($A950="","",PAYMENTS!G443)</f>
        <v/>
      </c>
    </row>
    <row r="951" spans="1:7" x14ac:dyDescent="0.3">
      <c r="A951" s="17" t="str">
        <f>IF(PAYMENTS!A444="","",PAYMENTS!A444)</f>
        <v/>
      </c>
      <c r="B951" s="15" t="str">
        <f>IF($A951="","",PAYMENTS!B444)</f>
        <v/>
      </c>
      <c r="C951" s="15" t="str">
        <f>IF($A951="","",PAYMENTS!C444)</f>
        <v/>
      </c>
      <c r="D951" s="15" t="str">
        <f>IF($A951="","",PAYMENTS!D444)</f>
        <v/>
      </c>
      <c r="E951" s="16" t="str">
        <f>IF($A951="","",PAYMENTS!E444)</f>
        <v/>
      </c>
      <c r="F951" s="15" t="str">
        <f>IF($A951="","",PAYMENTS!F444)</f>
        <v/>
      </c>
      <c r="G951" s="15" t="str">
        <f>IF($A951="","",PAYMENTS!G444)</f>
        <v/>
      </c>
    </row>
    <row r="952" spans="1:7" x14ac:dyDescent="0.3">
      <c r="A952" s="17" t="str">
        <f>IF(PAYMENTS!A445="","",PAYMENTS!A445)</f>
        <v/>
      </c>
      <c r="B952" s="15" t="str">
        <f>IF($A952="","",PAYMENTS!B445)</f>
        <v/>
      </c>
      <c r="C952" s="15" t="str">
        <f>IF($A952="","",PAYMENTS!C445)</f>
        <v/>
      </c>
      <c r="D952" s="15" t="str">
        <f>IF($A952="","",PAYMENTS!D445)</f>
        <v/>
      </c>
      <c r="E952" s="16" t="str">
        <f>IF($A952="","",PAYMENTS!E445)</f>
        <v/>
      </c>
      <c r="F952" s="15" t="str">
        <f>IF($A952="","",PAYMENTS!F445)</f>
        <v/>
      </c>
      <c r="G952" s="15" t="str">
        <f>IF($A952="","",PAYMENTS!G445)</f>
        <v/>
      </c>
    </row>
    <row r="953" spans="1:7" x14ac:dyDescent="0.3">
      <c r="A953" s="17" t="str">
        <f>IF(PAYMENTS!A446="","",PAYMENTS!A446)</f>
        <v/>
      </c>
      <c r="B953" s="15" t="str">
        <f>IF($A953="","",PAYMENTS!B446)</f>
        <v/>
      </c>
      <c r="C953" s="15" t="str">
        <f>IF($A953="","",PAYMENTS!C446)</f>
        <v/>
      </c>
      <c r="D953" s="15" t="str">
        <f>IF($A953="","",PAYMENTS!D446)</f>
        <v/>
      </c>
      <c r="E953" s="16" t="str">
        <f>IF($A953="","",PAYMENTS!E446)</f>
        <v/>
      </c>
      <c r="F953" s="15" t="str">
        <f>IF($A953="","",PAYMENTS!F446)</f>
        <v/>
      </c>
      <c r="G953" s="15" t="str">
        <f>IF($A953="","",PAYMENTS!G446)</f>
        <v/>
      </c>
    </row>
    <row r="954" spans="1:7" x14ac:dyDescent="0.3">
      <c r="A954" s="17" t="str">
        <f>IF(PAYMENTS!A447="","",PAYMENTS!A447)</f>
        <v/>
      </c>
      <c r="B954" s="15" t="str">
        <f>IF($A954="","",PAYMENTS!B447)</f>
        <v/>
      </c>
      <c r="C954" s="15" t="str">
        <f>IF($A954="","",PAYMENTS!C447)</f>
        <v/>
      </c>
      <c r="D954" s="15" t="str">
        <f>IF($A954="","",PAYMENTS!D447)</f>
        <v/>
      </c>
      <c r="E954" s="16" t="str">
        <f>IF($A954="","",PAYMENTS!E447)</f>
        <v/>
      </c>
      <c r="F954" s="15" t="str">
        <f>IF($A954="","",PAYMENTS!F447)</f>
        <v/>
      </c>
      <c r="G954" s="15" t="str">
        <f>IF($A954="","",PAYMENTS!G447)</f>
        <v/>
      </c>
    </row>
    <row r="955" spans="1:7" x14ac:dyDescent="0.3">
      <c r="A955" s="17" t="str">
        <f>IF(PAYMENTS!A448="","",PAYMENTS!A448)</f>
        <v/>
      </c>
      <c r="B955" s="15" t="str">
        <f>IF($A955="","",PAYMENTS!B448)</f>
        <v/>
      </c>
      <c r="C955" s="15" t="str">
        <f>IF($A955="","",PAYMENTS!C448)</f>
        <v/>
      </c>
      <c r="D955" s="15" t="str">
        <f>IF($A955="","",PAYMENTS!D448)</f>
        <v/>
      </c>
      <c r="E955" s="16" t="str">
        <f>IF($A955="","",PAYMENTS!E448)</f>
        <v/>
      </c>
      <c r="F955" s="15" t="str">
        <f>IF($A955="","",PAYMENTS!F448)</f>
        <v/>
      </c>
      <c r="G955" s="15" t="str">
        <f>IF($A955="","",PAYMENTS!G448)</f>
        <v/>
      </c>
    </row>
    <row r="956" spans="1:7" x14ac:dyDescent="0.3">
      <c r="A956" s="17" t="str">
        <f>IF(PAYMENTS!A449="","",PAYMENTS!A449)</f>
        <v/>
      </c>
      <c r="B956" s="15" t="str">
        <f>IF($A956="","",PAYMENTS!B449)</f>
        <v/>
      </c>
      <c r="C956" s="15" t="str">
        <f>IF($A956="","",PAYMENTS!C449)</f>
        <v/>
      </c>
      <c r="D956" s="15" t="str">
        <f>IF($A956="","",PAYMENTS!D449)</f>
        <v/>
      </c>
      <c r="E956" s="16" t="str">
        <f>IF($A956="","",PAYMENTS!E449)</f>
        <v/>
      </c>
      <c r="F956" s="15" t="str">
        <f>IF($A956="","",PAYMENTS!F449)</f>
        <v/>
      </c>
      <c r="G956" s="15" t="str">
        <f>IF($A956="","",PAYMENTS!G449)</f>
        <v/>
      </c>
    </row>
    <row r="957" spans="1:7" x14ac:dyDescent="0.3">
      <c r="A957" s="17" t="str">
        <f>IF(PAYMENTS!A450="","",PAYMENTS!A450)</f>
        <v/>
      </c>
      <c r="B957" s="15" t="str">
        <f>IF($A957="","",PAYMENTS!B450)</f>
        <v/>
      </c>
      <c r="C957" s="15" t="str">
        <f>IF($A957="","",PAYMENTS!C450)</f>
        <v/>
      </c>
      <c r="D957" s="15" t="str">
        <f>IF($A957="","",PAYMENTS!D450)</f>
        <v/>
      </c>
      <c r="E957" s="16" t="str">
        <f>IF($A957="","",PAYMENTS!E450)</f>
        <v/>
      </c>
      <c r="F957" s="15" t="str">
        <f>IF($A957="","",PAYMENTS!F450)</f>
        <v/>
      </c>
      <c r="G957" s="15" t="str">
        <f>IF($A957="","",PAYMENTS!G450)</f>
        <v/>
      </c>
    </row>
    <row r="958" spans="1:7" x14ac:dyDescent="0.3">
      <c r="A958" s="17" t="str">
        <f>IF(PAYMENTS!A451="","",PAYMENTS!A451)</f>
        <v/>
      </c>
      <c r="B958" s="15" t="str">
        <f>IF($A958="","",PAYMENTS!B451)</f>
        <v/>
      </c>
      <c r="C958" s="15" t="str">
        <f>IF($A958="","",PAYMENTS!C451)</f>
        <v/>
      </c>
      <c r="D958" s="15" t="str">
        <f>IF($A958="","",PAYMENTS!D451)</f>
        <v/>
      </c>
      <c r="E958" s="16" t="str">
        <f>IF($A958="","",PAYMENTS!E451)</f>
        <v/>
      </c>
      <c r="F958" s="15" t="str">
        <f>IF($A958="","",PAYMENTS!F451)</f>
        <v/>
      </c>
      <c r="G958" s="15" t="str">
        <f>IF($A958="","",PAYMENTS!G451)</f>
        <v/>
      </c>
    </row>
    <row r="959" spans="1:7" x14ac:dyDescent="0.3">
      <c r="A959" s="17" t="str">
        <f>IF(PAYMENTS!A452="","",PAYMENTS!A452)</f>
        <v/>
      </c>
      <c r="B959" s="15" t="str">
        <f>IF($A959="","",PAYMENTS!B452)</f>
        <v/>
      </c>
      <c r="C959" s="15" t="str">
        <f>IF($A959="","",PAYMENTS!C452)</f>
        <v/>
      </c>
      <c r="D959" s="15" t="str">
        <f>IF($A959="","",PAYMENTS!D452)</f>
        <v/>
      </c>
      <c r="E959" s="16" t="str">
        <f>IF($A959="","",PAYMENTS!E452)</f>
        <v/>
      </c>
      <c r="F959" s="15" t="str">
        <f>IF($A959="","",PAYMENTS!F452)</f>
        <v/>
      </c>
      <c r="G959" s="15" t="str">
        <f>IF($A959="","",PAYMENTS!G452)</f>
        <v/>
      </c>
    </row>
    <row r="960" spans="1:7" x14ac:dyDescent="0.3">
      <c r="A960" s="17" t="str">
        <f>IF(PAYMENTS!A453="","",PAYMENTS!A453)</f>
        <v/>
      </c>
      <c r="B960" s="15" t="str">
        <f>IF($A960="","",PAYMENTS!B453)</f>
        <v/>
      </c>
      <c r="C960" s="15" t="str">
        <f>IF($A960="","",PAYMENTS!C453)</f>
        <v/>
      </c>
      <c r="D960" s="15" t="str">
        <f>IF($A960="","",PAYMENTS!D453)</f>
        <v/>
      </c>
      <c r="E960" s="16" t="str">
        <f>IF($A960="","",PAYMENTS!E453)</f>
        <v/>
      </c>
      <c r="F960" s="15" t="str">
        <f>IF($A960="","",PAYMENTS!F453)</f>
        <v/>
      </c>
      <c r="G960" s="15" t="str">
        <f>IF($A960="","",PAYMENTS!G453)</f>
        <v/>
      </c>
    </row>
    <row r="961" spans="1:7" x14ac:dyDescent="0.3">
      <c r="A961" s="17" t="str">
        <f>IF(PAYMENTS!A454="","",PAYMENTS!A454)</f>
        <v/>
      </c>
      <c r="B961" s="15" t="str">
        <f>IF($A961="","",PAYMENTS!B454)</f>
        <v/>
      </c>
      <c r="C961" s="15" t="str">
        <f>IF($A961="","",PAYMENTS!C454)</f>
        <v/>
      </c>
      <c r="D961" s="15" t="str">
        <f>IF($A961="","",PAYMENTS!D454)</f>
        <v/>
      </c>
      <c r="E961" s="16" t="str">
        <f>IF($A961="","",PAYMENTS!E454)</f>
        <v/>
      </c>
      <c r="F961" s="15" t="str">
        <f>IF($A961="","",PAYMENTS!F454)</f>
        <v/>
      </c>
      <c r="G961" s="15" t="str">
        <f>IF($A961="","",PAYMENTS!G454)</f>
        <v/>
      </c>
    </row>
    <row r="962" spans="1:7" x14ac:dyDescent="0.3">
      <c r="A962" s="17" t="str">
        <f>IF(PAYMENTS!A455="","",PAYMENTS!A455)</f>
        <v/>
      </c>
      <c r="B962" s="15" t="str">
        <f>IF($A962="","",PAYMENTS!B455)</f>
        <v/>
      </c>
      <c r="C962" s="15" t="str">
        <f>IF($A962="","",PAYMENTS!C455)</f>
        <v/>
      </c>
      <c r="D962" s="15" t="str">
        <f>IF($A962="","",PAYMENTS!D455)</f>
        <v/>
      </c>
      <c r="E962" s="16" t="str">
        <f>IF($A962="","",PAYMENTS!E455)</f>
        <v/>
      </c>
      <c r="F962" s="15" t="str">
        <f>IF($A962="","",PAYMENTS!F455)</f>
        <v/>
      </c>
      <c r="G962" s="15" t="str">
        <f>IF($A962="","",PAYMENTS!G455)</f>
        <v/>
      </c>
    </row>
    <row r="963" spans="1:7" x14ac:dyDescent="0.3">
      <c r="A963" s="17" t="str">
        <f>IF(PAYMENTS!A456="","",PAYMENTS!A456)</f>
        <v/>
      </c>
      <c r="B963" s="15" t="str">
        <f>IF($A963="","",PAYMENTS!B456)</f>
        <v/>
      </c>
      <c r="C963" s="15" t="str">
        <f>IF($A963="","",PAYMENTS!C456)</f>
        <v/>
      </c>
      <c r="D963" s="15" t="str">
        <f>IF($A963="","",PAYMENTS!D456)</f>
        <v/>
      </c>
      <c r="E963" s="16" t="str">
        <f>IF($A963="","",PAYMENTS!E456)</f>
        <v/>
      </c>
      <c r="F963" s="15" t="str">
        <f>IF($A963="","",PAYMENTS!F456)</f>
        <v/>
      </c>
      <c r="G963" s="15" t="str">
        <f>IF($A963="","",PAYMENTS!G456)</f>
        <v/>
      </c>
    </row>
    <row r="964" spans="1:7" x14ac:dyDescent="0.3">
      <c r="A964" s="17" t="str">
        <f>IF(PAYMENTS!A457="","",PAYMENTS!A457)</f>
        <v/>
      </c>
      <c r="B964" s="15" t="str">
        <f>IF($A964="","",PAYMENTS!B457)</f>
        <v/>
      </c>
      <c r="C964" s="15" t="str">
        <f>IF($A964="","",PAYMENTS!C457)</f>
        <v/>
      </c>
      <c r="D964" s="15" t="str">
        <f>IF($A964="","",PAYMENTS!D457)</f>
        <v/>
      </c>
      <c r="E964" s="16" t="str">
        <f>IF($A964="","",PAYMENTS!E457)</f>
        <v/>
      </c>
      <c r="F964" s="15" t="str">
        <f>IF($A964="","",PAYMENTS!F457)</f>
        <v/>
      </c>
      <c r="G964" s="15" t="str">
        <f>IF($A964="","",PAYMENTS!G457)</f>
        <v/>
      </c>
    </row>
    <row r="965" spans="1:7" x14ac:dyDescent="0.3">
      <c r="A965" s="17" t="str">
        <f>IF(PAYMENTS!A458="","",PAYMENTS!A458)</f>
        <v/>
      </c>
      <c r="B965" s="15" t="str">
        <f>IF($A965="","",PAYMENTS!B458)</f>
        <v/>
      </c>
      <c r="C965" s="15" t="str">
        <f>IF($A965="","",PAYMENTS!C458)</f>
        <v/>
      </c>
      <c r="D965" s="15" t="str">
        <f>IF($A965="","",PAYMENTS!D458)</f>
        <v/>
      </c>
      <c r="E965" s="16" t="str">
        <f>IF($A965="","",PAYMENTS!E458)</f>
        <v/>
      </c>
      <c r="F965" s="15" t="str">
        <f>IF($A965="","",PAYMENTS!F458)</f>
        <v/>
      </c>
      <c r="G965" s="15" t="str">
        <f>IF($A965="","",PAYMENTS!G458)</f>
        <v/>
      </c>
    </row>
    <row r="966" spans="1:7" x14ac:dyDescent="0.3">
      <c r="A966" s="17" t="str">
        <f>IF(PAYMENTS!A459="","",PAYMENTS!A459)</f>
        <v/>
      </c>
      <c r="B966" s="15" t="str">
        <f>IF($A966="","",PAYMENTS!B459)</f>
        <v/>
      </c>
      <c r="C966" s="15" t="str">
        <f>IF($A966="","",PAYMENTS!C459)</f>
        <v/>
      </c>
      <c r="D966" s="15" t="str">
        <f>IF($A966="","",PAYMENTS!D459)</f>
        <v/>
      </c>
      <c r="E966" s="16" t="str">
        <f>IF($A966="","",PAYMENTS!E459)</f>
        <v/>
      </c>
      <c r="F966" s="15" t="str">
        <f>IF($A966="","",PAYMENTS!F459)</f>
        <v/>
      </c>
      <c r="G966" s="15" t="str">
        <f>IF($A966="","",PAYMENTS!G459)</f>
        <v/>
      </c>
    </row>
    <row r="967" spans="1:7" x14ac:dyDescent="0.3">
      <c r="A967" s="17" t="str">
        <f>IF(PAYMENTS!A460="","",PAYMENTS!A460)</f>
        <v/>
      </c>
      <c r="B967" s="15" t="str">
        <f>IF($A967="","",PAYMENTS!B460)</f>
        <v/>
      </c>
      <c r="C967" s="15" t="str">
        <f>IF($A967="","",PAYMENTS!C460)</f>
        <v/>
      </c>
      <c r="D967" s="15" t="str">
        <f>IF($A967="","",PAYMENTS!D460)</f>
        <v/>
      </c>
      <c r="E967" s="16" t="str">
        <f>IF($A967="","",PAYMENTS!E460)</f>
        <v/>
      </c>
      <c r="F967" s="15" t="str">
        <f>IF($A967="","",PAYMENTS!F460)</f>
        <v/>
      </c>
      <c r="G967" s="15" t="str">
        <f>IF($A967="","",PAYMENTS!G460)</f>
        <v/>
      </c>
    </row>
    <row r="968" spans="1:7" x14ac:dyDescent="0.3">
      <c r="A968" s="17" t="str">
        <f>IF(PAYMENTS!A461="","",PAYMENTS!A461)</f>
        <v/>
      </c>
      <c r="B968" s="15" t="str">
        <f>IF($A968="","",PAYMENTS!B461)</f>
        <v/>
      </c>
      <c r="C968" s="15" t="str">
        <f>IF($A968="","",PAYMENTS!C461)</f>
        <v/>
      </c>
      <c r="D968" s="15" t="str">
        <f>IF($A968="","",PAYMENTS!D461)</f>
        <v/>
      </c>
      <c r="E968" s="16" t="str">
        <f>IF($A968="","",PAYMENTS!E461)</f>
        <v/>
      </c>
      <c r="F968" s="15" t="str">
        <f>IF($A968="","",PAYMENTS!F461)</f>
        <v/>
      </c>
      <c r="G968" s="15" t="str">
        <f>IF($A968="","",PAYMENTS!G461)</f>
        <v/>
      </c>
    </row>
    <row r="969" spans="1:7" x14ac:dyDescent="0.3">
      <c r="A969" s="17" t="str">
        <f>IF(PAYMENTS!A462="","",PAYMENTS!A462)</f>
        <v/>
      </c>
      <c r="B969" s="15" t="str">
        <f>IF($A969="","",PAYMENTS!B462)</f>
        <v/>
      </c>
      <c r="C969" s="15" t="str">
        <f>IF($A969="","",PAYMENTS!C462)</f>
        <v/>
      </c>
      <c r="D969" s="15" t="str">
        <f>IF($A969="","",PAYMENTS!D462)</f>
        <v/>
      </c>
      <c r="E969" s="16" t="str">
        <f>IF($A969="","",PAYMENTS!E462)</f>
        <v/>
      </c>
      <c r="F969" s="15" t="str">
        <f>IF($A969="","",PAYMENTS!F462)</f>
        <v/>
      </c>
      <c r="G969" s="15" t="str">
        <f>IF($A969="","",PAYMENTS!G462)</f>
        <v/>
      </c>
    </row>
    <row r="970" spans="1:7" x14ac:dyDescent="0.3">
      <c r="A970" s="17" t="str">
        <f>IF(PAYMENTS!A463="","",PAYMENTS!A463)</f>
        <v/>
      </c>
      <c r="B970" s="15" t="str">
        <f>IF($A970="","",PAYMENTS!B463)</f>
        <v/>
      </c>
      <c r="C970" s="15" t="str">
        <f>IF($A970="","",PAYMENTS!C463)</f>
        <v/>
      </c>
      <c r="D970" s="15" t="str">
        <f>IF($A970="","",PAYMENTS!D463)</f>
        <v/>
      </c>
      <c r="E970" s="16" t="str">
        <f>IF($A970="","",PAYMENTS!E463)</f>
        <v/>
      </c>
      <c r="F970" s="15" t="str">
        <f>IF($A970="","",PAYMENTS!F463)</f>
        <v/>
      </c>
      <c r="G970" s="15" t="str">
        <f>IF($A970="","",PAYMENTS!G463)</f>
        <v/>
      </c>
    </row>
    <row r="971" spans="1:7" x14ac:dyDescent="0.3">
      <c r="A971" s="17" t="str">
        <f>IF(PAYMENTS!A464="","",PAYMENTS!A464)</f>
        <v/>
      </c>
      <c r="B971" s="15" t="str">
        <f>IF($A971="","",PAYMENTS!B464)</f>
        <v/>
      </c>
      <c r="C971" s="15" t="str">
        <f>IF($A971="","",PAYMENTS!C464)</f>
        <v/>
      </c>
      <c r="D971" s="15" t="str">
        <f>IF($A971="","",PAYMENTS!D464)</f>
        <v/>
      </c>
      <c r="E971" s="16" t="str">
        <f>IF($A971="","",PAYMENTS!E464)</f>
        <v/>
      </c>
      <c r="F971" s="15" t="str">
        <f>IF($A971="","",PAYMENTS!F464)</f>
        <v/>
      </c>
      <c r="G971" s="15" t="str">
        <f>IF($A971="","",PAYMENTS!G464)</f>
        <v/>
      </c>
    </row>
    <row r="972" spans="1:7" x14ac:dyDescent="0.3">
      <c r="A972" s="17" t="str">
        <f>IF(PAYMENTS!A465="","",PAYMENTS!A465)</f>
        <v/>
      </c>
      <c r="B972" s="15" t="str">
        <f>IF($A972="","",PAYMENTS!B465)</f>
        <v/>
      </c>
      <c r="C972" s="15" t="str">
        <f>IF($A972="","",PAYMENTS!C465)</f>
        <v/>
      </c>
      <c r="D972" s="15" t="str">
        <f>IF($A972="","",PAYMENTS!D465)</f>
        <v/>
      </c>
      <c r="E972" s="16" t="str">
        <f>IF($A972="","",PAYMENTS!E465)</f>
        <v/>
      </c>
      <c r="F972" s="15" t="str">
        <f>IF($A972="","",PAYMENTS!F465)</f>
        <v/>
      </c>
      <c r="G972" s="15" t="str">
        <f>IF($A972="","",PAYMENTS!G465)</f>
        <v/>
      </c>
    </row>
    <row r="973" spans="1:7" x14ac:dyDescent="0.3">
      <c r="A973" s="17" t="str">
        <f>IF(PAYMENTS!A466="","",PAYMENTS!A466)</f>
        <v/>
      </c>
      <c r="B973" s="15" t="str">
        <f>IF($A973="","",PAYMENTS!B466)</f>
        <v/>
      </c>
      <c r="C973" s="15" t="str">
        <f>IF($A973="","",PAYMENTS!C466)</f>
        <v/>
      </c>
      <c r="D973" s="15" t="str">
        <f>IF($A973="","",PAYMENTS!D466)</f>
        <v/>
      </c>
      <c r="E973" s="16" t="str">
        <f>IF($A973="","",PAYMENTS!E466)</f>
        <v/>
      </c>
      <c r="F973" s="15" t="str">
        <f>IF($A973="","",PAYMENTS!F466)</f>
        <v/>
      </c>
      <c r="G973" s="15" t="str">
        <f>IF($A973="","",PAYMENTS!G466)</f>
        <v/>
      </c>
    </row>
    <row r="974" spans="1:7" x14ac:dyDescent="0.3">
      <c r="A974" s="17" t="str">
        <f>IF(PAYMENTS!A467="","",PAYMENTS!A467)</f>
        <v/>
      </c>
      <c r="B974" s="15" t="str">
        <f>IF($A974="","",PAYMENTS!B467)</f>
        <v/>
      </c>
      <c r="C974" s="15" t="str">
        <f>IF($A974="","",PAYMENTS!C467)</f>
        <v/>
      </c>
      <c r="D974" s="15" t="str">
        <f>IF($A974="","",PAYMENTS!D467)</f>
        <v/>
      </c>
      <c r="E974" s="16" t="str">
        <f>IF($A974="","",PAYMENTS!E467)</f>
        <v/>
      </c>
      <c r="F974" s="15" t="str">
        <f>IF($A974="","",PAYMENTS!F467)</f>
        <v/>
      </c>
      <c r="G974" s="15" t="str">
        <f>IF($A974="","",PAYMENTS!G467)</f>
        <v/>
      </c>
    </row>
    <row r="975" spans="1:7" x14ac:dyDescent="0.3">
      <c r="A975" s="17" t="str">
        <f>IF(PAYMENTS!A468="","",PAYMENTS!A468)</f>
        <v/>
      </c>
      <c r="B975" s="15" t="str">
        <f>IF($A975="","",PAYMENTS!B468)</f>
        <v/>
      </c>
      <c r="C975" s="15" t="str">
        <f>IF($A975="","",PAYMENTS!C468)</f>
        <v/>
      </c>
      <c r="D975" s="15" t="str">
        <f>IF($A975="","",PAYMENTS!D468)</f>
        <v/>
      </c>
      <c r="E975" s="16" t="str">
        <f>IF($A975="","",PAYMENTS!E468)</f>
        <v/>
      </c>
      <c r="F975" s="15" t="str">
        <f>IF($A975="","",PAYMENTS!F468)</f>
        <v/>
      </c>
      <c r="G975" s="15" t="str">
        <f>IF($A975="","",PAYMENTS!G468)</f>
        <v/>
      </c>
    </row>
    <row r="976" spans="1:7" x14ac:dyDescent="0.3">
      <c r="A976" s="17" t="str">
        <f>IF(PAYMENTS!A469="","",PAYMENTS!A469)</f>
        <v/>
      </c>
      <c r="B976" s="15" t="str">
        <f>IF($A976="","",PAYMENTS!B469)</f>
        <v/>
      </c>
      <c r="C976" s="15" t="str">
        <f>IF($A976="","",PAYMENTS!C469)</f>
        <v/>
      </c>
      <c r="D976" s="15" t="str">
        <f>IF($A976="","",PAYMENTS!D469)</f>
        <v/>
      </c>
      <c r="E976" s="16" t="str">
        <f>IF($A976="","",PAYMENTS!E469)</f>
        <v/>
      </c>
      <c r="F976" s="15" t="str">
        <f>IF($A976="","",PAYMENTS!F469)</f>
        <v/>
      </c>
      <c r="G976" s="15" t="str">
        <f>IF($A976="","",PAYMENTS!G469)</f>
        <v/>
      </c>
    </row>
    <row r="977" spans="1:7" x14ac:dyDescent="0.3">
      <c r="A977" s="17" t="str">
        <f>IF(PAYMENTS!A470="","",PAYMENTS!A470)</f>
        <v/>
      </c>
      <c r="B977" s="15" t="str">
        <f>IF($A977="","",PAYMENTS!B470)</f>
        <v/>
      </c>
      <c r="C977" s="15" t="str">
        <f>IF($A977="","",PAYMENTS!C470)</f>
        <v/>
      </c>
      <c r="D977" s="15" t="str">
        <f>IF($A977="","",PAYMENTS!D470)</f>
        <v/>
      </c>
      <c r="E977" s="16" t="str">
        <f>IF($A977="","",PAYMENTS!E470)</f>
        <v/>
      </c>
      <c r="F977" s="15" t="str">
        <f>IF($A977="","",PAYMENTS!F470)</f>
        <v/>
      </c>
      <c r="G977" s="15" t="str">
        <f>IF($A977="","",PAYMENTS!G470)</f>
        <v/>
      </c>
    </row>
    <row r="978" spans="1:7" x14ac:dyDescent="0.3">
      <c r="A978" s="17" t="str">
        <f>IF(PAYMENTS!A471="","",PAYMENTS!A471)</f>
        <v/>
      </c>
      <c r="B978" s="15" t="str">
        <f>IF($A978="","",PAYMENTS!B471)</f>
        <v/>
      </c>
      <c r="C978" s="15" t="str">
        <f>IF($A978="","",PAYMENTS!C471)</f>
        <v/>
      </c>
      <c r="D978" s="15" t="str">
        <f>IF($A978="","",PAYMENTS!D471)</f>
        <v/>
      </c>
      <c r="E978" s="16" t="str">
        <f>IF($A978="","",PAYMENTS!E471)</f>
        <v/>
      </c>
      <c r="F978" s="15" t="str">
        <f>IF($A978="","",PAYMENTS!F471)</f>
        <v/>
      </c>
      <c r="G978" s="15" t="str">
        <f>IF($A978="","",PAYMENTS!G471)</f>
        <v/>
      </c>
    </row>
    <row r="979" spans="1:7" x14ac:dyDescent="0.3">
      <c r="A979" s="17" t="str">
        <f>IF(PAYMENTS!A472="","",PAYMENTS!A472)</f>
        <v/>
      </c>
      <c r="B979" s="15" t="str">
        <f>IF($A979="","",PAYMENTS!B472)</f>
        <v/>
      </c>
      <c r="C979" s="15" t="str">
        <f>IF($A979="","",PAYMENTS!C472)</f>
        <v/>
      </c>
      <c r="D979" s="15" t="str">
        <f>IF($A979="","",PAYMENTS!D472)</f>
        <v/>
      </c>
      <c r="E979" s="16" t="str">
        <f>IF($A979="","",PAYMENTS!E472)</f>
        <v/>
      </c>
      <c r="F979" s="15" t="str">
        <f>IF($A979="","",PAYMENTS!F472)</f>
        <v/>
      </c>
      <c r="G979" s="15" t="str">
        <f>IF($A979="","",PAYMENTS!G472)</f>
        <v/>
      </c>
    </row>
    <row r="980" spans="1:7" x14ac:dyDescent="0.3">
      <c r="A980" s="17" t="str">
        <f>IF(PAYMENTS!A473="","",PAYMENTS!A473)</f>
        <v/>
      </c>
      <c r="B980" s="15" t="str">
        <f>IF($A980="","",PAYMENTS!B473)</f>
        <v/>
      </c>
      <c r="C980" s="15" t="str">
        <f>IF($A980="","",PAYMENTS!C473)</f>
        <v/>
      </c>
      <c r="D980" s="15" t="str">
        <f>IF($A980="","",PAYMENTS!D473)</f>
        <v/>
      </c>
      <c r="E980" s="16" t="str">
        <f>IF($A980="","",PAYMENTS!E473)</f>
        <v/>
      </c>
      <c r="F980" s="15" t="str">
        <f>IF($A980="","",PAYMENTS!F473)</f>
        <v/>
      </c>
      <c r="G980" s="15" t="str">
        <f>IF($A980="","",PAYMENTS!G473)</f>
        <v/>
      </c>
    </row>
    <row r="981" spans="1:7" x14ac:dyDescent="0.3">
      <c r="A981" s="17" t="str">
        <f>IF(PAYMENTS!A474="","",PAYMENTS!A474)</f>
        <v/>
      </c>
      <c r="B981" s="15" t="str">
        <f>IF($A981="","",PAYMENTS!B474)</f>
        <v/>
      </c>
      <c r="C981" s="15" t="str">
        <f>IF($A981="","",PAYMENTS!C474)</f>
        <v/>
      </c>
      <c r="D981" s="15" t="str">
        <f>IF($A981="","",PAYMENTS!D474)</f>
        <v/>
      </c>
      <c r="E981" s="16" t="str">
        <f>IF($A981="","",PAYMENTS!E474)</f>
        <v/>
      </c>
      <c r="F981" s="15" t="str">
        <f>IF($A981="","",PAYMENTS!F474)</f>
        <v/>
      </c>
      <c r="G981" s="15" t="str">
        <f>IF($A981="","",PAYMENTS!G474)</f>
        <v/>
      </c>
    </row>
    <row r="982" spans="1:7" x14ac:dyDescent="0.3">
      <c r="A982" s="17" t="str">
        <f>IF(PAYMENTS!A475="","",PAYMENTS!A475)</f>
        <v/>
      </c>
      <c r="B982" s="15" t="str">
        <f>IF($A982="","",PAYMENTS!B475)</f>
        <v/>
      </c>
      <c r="C982" s="15" t="str">
        <f>IF($A982="","",PAYMENTS!C475)</f>
        <v/>
      </c>
      <c r="D982" s="15" t="str">
        <f>IF($A982="","",PAYMENTS!D475)</f>
        <v/>
      </c>
      <c r="E982" s="16" t="str">
        <f>IF($A982="","",PAYMENTS!E475)</f>
        <v/>
      </c>
      <c r="F982" s="15" t="str">
        <f>IF($A982="","",PAYMENTS!F475)</f>
        <v/>
      </c>
      <c r="G982" s="15" t="str">
        <f>IF($A982="","",PAYMENTS!G475)</f>
        <v/>
      </c>
    </row>
    <row r="983" spans="1:7" x14ac:dyDescent="0.3">
      <c r="A983" s="17" t="str">
        <f>IF(PAYMENTS!A476="","",PAYMENTS!A476)</f>
        <v/>
      </c>
      <c r="B983" s="15" t="str">
        <f>IF($A983="","",PAYMENTS!B476)</f>
        <v/>
      </c>
      <c r="C983" s="15" t="str">
        <f>IF($A983="","",PAYMENTS!C476)</f>
        <v/>
      </c>
      <c r="D983" s="15" t="str">
        <f>IF($A983="","",PAYMENTS!D476)</f>
        <v/>
      </c>
      <c r="E983" s="16" t="str">
        <f>IF($A983="","",PAYMENTS!E476)</f>
        <v/>
      </c>
      <c r="F983" s="15" t="str">
        <f>IF($A983="","",PAYMENTS!F476)</f>
        <v/>
      </c>
      <c r="G983" s="15" t="str">
        <f>IF($A983="","",PAYMENTS!G476)</f>
        <v/>
      </c>
    </row>
    <row r="984" spans="1:7" x14ac:dyDescent="0.3">
      <c r="A984" s="17" t="str">
        <f>IF(PAYMENTS!A477="","",PAYMENTS!A477)</f>
        <v/>
      </c>
      <c r="B984" s="15" t="str">
        <f>IF($A984="","",PAYMENTS!B477)</f>
        <v/>
      </c>
      <c r="C984" s="15" t="str">
        <f>IF($A984="","",PAYMENTS!C477)</f>
        <v/>
      </c>
      <c r="D984" s="15" t="str">
        <f>IF($A984="","",PAYMENTS!D477)</f>
        <v/>
      </c>
      <c r="E984" s="16" t="str">
        <f>IF($A984="","",PAYMENTS!E477)</f>
        <v/>
      </c>
      <c r="F984" s="15" t="str">
        <f>IF($A984="","",PAYMENTS!F477)</f>
        <v/>
      </c>
      <c r="G984" s="15" t="str">
        <f>IF($A984="","",PAYMENTS!G477)</f>
        <v/>
      </c>
    </row>
    <row r="985" spans="1:7" x14ac:dyDescent="0.3">
      <c r="A985" s="17" t="str">
        <f>IF(PAYMENTS!A478="","",PAYMENTS!A478)</f>
        <v/>
      </c>
      <c r="B985" s="15" t="str">
        <f>IF($A985="","",PAYMENTS!B478)</f>
        <v/>
      </c>
      <c r="C985" s="15" t="str">
        <f>IF($A985="","",PAYMENTS!C478)</f>
        <v/>
      </c>
      <c r="D985" s="15" t="str">
        <f>IF($A985="","",PAYMENTS!D478)</f>
        <v/>
      </c>
      <c r="E985" s="16" t="str">
        <f>IF($A985="","",PAYMENTS!E478)</f>
        <v/>
      </c>
      <c r="F985" s="15" t="str">
        <f>IF($A985="","",PAYMENTS!F478)</f>
        <v/>
      </c>
      <c r="G985" s="15" t="str">
        <f>IF($A985="","",PAYMENTS!G478)</f>
        <v/>
      </c>
    </row>
    <row r="986" spans="1:7" x14ac:dyDescent="0.3">
      <c r="A986" s="17" t="str">
        <f>IF(PAYMENTS!A479="","",PAYMENTS!A479)</f>
        <v/>
      </c>
      <c r="B986" s="15" t="str">
        <f>IF($A986="","",PAYMENTS!B479)</f>
        <v/>
      </c>
      <c r="C986" s="15" t="str">
        <f>IF($A986="","",PAYMENTS!C479)</f>
        <v/>
      </c>
      <c r="D986" s="15" t="str">
        <f>IF($A986="","",PAYMENTS!D479)</f>
        <v/>
      </c>
      <c r="E986" s="16" t="str">
        <f>IF($A986="","",PAYMENTS!E479)</f>
        <v/>
      </c>
      <c r="F986" s="15" t="str">
        <f>IF($A986="","",PAYMENTS!F479)</f>
        <v/>
      </c>
      <c r="G986" s="15" t="str">
        <f>IF($A986="","",PAYMENTS!G479)</f>
        <v/>
      </c>
    </row>
    <row r="987" spans="1:7" x14ac:dyDescent="0.3">
      <c r="A987" s="17" t="str">
        <f>IF(PAYMENTS!A480="","",PAYMENTS!A480)</f>
        <v/>
      </c>
      <c r="B987" s="15" t="str">
        <f>IF($A987="","",PAYMENTS!B480)</f>
        <v/>
      </c>
      <c r="C987" s="15" t="str">
        <f>IF($A987="","",PAYMENTS!C480)</f>
        <v/>
      </c>
      <c r="D987" s="15" t="str">
        <f>IF($A987="","",PAYMENTS!D480)</f>
        <v/>
      </c>
      <c r="E987" s="16" t="str">
        <f>IF($A987="","",PAYMENTS!E480)</f>
        <v/>
      </c>
      <c r="F987" s="15" t="str">
        <f>IF($A987="","",PAYMENTS!F480)</f>
        <v/>
      </c>
      <c r="G987" s="15" t="str">
        <f>IF($A987="","",PAYMENTS!G480)</f>
        <v/>
      </c>
    </row>
    <row r="988" spans="1:7" x14ac:dyDescent="0.3">
      <c r="A988" s="17" t="str">
        <f>IF(PAYMENTS!A481="","",PAYMENTS!A481)</f>
        <v/>
      </c>
      <c r="B988" s="15" t="str">
        <f>IF($A988="","",PAYMENTS!B481)</f>
        <v/>
      </c>
      <c r="C988" s="15" t="str">
        <f>IF($A988="","",PAYMENTS!C481)</f>
        <v/>
      </c>
      <c r="D988" s="15" t="str">
        <f>IF($A988="","",PAYMENTS!D481)</f>
        <v/>
      </c>
      <c r="E988" s="16" t="str">
        <f>IF($A988="","",PAYMENTS!E481)</f>
        <v/>
      </c>
      <c r="F988" s="15" t="str">
        <f>IF($A988="","",PAYMENTS!F481)</f>
        <v/>
      </c>
      <c r="G988" s="15" t="str">
        <f>IF($A988="","",PAYMENTS!G481)</f>
        <v/>
      </c>
    </row>
    <row r="989" spans="1:7" x14ac:dyDescent="0.3">
      <c r="A989" s="17" t="str">
        <f>IF(PAYMENTS!A482="","",PAYMENTS!A482)</f>
        <v/>
      </c>
      <c r="B989" s="15" t="str">
        <f>IF($A989="","",PAYMENTS!B482)</f>
        <v/>
      </c>
      <c r="C989" s="15" t="str">
        <f>IF($A989="","",PAYMENTS!C482)</f>
        <v/>
      </c>
      <c r="D989" s="15" t="str">
        <f>IF($A989="","",PAYMENTS!D482)</f>
        <v/>
      </c>
      <c r="E989" s="16" t="str">
        <f>IF($A989="","",PAYMENTS!E482)</f>
        <v/>
      </c>
      <c r="F989" s="15" t="str">
        <f>IF($A989="","",PAYMENTS!F482)</f>
        <v/>
      </c>
      <c r="G989" s="15" t="str">
        <f>IF($A989="","",PAYMENTS!G482)</f>
        <v/>
      </c>
    </row>
    <row r="990" spans="1:7" x14ac:dyDescent="0.3">
      <c r="A990" s="17" t="str">
        <f>IF(PAYMENTS!A483="","",PAYMENTS!A483)</f>
        <v/>
      </c>
      <c r="B990" s="15" t="str">
        <f>IF($A990="","",PAYMENTS!B483)</f>
        <v/>
      </c>
      <c r="C990" s="15" t="str">
        <f>IF($A990="","",PAYMENTS!C483)</f>
        <v/>
      </c>
      <c r="D990" s="15" t="str">
        <f>IF($A990="","",PAYMENTS!D483)</f>
        <v/>
      </c>
      <c r="E990" s="16" t="str">
        <f>IF($A990="","",PAYMENTS!E483)</f>
        <v/>
      </c>
      <c r="F990" s="15" t="str">
        <f>IF($A990="","",PAYMENTS!F483)</f>
        <v/>
      </c>
      <c r="G990" s="15" t="str">
        <f>IF($A990="","",PAYMENTS!G483)</f>
        <v/>
      </c>
    </row>
    <row r="991" spans="1:7" x14ac:dyDescent="0.3">
      <c r="A991" s="17" t="str">
        <f>IF(PAYMENTS!A484="","",PAYMENTS!A484)</f>
        <v/>
      </c>
      <c r="B991" s="15" t="str">
        <f>IF($A991="","",PAYMENTS!B484)</f>
        <v/>
      </c>
      <c r="C991" s="15" t="str">
        <f>IF($A991="","",PAYMENTS!C484)</f>
        <v/>
      </c>
      <c r="D991" s="15" t="str">
        <f>IF($A991="","",PAYMENTS!D484)</f>
        <v/>
      </c>
      <c r="E991" s="16" t="str">
        <f>IF($A991="","",PAYMENTS!E484)</f>
        <v/>
      </c>
      <c r="F991" s="15" t="str">
        <f>IF($A991="","",PAYMENTS!F484)</f>
        <v/>
      </c>
      <c r="G991" s="15" t="str">
        <f>IF($A991="","",PAYMENTS!G484)</f>
        <v/>
      </c>
    </row>
    <row r="992" spans="1:7" x14ac:dyDescent="0.3">
      <c r="A992" s="17" t="str">
        <f>IF(PAYMENTS!A485="","",PAYMENTS!A485)</f>
        <v/>
      </c>
      <c r="B992" s="15" t="str">
        <f>IF($A992="","",PAYMENTS!B485)</f>
        <v/>
      </c>
      <c r="C992" s="15" t="str">
        <f>IF($A992="","",PAYMENTS!C485)</f>
        <v/>
      </c>
      <c r="D992" s="15" t="str">
        <f>IF($A992="","",PAYMENTS!D485)</f>
        <v/>
      </c>
      <c r="E992" s="16" t="str">
        <f>IF($A992="","",PAYMENTS!E485)</f>
        <v/>
      </c>
      <c r="F992" s="15" t="str">
        <f>IF($A992="","",PAYMENTS!F485)</f>
        <v/>
      </c>
      <c r="G992" s="15" t="str">
        <f>IF($A992="","",PAYMENTS!G485)</f>
        <v/>
      </c>
    </row>
    <row r="993" spans="1:7" x14ac:dyDescent="0.3">
      <c r="A993" s="17" t="str">
        <f>IF(PAYMENTS!A486="","",PAYMENTS!A486)</f>
        <v/>
      </c>
      <c r="B993" s="15" t="str">
        <f>IF($A993="","",PAYMENTS!B486)</f>
        <v/>
      </c>
      <c r="C993" s="15" t="str">
        <f>IF($A993="","",PAYMENTS!C486)</f>
        <v/>
      </c>
      <c r="D993" s="15" t="str">
        <f>IF($A993="","",PAYMENTS!D486)</f>
        <v/>
      </c>
      <c r="E993" s="16" t="str">
        <f>IF($A993="","",PAYMENTS!E486)</f>
        <v/>
      </c>
      <c r="F993" s="15" t="str">
        <f>IF($A993="","",PAYMENTS!F486)</f>
        <v/>
      </c>
      <c r="G993" s="15" t="str">
        <f>IF($A993="","",PAYMENTS!G486)</f>
        <v/>
      </c>
    </row>
    <row r="994" spans="1:7" x14ac:dyDescent="0.3">
      <c r="A994" s="17" t="str">
        <f>IF(PAYMENTS!A487="","",PAYMENTS!A487)</f>
        <v/>
      </c>
      <c r="B994" s="15" t="str">
        <f>IF($A994="","",PAYMENTS!B487)</f>
        <v/>
      </c>
      <c r="C994" s="15" t="str">
        <f>IF($A994="","",PAYMENTS!C487)</f>
        <v/>
      </c>
      <c r="D994" s="15" t="str">
        <f>IF($A994="","",PAYMENTS!D487)</f>
        <v/>
      </c>
      <c r="E994" s="16" t="str">
        <f>IF($A994="","",PAYMENTS!E487)</f>
        <v/>
      </c>
      <c r="F994" s="15" t="str">
        <f>IF($A994="","",PAYMENTS!F487)</f>
        <v/>
      </c>
      <c r="G994" s="15" t="str">
        <f>IF($A994="","",PAYMENTS!G487)</f>
        <v/>
      </c>
    </row>
    <row r="995" spans="1:7" x14ac:dyDescent="0.3">
      <c r="A995" s="17" t="str">
        <f>IF(PAYMENTS!A488="","",PAYMENTS!A488)</f>
        <v/>
      </c>
      <c r="B995" s="15" t="str">
        <f>IF($A995="","",PAYMENTS!B488)</f>
        <v/>
      </c>
      <c r="C995" s="15" t="str">
        <f>IF($A995="","",PAYMENTS!C488)</f>
        <v/>
      </c>
      <c r="D995" s="15" t="str">
        <f>IF($A995="","",PAYMENTS!D488)</f>
        <v/>
      </c>
      <c r="E995" s="16" t="str">
        <f>IF($A995="","",PAYMENTS!E488)</f>
        <v/>
      </c>
      <c r="F995" s="15" t="str">
        <f>IF($A995="","",PAYMENTS!F488)</f>
        <v/>
      </c>
      <c r="G995" s="15" t="str">
        <f>IF($A995="","",PAYMENTS!G488)</f>
        <v/>
      </c>
    </row>
    <row r="996" spans="1:7" x14ac:dyDescent="0.3">
      <c r="A996" s="17" t="str">
        <f>IF(PAYMENTS!A489="","",PAYMENTS!A489)</f>
        <v/>
      </c>
      <c r="B996" s="15" t="str">
        <f>IF($A996="","",PAYMENTS!B489)</f>
        <v/>
      </c>
      <c r="C996" s="15" t="str">
        <f>IF($A996="","",PAYMENTS!C489)</f>
        <v/>
      </c>
      <c r="D996" s="15" t="str">
        <f>IF($A996="","",PAYMENTS!D489)</f>
        <v/>
      </c>
      <c r="E996" s="16" t="str">
        <f>IF($A996="","",PAYMENTS!E489)</f>
        <v/>
      </c>
      <c r="F996" s="15" t="str">
        <f>IF($A996="","",PAYMENTS!F489)</f>
        <v/>
      </c>
      <c r="G996" s="15" t="str">
        <f>IF($A996="","",PAYMENTS!G489)</f>
        <v/>
      </c>
    </row>
    <row r="997" spans="1:7" x14ac:dyDescent="0.3">
      <c r="A997" s="17" t="str">
        <f>IF(PAYMENTS!A490="","",PAYMENTS!A490)</f>
        <v/>
      </c>
      <c r="B997" s="15" t="str">
        <f>IF($A997="","",PAYMENTS!B490)</f>
        <v/>
      </c>
      <c r="C997" s="15" t="str">
        <f>IF($A997="","",PAYMENTS!C490)</f>
        <v/>
      </c>
      <c r="D997" s="15" t="str">
        <f>IF($A997="","",PAYMENTS!D490)</f>
        <v/>
      </c>
      <c r="E997" s="16" t="str">
        <f>IF($A997="","",PAYMENTS!E490)</f>
        <v/>
      </c>
      <c r="F997" s="15" t="str">
        <f>IF($A997="","",PAYMENTS!F490)</f>
        <v/>
      </c>
      <c r="G997" s="15" t="str">
        <f>IF($A997="","",PAYMENTS!G490)</f>
        <v/>
      </c>
    </row>
    <row r="998" spans="1:7" x14ac:dyDescent="0.3">
      <c r="A998" s="17" t="str">
        <f>IF(PAYMENTS!A491="","",PAYMENTS!A491)</f>
        <v/>
      </c>
      <c r="B998" s="15" t="str">
        <f>IF($A998="","",PAYMENTS!B491)</f>
        <v/>
      </c>
      <c r="C998" s="15" t="str">
        <f>IF($A998="","",PAYMENTS!C491)</f>
        <v/>
      </c>
      <c r="D998" s="15" t="str">
        <f>IF($A998="","",PAYMENTS!D491)</f>
        <v/>
      </c>
      <c r="E998" s="16" t="str">
        <f>IF($A998="","",PAYMENTS!E491)</f>
        <v/>
      </c>
      <c r="F998" s="15" t="str">
        <f>IF($A998="","",PAYMENTS!F491)</f>
        <v/>
      </c>
      <c r="G998" s="15" t="str">
        <f>IF($A998="","",PAYMENTS!G491)</f>
        <v/>
      </c>
    </row>
    <row r="999" spans="1:7" x14ac:dyDescent="0.3">
      <c r="A999" s="17" t="str">
        <f>IF(PAYMENTS!A492="","",PAYMENTS!A492)</f>
        <v/>
      </c>
      <c r="B999" s="15" t="str">
        <f>IF($A999="","",PAYMENTS!B492)</f>
        <v/>
      </c>
      <c r="C999" s="15" t="str">
        <f>IF($A999="","",PAYMENTS!C492)</f>
        <v/>
      </c>
      <c r="D999" s="15" t="str">
        <f>IF($A999="","",PAYMENTS!D492)</f>
        <v/>
      </c>
      <c r="E999" s="16" t="str">
        <f>IF($A999="","",PAYMENTS!E492)</f>
        <v/>
      </c>
      <c r="F999" s="15" t="str">
        <f>IF($A999="","",PAYMENTS!F492)</f>
        <v/>
      </c>
      <c r="G999" s="15" t="str">
        <f>IF($A999="","",PAYMENTS!G492)</f>
        <v/>
      </c>
    </row>
    <row r="1000" spans="1:7" x14ac:dyDescent="0.3">
      <c r="A1000" s="17" t="str">
        <f>IF(PAYMENTS!A493="","",PAYMENTS!A493)</f>
        <v/>
      </c>
      <c r="B1000" s="15" t="str">
        <f>IF($A1000="","",PAYMENTS!B493)</f>
        <v/>
      </c>
      <c r="C1000" s="15" t="str">
        <f>IF($A1000="","",PAYMENTS!C493)</f>
        <v/>
      </c>
      <c r="D1000" s="15" t="str">
        <f>IF($A1000="","",PAYMENTS!D493)</f>
        <v/>
      </c>
      <c r="E1000" s="16" t="str">
        <f>IF($A1000="","",PAYMENTS!E493)</f>
        <v/>
      </c>
      <c r="F1000" s="15" t="str">
        <f>IF($A1000="","",PAYMENTS!F493)</f>
        <v/>
      </c>
      <c r="G1000" s="15" t="str">
        <f>IF($A1000="","",PAYMENTS!G493)</f>
        <v/>
      </c>
    </row>
    <row r="1001" spans="1:7" x14ac:dyDescent="0.3">
      <c r="A1001" s="17" t="str">
        <f>IF(PAYMENTS!A494="","",PAYMENTS!A494)</f>
        <v/>
      </c>
      <c r="B1001" s="15" t="str">
        <f>IF($A1001="","",PAYMENTS!B494)</f>
        <v/>
      </c>
      <c r="C1001" s="15" t="str">
        <f>IF($A1001="","",PAYMENTS!C494)</f>
        <v/>
      </c>
      <c r="D1001" s="15" t="str">
        <f>IF($A1001="","",PAYMENTS!D494)</f>
        <v/>
      </c>
      <c r="E1001" s="16" t="str">
        <f>IF($A1001="","",PAYMENTS!E494)</f>
        <v/>
      </c>
      <c r="F1001" s="15" t="str">
        <f>IF($A1001="","",PAYMENTS!F494)</f>
        <v/>
      </c>
      <c r="G1001" s="15" t="str">
        <f>IF($A1001="","",PAYMENTS!G494)</f>
        <v/>
      </c>
    </row>
    <row r="1002" spans="1:7" x14ac:dyDescent="0.3">
      <c r="A1002" s="17" t="str">
        <f>IF(PAYMENTS!A495="","",PAYMENTS!A495)</f>
        <v/>
      </c>
      <c r="B1002" s="15" t="str">
        <f>IF($A1002="","",PAYMENTS!B495)</f>
        <v/>
      </c>
      <c r="C1002" s="15" t="str">
        <f>IF($A1002="","",PAYMENTS!C495)</f>
        <v/>
      </c>
      <c r="D1002" s="15" t="str">
        <f>IF($A1002="","",PAYMENTS!D495)</f>
        <v/>
      </c>
      <c r="E1002" s="16" t="str">
        <f>IF($A1002="","",PAYMENTS!E495)</f>
        <v/>
      </c>
      <c r="F1002" s="15" t="str">
        <f>IF($A1002="","",PAYMENTS!F495)</f>
        <v/>
      </c>
      <c r="G1002" s="15" t="str">
        <f>IF($A1002="","",PAYMENTS!G495)</f>
        <v/>
      </c>
    </row>
    <row r="1003" spans="1:7" x14ac:dyDescent="0.3">
      <c r="A1003" s="17" t="str">
        <f>IF(PAYMENTS!A496="","",PAYMENTS!A496)</f>
        <v/>
      </c>
      <c r="B1003" s="15" t="str">
        <f>IF($A1003="","",PAYMENTS!B496)</f>
        <v/>
      </c>
      <c r="C1003" s="15" t="str">
        <f>IF($A1003="","",PAYMENTS!C496)</f>
        <v/>
      </c>
      <c r="D1003" s="15" t="str">
        <f>IF($A1003="","",PAYMENTS!D496)</f>
        <v/>
      </c>
      <c r="E1003" s="16" t="str">
        <f>IF($A1003="","",PAYMENTS!E496)</f>
        <v/>
      </c>
      <c r="F1003" s="15" t="str">
        <f>IF($A1003="","",PAYMENTS!F496)</f>
        <v/>
      </c>
      <c r="G1003" s="15" t="str">
        <f>IF($A1003="","",PAYMENTS!G496)</f>
        <v/>
      </c>
    </row>
    <row r="1004" spans="1:7" x14ac:dyDescent="0.3">
      <c r="A1004" s="17" t="str">
        <f>IF(PAYMENTS!A497="","",PAYMENTS!A497)</f>
        <v/>
      </c>
      <c r="B1004" s="15" t="str">
        <f>IF($A1004="","",PAYMENTS!B497)</f>
        <v/>
      </c>
      <c r="C1004" s="15" t="str">
        <f>IF($A1004="","",PAYMENTS!C497)</f>
        <v/>
      </c>
      <c r="D1004" s="15" t="str">
        <f>IF($A1004="","",PAYMENTS!D497)</f>
        <v/>
      </c>
      <c r="E1004" s="16" t="str">
        <f>IF($A1004="","",PAYMENTS!E497)</f>
        <v/>
      </c>
      <c r="F1004" s="15" t="str">
        <f>IF($A1004="","",PAYMENTS!F497)</f>
        <v/>
      </c>
      <c r="G1004" s="15" t="str">
        <f>IF($A1004="","",PAYMENTS!G497)</f>
        <v/>
      </c>
    </row>
    <row r="1005" spans="1:7" x14ac:dyDescent="0.3">
      <c r="A1005" s="17" t="str">
        <f>IF(PAYMENTS!A498="","",PAYMENTS!A498)</f>
        <v/>
      </c>
      <c r="B1005" s="15" t="str">
        <f>IF($A1005="","",PAYMENTS!B498)</f>
        <v/>
      </c>
      <c r="C1005" s="15" t="str">
        <f>IF($A1005="","",PAYMENTS!C498)</f>
        <v/>
      </c>
      <c r="D1005" s="15" t="str">
        <f>IF($A1005="","",PAYMENTS!D498)</f>
        <v/>
      </c>
      <c r="E1005" s="16" t="str">
        <f>IF($A1005="","",PAYMENTS!E498)</f>
        <v/>
      </c>
      <c r="F1005" s="15" t="str">
        <f>IF($A1005="","",PAYMENTS!F498)</f>
        <v/>
      </c>
      <c r="G1005" s="15" t="str">
        <f>IF($A1005="","",PAYMENTS!G498)</f>
        <v/>
      </c>
    </row>
    <row r="1006" spans="1:7" x14ac:dyDescent="0.3">
      <c r="A1006" s="17" t="str">
        <f>IF(PAYMENTS!A499="","",PAYMENTS!A499)</f>
        <v/>
      </c>
      <c r="B1006" s="15" t="str">
        <f>IF($A1006="","",PAYMENTS!B499)</f>
        <v/>
      </c>
      <c r="C1006" s="15" t="str">
        <f>IF($A1006="","",PAYMENTS!C499)</f>
        <v/>
      </c>
      <c r="D1006" s="15" t="str">
        <f>IF($A1006="","",PAYMENTS!D499)</f>
        <v/>
      </c>
      <c r="E1006" s="16" t="str">
        <f>IF($A1006="","",PAYMENTS!E499)</f>
        <v/>
      </c>
      <c r="F1006" s="15" t="str">
        <f>IF($A1006="","",PAYMENTS!F499)</f>
        <v/>
      </c>
      <c r="G1006" s="15" t="str">
        <f>IF($A1006="","",PAYMENTS!G499)</f>
        <v/>
      </c>
    </row>
    <row r="1007" spans="1:7" x14ac:dyDescent="0.3">
      <c r="A1007" s="17" t="str">
        <f>IF(PAYMENTS!A500="","",PAYMENTS!A500)</f>
        <v/>
      </c>
      <c r="B1007" s="15" t="str">
        <f>IF($A1007="","",PAYMENTS!B500)</f>
        <v/>
      </c>
      <c r="C1007" s="15" t="str">
        <f>IF($A1007="","",PAYMENTS!C500)</f>
        <v/>
      </c>
      <c r="D1007" s="15" t="str">
        <f>IF($A1007="","",PAYMENTS!D500)</f>
        <v/>
      </c>
      <c r="E1007" s="16" t="str">
        <f>IF($A1007="","",PAYMENTS!E500)</f>
        <v/>
      </c>
      <c r="F1007" s="15" t="str">
        <f>IF($A1007="","",PAYMENTS!F500)</f>
        <v/>
      </c>
      <c r="G1007" s="15" t="str">
        <f>IF($A1007="","",PAYMENTS!G500)</f>
        <v/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00"/>
  <sheetViews>
    <sheetView workbookViewId="0">
      <selection sqref="A1:F1"/>
    </sheetView>
  </sheetViews>
  <sheetFormatPr defaultRowHeight="14.4" x14ac:dyDescent="0.3"/>
  <cols>
    <col min="12" max="15" width="18" customWidth="1"/>
  </cols>
  <sheetData>
    <row r="1" spans="1:15" x14ac:dyDescent="0.3">
      <c r="A1" s="1" t="s">
        <v>41</v>
      </c>
      <c r="B1" s="1" t="s">
        <v>42</v>
      </c>
      <c r="C1" s="1" t="s">
        <v>26</v>
      </c>
      <c r="D1" s="1" t="s">
        <v>43</v>
      </c>
      <c r="E1" s="1" t="s">
        <v>24</v>
      </c>
      <c r="F1" s="1" t="s">
        <v>25</v>
      </c>
      <c r="G1" s="1" t="s">
        <v>28</v>
      </c>
      <c r="H1" s="1" t="s">
        <v>27</v>
      </c>
      <c r="I1" s="1" t="s">
        <v>44</v>
      </c>
      <c r="J1" s="1" t="s">
        <v>30</v>
      </c>
      <c r="K1" s="1" t="s">
        <v>45</v>
      </c>
      <c r="L1" s="1" t="s">
        <v>38</v>
      </c>
      <c r="M1" s="1" t="s">
        <v>46</v>
      </c>
      <c r="N1" s="1" t="s">
        <v>33</v>
      </c>
      <c r="O1" s="1" t="s">
        <v>47</v>
      </c>
    </row>
    <row r="2" spans="1:15" x14ac:dyDescent="0.3">
      <c r="A2" s="2" t="s">
        <v>48</v>
      </c>
      <c r="B2" s="2">
        <v>2026</v>
      </c>
      <c r="C2" s="2">
        <v>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>
        <v>2400</v>
      </c>
      <c r="K2" s="2" t="s">
        <v>55</v>
      </c>
      <c r="L2">
        <f>IF(E2="","",SUMIF(PAYMENTS!C:C,E2,PAYMENTS!E:E))</f>
        <v>920.52</v>
      </c>
      <c r="M2">
        <f t="shared" ref="M2:M65" si="0">IF(E2="","",J2-L2)</f>
        <v>1479.48</v>
      </c>
      <c r="N2" t="str">
        <f t="shared" ref="N2:N65" si="1">IF(E2="","",IF(M2&lt;=0,"Paid",IF(L2&gt;0,"Part Paid","Unpaid")))</f>
        <v>Part Paid</v>
      </c>
      <c r="O2" t="str">
        <f ca="1">IF(E2="","",IFERROR(_xludf.MAXIFS(PAYMENTS!A:A,PAYMENTS!C:C,E2),""))</f>
        <v/>
      </c>
    </row>
    <row r="3" spans="1:15" x14ac:dyDescent="0.3">
      <c r="A3" s="2" t="s">
        <v>56</v>
      </c>
      <c r="B3" s="2">
        <v>2026</v>
      </c>
      <c r="C3" s="2">
        <v>8</v>
      </c>
      <c r="D3" s="2" t="s">
        <v>57</v>
      </c>
      <c r="E3" s="2" t="s">
        <v>58</v>
      </c>
      <c r="F3" s="2" t="s">
        <v>59</v>
      </c>
      <c r="G3" s="2" t="s">
        <v>60</v>
      </c>
      <c r="H3" s="2" t="s">
        <v>61</v>
      </c>
      <c r="I3" s="2" t="s">
        <v>54</v>
      </c>
      <c r="J3" s="2">
        <v>2400</v>
      </c>
      <c r="K3" s="2" t="s">
        <v>55</v>
      </c>
      <c r="L3">
        <f>IF(E3="","",SUMIF(PAYMENTS!C:C,E3,PAYMENTS!E:E))</f>
        <v>1458.28</v>
      </c>
      <c r="M3">
        <f t="shared" si="0"/>
        <v>941.72</v>
      </c>
      <c r="N3" t="str">
        <f t="shared" si="1"/>
        <v>Part Paid</v>
      </c>
      <c r="O3" t="str">
        <f ca="1">IF(E3="","",IFERROR(_xludf.MAXIFS(PAYMENTS!A:A,PAYMENTS!C:C,E3),""))</f>
        <v/>
      </c>
    </row>
    <row r="4" spans="1:15" x14ac:dyDescent="0.3">
      <c r="A4" s="2" t="s">
        <v>62</v>
      </c>
      <c r="B4" s="2">
        <v>2026</v>
      </c>
      <c r="C4" s="2">
        <v>8</v>
      </c>
      <c r="D4" s="2" t="s">
        <v>63</v>
      </c>
      <c r="E4" s="2" t="s">
        <v>64</v>
      </c>
      <c r="F4" s="2" t="s">
        <v>65</v>
      </c>
      <c r="G4" s="2" t="s">
        <v>66</v>
      </c>
      <c r="H4" s="2" t="s">
        <v>67</v>
      </c>
      <c r="I4" s="2" t="s">
        <v>54</v>
      </c>
      <c r="J4" s="2">
        <v>2400</v>
      </c>
      <c r="K4" s="2" t="s">
        <v>55</v>
      </c>
      <c r="L4">
        <f>IF(E4="","",SUMIF(PAYMENTS!C:C,E4,PAYMENTS!E:E))</f>
        <v>893.15</v>
      </c>
      <c r="M4">
        <f t="shared" si="0"/>
        <v>1506.85</v>
      </c>
      <c r="N4" t="str">
        <f t="shared" si="1"/>
        <v>Part Paid</v>
      </c>
      <c r="O4" t="str">
        <f ca="1">IF(E4="","",IFERROR(_xludf.MAXIFS(PAYMENTS!A:A,PAYMENTS!C:C,E4),""))</f>
        <v/>
      </c>
    </row>
    <row r="5" spans="1:15" x14ac:dyDescent="0.3">
      <c r="A5" s="2" t="s">
        <v>68</v>
      </c>
      <c r="B5" s="2">
        <v>2026</v>
      </c>
      <c r="C5" s="2">
        <v>8</v>
      </c>
      <c r="D5" s="2" t="s">
        <v>69</v>
      </c>
      <c r="E5" s="2" t="s">
        <v>70</v>
      </c>
      <c r="F5" s="2" t="s">
        <v>71</v>
      </c>
      <c r="G5" s="2" t="s">
        <v>72</v>
      </c>
      <c r="H5" s="2" t="s">
        <v>73</v>
      </c>
      <c r="I5" s="2" t="s">
        <v>54</v>
      </c>
      <c r="J5" s="2">
        <v>2400</v>
      </c>
      <c r="K5" s="2" t="s">
        <v>55</v>
      </c>
      <c r="L5">
        <f>IF(E5="","",SUMIF(PAYMENTS!C:C,E5,PAYMENTS!E:E))</f>
        <v>2012.41</v>
      </c>
      <c r="M5">
        <f t="shared" si="0"/>
        <v>387.58999999999992</v>
      </c>
      <c r="N5" t="str">
        <f t="shared" si="1"/>
        <v>Part Paid</v>
      </c>
      <c r="O5" t="str">
        <f ca="1">IF(E5="","",IFERROR(_xludf.MAXIFS(PAYMENTS!A:A,PAYMENTS!C:C,E5),""))</f>
        <v/>
      </c>
    </row>
    <row r="6" spans="1:15" x14ac:dyDescent="0.3">
      <c r="A6" s="2" t="s">
        <v>74</v>
      </c>
      <c r="B6" s="2">
        <v>2026</v>
      </c>
      <c r="C6" s="2">
        <v>8</v>
      </c>
      <c r="D6" s="2" t="s">
        <v>75</v>
      </c>
      <c r="E6" s="2" t="s">
        <v>76</v>
      </c>
      <c r="F6" s="2" t="s">
        <v>77</v>
      </c>
      <c r="G6" s="2" t="s">
        <v>78</v>
      </c>
      <c r="H6" s="2" t="s">
        <v>79</v>
      </c>
      <c r="I6" s="2" t="s">
        <v>54</v>
      </c>
      <c r="J6" s="2">
        <v>3400</v>
      </c>
      <c r="K6" s="2" t="s">
        <v>55</v>
      </c>
      <c r="L6">
        <f>IF(E6="","",SUMIF(PAYMENTS!C:C,E6,PAYMENTS!E:E))</f>
        <v>2859.4100000000003</v>
      </c>
      <c r="M6">
        <f t="shared" si="0"/>
        <v>540.58999999999969</v>
      </c>
      <c r="N6" t="str">
        <f t="shared" si="1"/>
        <v>Part Paid</v>
      </c>
      <c r="O6" t="str">
        <f ca="1">IF(E6="","",IFERROR(_xludf.MAXIFS(PAYMENTS!A:A,PAYMENTS!C:C,E6),""))</f>
        <v/>
      </c>
    </row>
    <row r="7" spans="1:15" x14ac:dyDescent="0.3">
      <c r="A7" s="2" t="s">
        <v>80</v>
      </c>
      <c r="B7" s="2">
        <v>2026</v>
      </c>
      <c r="C7" s="2">
        <v>8</v>
      </c>
      <c r="D7" s="2" t="s">
        <v>81</v>
      </c>
      <c r="E7" s="2" t="s">
        <v>82</v>
      </c>
      <c r="F7" s="2" t="s">
        <v>83</v>
      </c>
      <c r="G7" s="2" t="s">
        <v>84</v>
      </c>
      <c r="H7" s="2" t="s">
        <v>85</v>
      </c>
      <c r="I7" s="2" t="s">
        <v>54</v>
      </c>
      <c r="J7" s="2">
        <v>2400</v>
      </c>
      <c r="K7" s="2" t="s">
        <v>55</v>
      </c>
      <c r="L7">
        <f>IF(E7="","",SUMIF(PAYMENTS!C:C,E7,PAYMENTS!E:E))</f>
        <v>1588.63</v>
      </c>
      <c r="M7">
        <f t="shared" si="0"/>
        <v>811.36999999999989</v>
      </c>
      <c r="N7" t="str">
        <f t="shared" si="1"/>
        <v>Part Paid</v>
      </c>
      <c r="O7" t="str">
        <f ca="1">IF(E7="","",IFERROR(_xludf.MAXIFS(PAYMENTS!A:A,PAYMENTS!C:C,E7),""))</f>
        <v/>
      </c>
    </row>
    <row r="8" spans="1:15" x14ac:dyDescent="0.3">
      <c r="A8" s="2" t="s">
        <v>86</v>
      </c>
      <c r="B8" s="2">
        <v>2026</v>
      </c>
      <c r="C8" s="2">
        <v>8</v>
      </c>
      <c r="D8" s="2" t="s">
        <v>87</v>
      </c>
      <c r="E8" s="2" t="s">
        <v>88</v>
      </c>
      <c r="F8" s="2" t="s">
        <v>89</v>
      </c>
      <c r="G8" s="2" t="s">
        <v>90</v>
      </c>
      <c r="H8" s="2" t="s">
        <v>91</v>
      </c>
      <c r="I8" s="2" t="s">
        <v>54</v>
      </c>
      <c r="J8" s="2">
        <v>2400</v>
      </c>
      <c r="K8" s="2" t="s">
        <v>55</v>
      </c>
      <c r="L8">
        <f>IF(E8="","",SUMIF(PAYMENTS!C:C,E8,PAYMENTS!E:E))</f>
        <v>1169.52</v>
      </c>
      <c r="M8">
        <f t="shared" si="0"/>
        <v>1230.48</v>
      </c>
      <c r="N8" t="str">
        <f t="shared" si="1"/>
        <v>Part Paid</v>
      </c>
      <c r="O8" t="str">
        <f ca="1">IF(E8="","",IFERROR(_xludf.MAXIFS(PAYMENTS!A:A,PAYMENTS!C:C,E8),""))</f>
        <v/>
      </c>
    </row>
    <row r="9" spans="1:15" x14ac:dyDescent="0.3">
      <c r="A9" s="2" t="s">
        <v>92</v>
      </c>
      <c r="B9" s="2">
        <v>2026</v>
      </c>
      <c r="C9" s="2">
        <v>8</v>
      </c>
      <c r="D9" s="2" t="s">
        <v>93</v>
      </c>
      <c r="E9" s="2" t="s">
        <v>94</v>
      </c>
      <c r="F9" s="2" t="s">
        <v>95</v>
      </c>
      <c r="G9" s="2" t="s">
        <v>96</v>
      </c>
      <c r="H9" s="2" t="s">
        <v>97</v>
      </c>
      <c r="I9" s="2" t="s">
        <v>54</v>
      </c>
      <c r="J9" s="2">
        <v>3400</v>
      </c>
      <c r="K9" s="2" t="s">
        <v>55</v>
      </c>
      <c r="L9">
        <f>IF(E9="","",SUMIF(PAYMENTS!C:C,E9,PAYMENTS!E:E))</f>
        <v>1757.6299999999999</v>
      </c>
      <c r="M9">
        <f t="shared" si="0"/>
        <v>1642.3700000000001</v>
      </c>
      <c r="N9" t="str">
        <f t="shared" si="1"/>
        <v>Part Paid</v>
      </c>
      <c r="O9" t="str">
        <f ca="1">IF(E9="","",IFERROR(_xludf.MAXIFS(PAYMENTS!A:A,PAYMENTS!C:C,E9),""))</f>
        <v/>
      </c>
    </row>
    <row r="10" spans="1:15" x14ac:dyDescent="0.3">
      <c r="A10" s="2" t="s">
        <v>98</v>
      </c>
      <c r="B10" s="2">
        <v>2026</v>
      </c>
      <c r="C10" s="2">
        <v>8</v>
      </c>
      <c r="D10" s="2" t="s">
        <v>99</v>
      </c>
      <c r="E10" s="2" t="s">
        <v>100</v>
      </c>
      <c r="F10" s="2" t="s">
        <v>101</v>
      </c>
      <c r="G10" s="2" t="s">
        <v>102</v>
      </c>
      <c r="H10" s="2" t="s">
        <v>103</v>
      </c>
      <c r="I10" s="2" t="s">
        <v>54</v>
      </c>
      <c r="J10" s="2">
        <v>3400</v>
      </c>
      <c r="K10" s="2" t="s">
        <v>55</v>
      </c>
      <c r="L10">
        <f>IF(E10="","",SUMIF(PAYMENTS!C:C,E10,PAYMENTS!E:E))</f>
        <v>2015.0500000000002</v>
      </c>
      <c r="M10">
        <f t="shared" si="0"/>
        <v>1384.9499999999998</v>
      </c>
      <c r="N10" t="str">
        <f t="shared" si="1"/>
        <v>Part Paid</v>
      </c>
      <c r="O10" t="str">
        <f ca="1">IF(E10="","",IFERROR(_xludf.MAXIFS(PAYMENTS!A:A,PAYMENTS!C:C,E10),""))</f>
        <v/>
      </c>
    </row>
    <row r="11" spans="1:15" x14ac:dyDescent="0.3">
      <c r="A11" s="2" t="s">
        <v>104</v>
      </c>
      <c r="B11" s="2">
        <v>2026</v>
      </c>
      <c r="C11" s="2">
        <v>8</v>
      </c>
      <c r="D11" s="2" t="s">
        <v>105</v>
      </c>
      <c r="E11" s="2" t="s">
        <v>106</v>
      </c>
      <c r="F11" s="2" t="s">
        <v>107</v>
      </c>
      <c r="G11" s="2" t="s">
        <v>108</v>
      </c>
      <c r="H11" s="2" t="s">
        <v>109</v>
      </c>
      <c r="I11" s="2" t="s">
        <v>54</v>
      </c>
      <c r="J11" s="2">
        <v>3400</v>
      </c>
      <c r="K11" s="2" t="s">
        <v>55</v>
      </c>
      <c r="L11">
        <f>IF(E11="","",SUMIF(PAYMENTS!C:C,E11,PAYMENTS!E:E))</f>
        <v>2034.14</v>
      </c>
      <c r="M11">
        <f t="shared" si="0"/>
        <v>1365.86</v>
      </c>
      <c r="N11" t="str">
        <f t="shared" si="1"/>
        <v>Part Paid</v>
      </c>
      <c r="O11" t="str">
        <f ca="1">IF(E11="","",IFERROR(_xludf.MAXIFS(PAYMENTS!A:A,PAYMENTS!C:C,E11),""))</f>
        <v/>
      </c>
    </row>
    <row r="12" spans="1:15" x14ac:dyDescent="0.3">
      <c r="A12" s="2" t="s">
        <v>110</v>
      </c>
      <c r="B12" s="2">
        <v>2026</v>
      </c>
      <c r="C12" s="2">
        <v>8</v>
      </c>
      <c r="D12" s="2" t="s">
        <v>111</v>
      </c>
      <c r="E12" s="2" t="s">
        <v>112</v>
      </c>
      <c r="F12" s="2" t="s">
        <v>113</v>
      </c>
      <c r="G12" s="2" t="s">
        <v>114</v>
      </c>
      <c r="H12" s="2" t="s">
        <v>115</v>
      </c>
      <c r="I12" s="2" t="s">
        <v>54</v>
      </c>
      <c r="J12" s="2">
        <v>3400</v>
      </c>
      <c r="K12" s="2" t="s">
        <v>55</v>
      </c>
      <c r="L12">
        <f>IF(E12="","",SUMIF(PAYMENTS!C:C,E12,PAYMENTS!E:E))</f>
        <v>1517.8600000000001</v>
      </c>
      <c r="M12">
        <f t="shared" si="0"/>
        <v>1882.1399999999999</v>
      </c>
      <c r="N12" t="str">
        <f t="shared" si="1"/>
        <v>Part Paid</v>
      </c>
      <c r="O12" t="str">
        <f ca="1">IF(E12="","",IFERROR(_xludf.MAXIFS(PAYMENTS!A:A,PAYMENTS!C:C,E12),""))</f>
        <v/>
      </c>
    </row>
    <row r="13" spans="1:15" x14ac:dyDescent="0.3">
      <c r="A13" s="2" t="s">
        <v>116</v>
      </c>
      <c r="B13" s="2">
        <v>2026</v>
      </c>
      <c r="C13" s="2">
        <v>8</v>
      </c>
      <c r="D13" s="2" t="s">
        <v>117</v>
      </c>
      <c r="E13" s="2" t="s">
        <v>118</v>
      </c>
      <c r="F13" s="2" t="s">
        <v>119</v>
      </c>
      <c r="G13" s="2" t="s">
        <v>120</v>
      </c>
      <c r="H13" s="2" t="s">
        <v>121</v>
      </c>
      <c r="I13" s="2" t="s">
        <v>54</v>
      </c>
      <c r="J13" s="2">
        <v>2400</v>
      </c>
      <c r="K13" s="2" t="s">
        <v>55</v>
      </c>
      <c r="L13">
        <f>IF(E13="","",SUMIF(PAYMENTS!C:C,E13,PAYMENTS!E:E))</f>
        <v>2081.6400000000003</v>
      </c>
      <c r="M13">
        <f t="shared" si="0"/>
        <v>318.35999999999967</v>
      </c>
      <c r="N13" t="str">
        <f t="shared" si="1"/>
        <v>Part Paid</v>
      </c>
      <c r="O13" t="str">
        <f ca="1">IF(E13="","",IFERROR(_xludf.MAXIFS(PAYMENTS!A:A,PAYMENTS!C:C,E13),""))</f>
        <v/>
      </c>
    </row>
    <row r="14" spans="1:15" x14ac:dyDescent="0.3">
      <c r="A14" s="2" t="s">
        <v>122</v>
      </c>
      <c r="B14" s="2">
        <v>2026</v>
      </c>
      <c r="C14" s="2">
        <v>9</v>
      </c>
      <c r="D14" s="2" t="s">
        <v>49</v>
      </c>
      <c r="E14" s="2" t="s">
        <v>123</v>
      </c>
      <c r="F14" s="2" t="s">
        <v>124</v>
      </c>
      <c r="G14" s="2" t="s">
        <v>125</v>
      </c>
      <c r="H14" s="2" t="s">
        <v>126</v>
      </c>
      <c r="I14" s="2" t="s">
        <v>54</v>
      </c>
      <c r="J14" s="2">
        <v>2400</v>
      </c>
      <c r="K14" s="2" t="s">
        <v>55</v>
      </c>
      <c r="L14">
        <f>IF(E14="","",SUMIF(PAYMENTS!C:C,E14,PAYMENTS!E:E))</f>
        <v>1277.0099999999998</v>
      </c>
      <c r="M14">
        <f t="shared" si="0"/>
        <v>1122.9900000000002</v>
      </c>
      <c r="N14" t="str">
        <f t="shared" si="1"/>
        <v>Part Paid</v>
      </c>
      <c r="O14" t="str">
        <f ca="1">IF(E14="","",IFERROR(_xludf.MAXIFS(PAYMENTS!A:A,PAYMENTS!C:C,E14),""))</f>
        <v/>
      </c>
    </row>
    <row r="15" spans="1:15" x14ac:dyDescent="0.3">
      <c r="A15" s="2" t="s">
        <v>127</v>
      </c>
      <c r="B15" s="2">
        <v>2026</v>
      </c>
      <c r="C15" s="2">
        <v>9</v>
      </c>
      <c r="D15" s="2" t="s">
        <v>57</v>
      </c>
      <c r="E15" s="2" t="s">
        <v>128</v>
      </c>
      <c r="F15" s="2" t="s">
        <v>129</v>
      </c>
      <c r="G15" s="2" t="s">
        <v>130</v>
      </c>
      <c r="H15" s="2" t="s">
        <v>131</v>
      </c>
      <c r="I15" s="2" t="s">
        <v>54</v>
      </c>
      <c r="J15" s="2">
        <v>3400</v>
      </c>
      <c r="K15" s="2" t="s">
        <v>55</v>
      </c>
      <c r="L15">
        <f>IF(E15="","",SUMIF(PAYMENTS!C:C,E15,PAYMENTS!E:E))</f>
        <v>1922.8400000000001</v>
      </c>
      <c r="M15">
        <f t="shared" si="0"/>
        <v>1477.1599999999999</v>
      </c>
      <c r="N15" t="str">
        <f t="shared" si="1"/>
        <v>Part Paid</v>
      </c>
      <c r="O15" t="str">
        <f ca="1">IF(E15="","",IFERROR(_xludf.MAXIFS(PAYMENTS!A:A,PAYMENTS!C:C,E15),""))</f>
        <v/>
      </c>
    </row>
    <row r="16" spans="1:15" x14ac:dyDescent="0.3">
      <c r="A16" s="2" t="s">
        <v>132</v>
      </c>
      <c r="B16" s="2">
        <v>2026</v>
      </c>
      <c r="C16" s="2">
        <v>9</v>
      </c>
      <c r="D16" s="2" t="s">
        <v>63</v>
      </c>
      <c r="E16" s="2" t="s">
        <v>133</v>
      </c>
      <c r="F16" s="2" t="s">
        <v>134</v>
      </c>
      <c r="G16" s="2" t="s">
        <v>135</v>
      </c>
      <c r="H16" s="2" t="s">
        <v>136</v>
      </c>
      <c r="I16" s="2" t="s">
        <v>54</v>
      </c>
      <c r="J16" s="2">
        <v>3400</v>
      </c>
      <c r="K16" s="2" t="s">
        <v>55</v>
      </c>
      <c r="L16">
        <f>IF(E16="","",SUMIF(PAYMENTS!C:C,E16,PAYMENTS!E:E))</f>
        <v>2262.6999999999998</v>
      </c>
      <c r="M16">
        <f t="shared" si="0"/>
        <v>1137.3000000000002</v>
      </c>
      <c r="N16" t="str">
        <f t="shared" si="1"/>
        <v>Part Paid</v>
      </c>
      <c r="O16" t="str">
        <f ca="1">IF(E16="","",IFERROR(_xludf.MAXIFS(PAYMENTS!A:A,PAYMENTS!C:C,E16),""))</f>
        <v/>
      </c>
    </row>
    <row r="17" spans="1:15" x14ac:dyDescent="0.3">
      <c r="A17" s="2" t="s">
        <v>137</v>
      </c>
      <c r="B17" s="2">
        <v>2026</v>
      </c>
      <c r="C17" s="2">
        <v>9</v>
      </c>
      <c r="D17" s="2" t="s">
        <v>69</v>
      </c>
      <c r="E17" s="2" t="s">
        <v>138</v>
      </c>
      <c r="F17" s="2" t="s">
        <v>139</v>
      </c>
      <c r="G17" s="2" t="s">
        <v>140</v>
      </c>
      <c r="H17" s="2" t="s">
        <v>141</v>
      </c>
      <c r="I17" s="2" t="s">
        <v>54</v>
      </c>
      <c r="J17" s="2">
        <v>2400</v>
      </c>
      <c r="K17" s="2" t="s">
        <v>55</v>
      </c>
      <c r="L17">
        <f>IF(E17="","",SUMIF(PAYMENTS!C:C,E17,PAYMENTS!E:E))</f>
        <v>1043.27</v>
      </c>
      <c r="M17">
        <f t="shared" si="0"/>
        <v>1356.73</v>
      </c>
      <c r="N17" t="str">
        <f t="shared" si="1"/>
        <v>Part Paid</v>
      </c>
      <c r="O17" t="str">
        <f ca="1">IF(E17="","",IFERROR(_xludf.MAXIFS(PAYMENTS!A:A,PAYMENTS!C:C,E17),""))</f>
        <v/>
      </c>
    </row>
    <row r="18" spans="1:15" x14ac:dyDescent="0.3">
      <c r="A18" s="2" t="s">
        <v>142</v>
      </c>
      <c r="B18" s="2">
        <v>2026</v>
      </c>
      <c r="C18" s="2">
        <v>9</v>
      </c>
      <c r="D18" s="2" t="s">
        <v>75</v>
      </c>
      <c r="E18" s="2" t="s">
        <v>143</v>
      </c>
      <c r="F18" s="2" t="s">
        <v>144</v>
      </c>
      <c r="G18" s="2" t="s">
        <v>145</v>
      </c>
      <c r="H18" s="2" t="s">
        <v>146</v>
      </c>
      <c r="I18" s="2" t="s">
        <v>54</v>
      </c>
      <c r="J18" s="2">
        <v>2400</v>
      </c>
      <c r="K18" s="2" t="s">
        <v>55</v>
      </c>
      <c r="L18">
        <f>IF(E18="","",SUMIF(PAYMENTS!C:C,E18,PAYMENTS!E:E))</f>
        <v>2081.1299999999997</v>
      </c>
      <c r="M18">
        <f t="shared" si="0"/>
        <v>318.87000000000035</v>
      </c>
      <c r="N18" t="str">
        <f t="shared" si="1"/>
        <v>Part Paid</v>
      </c>
      <c r="O18" t="str">
        <f ca="1">IF(E18="","",IFERROR(_xludf.MAXIFS(PAYMENTS!A:A,PAYMENTS!C:C,E18),""))</f>
        <v/>
      </c>
    </row>
    <row r="19" spans="1:15" x14ac:dyDescent="0.3">
      <c r="A19" s="2" t="s">
        <v>147</v>
      </c>
      <c r="B19" s="2">
        <v>2026</v>
      </c>
      <c r="C19" s="2">
        <v>9</v>
      </c>
      <c r="D19" s="2" t="s">
        <v>81</v>
      </c>
      <c r="E19" s="2" t="s">
        <v>148</v>
      </c>
      <c r="F19" s="2" t="s">
        <v>149</v>
      </c>
      <c r="G19" s="2" t="s">
        <v>150</v>
      </c>
      <c r="H19" s="2" t="s">
        <v>151</v>
      </c>
      <c r="I19" s="2" t="s">
        <v>54</v>
      </c>
      <c r="J19" s="2">
        <v>2400</v>
      </c>
      <c r="K19" s="2" t="s">
        <v>55</v>
      </c>
      <c r="L19">
        <f>IF(E19="","",SUMIF(PAYMENTS!C:C,E19,PAYMENTS!E:E))</f>
        <v>1303.49</v>
      </c>
      <c r="M19">
        <f t="shared" si="0"/>
        <v>1096.51</v>
      </c>
      <c r="N19" t="str">
        <f t="shared" si="1"/>
        <v>Part Paid</v>
      </c>
      <c r="O19" t="str">
        <f ca="1">IF(E19="","",IFERROR(_xludf.MAXIFS(PAYMENTS!A:A,PAYMENTS!C:C,E19),""))</f>
        <v/>
      </c>
    </row>
    <row r="20" spans="1:15" x14ac:dyDescent="0.3">
      <c r="A20" s="2" t="s">
        <v>152</v>
      </c>
      <c r="B20" s="2">
        <v>2026</v>
      </c>
      <c r="C20" s="2">
        <v>9</v>
      </c>
      <c r="D20" s="2" t="s">
        <v>87</v>
      </c>
      <c r="E20" s="2" t="s">
        <v>153</v>
      </c>
      <c r="F20" s="2" t="s">
        <v>154</v>
      </c>
      <c r="G20" s="2" t="s">
        <v>155</v>
      </c>
      <c r="H20" s="2" t="s">
        <v>156</v>
      </c>
      <c r="I20" s="2" t="s">
        <v>54</v>
      </c>
      <c r="J20" s="2">
        <v>2400</v>
      </c>
      <c r="K20" s="2" t="s">
        <v>55</v>
      </c>
      <c r="L20">
        <f>IF(E20="","",SUMIF(PAYMENTS!C:C,E20,PAYMENTS!E:E))</f>
        <v>1447.25</v>
      </c>
      <c r="M20">
        <f t="shared" si="0"/>
        <v>952.75</v>
      </c>
      <c r="N20" t="str">
        <f t="shared" si="1"/>
        <v>Part Paid</v>
      </c>
      <c r="O20" t="str">
        <f ca="1">IF(E20="","",IFERROR(_xludf.MAXIFS(PAYMENTS!A:A,PAYMENTS!C:C,E20),""))</f>
        <v/>
      </c>
    </row>
    <row r="21" spans="1:15" x14ac:dyDescent="0.3">
      <c r="A21" s="2" t="s">
        <v>157</v>
      </c>
      <c r="B21" s="2">
        <v>2026</v>
      </c>
      <c r="C21" s="2">
        <v>9</v>
      </c>
      <c r="D21" s="2" t="s">
        <v>93</v>
      </c>
      <c r="E21" s="2" t="s">
        <v>158</v>
      </c>
      <c r="F21" s="2" t="s">
        <v>159</v>
      </c>
      <c r="G21" s="2" t="s">
        <v>160</v>
      </c>
      <c r="H21" s="2" t="s">
        <v>161</v>
      </c>
      <c r="I21" s="2" t="s">
        <v>54</v>
      </c>
      <c r="J21" s="2">
        <v>3400</v>
      </c>
      <c r="K21" s="2" t="s">
        <v>55</v>
      </c>
      <c r="L21">
        <f>IF(E21="","",SUMIF(PAYMENTS!C:C,E21,PAYMENTS!E:E))</f>
        <v>1539.4699999999998</v>
      </c>
      <c r="M21">
        <f t="shared" si="0"/>
        <v>1860.5300000000002</v>
      </c>
      <c r="N21" t="str">
        <f t="shared" si="1"/>
        <v>Part Paid</v>
      </c>
      <c r="O21" t="str">
        <f ca="1">IF(E21="","",IFERROR(_xludf.MAXIFS(PAYMENTS!A:A,PAYMENTS!C:C,E21),""))</f>
        <v/>
      </c>
    </row>
    <row r="22" spans="1:15" x14ac:dyDescent="0.3">
      <c r="A22" s="2" t="s">
        <v>162</v>
      </c>
      <c r="B22" s="2">
        <v>2026</v>
      </c>
      <c r="C22" s="2">
        <v>9</v>
      </c>
      <c r="D22" s="2" t="s">
        <v>99</v>
      </c>
      <c r="E22" s="2" t="s">
        <v>163</v>
      </c>
      <c r="F22" s="2" t="s">
        <v>164</v>
      </c>
      <c r="G22" s="2" t="s">
        <v>165</v>
      </c>
      <c r="H22" s="2" t="s">
        <v>166</v>
      </c>
      <c r="I22" s="2" t="s">
        <v>54</v>
      </c>
      <c r="J22" s="2">
        <v>2400</v>
      </c>
      <c r="K22" s="2" t="s">
        <v>55</v>
      </c>
      <c r="L22">
        <f>IF(E22="","",SUMIF(PAYMENTS!C:C,E22,PAYMENTS!E:E))</f>
        <v>1493.75</v>
      </c>
      <c r="M22">
        <f t="shared" si="0"/>
        <v>906.25</v>
      </c>
      <c r="N22" t="str">
        <f t="shared" si="1"/>
        <v>Part Paid</v>
      </c>
      <c r="O22" t="str">
        <f ca="1">IF(E22="","",IFERROR(_xludf.MAXIFS(PAYMENTS!A:A,PAYMENTS!C:C,E22),""))</f>
        <v/>
      </c>
    </row>
    <row r="23" spans="1:15" x14ac:dyDescent="0.3">
      <c r="A23" s="2" t="s">
        <v>167</v>
      </c>
      <c r="B23" s="2">
        <v>2026</v>
      </c>
      <c r="C23" s="2">
        <v>9</v>
      </c>
      <c r="D23" s="2" t="s">
        <v>105</v>
      </c>
      <c r="E23" s="2" t="s">
        <v>168</v>
      </c>
      <c r="F23" s="2" t="s">
        <v>169</v>
      </c>
      <c r="G23" s="2" t="s">
        <v>170</v>
      </c>
      <c r="H23" s="2" t="s">
        <v>171</v>
      </c>
      <c r="I23" s="2" t="s">
        <v>54</v>
      </c>
      <c r="J23" s="2">
        <v>3400</v>
      </c>
      <c r="K23" s="2" t="s">
        <v>55</v>
      </c>
      <c r="L23">
        <f>IF(E23="","",SUMIF(PAYMENTS!C:C,E23,PAYMENTS!E:E))</f>
        <v>1393.09</v>
      </c>
      <c r="M23">
        <f t="shared" si="0"/>
        <v>2006.91</v>
      </c>
      <c r="N23" t="str">
        <f t="shared" si="1"/>
        <v>Part Paid</v>
      </c>
      <c r="O23" t="str">
        <f ca="1">IF(E23="","",IFERROR(_xludf.MAXIFS(PAYMENTS!A:A,PAYMENTS!C:C,E23),""))</f>
        <v/>
      </c>
    </row>
    <row r="24" spans="1:15" x14ac:dyDescent="0.3">
      <c r="A24" s="2" t="s">
        <v>172</v>
      </c>
      <c r="B24" s="2">
        <v>2026</v>
      </c>
      <c r="C24" s="2">
        <v>9</v>
      </c>
      <c r="D24" s="2" t="s">
        <v>111</v>
      </c>
      <c r="E24" s="2" t="s">
        <v>173</v>
      </c>
      <c r="F24" s="2" t="s">
        <v>174</v>
      </c>
      <c r="G24" s="2" t="s">
        <v>175</v>
      </c>
      <c r="H24" s="2" t="s">
        <v>176</v>
      </c>
      <c r="I24" s="2" t="s">
        <v>54</v>
      </c>
      <c r="J24" s="2">
        <v>2400</v>
      </c>
      <c r="K24" s="2" t="s">
        <v>55</v>
      </c>
      <c r="L24">
        <f>IF(E24="","",SUMIF(PAYMENTS!C:C,E24,PAYMENTS!E:E))</f>
        <v>1608.0899999999997</v>
      </c>
      <c r="M24">
        <f t="shared" si="0"/>
        <v>791.91000000000031</v>
      </c>
      <c r="N24" t="str">
        <f t="shared" si="1"/>
        <v>Part Paid</v>
      </c>
      <c r="O24" t="str">
        <f ca="1">IF(E24="","",IFERROR(_xludf.MAXIFS(PAYMENTS!A:A,PAYMENTS!C:C,E24),""))</f>
        <v/>
      </c>
    </row>
    <row r="25" spans="1:15" x14ac:dyDescent="0.3">
      <c r="A25" s="2" t="s">
        <v>177</v>
      </c>
      <c r="B25" s="2">
        <v>2026</v>
      </c>
      <c r="C25" s="2">
        <v>9</v>
      </c>
      <c r="D25" s="2" t="s">
        <v>117</v>
      </c>
      <c r="E25" s="2" t="s">
        <v>178</v>
      </c>
      <c r="F25" s="2" t="s">
        <v>179</v>
      </c>
      <c r="G25" s="2" t="s">
        <v>180</v>
      </c>
      <c r="H25" s="2" t="s">
        <v>181</v>
      </c>
      <c r="I25" s="2" t="s">
        <v>54</v>
      </c>
      <c r="J25" s="2">
        <v>2400</v>
      </c>
      <c r="K25" s="2" t="s">
        <v>55</v>
      </c>
      <c r="L25">
        <f>IF(E25="","",SUMIF(PAYMENTS!C:C,E25,PAYMENTS!E:E))</f>
        <v>1423.57</v>
      </c>
      <c r="M25">
        <f t="shared" si="0"/>
        <v>976.43000000000006</v>
      </c>
      <c r="N25" t="str">
        <f t="shared" si="1"/>
        <v>Part Paid</v>
      </c>
      <c r="O25" t="str">
        <f ca="1">IF(E25="","",IFERROR(_xludf.MAXIFS(PAYMENTS!A:A,PAYMENTS!C:C,E25),""))</f>
        <v/>
      </c>
    </row>
    <row r="26" spans="1:15" x14ac:dyDescent="0.3">
      <c r="A26" s="2" t="s">
        <v>182</v>
      </c>
      <c r="B26" s="2">
        <v>2026</v>
      </c>
      <c r="C26" s="2">
        <v>10</v>
      </c>
      <c r="D26" s="2" t="s">
        <v>49</v>
      </c>
      <c r="E26" s="2" t="s">
        <v>183</v>
      </c>
      <c r="F26" s="2" t="s">
        <v>184</v>
      </c>
      <c r="G26" s="2" t="s">
        <v>185</v>
      </c>
      <c r="H26" s="2" t="s">
        <v>186</v>
      </c>
      <c r="I26" s="2" t="s">
        <v>187</v>
      </c>
      <c r="J26" s="2">
        <v>3200</v>
      </c>
      <c r="K26" s="2" t="s">
        <v>55</v>
      </c>
      <c r="L26">
        <f>IF(E26="","",SUMIF(PAYMENTS!C:C,E26,PAYMENTS!E:E))</f>
        <v>2713.25</v>
      </c>
      <c r="M26">
        <f t="shared" si="0"/>
        <v>486.75</v>
      </c>
      <c r="N26" t="str">
        <f t="shared" si="1"/>
        <v>Part Paid</v>
      </c>
      <c r="O26" t="str">
        <f ca="1">IF(E26="","",IFERROR(_xludf.MAXIFS(PAYMENTS!A:A,PAYMENTS!C:C,E26),""))</f>
        <v/>
      </c>
    </row>
    <row r="27" spans="1:15" x14ac:dyDescent="0.3">
      <c r="A27" s="2" t="s">
        <v>48</v>
      </c>
      <c r="B27" s="2">
        <v>2026</v>
      </c>
      <c r="C27" s="2">
        <v>10</v>
      </c>
      <c r="D27" s="2" t="s">
        <v>57</v>
      </c>
      <c r="E27" s="2" t="s">
        <v>188</v>
      </c>
      <c r="F27" s="2" t="s">
        <v>189</v>
      </c>
      <c r="G27" s="2" t="s">
        <v>190</v>
      </c>
      <c r="H27" s="2" t="s">
        <v>191</v>
      </c>
      <c r="I27" s="2" t="s">
        <v>192</v>
      </c>
      <c r="J27" s="2">
        <v>3200</v>
      </c>
      <c r="K27" s="2" t="s">
        <v>55</v>
      </c>
      <c r="L27">
        <f>IF(E27="","",SUMIF(PAYMENTS!C:C,E27,PAYMENTS!E:E))</f>
        <v>1177.51</v>
      </c>
      <c r="M27">
        <f t="shared" si="0"/>
        <v>2022.49</v>
      </c>
      <c r="N27" t="str">
        <f t="shared" si="1"/>
        <v>Part Paid</v>
      </c>
      <c r="O27" t="str">
        <f ca="1">IF(E27="","",IFERROR(_xludf.MAXIFS(PAYMENTS!A:A,PAYMENTS!C:C,E27),""))</f>
        <v/>
      </c>
    </row>
    <row r="28" spans="1:15" x14ac:dyDescent="0.3">
      <c r="A28" s="2" t="s">
        <v>56</v>
      </c>
      <c r="B28" s="2">
        <v>2026</v>
      </c>
      <c r="C28" s="2">
        <v>10</v>
      </c>
      <c r="D28" s="2" t="s">
        <v>63</v>
      </c>
      <c r="E28" s="2" t="s">
        <v>193</v>
      </c>
      <c r="F28" s="2" t="s">
        <v>194</v>
      </c>
      <c r="G28" s="2" t="s">
        <v>195</v>
      </c>
      <c r="H28" s="2" t="s">
        <v>196</v>
      </c>
      <c r="I28" s="2" t="s">
        <v>197</v>
      </c>
      <c r="J28" s="2">
        <v>1900</v>
      </c>
      <c r="K28" s="2" t="s">
        <v>55</v>
      </c>
      <c r="L28">
        <f>IF(E28="","",SUMIF(PAYMENTS!C:C,E28,PAYMENTS!E:E))</f>
        <v>1358.6999999999998</v>
      </c>
      <c r="M28">
        <f t="shared" si="0"/>
        <v>541.30000000000018</v>
      </c>
      <c r="N28" t="str">
        <f t="shared" si="1"/>
        <v>Part Paid</v>
      </c>
      <c r="O28" t="str">
        <f ca="1">IF(E28="","",IFERROR(_xludf.MAXIFS(PAYMENTS!A:A,PAYMENTS!C:C,E28),""))</f>
        <v/>
      </c>
    </row>
    <row r="29" spans="1:15" x14ac:dyDescent="0.3">
      <c r="A29" s="2" t="s">
        <v>62</v>
      </c>
      <c r="B29" s="2">
        <v>2026</v>
      </c>
      <c r="C29" s="2">
        <v>10</v>
      </c>
      <c r="D29" s="2" t="s">
        <v>69</v>
      </c>
      <c r="E29" s="2" t="s">
        <v>198</v>
      </c>
      <c r="F29" s="2" t="s">
        <v>199</v>
      </c>
      <c r="G29" s="2" t="s">
        <v>200</v>
      </c>
      <c r="H29" s="2" t="s">
        <v>201</v>
      </c>
      <c r="I29" s="2" t="s">
        <v>197</v>
      </c>
      <c r="J29" s="2">
        <v>1900</v>
      </c>
      <c r="K29" s="2" t="s">
        <v>55</v>
      </c>
      <c r="L29">
        <f>IF(E29="","",SUMIF(PAYMENTS!C:C,E29,PAYMENTS!E:E))</f>
        <v>1169.75</v>
      </c>
      <c r="M29">
        <f t="shared" si="0"/>
        <v>730.25</v>
      </c>
      <c r="N29" t="str">
        <f t="shared" si="1"/>
        <v>Part Paid</v>
      </c>
      <c r="O29" t="str">
        <f ca="1">IF(E29="","",IFERROR(_xludf.MAXIFS(PAYMENTS!A:A,PAYMENTS!C:C,E29),""))</f>
        <v/>
      </c>
    </row>
    <row r="30" spans="1:15" x14ac:dyDescent="0.3">
      <c r="A30" s="2" t="s">
        <v>68</v>
      </c>
      <c r="B30" s="2">
        <v>2026</v>
      </c>
      <c r="C30" s="2">
        <v>10</v>
      </c>
      <c r="D30" s="2" t="s">
        <v>75</v>
      </c>
      <c r="E30" s="2" t="s">
        <v>202</v>
      </c>
      <c r="F30" s="2" t="s">
        <v>203</v>
      </c>
      <c r="G30" s="2" t="s">
        <v>204</v>
      </c>
      <c r="H30" s="2" t="s">
        <v>205</v>
      </c>
      <c r="I30" s="2" t="s">
        <v>187</v>
      </c>
      <c r="J30" s="2">
        <v>3200</v>
      </c>
      <c r="K30" s="2" t="s">
        <v>55</v>
      </c>
      <c r="L30">
        <f>IF(E30="","",SUMIF(PAYMENTS!C:C,E30,PAYMENTS!E:E))</f>
        <v>2380.29</v>
      </c>
      <c r="M30">
        <f t="shared" si="0"/>
        <v>819.71</v>
      </c>
      <c r="N30" t="str">
        <f t="shared" si="1"/>
        <v>Part Paid</v>
      </c>
      <c r="O30" t="str">
        <f ca="1">IF(E30="","",IFERROR(_xludf.MAXIFS(PAYMENTS!A:A,PAYMENTS!C:C,E30),""))</f>
        <v/>
      </c>
    </row>
    <row r="31" spans="1:15" x14ac:dyDescent="0.3">
      <c r="A31" s="2" t="s">
        <v>74</v>
      </c>
      <c r="B31" s="2">
        <v>2026</v>
      </c>
      <c r="C31" s="2">
        <v>10</v>
      </c>
      <c r="D31" s="2" t="s">
        <v>81</v>
      </c>
      <c r="E31" s="2" t="s">
        <v>206</v>
      </c>
      <c r="F31" s="2" t="s">
        <v>207</v>
      </c>
      <c r="G31" s="2" t="s">
        <v>208</v>
      </c>
      <c r="H31" s="2" t="s">
        <v>209</v>
      </c>
      <c r="I31" s="2" t="s">
        <v>197</v>
      </c>
      <c r="J31" s="2">
        <v>1900</v>
      </c>
      <c r="K31" s="2" t="s">
        <v>55</v>
      </c>
      <c r="L31">
        <f>IF(E31="","",SUMIF(PAYMENTS!C:C,E31,PAYMENTS!E:E))</f>
        <v>760.56</v>
      </c>
      <c r="M31">
        <f t="shared" si="0"/>
        <v>1139.44</v>
      </c>
      <c r="N31" t="str">
        <f t="shared" si="1"/>
        <v>Part Paid</v>
      </c>
      <c r="O31" t="str">
        <f ca="1">IF(E31="","",IFERROR(_xludf.MAXIFS(PAYMENTS!A:A,PAYMENTS!C:C,E31),""))</f>
        <v/>
      </c>
    </row>
    <row r="32" spans="1:15" x14ac:dyDescent="0.3">
      <c r="A32" s="2" t="s">
        <v>80</v>
      </c>
      <c r="B32" s="2">
        <v>2026</v>
      </c>
      <c r="C32" s="2">
        <v>10</v>
      </c>
      <c r="D32" s="2" t="s">
        <v>87</v>
      </c>
      <c r="E32" s="2" t="s">
        <v>210</v>
      </c>
      <c r="F32" s="2" t="s">
        <v>211</v>
      </c>
      <c r="G32" s="2" t="s">
        <v>212</v>
      </c>
      <c r="H32" s="2" t="s">
        <v>213</v>
      </c>
      <c r="I32" s="2" t="s">
        <v>192</v>
      </c>
      <c r="J32" s="2">
        <v>3200</v>
      </c>
      <c r="K32" s="2" t="s">
        <v>55</v>
      </c>
      <c r="L32">
        <f>IF(E32="","",SUMIF(PAYMENTS!C:C,E32,PAYMENTS!E:E))</f>
        <v>1895.0200000000002</v>
      </c>
      <c r="M32">
        <f t="shared" si="0"/>
        <v>1304.9799999999998</v>
      </c>
      <c r="N32" t="str">
        <f t="shared" si="1"/>
        <v>Part Paid</v>
      </c>
      <c r="O32" t="str">
        <f ca="1">IF(E32="","",IFERROR(_xludf.MAXIFS(PAYMENTS!A:A,PAYMENTS!C:C,E32),""))</f>
        <v/>
      </c>
    </row>
    <row r="33" spans="1:15" x14ac:dyDescent="0.3">
      <c r="A33" s="2" t="s">
        <v>86</v>
      </c>
      <c r="B33" s="2">
        <v>2026</v>
      </c>
      <c r="C33" s="2">
        <v>10</v>
      </c>
      <c r="D33" s="2" t="s">
        <v>93</v>
      </c>
      <c r="E33" s="2" t="s">
        <v>214</v>
      </c>
      <c r="F33" s="2" t="s">
        <v>144</v>
      </c>
      <c r="G33" s="2" t="s">
        <v>215</v>
      </c>
      <c r="H33" s="2" t="s">
        <v>216</v>
      </c>
      <c r="I33" s="2" t="s">
        <v>192</v>
      </c>
      <c r="J33" s="2">
        <v>3200</v>
      </c>
      <c r="K33" s="2" t="s">
        <v>55</v>
      </c>
      <c r="L33">
        <f>IF(E33="","",SUMIF(PAYMENTS!C:C,E33,PAYMENTS!E:E))</f>
        <v>2218.44</v>
      </c>
      <c r="M33">
        <f t="shared" si="0"/>
        <v>981.56</v>
      </c>
      <c r="N33" t="str">
        <f t="shared" si="1"/>
        <v>Part Paid</v>
      </c>
      <c r="O33" t="str">
        <f ca="1">IF(E33="","",IFERROR(_xludf.MAXIFS(PAYMENTS!A:A,PAYMENTS!C:C,E33),""))</f>
        <v/>
      </c>
    </row>
    <row r="34" spans="1:15" x14ac:dyDescent="0.3">
      <c r="A34" s="2" t="s">
        <v>92</v>
      </c>
      <c r="B34" s="2">
        <v>2026</v>
      </c>
      <c r="C34" s="2">
        <v>10</v>
      </c>
      <c r="D34" s="2" t="s">
        <v>99</v>
      </c>
      <c r="E34" s="2" t="s">
        <v>217</v>
      </c>
      <c r="F34" s="2" t="s">
        <v>218</v>
      </c>
      <c r="G34" s="2" t="s">
        <v>219</v>
      </c>
      <c r="H34" s="2" t="s">
        <v>220</v>
      </c>
      <c r="I34" s="2" t="s">
        <v>197</v>
      </c>
      <c r="J34" s="2">
        <v>1900</v>
      </c>
      <c r="K34" s="2" t="s">
        <v>55</v>
      </c>
      <c r="L34">
        <f>IF(E34="","",SUMIF(PAYMENTS!C:C,E34,PAYMENTS!E:E))</f>
        <v>1705.6400000000003</v>
      </c>
      <c r="M34">
        <f t="shared" si="0"/>
        <v>194.35999999999967</v>
      </c>
      <c r="N34" t="str">
        <f t="shared" si="1"/>
        <v>Part Paid</v>
      </c>
      <c r="O34" t="str">
        <f ca="1">IF(E34="","",IFERROR(_xludf.MAXIFS(PAYMENTS!A:A,PAYMENTS!C:C,E34),""))</f>
        <v/>
      </c>
    </row>
    <row r="35" spans="1:15" x14ac:dyDescent="0.3">
      <c r="A35" s="2" t="s">
        <v>98</v>
      </c>
      <c r="B35" s="2">
        <v>2026</v>
      </c>
      <c r="C35" s="2">
        <v>10</v>
      </c>
      <c r="D35" s="2" t="s">
        <v>105</v>
      </c>
      <c r="E35" s="2" t="s">
        <v>221</v>
      </c>
      <c r="F35" s="2" t="s">
        <v>222</v>
      </c>
      <c r="G35" s="2" t="s">
        <v>223</v>
      </c>
      <c r="H35" s="2" t="s">
        <v>224</v>
      </c>
      <c r="I35" s="2" t="s">
        <v>197</v>
      </c>
      <c r="J35" s="2">
        <v>1900</v>
      </c>
      <c r="K35" s="2" t="s">
        <v>55</v>
      </c>
      <c r="L35">
        <f>IF(E35="","",SUMIF(PAYMENTS!C:C,E35,PAYMENTS!E:E))</f>
        <v>1580.78</v>
      </c>
      <c r="M35">
        <f t="shared" si="0"/>
        <v>319.22000000000003</v>
      </c>
      <c r="N35" t="str">
        <f t="shared" si="1"/>
        <v>Part Paid</v>
      </c>
      <c r="O35" t="str">
        <f ca="1">IF(E35="","",IFERROR(_xludf.MAXIFS(PAYMENTS!A:A,PAYMENTS!C:C,E35),""))</f>
        <v/>
      </c>
    </row>
    <row r="36" spans="1:15" x14ac:dyDescent="0.3">
      <c r="A36" s="2" t="s">
        <v>104</v>
      </c>
      <c r="B36" s="2">
        <v>2026</v>
      </c>
      <c r="C36" s="2">
        <v>10</v>
      </c>
      <c r="D36" s="2" t="s">
        <v>111</v>
      </c>
      <c r="E36" s="2" t="s">
        <v>225</v>
      </c>
      <c r="F36" s="2" t="s">
        <v>226</v>
      </c>
      <c r="G36" s="2" t="s">
        <v>227</v>
      </c>
      <c r="H36" s="2" t="s">
        <v>228</v>
      </c>
      <c r="I36" s="2" t="s">
        <v>187</v>
      </c>
      <c r="J36" s="2">
        <v>3200</v>
      </c>
      <c r="K36" s="2" t="s">
        <v>55</v>
      </c>
      <c r="L36">
        <f>IF(E36="","",SUMIF(PAYMENTS!C:C,E36,PAYMENTS!E:E))</f>
        <v>3045.36</v>
      </c>
      <c r="M36">
        <f t="shared" si="0"/>
        <v>154.63999999999987</v>
      </c>
      <c r="N36" t="str">
        <f t="shared" si="1"/>
        <v>Part Paid</v>
      </c>
      <c r="O36" t="str">
        <f ca="1">IF(E36="","",IFERROR(_xludf.MAXIFS(PAYMENTS!A:A,PAYMENTS!C:C,E36),""))</f>
        <v/>
      </c>
    </row>
    <row r="37" spans="1:15" x14ac:dyDescent="0.3">
      <c r="A37" s="2" t="s">
        <v>110</v>
      </c>
      <c r="B37" s="2">
        <v>2026</v>
      </c>
      <c r="C37" s="2">
        <v>10</v>
      </c>
      <c r="D37" s="2" t="s">
        <v>117</v>
      </c>
      <c r="E37" s="2" t="s">
        <v>229</v>
      </c>
      <c r="F37" s="2" t="s">
        <v>230</v>
      </c>
      <c r="G37" s="2" t="s">
        <v>231</v>
      </c>
      <c r="H37" s="2" t="s">
        <v>232</v>
      </c>
      <c r="I37" s="2" t="s">
        <v>197</v>
      </c>
      <c r="J37" s="2">
        <v>1900</v>
      </c>
      <c r="K37" s="2" t="s">
        <v>55</v>
      </c>
      <c r="L37">
        <f>IF(E37="","",SUMIF(PAYMENTS!C:C,E37,PAYMENTS!E:E))</f>
        <v>872.2</v>
      </c>
      <c r="M37">
        <f t="shared" si="0"/>
        <v>1027.8</v>
      </c>
      <c r="N37" t="str">
        <f t="shared" si="1"/>
        <v>Part Paid</v>
      </c>
      <c r="O37" t="str">
        <f ca="1">IF(E37="","",IFERROR(_xludf.MAXIFS(PAYMENTS!A:A,PAYMENTS!C:C,E37),""))</f>
        <v/>
      </c>
    </row>
    <row r="38" spans="1:15" x14ac:dyDescent="0.3">
      <c r="A38" s="2" t="s">
        <v>116</v>
      </c>
      <c r="B38" s="2">
        <v>2026</v>
      </c>
      <c r="C38" s="2">
        <v>11</v>
      </c>
      <c r="D38" s="2" t="s">
        <v>49</v>
      </c>
      <c r="E38" s="2" t="s">
        <v>233</v>
      </c>
      <c r="F38" s="2" t="s">
        <v>234</v>
      </c>
      <c r="G38" s="2" t="s">
        <v>235</v>
      </c>
      <c r="H38" s="2" t="s">
        <v>236</v>
      </c>
      <c r="I38" s="2" t="s">
        <v>197</v>
      </c>
      <c r="J38" s="2">
        <v>1900</v>
      </c>
      <c r="K38" s="2" t="s">
        <v>55</v>
      </c>
      <c r="L38">
        <f>IF(E38="","",SUMIF(PAYMENTS!C:C,E38,PAYMENTS!E:E))</f>
        <v>687.73</v>
      </c>
      <c r="M38">
        <f t="shared" si="0"/>
        <v>1212.27</v>
      </c>
      <c r="N38" t="str">
        <f t="shared" si="1"/>
        <v>Part Paid</v>
      </c>
      <c r="O38" t="str">
        <f ca="1">IF(E38="","",IFERROR(_xludf.MAXIFS(PAYMENTS!A:A,PAYMENTS!C:C,E38),""))</f>
        <v/>
      </c>
    </row>
    <row r="39" spans="1:15" x14ac:dyDescent="0.3">
      <c r="A39" s="2" t="s">
        <v>122</v>
      </c>
      <c r="B39" s="2">
        <v>2026</v>
      </c>
      <c r="C39" s="2">
        <v>11</v>
      </c>
      <c r="D39" s="2" t="s">
        <v>57</v>
      </c>
      <c r="E39" s="2" t="s">
        <v>237</v>
      </c>
      <c r="F39" s="2" t="s">
        <v>238</v>
      </c>
      <c r="G39" s="2" t="s">
        <v>239</v>
      </c>
      <c r="H39" s="2" t="s">
        <v>240</v>
      </c>
      <c r="I39" s="2" t="s">
        <v>187</v>
      </c>
      <c r="J39" s="2">
        <v>3200</v>
      </c>
      <c r="K39" s="2" t="s">
        <v>55</v>
      </c>
      <c r="L39">
        <f>IF(E39="","",SUMIF(PAYMENTS!C:C,E39,PAYMENTS!E:E))</f>
        <v>2144.06</v>
      </c>
      <c r="M39">
        <f t="shared" si="0"/>
        <v>1055.94</v>
      </c>
      <c r="N39" t="str">
        <f t="shared" si="1"/>
        <v>Part Paid</v>
      </c>
      <c r="O39" t="str">
        <f ca="1">IF(E39="","",IFERROR(_xludf.MAXIFS(PAYMENTS!A:A,PAYMENTS!C:C,E39),""))</f>
        <v/>
      </c>
    </row>
    <row r="40" spans="1:15" x14ac:dyDescent="0.3">
      <c r="A40" s="2" t="s">
        <v>127</v>
      </c>
      <c r="B40" s="2">
        <v>2026</v>
      </c>
      <c r="C40" s="2">
        <v>11</v>
      </c>
      <c r="D40" s="2" t="s">
        <v>63</v>
      </c>
      <c r="E40" s="2" t="s">
        <v>241</v>
      </c>
      <c r="F40" s="2" t="s">
        <v>101</v>
      </c>
      <c r="G40" s="2" t="s">
        <v>242</v>
      </c>
      <c r="H40" s="2" t="s">
        <v>243</v>
      </c>
      <c r="I40" s="2" t="s">
        <v>197</v>
      </c>
      <c r="J40" s="2">
        <v>1900</v>
      </c>
      <c r="K40" s="2" t="s">
        <v>55</v>
      </c>
      <c r="L40">
        <f>IF(E40="","",SUMIF(PAYMENTS!C:C,E40,PAYMENTS!E:E))</f>
        <v>762.22</v>
      </c>
      <c r="M40">
        <f t="shared" si="0"/>
        <v>1137.78</v>
      </c>
      <c r="N40" t="str">
        <f t="shared" si="1"/>
        <v>Part Paid</v>
      </c>
      <c r="O40" t="str">
        <f ca="1">IF(E40="","",IFERROR(_xludf.MAXIFS(PAYMENTS!A:A,PAYMENTS!C:C,E40),""))</f>
        <v/>
      </c>
    </row>
    <row r="41" spans="1:15" x14ac:dyDescent="0.3">
      <c r="A41" s="2" t="s">
        <v>132</v>
      </c>
      <c r="B41" s="2">
        <v>2026</v>
      </c>
      <c r="C41" s="2">
        <v>11</v>
      </c>
      <c r="D41" s="2" t="s">
        <v>69</v>
      </c>
      <c r="E41" s="2" t="s">
        <v>244</v>
      </c>
      <c r="F41" s="2" t="s">
        <v>245</v>
      </c>
      <c r="G41" s="2" t="s">
        <v>246</v>
      </c>
      <c r="H41" s="2" t="s">
        <v>247</v>
      </c>
      <c r="I41" s="2" t="s">
        <v>192</v>
      </c>
      <c r="J41" s="2">
        <v>3200</v>
      </c>
      <c r="K41" s="2" t="s">
        <v>55</v>
      </c>
      <c r="L41">
        <f>IF(E41="","",SUMIF(PAYMENTS!C:C,E41,PAYMENTS!E:E))</f>
        <v>1702.1499999999999</v>
      </c>
      <c r="M41">
        <f t="shared" si="0"/>
        <v>1497.8500000000001</v>
      </c>
      <c r="N41" t="str">
        <f t="shared" si="1"/>
        <v>Part Paid</v>
      </c>
      <c r="O41" t="str">
        <f ca="1">IF(E41="","",IFERROR(_xludf.MAXIFS(PAYMENTS!A:A,PAYMENTS!C:C,E41),""))</f>
        <v/>
      </c>
    </row>
    <row r="42" spans="1:15" x14ac:dyDescent="0.3">
      <c r="A42" s="2" t="s">
        <v>137</v>
      </c>
      <c r="B42" s="2">
        <v>2026</v>
      </c>
      <c r="C42" s="2">
        <v>11</v>
      </c>
      <c r="D42" s="2" t="s">
        <v>75</v>
      </c>
      <c r="E42" s="2" t="s">
        <v>248</v>
      </c>
      <c r="F42" s="2" t="s">
        <v>249</v>
      </c>
      <c r="G42" s="2" t="s">
        <v>250</v>
      </c>
      <c r="H42" s="2" t="s">
        <v>251</v>
      </c>
      <c r="I42" s="2" t="s">
        <v>192</v>
      </c>
      <c r="J42" s="2">
        <v>3200</v>
      </c>
      <c r="K42" s="2" t="s">
        <v>55</v>
      </c>
      <c r="L42">
        <f>IF(E42="","",SUMIF(PAYMENTS!C:C,E42,PAYMENTS!E:E))</f>
        <v>2361.92</v>
      </c>
      <c r="M42">
        <f t="shared" si="0"/>
        <v>838.07999999999993</v>
      </c>
      <c r="N42" t="str">
        <f t="shared" si="1"/>
        <v>Part Paid</v>
      </c>
      <c r="O42" t="str">
        <f ca="1">IF(E42="","",IFERROR(_xludf.MAXIFS(PAYMENTS!A:A,PAYMENTS!C:C,E42),""))</f>
        <v/>
      </c>
    </row>
    <row r="43" spans="1:15" x14ac:dyDescent="0.3">
      <c r="A43" s="2" t="s">
        <v>142</v>
      </c>
      <c r="B43" s="2">
        <v>2026</v>
      </c>
      <c r="C43" s="2">
        <v>11</v>
      </c>
      <c r="D43" s="2" t="s">
        <v>81</v>
      </c>
      <c r="E43" s="2" t="s">
        <v>252</v>
      </c>
      <c r="F43" s="2" t="s">
        <v>253</v>
      </c>
      <c r="G43" s="2" t="s">
        <v>254</v>
      </c>
      <c r="H43" s="2" t="s">
        <v>255</v>
      </c>
      <c r="I43" s="2" t="s">
        <v>197</v>
      </c>
      <c r="J43" s="2">
        <v>1900</v>
      </c>
      <c r="K43" s="2" t="s">
        <v>55</v>
      </c>
      <c r="L43">
        <f>IF(E43="","",SUMIF(PAYMENTS!C:C,E43,PAYMENTS!E:E))</f>
        <v>920.12</v>
      </c>
      <c r="M43">
        <f t="shared" si="0"/>
        <v>979.88</v>
      </c>
      <c r="N43" t="str">
        <f t="shared" si="1"/>
        <v>Part Paid</v>
      </c>
      <c r="O43" t="str">
        <f ca="1">IF(E43="","",IFERROR(_xludf.MAXIFS(PAYMENTS!A:A,PAYMENTS!C:C,E43),""))</f>
        <v/>
      </c>
    </row>
    <row r="44" spans="1:15" x14ac:dyDescent="0.3">
      <c r="A44" s="2" t="s">
        <v>147</v>
      </c>
      <c r="B44" s="2">
        <v>2026</v>
      </c>
      <c r="C44" s="2">
        <v>11</v>
      </c>
      <c r="D44" s="2" t="s">
        <v>87</v>
      </c>
      <c r="E44" s="2" t="s">
        <v>256</v>
      </c>
      <c r="F44" s="2" t="s">
        <v>257</v>
      </c>
      <c r="G44" s="2" t="s">
        <v>258</v>
      </c>
      <c r="H44" s="2" t="s">
        <v>259</v>
      </c>
      <c r="I44" s="2" t="s">
        <v>192</v>
      </c>
      <c r="J44" s="2">
        <v>3200</v>
      </c>
      <c r="K44" s="2" t="s">
        <v>55</v>
      </c>
      <c r="L44">
        <f>IF(E44="","",SUMIF(PAYMENTS!C:C,E44,PAYMENTS!E:E))</f>
        <v>3000.55</v>
      </c>
      <c r="M44">
        <f t="shared" si="0"/>
        <v>199.44999999999982</v>
      </c>
      <c r="N44" t="str">
        <f t="shared" si="1"/>
        <v>Part Paid</v>
      </c>
      <c r="O44" t="str">
        <f ca="1">IF(E44="","",IFERROR(_xludf.MAXIFS(PAYMENTS!A:A,PAYMENTS!C:C,E44),""))</f>
        <v/>
      </c>
    </row>
    <row r="45" spans="1:15" x14ac:dyDescent="0.3">
      <c r="A45" s="2" t="s">
        <v>152</v>
      </c>
      <c r="B45" s="2">
        <v>2026</v>
      </c>
      <c r="C45" s="2">
        <v>11</v>
      </c>
      <c r="D45" s="2" t="s">
        <v>93</v>
      </c>
      <c r="E45" s="2" t="s">
        <v>260</v>
      </c>
      <c r="F45" s="2" t="s">
        <v>261</v>
      </c>
      <c r="G45" s="2" t="s">
        <v>262</v>
      </c>
      <c r="H45" s="2" t="s">
        <v>263</v>
      </c>
      <c r="I45" s="2" t="s">
        <v>192</v>
      </c>
      <c r="J45" s="2">
        <v>3200</v>
      </c>
      <c r="K45" s="2" t="s">
        <v>55</v>
      </c>
      <c r="L45">
        <f>IF(E45="","",SUMIF(PAYMENTS!C:C,E45,PAYMENTS!E:E))</f>
        <v>1209.4099999999999</v>
      </c>
      <c r="M45">
        <f t="shared" si="0"/>
        <v>1990.5900000000001</v>
      </c>
      <c r="N45" t="str">
        <f t="shared" si="1"/>
        <v>Part Paid</v>
      </c>
      <c r="O45" t="str">
        <f ca="1">IF(E45="","",IFERROR(_xludf.MAXIFS(PAYMENTS!A:A,PAYMENTS!C:C,E45),""))</f>
        <v/>
      </c>
    </row>
    <row r="46" spans="1:15" x14ac:dyDescent="0.3">
      <c r="A46" s="2" t="s">
        <v>157</v>
      </c>
      <c r="B46" s="2">
        <v>2026</v>
      </c>
      <c r="C46" s="2">
        <v>11</v>
      </c>
      <c r="D46" s="2" t="s">
        <v>99</v>
      </c>
      <c r="E46" s="2" t="s">
        <v>264</v>
      </c>
      <c r="F46" s="2" t="s">
        <v>265</v>
      </c>
      <c r="G46" s="2" t="s">
        <v>266</v>
      </c>
      <c r="H46" s="2" t="s">
        <v>267</v>
      </c>
      <c r="I46" s="2" t="s">
        <v>187</v>
      </c>
      <c r="J46" s="2">
        <v>3200</v>
      </c>
      <c r="K46" s="2" t="s">
        <v>55</v>
      </c>
      <c r="L46">
        <f>IF(E46="","",SUMIF(PAYMENTS!C:C,E46,PAYMENTS!E:E))</f>
        <v>1694.02</v>
      </c>
      <c r="M46">
        <f t="shared" si="0"/>
        <v>1505.98</v>
      </c>
      <c r="N46" t="str">
        <f t="shared" si="1"/>
        <v>Part Paid</v>
      </c>
      <c r="O46" t="str">
        <f ca="1">IF(E46="","",IFERROR(_xludf.MAXIFS(PAYMENTS!A:A,PAYMENTS!C:C,E46),""))</f>
        <v/>
      </c>
    </row>
    <row r="47" spans="1:15" x14ac:dyDescent="0.3">
      <c r="A47" s="2" t="s">
        <v>162</v>
      </c>
      <c r="B47" s="2">
        <v>2026</v>
      </c>
      <c r="C47" s="2">
        <v>11</v>
      </c>
      <c r="D47" s="2" t="s">
        <v>105</v>
      </c>
      <c r="E47" s="2" t="s">
        <v>268</v>
      </c>
      <c r="F47" s="2" t="s">
        <v>269</v>
      </c>
      <c r="G47" s="2" t="s">
        <v>270</v>
      </c>
      <c r="H47" s="2" t="s">
        <v>271</v>
      </c>
      <c r="I47" s="2" t="s">
        <v>197</v>
      </c>
      <c r="J47" s="2">
        <v>1900</v>
      </c>
      <c r="K47" s="2" t="s">
        <v>55</v>
      </c>
      <c r="L47">
        <f>IF(E47="","",SUMIF(PAYMENTS!C:C,E47,PAYMENTS!E:E))</f>
        <v>954.24999999999989</v>
      </c>
      <c r="M47">
        <f t="shared" si="0"/>
        <v>945.75000000000011</v>
      </c>
      <c r="N47" t="str">
        <f t="shared" si="1"/>
        <v>Part Paid</v>
      </c>
      <c r="O47" t="str">
        <f ca="1">IF(E47="","",IFERROR(_xludf.MAXIFS(PAYMENTS!A:A,PAYMENTS!C:C,E47),""))</f>
        <v/>
      </c>
    </row>
    <row r="48" spans="1:15" x14ac:dyDescent="0.3">
      <c r="A48" s="2" t="s">
        <v>167</v>
      </c>
      <c r="B48" s="2">
        <v>2026</v>
      </c>
      <c r="C48" s="2">
        <v>11</v>
      </c>
      <c r="D48" s="2" t="s">
        <v>111</v>
      </c>
      <c r="E48" s="2" t="s">
        <v>272</v>
      </c>
      <c r="F48" s="2" t="s">
        <v>273</v>
      </c>
      <c r="G48" s="2" t="s">
        <v>274</v>
      </c>
      <c r="H48" s="2" t="s">
        <v>275</v>
      </c>
      <c r="I48" s="2" t="s">
        <v>192</v>
      </c>
      <c r="J48" s="2">
        <v>3200</v>
      </c>
      <c r="K48" s="2" t="s">
        <v>55</v>
      </c>
      <c r="L48">
        <f>IF(E48="","",SUMIF(PAYMENTS!C:C,E48,PAYMENTS!E:E))</f>
        <v>1992.0900000000001</v>
      </c>
      <c r="M48">
        <f t="shared" si="0"/>
        <v>1207.9099999999999</v>
      </c>
      <c r="N48" t="str">
        <f t="shared" si="1"/>
        <v>Part Paid</v>
      </c>
      <c r="O48" t="str">
        <f ca="1">IF(E48="","",IFERROR(_xludf.MAXIFS(PAYMENTS!A:A,PAYMENTS!C:C,E48),""))</f>
        <v/>
      </c>
    </row>
    <row r="49" spans="1:15" x14ac:dyDescent="0.3">
      <c r="A49" s="2" t="s">
        <v>172</v>
      </c>
      <c r="B49" s="2">
        <v>2026</v>
      </c>
      <c r="C49" s="2">
        <v>11</v>
      </c>
      <c r="D49" s="2" t="s">
        <v>117</v>
      </c>
      <c r="E49" s="2" t="s">
        <v>276</v>
      </c>
      <c r="F49" s="2" t="s">
        <v>277</v>
      </c>
      <c r="G49" s="2" t="s">
        <v>278</v>
      </c>
      <c r="H49" s="2" t="s">
        <v>279</v>
      </c>
      <c r="I49" s="2" t="s">
        <v>197</v>
      </c>
      <c r="J49" s="2">
        <v>1900</v>
      </c>
      <c r="K49" s="2" t="s">
        <v>55</v>
      </c>
      <c r="L49">
        <f>IF(E49="","",SUMIF(PAYMENTS!C:C,E49,PAYMENTS!E:E))</f>
        <v>1195.72</v>
      </c>
      <c r="M49">
        <f t="shared" si="0"/>
        <v>704.28</v>
      </c>
      <c r="N49" t="str">
        <f t="shared" si="1"/>
        <v>Part Paid</v>
      </c>
      <c r="O49" t="str">
        <f ca="1">IF(E49="","",IFERROR(_xludf.MAXIFS(PAYMENTS!A:A,PAYMENTS!C:C,E49),""))</f>
        <v/>
      </c>
    </row>
    <row r="50" spans="1:15" x14ac:dyDescent="0.3">
      <c r="A50" s="2" t="s">
        <v>177</v>
      </c>
      <c r="B50" s="2">
        <v>2026</v>
      </c>
      <c r="C50" s="2">
        <v>12</v>
      </c>
      <c r="D50" s="2" t="s">
        <v>49</v>
      </c>
      <c r="E50" s="2" t="s">
        <v>280</v>
      </c>
      <c r="F50" s="2" t="s">
        <v>281</v>
      </c>
      <c r="G50" s="2" t="s">
        <v>282</v>
      </c>
      <c r="H50" s="2" t="s">
        <v>283</v>
      </c>
      <c r="I50" s="2" t="s">
        <v>192</v>
      </c>
      <c r="J50" s="2">
        <v>3200</v>
      </c>
      <c r="K50" s="2" t="s">
        <v>55</v>
      </c>
      <c r="L50">
        <f>IF(E50="","",SUMIF(PAYMENTS!C:C,E50,PAYMENTS!E:E))</f>
        <v>2382.64</v>
      </c>
      <c r="M50">
        <f t="shared" si="0"/>
        <v>817.36000000000013</v>
      </c>
      <c r="N50" t="str">
        <f t="shared" si="1"/>
        <v>Part Paid</v>
      </c>
      <c r="O50" t="str">
        <f ca="1">IF(E50="","",IFERROR(_xludf.MAXIFS(PAYMENTS!A:A,PAYMENTS!C:C,E50),""))</f>
        <v/>
      </c>
    </row>
    <row r="51" spans="1:15" x14ac:dyDescent="0.3">
      <c r="A51" s="2" t="s">
        <v>182</v>
      </c>
      <c r="B51" s="2">
        <v>2026</v>
      </c>
      <c r="C51" s="2">
        <v>12</v>
      </c>
      <c r="D51" s="2" t="s">
        <v>57</v>
      </c>
      <c r="E51" s="2" t="s">
        <v>284</v>
      </c>
      <c r="F51" s="2" t="s">
        <v>285</v>
      </c>
      <c r="G51" s="2" t="s">
        <v>286</v>
      </c>
      <c r="H51" s="2" t="s">
        <v>287</v>
      </c>
      <c r="I51" s="2" t="s">
        <v>192</v>
      </c>
      <c r="J51" s="2">
        <v>3200</v>
      </c>
      <c r="K51" s="2" t="s">
        <v>55</v>
      </c>
      <c r="L51">
        <f>IF(E51="","",SUMIF(PAYMENTS!C:C,E51,PAYMENTS!E:E))</f>
        <v>1998.85</v>
      </c>
      <c r="M51">
        <f t="shared" si="0"/>
        <v>1201.1500000000001</v>
      </c>
      <c r="N51" t="str">
        <f t="shared" si="1"/>
        <v>Part Paid</v>
      </c>
      <c r="O51" t="str">
        <f ca="1">IF(E51="","",IFERROR(_xludf.MAXIFS(PAYMENTS!A:A,PAYMENTS!C:C,E51),""))</f>
        <v/>
      </c>
    </row>
    <row r="52" spans="1:15" x14ac:dyDescent="0.3">
      <c r="A52" s="2" t="s">
        <v>48</v>
      </c>
      <c r="B52" s="2">
        <v>2026</v>
      </c>
      <c r="C52" s="2">
        <v>12</v>
      </c>
      <c r="D52" s="2" t="s">
        <v>63</v>
      </c>
      <c r="E52" s="2" t="s">
        <v>288</v>
      </c>
      <c r="F52" s="2" t="s">
        <v>289</v>
      </c>
      <c r="G52" s="2" t="s">
        <v>290</v>
      </c>
      <c r="H52" s="2" t="s">
        <v>291</v>
      </c>
      <c r="I52" s="2" t="s">
        <v>187</v>
      </c>
      <c r="J52" s="2">
        <v>3200</v>
      </c>
      <c r="K52" s="2" t="s">
        <v>55</v>
      </c>
      <c r="L52">
        <f>IF(E52="","",SUMIF(PAYMENTS!C:C,E52,PAYMENTS!E:E))</f>
        <v>2200.69</v>
      </c>
      <c r="M52">
        <f t="shared" si="0"/>
        <v>999.31</v>
      </c>
      <c r="N52" t="str">
        <f t="shared" si="1"/>
        <v>Part Paid</v>
      </c>
      <c r="O52" t="str">
        <f ca="1">IF(E52="","",IFERROR(_xludf.MAXIFS(PAYMENTS!A:A,PAYMENTS!C:C,E52),""))</f>
        <v/>
      </c>
    </row>
    <row r="53" spans="1:15" x14ac:dyDescent="0.3">
      <c r="A53" s="2" t="s">
        <v>56</v>
      </c>
      <c r="B53" s="2">
        <v>2026</v>
      </c>
      <c r="C53" s="2">
        <v>12</v>
      </c>
      <c r="D53" s="2" t="s">
        <v>69</v>
      </c>
      <c r="E53" s="2" t="s">
        <v>292</v>
      </c>
      <c r="F53" s="2" t="s">
        <v>293</v>
      </c>
      <c r="G53" s="2" t="s">
        <v>294</v>
      </c>
      <c r="H53" s="2" t="s">
        <v>295</v>
      </c>
      <c r="I53" s="2" t="s">
        <v>197</v>
      </c>
      <c r="J53" s="2">
        <v>1900</v>
      </c>
      <c r="K53" s="2" t="s">
        <v>55</v>
      </c>
      <c r="L53">
        <f>IF(E53="","",SUMIF(PAYMENTS!C:C,E53,PAYMENTS!E:E))</f>
        <v>1558.0600000000002</v>
      </c>
      <c r="M53">
        <f t="shared" si="0"/>
        <v>341.93999999999983</v>
      </c>
      <c r="N53" t="str">
        <f t="shared" si="1"/>
        <v>Part Paid</v>
      </c>
      <c r="O53" t="str">
        <f ca="1">IF(E53="","",IFERROR(_xludf.MAXIFS(PAYMENTS!A:A,PAYMENTS!C:C,E53),""))</f>
        <v/>
      </c>
    </row>
    <row r="54" spans="1:15" x14ac:dyDescent="0.3">
      <c r="A54" s="2" t="s">
        <v>62</v>
      </c>
      <c r="B54" s="2">
        <v>2026</v>
      </c>
      <c r="C54" s="2">
        <v>12</v>
      </c>
      <c r="D54" s="2" t="s">
        <v>75</v>
      </c>
      <c r="E54" s="2" t="s">
        <v>296</v>
      </c>
      <c r="F54" s="2" t="s">
        <v>297</v>
      </c>
      <c r="G54" s="2" t="s">
        <v>298</v>
      </c>
      <c r="H54" s="2" t="s">
        <v>299</v>
      </c>
      <c r="I54" s="2" t="s">
        <v>192</v>
      </c>
      <c r="J54" s="2">
        <v>3200</v>
      </c>
      <c r="K54" s="2" t="s">
        <v>55</v>
      </c>
      <c r="L54">
        <f>IF(E54="","",SUMIF(PAYMENTS!C:C,E54,PAYMENTS!E:E))</f>
        <v>1748.18</v>
      </c>
      <c r="M54">
        <f t="shared" si="0"/>
        <v>1451.82</v>
      </c>
      <c r="N54" t="str">
        <f t="shared" si="1"/>
        <v>Part Paid</v>
      </c>
      <c r="O54" t="str">
        <f ca="1">IF(E54="","",IFERROR(_xludf.MAXIFS(PAYMENTS!A:A,PAYMENTS!C:C,E54),""))</f>
        <v/>
      </c>
    </row>
    <row r="55" spans="1:15" x14ac:dyDescent="0.3">
      <c r="A55" s="2" t="s">
        <v>68</v>
      </c>
      <c r="B55" s="2">
        <v>2026</v>
      </c>
      <c r="C55" s="2">
        <v>12</v>
      </c>
      <c r="D55" s="2" t="s">
        <v>81</v>
      </c>
      <c r="E55" s="2" t="s">
        <v>300</v>
      </c>
      <c r="F55" s="2" t="s">
        <v>301</v>
      </c>
      <c r="G55" s="2" t="s">
        <v>302</v>
      </c>
      <c r="H55" s="2" t="s">
        <v>303</v>
      </c>
      <c r="I55" s="2" t="s">
        <v>192</v>
      </c>
      <c r="J55" s="2">
        <v>3200</v>
      </c>
      <c r="K55" s="2" t="s">
        <v>55</v>
      </c>
      <c r="L55">
        <f>IF(E55="","",SUMIF(PAYMENTS!C:C,E55,PAYMENTS!E:E))</f>
        <v>1903.18</v>
      </c>
      <c r="M55">
        <f t="shared" si="0"/>
        <v>1296.82</v>
      </c>
      <c r="N55" t="str">
        <f t="shared" si="1"/>
        <v>Part Paid</v>
      </c>
      <c r="O55" t="str">
        <f ca="1">IF(E55="","",IFERROR(_xludf.MAXIFS(PAYMENTS!A:A,PAYMENTS!C:C,E55),""))</f>
        <v/>
      </c>
    </row>
    <row r="56" spans="1:15" x14ac:dyDescent="0.3">
      <c r="A56" s="2" t="s">
        <v>74</v>
      </c>
      <c r="B56" s="2">
        <v>2026</v>
      </c>
      <c r="C56" s="2">
        <v>12</v>
      </c>
      <c r="D56" s="2" t="s">
        <v>87</v>
      </c>
      <c r="E56" s="2" t="s">
        <v>304</v>
      </c>
      <c r="F56" s="2" t="s">
        <v>305</v>
      </c>
      <c r="G56" s="2" t="s">
        <v>306</v>
      </c>
      <c r="H56" s="2" t="s">
        <v>307</v>
      </c>
      <c r="I56" s="2" t="s">
        <v>187</v>
      </c>
      <c r="J56" s="2">
        <v>3200</v>
      </c>
      <c r="K56" s="2" t="s">
        <v>55</v>
      </c>
      <c r="L56">
        <f>IF(E56="","",SUMIF(PAYMENTS!C:C,E56,PAYMENTS!E:E))</f>
        <v>1929.59</v>
      </c>
      <c r="M56">
        <f t="shared" si="0"/>
        <v>1270.4100000000001</v>
      </c>
      <c r="N56" t="str">
        <f t="shared" si="1"/>
        <v>Part Paid</v>
      </c>
      <c r="O56" t="str">
        <f ca="1">IF(E56="","",IFERROR(_xludf.MAXIFS(PAYMENTS!A:A,PAYMENTS!C:C,E56),""))</f>
        <v/>
      </c>
    </row>
    <row r="57" spans="1:15" x14ac:dyDescent="0.3">
      <c r="A57" s="2" t="s">
        <v>80</v>
      </c>
      <c r="B57" s="2">
        <v>2026</v>
      </c>
      <c r="C57" s="2">
        <v>12</v>
      </c>
      <c r="D57" s="2" t="s">
        <v>93</v>
      </c>
      <c r="E57" s="2" t="s">
        <v>308</v>
      </c>
      <c r="F57" s="2" t="s">
        <v>269</v>
      </c>
      <c r="G57" s="2" t="s">
        <v>309</v>
      </c>
      <c r="H57" s="2" t="s">
        <v>310</v>
      </c>
      <c r="I57" s="2" t="s">
        <v>192</v>
      </c>
      <c r="J57" s="2">
        <v>3200</v>
      </c>
      <c r="K57" s="2" t="s">
        <v>55</v>
      </c>
      <c r="L57">
        <f>IF(E57="","",SUMIF(PAYMENTS!C:C,E57,PAYMENTS!E:E))</f>
        <v>2371.6799999999998</v>
      </c>
      <c r="M57">
        <f t="shared" si="0"/>
        <v>828.32000000000016</v>
      </c>
      <c r="N57" t="str">
        <f t="shared" si="1"/>
        <v>Part Paid</v>
      </c>
      <c r="O57" t="str">
        <f ca="1">IF(E57="","",IFERROR(_xludf.MAXIFS(PAYMENTS!A:A,PAYMENTS!C:C,E57),""))</f>
        <v/>
      </c>
    </row>
    <row r="58" spans="1:15" x14ac:dyDescent="0.3">
      <c r="A58" s="2" t="s">
        <v>86</v>
      </c>
      <c r="B58" s="2">
        <v>2026</v>
      </c>
      <c r="C58" s="2">
        <v>12</v>
      </c>
      <c r="D58" s="2" t="s">
        <v>99</v>
      </c>
      <c r="E58" s="2" t="s">
        <v>311</v>
      </c>
      <c r="F58" s="2" t="s">
        <v>312</v>
      </c>
      <c r="G58" s="2" t="s">
        <v>313</v>
      </c>
      <c r="H58" s="2" t="s">
        <v>314</v>
      </c>
      <c r="I58" s="2" t="s">
        <v>187</v>
      </c>
      <c r="J58" s="2">
        <v>3200</v>
      </c>
      <c r="K58" s="2" t="s">
        <v>55</v>
      </c>
      <c r="L58">
        <f>IF(E58="","",SUMIF(PAYMENTS!C:C,E58,PAYMENTS!E:E))</f>
        <v>2481.0500000000002</v>
      </c>
      <c r="M58">
        <f t="shared" si="0"/>
        <v>718.94999999999982</v>
      </c>
      <c r="N58" t="str">
        <f t="shared" si="1"/>
        <v>Part Paid</v>
      </c>
      <c r="O58" t="str">
        <f ca="1">IF(E58="","",IFERROR(_xludf.MAXIFS(PAYMENTS!A:A,PAYMENTS!C:C,E58),""))</f>
        <v/>
      </c>
    </row>
    <row r="59" spans="1:15" x14ac:dyDescent="0.3">
      <c r="A59" s="2" t="s">
        <v>92</v>
      </c>
      <c r="B59" s="2">
        <v>2026</v>
      </c>
      <c r="C59" s="2">
        <v>12</v>
      </c>
      <c r="D59" s="2" t="s">
        <v>105</v>
      </c>
      <c r="E59" s="2" t="s">
        <v>315</v>
      </c>
      <c r="F59" s="2" t="s">
        <v>316</v>
      </c>
      <c r="G59" s="2" t="s">
        <v>317</v>
      </c>
      <c r="H59" s="2" t="s">
        <v>318</v>
      </c>
      <c r="I59" s="2" t="s">
        <v>192</v>
      </c>
      <c r="J59" s="2">
        <v>3200</v>
      </c>
      <c r="K59" s="2" t="s">
        <v>55</v>
      </c>
      <c r="L59">
        <f>IF(E59="","",SUMIF(PAYMENTS!C:C,E59,PAYMENTS!E:E))</f>
        <v>1890.53</v>
      </c>
      <c r="M59">
        <f t="shared" si="0"/>
        <v>1309.47</v>
      </c>
      <c r="N59" t="str">
        <f t="shared" si="1"/>
        <v>Part Paid</v>
      </c>
      <c r="O59" t="str">
        <f ca="1">IF(E59="","",IFERROR(_xludf.MAXIFS(PAYMENTS!A:A,PAYMENTS!C:C,E59),""))</f>
        <v/>
      </c>
    </row>
    <row r="60" spans="1:15" x14ac:dyDescent="0.3">
      <c r="A60" s="2" t="s">
        <v>98</v>
      </c>
      <c r="B60" s="2">
        <v>2026</v>
      </c>
      <c r="C60" s="2">
        <v>12</v>
      </c>
      <c r="D60" s="2" t="s">
        <v>111</v>
      </c>
      <c r="E60" s="2" t="s">
        <v>319</v>
      </c>
      <c r="F60" s="2" t="s">
        <v>320</v>
      </c>
      <c r="G60" s="2" t="s">
        <v>321</v>
      </c>
      <c r="H60" s="2" t="s">
        <v>322</v>
      </c>
      <c r="I60" s="2" t="s">
        <v>192</v>
      </c>
      <c r="J60" s="2">
        <v>3200</v>
      </c>
      <c r="K60" s="2" t="s">
        <v>55</v>
      </c>
      <c r="L60">
        <f>IF(E60="","",SUMIF(PAYMENTS!C:C,E60,PAYMENTS!E:E))</f>
        <v>2839.15</v>
      </c>
      <c r="M60">
        <f t="shared" si="0"/>
        <v>360.84999999999991</v>
      </c>
      <c r="N60" t="str">
        <f t="shared" si="1"/>
        <v>Part Paid</v>
      </c>
      <c r="O60" t="str">
        <f ca="1">IF(E60="","",IFERROR(_xludf.MAXIFS(PAYMENTS!A:A,PAYMENTS!C:C,E60),""))</f>
        <v/>
      </c>
    </row>
    <row r="61" spans="1:15" x14ac:dyDescent="0.3">
      <c r="A61" s="2" t="s">
        <v>104</v>
      </c>
      <c r="B61" s="2">
        <v>2026</v>
      </c>
      <c r="C61" s="2">
        <v>12</v>
      </c>
      <c r="D61" s="2" t="s">
        <v>117</v>
      </c>
      <c r="E61" s="2" t="s">
        <v>323</v>
      </c>
      <c r="F61" s="2" t="s">
        <v>324</v>
      </c>
      <c r="G61" s="2" t="s">
        <v>325</v>
      </c>
      <c r="H61" s="2" t="s">
        <v>326</v>
      </c>
      <c r="I61" s="2" t="s">
        <v>197</v>
      </c>
      <c r="J61" s="2">
        <v>1900</v>
      </c>
      <c r="K61" s="2" t="s">
        <v>55</v>
      </c>
      <c r="L61">
        <f>IF(E61="","",SUMIF(PAYMENTS!C:C,E61,PAYMENTS!E:E))</f>
        <v>1419.3400000000001</v>
      </c>
      <c r="M61">
        <f t="shared" si="0"/>
        <v>480.65999999999985</v>
      </c>
      <c r="N61" t="str">
        <f t="shared" si="1"/>
        <v>Part Paid</v>
      </c>
      <c r="O61" t="str">
        <f ca="1">IF(E61="","",IFERROR(_xludf.MAXIFS(PAYMENTS!A:A,PAYMENTS!C:C,E61),""))</f>
        <v/>
      </c>
    </row>
    <row r="62" spans="1:15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t="str">
        <f>IF(E62="","",SUMIF(PAYMENTS!C:C,E62,PAYMENTS!E:E))</f>
        <v/>
      </c>
      <c r="M62" t="str">
        <f t="shared" si="0"/>
        <v/>
      </c>
      <c r="N62" t="str">
        <f t="shared" si="1"/>
        <v/>
      </c>
      <c r="O62" t="str">
        <f>IF(E62="","",IFERROR(_xludf.MAXIFS(PAYMENTS!A:A,PAYMENTS!C:C,E62),""))</f>
        <v/>
      </c>
    </row>
    <row r="63" spans="1:15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t="str">
        <f>IF(E63="","",SUMIF(PAYMENTS!C:C,E63,PAYMENTS!E:E))</f>
        <v/>
      </c>
      <c r="M63" t="str">
        <f t="shared" si="0"/>
        <v/>
      </c>
      <c r="N63" t="str">
        <f t="shared" si="1"/>
        <v/>
      </c>
      <c r="O63" t="str">
        <f>IF(E63="","",IFERROR(_xludf.MAXIFS(PAYMENTS!A:A,PAYMENTS!C:C,E63),""))</f>
        <v/>
      </c>
    </row>
    <row r="64" spans="1:15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t="str">
        <f>IF(E64="","",SUMIF(PAYMENTS!C:C,E64,PAYMENTS!E:E))</f>
        <v/>
      </c>
      <c r="M64" t="str">
        <f t="shared" si="0"/>
        <v/>
      </c>
      <c r="N64" t="str">
        <f t="shared" si="1"/>
        <v/>
      </c>
      <c r="O64" t="str">
        <f>IF(E64="","",IFERROR(_xludf.MAXIFS(PAYMENTS!A:A,PAYMENTS!C:C,E64),""))</f>
        <v/>
      </c>
    </row>
    <row r="65" spans="1:15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t="str">
        <f>IF(E65="","",SUMIF(PAYMENTS!C:C,E65,PAYMENTS!E:E))</f>
        <v/>
      </c>
      <c r="M65" t="str">
        <f t="shared" si="0"/>
        <v/>
      </c>
      <c r="N65" t="str">
        <f t="shared" si="1"/>
        <v/>
      </c>
      <c r="O65" t="str">
        <f>IF(E65="","",IFERROR(_xludf.MAXIFS(PAYMENTS!A:A,PAYMENTS!C:C,E65),""))</f>
        <v/>
      </c>
    </row>
    <row r="66" spans="1:15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t="str">
        <f>IF(E66="","",SUMIF(PAYMENTS!C:C,E66,PAYMENTS!E:E))</f>
        <v/>
      </c>
      <c r="M66" t="str">
        <f t="shared" ref="M66:M129" si="2">IF(E66="","",J66-L66)</f>
        <v/>
      </c>
      <c r="N66" t="str">
        <f t="shared" ref="N66:N129" si="3">IF(E66="","",IF(M66&lt;=0,"Paid",IF(L66&gt;0,"Part Paid","Unpaid")))</f>
        <v/>
      </c>
      <c r="O66" t="str">
        <f>IF(E66="","",IFERROR(_xludf.MAXIFS(PAYMENTS!A:A,PAYMENTS!C:C,E66),""))</f>
        <v/>
      </c>
    </row>
    <row r="67" spans="1:15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t="str">
        <f>IF(E67="","",SUMIF(PAYMENTS!C:C,E67,PAYMENTS!E:E))</f>
        <v/>
      </c>
      <c r="M67" t="str">
        <f t="shared" si="2"/>
        <v/>
      </c>
      <c r="N67" t="str">
        <f t="shared" si="3"/>
        <v/>
      </c>
      <c r="O67" t="str">
        <f>IF(E67="","",IFERROR(_xludf.MAXIFS(PAYMENTS!A:A,PAYMENTS!C:C,E67),""))</f>
        <v/>
      </c>
    </row>
    <row r="68" spans="1:15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t="str">
        <f>IF(E68="","",SUMIF(PAYMENTS!C:C,E68,PAYMENTS!E:E))</f>
        <v/>
      </c>
      <c r="M68" t="str">
        <f t="shared" si="2"/>
        <v/>
      </c>
      <c r="N68" t="str">
        <f t="shared" si="3"/>
        <v/>
      </c>
      <c r="O68" t="str">
        <f>IF(E68="","",IFERROR(_xludf.MAXIFS(PAYMENTS!A:A,PAYMENTS!C:C,E68),""))</f>
        <v/>
      </c>
    </row>
    <row r="69" spans="1:15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t="str">
        <f>IF(E69="","",SUMIF(PAYMENTS!C:C,E69,PAYMENTS!E:E))</f>
        <v/>
      </c>
      <c r="M69" t="str">
        <f t="shared" si="2"/>
        <v/>
      </c>
      <c r="N69" t="str">
        <f t="shared" si="3"/>
        <v/>
      </c>
      <c r="O69" t="str">
        <f>IF(E69="","",IFERROR(_xludf.MAXIFS(PAYMENTS!A:A,PAYMENTS!C:C,E69),""))</f>
        <v/>
      </c>
    </row>
    <row r="70" spans="1:15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t="str">
        <f>IF(E70="","",SUMIF(PAYMENTS!C:C,E70,PAYMENTS!E:E))</f>
        <v/>
      </c>
      <c r="M70" t="str">
        <f t="shared" si="2"/>
        <v/>
      </c>
      <c r="N70" t="str">
        <f t="shared" si="3"/>
        <v/>
      </c>
      <c r="O70" t="str">
        <f>IF(E70="","",IFERROR(_xludf.MAXIFS(PAYMENTS!A:A,PAYMENTS!C:C,E70),""))</f>
        <v/>
      </c>
    </row>
    <row r="71" spans="1:15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t="str">
        <f>IF(E71="","",SUMIF(PAYMENTS!C:C,E71,PAYMENTS!E:E))</f>
        <v/>
      </c>
      <c r="M71" t="str">
        <f t="shared" si="2"/>
        <v/>
      </c>
      <c r="N71" t="str">
        <f t="shared" si="3"/>
        <v/>
      </c>
      <c r="O71" t="str">
        <f>IF(E71="","",IFERROR(_xludf.MAXIFS(PAYMENTS!A:A,PAYMENTS!C:C,E71),""))</f>
        <v/>
      </c>
    </row>
    <row r="72" spans="1:15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t="str">
        <f>IF(E72="","",SUMIF(PAYMENTS!C:C,E72,PAYMENTS!E:E))</f>
        <v/>
      </c>
      <c r="M72" t="str">
        <f t="shared" si="2"/>
        <v/>
      </c>
      <c r="N72" t="str">
        <f t="shared" si="3"/>
        <v/>
      </c>
      <c r="O72" t="str">
        <f>IF(E72="","",IFERROR(_xludf.MAXIFS(PAYMENTS!A:A,PAYMENTS!C:C,E72),""))</f>
        <v/>
      </c>
    </row>
    <row r="73" spans="1:15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t="str">
        <f>IF(E73="","",SUMIF(PAYMENTS!C:C,E73,PAYMENTS!E:E))</f>
        <v/>
      </c>
      <c r="M73" t="str">
        <f t="shared" si="2"/>
        <v/>
      </c>
      <c r="N73" t="str">
        <f t="shared" si="3"/>
        <v/>
      </c>
      <c r="O73" t="str">
        <f>IF(E73="","",IFERROR(_xludf.MAXIFS(PAYMENTS!A:A,PAYMENTS!C:C,E73),""))</f>
        <v/>
      </c>
    </row>
    <row r="74" spans="1:15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t="str">
        <f>IF(E74="","",SUMIF(PAYMENTS!C:C,E74,PAYMENTS!E:E))</f>
        <v/>
      </c>
      <c r="M74" t="str">
        <f t="shared" si="2"/>
        <v/>
      </c>
      <c r="N74" t="str">
        <f t="shared" si="3"/>
        <v/>
      </c>
      <c r="O74" t="str">
        <f>IF(E74="","",IFERROR(_xludf.MAXIFS(PAYMENTS!A:A,PAYMENTS!C:C,E74),""))</f>
        <v/>
      </c>
    </row>
    <row r="75" spans="1:15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t="str">
        <f>IF(E75="","",SUMIF(PAYMENTS!C:C,E75,PAYMENTS!E:E))</f>
        <v/>
      </c>
      <c r="M75" t="str">
        <f t="shared" si="2"/>
        <v/>
      </c>
      <c r="N75" t="str">
        <f t="shared" si="3"/>
        <v/>
      </c>
      <c r="O75" t="str">
        <f>IF(E75="","",IFERROR(_xludf.MAXIFS(PAYMENTS!A:A,PAYMENTS!C:C,E75),""))</f>
        <v/>
      </c>
    </row>
    <row r="76" spans="1:15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t="str">
        <f>IF(E76="","",SUMIF(PAYMENTS!C:C,E76,PAYMENTS!E:E))</f>
        <v/>
      </c>
      <c r="M76" t="str">
        <f t="shared" si="2"/>
        <v/>
      </c>
      <c r="N76" t="str">
        <f t="shared" si="3"/>
        <v/>
      </c>
      <c r="O76" t="str">
        <f>IF(E76="","",IFERROR(_xludf.MAXIFS(PAYMENTS!A:A,PAYMENTS!C:C,E76),""))</f>
        <v/>
      </c>
    </row>
    <row r="77" spans="1:15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t="str">
        <f>IF(E77="","",SUMIF(PAYMENTS!C:C,E77,PAYMENTS!E:E))</f>
        <v/>
      </c>
      <c r="M77" t="str">
        <f t="shared" si="2"/>
        <v/>
      </c>
      <c r="N77" t="str">
        <f t="shared" si="3"/>
        <v/>
      </c>
      <c r="O77" t="str">
        <f>IF(E77="","",IFERROR(_xludf.MAXIFS(PAYMENTS!A:A,PAYMENTS!C:C,E77),""))</f>
        <v/>
      </c>
    </row>
    <row r="78" spans="1:15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t="str">
        <f>IF(E78="","",SUMIF(PAYMENTS!C:C,E78,PAYMENTS!E:E))</f>
        <v/>
      </c>
      <c r="M78" t="str">
        <f t="shared" si="2"/>
        <v/>
      </c>
      <c r="N78" t="str">
        <f t="shared" si="3"/>
        <v/>
      </c>
      <c r="O78" t="str">
        <f>IF(E78="","",IFERROR(_xludf.MAXIFS(PAYMENTS!A:A,PAYMENTS!C:C,E78),""))</f>
        <v/>
      </c>
    </row>
    <row r="79" spans="1:15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t="str">
        <f>IF(E79="","",SUMIF(PAYMENTS!C:C,E79,PAYMENTS!E:E))</f>
        <v/>
      </c>
      <c r="M79" t="str">
        <f t="shared" si="2"/>
        <v/>
      </c>
      <c r="N79" t="str">
        <f t="shared" si="3"/>
        <v/>
      </c>
      <c r="O79" t="str">
        <f>IF(E79="","",IFERROR(_xludf.MAXIFS(PAYMENTS!A:A,PAYMENTS!C:C,E79),""))</f>
        <v/>
      </c>
    </row>
    <row r="80" spans="1:15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t="str">
        <f>IF(E80="","",SUMIF(PAYMENTS!C:C,E80,PAYMENTS!E:E))</f>
        <v/>
      </c>
      <c r="M80" t="str">
        <f t="shared" si="2"/>
        <v/>
      </c>
      <c r="N80" t="str">
        <f t="shared" si="3"/>
        <v/>
      </c>
      <c r="O80" t="str">
        <f>IF(E80="","",IFERROR(_xludf.MAXIFS(PAYMENTS!A:A,PAYMENTS!C:C,E80),""))</f>
        <v/>
      </c>
    </row>
    <row r="81" spans="1:15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t="str">
        <f>IF(E81="","",SUMIF(PAYMENTS!C:C,E81,PAYMENTS!E:E))</f>
        <v/>
      </c>
      <c r="M81" t="str">
        <f t="shared" si="2"/>
        <v/>
      </c>
      <c r="N81" t="str">
        <f t="shared" si="3"/>
        <v/>
      </c>
      <c r="O81" t="str">
        <f>IF(E81="","",IFERROR(_xludf.MAXIFS(PAYMENTS!A:A,PAYMENTS!C:C,E81),""))</f>
        <v/>
      </c>
    </row>
    <row r="82" spans="1:15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t="str">
        <f>IF(E82="","",SUMIF(PAYMENTS!C:C,E82,PAYMENTS!E:E))</f>
        <v/>
      </c>
      <c r="M82" t="str">
        <f t="shared" si="2"/>
        <v/>
      </c>
      <c r="N82" t="str">
        <f t="shared" si="3"/>
        <v/>
      </c>
      <c r="O82" t="str">
        <f>IF(E82="","",IFERROR(_xludf.MAXIFS(PAYMENTS!A:A,PAYMENTS!C:C,E82),""))</f>
        <v/>
      </c>
    </row>
    <row r="83" spans="1:15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t="str">
        <f>IF(E83="","",SUMIF(PAYMENTS!C:C,E83,PAYMENTS!E:E))</f>
        <v/>
      </c>
      <c r="M83" t="str">
        <f t="shared" si="2"/>
        <v/>
      </c>
      <c r="N83" t="str">
        <f t="shared" si="3"/>
        <v/>
      </c>
      <c r="O83" t="str">
        <f>IF(E83="","",IFERROR(_xludf.MAXIFS(PAYMENTS!A:A,PAYMENTS!C:C,E83),""))</f>
        <v/>
      </c>
    </row>
    <row r="84" spans="1:15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t="str">
        <f>IF(E84="","",SUMIF(PAYMENTS!C:C,E84,PAYMENTS!E:E))</f>
        <v/>
      </c>
      <c r="M84" t="str">
        <f t="shared" si="2"/>
        <v/>
      </c>
      <c r="N84" t="str">
        <f t="shared" si="3"/>
        <v/>
      </c>
      <c r="O84" t="str">
        <f>IF(E84="","",IFERROR(_xludf.MAXIFS(PAYMENTS!A:A,PAYMENTS!C:C,E84),""))</f>
        <v/>
      </c>
    </row>
    <row r="85" spans="1:15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t="str">
        <f>IF(E85="","",SUMIF(PAYMENTS!C:C,E85,PAYMENTS!E:E))</f>
        <v/>
      </c>
      <c r="M85" t="str">
        <f t="shared" si="2"/>
        <v/>
      </c>
      <c r="N85" t="str">
        <f t="shared" si="3"/>
        <v/>
      </c>
      <c r="O85" t="str">
        <f>IF(E85="","",IFERROR(_xludf.MAXIFS(PAYMENTS!A:A,PAYMENTS!C:C,E85),""))</f>
        <v/>
      </c>
    </row>
    <row r="86" spans="1:15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t="str">
        <f>IF(E86="","",SUMIF(PAYMENTS!C:C,E86,PAYMENTS!E:E))</f>
        <v/>
      </c>
      <c r="M86" t="str">
        <f t="shared" si="2"/>
        <v/>
      </c>
      <c r="N86" t="str">
        <f t="shared" si="3"/>
        <v/>
      </c>
      <c r="O86" t="str">
        <f>IF(E86="","",IFERROR(_xludf.MAXIFS(PAYMENTS!A:A,PAYMENTS!C:C,E86),""))</f>
        <v/>
      </c>
    </row>
    <row r="87" spans="1:15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t="str">
        <f>IF(E87="","",SUMIF(PAYMENTS!C:C,E87,PAYMENTS!E:E))</f>
        <v/>
      </c>
      <c r="M87" t="str">
        <f t="shared" si="2"/>
        <v/>
      </c>
      <c r="N87" t="str">
        <f t="shared" si="3"/>
        <v/>
      </c>
      <c r="O87" t="str">
        <f>IF(E87="","",IFERROR(_xludf.MAXIFS(PAYMENTS!A:A,PAYMENTS!C:C,E87),""))</f>
        <v/>
      </c>
    </row>
    <row r="88" spans="1:15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t="str">
        <f>IF(E88="","",SUMIF(PAYMENTS!C:C,E88,PAYMENTS!E:E))</f>
        <v/>
      </c>
      <c r="M88" t="str">
        <f t="shared" si="2"/>
        <v/>
      </c>
      <c r="N88" t="str">
        <f t="shared" si="3"/>
        <v/>
      </c>
      <c r="O88" t="str">
        <f>IF(E88="","",IFERROR(_xludf.MAXIFS(PAYMENTS!A:A,PAYMENTS!C:C,E88),""))</f>
        <v/>
      </c>
    </row>
    <row r="89" spans="1:15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t="str">
        <f>IF(E89="","",SUMIF(PAYMENTS!C:C,E89,PAYMENTS!E:E))</f>
        <v/>
      </c>
      <c r="M89" t="str">
        <f t="shared" si="2"/>
        <v/>
      </c>
      <c r="N89" t="str">
        <f t="shared" si="3"/>
        <v/>
      </c>
      <c r="O89" t="str">
        <f>IF(E89="","",IFERROR(_xludf.MAXIFS(PAYMENTS!A:A,PAYMENTS!C:C,E89),""))</f>
        <v/>
      </c>
    </row>
    <row r="90" spans="1:15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t="str">
        <f>IF(E90="","",SUMIF(PAYMENTS!C:C,E90,PAYMENTS!E:E))</f>
        <v/>
      </c>
      <c r="M90" t="str">
        <f t="shared" si="2"/>
        <v/>
      </c>
      <c r="N90" t="str">
        <f t="shared" si="3"/>
        <v/>
      </c>
      <c r="O90" t="str">
        <f>IF(E90="","",IFERROR(_xludf.MAXIFS(PAYMENTS!A:A,PAYMENTS!C:C,E90),""))</f>
        <v/>
      </c>
    </row>
    <row r="91" spans="1:15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t="str">
        <f>IF(E91="","",SUMIF(PAYMENTS!C:C,E91,PAYMENTS!E:E))</f>
        <v/>
      </c>
      <c r="M91" t="str">
        <f t="shared" si="2"/>
        <v/>
      </c>
      <c r="N91" t="str">
        <f t="shared" si="3"/>
        <v/>
      </c>
      <c r="O91" t="str">
        <f>IF(E91="","",IFERROR(_xludf.MAXIFS(PAYMENTS!A:A,PAYMENTS!C:C,E91),""))</f>
        <v/>
      </c>
    </row>
    <row r="92" spans="1:15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t="str">
        <f>IF(E92="","",SUMIF(PAYMENTS!C:C,E92,PAYMENTS!E:E))</f>
        <v/>
      </c>
      <c r="M92" t="str">
        <f t="shared" si="2"/>
        <v/>
      </c>
      <c r="N92" t="str">
        <f t="shared" si="3"/>
        <v/>
      </c>
      <c r="O92" t="str">
        <f>IF(E92="","",IFERROR(_xludf.MAXIFS(PAYMENTS!A:A,PAYMENTS!C:C,E92),""))</f>
        <v/>
      </c>
    </row>
    <row r="93" spans="1:15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t="str">
        <f>IF(E93="","",SUMIF(PAYMENTS!C:C,E93,PAYMENTS!E:E))</f>
        <v/>
      </c>
      <c r="M93" t="str">
        <f t="shared" si="2"/>
        <v/>
      </c>
      <c r="N93" t="str">
        <f t="shared" si="3"/>
        <v/>
      </c>
      <c r="O93" t="str">
        <f>IF(E93="","",IFERROR(_xludf.MAXIFS(PAYMENTS!A:A,PAYMENTS!C:C,E93),""))</f>
        <v/>
      </c>
    </row>
    <row r="94" spans="1:15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t="str">
        <f>IF(E94="","",SUMIF(PAYMENTS!C:C,E94,PAYMENTS!E:E))</f>
        <v/>
      </c>
      <c r="M94" t="str">
        <f t="shared" si="2"/>
        <v/>
      </c>
      <c r="N94" t="str">
        <f t="shared" si="3"/>
        <v/>
      </c>
      <c r="O94" t="str">
        <f>IF(E94="","",IFERROR(_xludf.MAXIFS(PAYMENTS!A:A,PAYMENTS!C:C,E94),""))</f>
        <v/>
      </c>
    </row>
    <row r="95" spans="1:15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t="str">
        <f>IF(E95="","",SUMIF(PAYMENTS!C:C,E95,PAYMENTS!E:E))</f>
        <v/>
      </c>
      <c r="M95" t="str">
        <f t="shared" si="2"/>
        <v/>
      </c>
      <c r="N95" t="str">
        <f t="shared" si="3"/>
        <v/>
      </c>
      <c r="O95" t="str">
        <f>IF(E95="","",IFERROR(_xludf.MAXIFS(PAYMENTS!A:A,PAYMENTS!C:C,E95),""))</f>
        <v/>
      </c>
    </row>
    <row r="96" spans="1:15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t="str">
        <f>IF(E96="","",SUMIF(PAYMENTS!C:C,E96,PAYMENTS!E:E))</f>
        <v/>
      </c>
      <c r="M96" t="str">
        <f t="shared" si="2"/>
        <v/>
      </c>
      <c r="N96" t="str">
        <f t="shared" si="3"/>
        <v/>
      </c>
      <c r="O96" t="str">
        <f>IF(E96="","",IFERROR(_xludf.MAXIFS(PAYMENTS!A:A,PAYMENTS!C:C,E96),""))</f>
        <v/>
      </c>
    </row>
    <row r="97" spans="1:15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t="str">
        <f>IF(E97="","",SUMIF(PAYMENTS!C:C,E97,PAYMENTS!E:E))</f>
        <v/>
      </c>
      <c r="M97" t="str">
        <f t="shared" si="2"/>
        <v/>
      </c>
      <c r="N97" t="str">
        <f t="shared" si="3"/>
        <v/>
      </c>
      <c r="O97" t="str">
        <f>IF(E97="","",IFERROR(_xludf.MAXIFS(PAYMENTS!A:A,PAYMENTS!C:C,E97),""))</f>
        <v/>
      </c>
    </row>
    <row r="98" spans="1:15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t="str">
        <f>IF(E98="","",SUMIF(PAYMENTS!C:C,E98,PAYMENTS!E:E))</f>
        <v/>
      </c>
      <c r="M98" t="str">
        <f t="shared" si="2"/>
        <v/>
      </c>
      <c r="N98" t="str">
        <f t="shared" si="3"/>
        <v/>
      </c>
      <c r="O98" t="str">
        <f>IF(E98="","",IFERROR(_xludf.MAXIFS(PAYMENTS!A:A,PAYMENTS!C:C,E98),""))</f>
        <v/>
      </c>
    </row>
    <row r="99" spans="1:15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t="str">
        <f>IF(E99="","",SUMIF(PAYMENTS!C:C,E99,PAYMENTS!E:E))</f>
        <v/>
      </c>
      <c r="M99" t="str">
        <f t="shared" si="2"/>
        <v/>
      </c>
      <c r="N99" t="str">
        <f t="shared" si="3"/>
        <v/>
      </c>
      <c r="O99" t="str">
        <f>IF(E99="","",IFERROR(_xludf.MAXIFS(PAYMENTS!A:A,PAYMENTS!C:C,E99),""))</f>
        <v/>
      </c>
    </row>
    <row r="100" spans="1:15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t="str">
        <f>IF(E100="","",SUMIF(PAYMENTS!C:C,E100,PAYMENTS!E:E))</f>
        <v/>
      </c>
      <c r="M100" t="str">
        <f t="shared" si="2"/>
        <v/>
      </c>
      <c r="N100" t="str">
        <f t="shared" si="3"/>
        <v/>
      </c>
      <c r="O100" t="str">
        <f>IF(E100="","",IFERROR(_xludf.MAXIFS(PAYMENTS!A:A,PAYMENTS!C:C,E100),""))</f>
        <v/>
      </c>
    </row>
    <row r="101" spans="1:15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t="str">
        <f>IF(E101="","",SUMIF(PAYMENTS!C:C,E101,PAYMENTS!E:E))</f>
        <v/>
      </c>
      <c r="M101" t="str">
        <f t="shared" si="2"/>
        <v/>
      </c>
      <c r="N101" t="str">
        <f t="shared" si="3"/>
        <v/>
      </c>
      <c r="O101" t="str">
        <f>IF(E101="","",IFERROR(_xludf.MAXIFS(PAYMENTS!A:A,PAYMENTS!C:C,E101),""))</f>
        <v/>
      </c>
    </row>
    <row r="102" spans="1:15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t="str">
        <f>IF(E102="","",SUMIF(PAYMENTS!C:C,E102,PAYMENTS!E:E))</f>
        <v/>
      </c>
      <c r="M102" t="str">
        <f t="shared" si="2"/>
        <v/>
      </c>
      <c r="N102" t="str">
        <f t="shared" si="3"/>
        <v/>
      </c>
      <c r="O102" t="str">
        <f>IF(E102="","",IFERROR(_xludf.MAXIFS(PAYMENTS!A:A,PAYMENTS!C:C,E102),""))</f>
        <v/>
      </c>
    </row>
    <row r="103" spans="1:15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t="str">
        <f>IF(E103="","",SUMIF(PAYMENTS!C:C,E103,PAYMENTS!E:E))</f>
        <v/>
      </c>
      <c r="M103" t="str">
        <f t="shared" si="2"/>
        <v/>
      </c>
      <c r="N103" t="str">
        <f t="shared" si="3"/>
        <v/>
      </c>
      <c r="O103" t="str">
        <f>IF(E103="","",IFERROR(_xludf.MAXIFS(PAYMENTS!A:A,PAYMENTS!C:C,E103),""))</f>
        <v/>
      </c>
    </row>
    <row r="104" spans="1:15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t="str">
        <f>IF(E104="","",SUMIF(PAYMENTS!C:C,E104,PAYMENTS!E:E))</f>
        <v/>
      </c>
      <c r="M104" t="str">
        <f t="shared" si="2"/>
        <v/>
      </c>
      <c r="N104" t="str">
        <f t="shared" si="3"/>
        <v/>
      </c>
      <c r="O104" t="str">
        <f>IF(E104="","",IFERROR(_xludf.MAXIFS(PAYMENTS!A:A,PAYMENTS!C:C,E104),""))</f>
        <v/>
      </c>
    </row>
    <row r="105" spans="1:15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t="str">
        <f>IF(E105="","",SUMIF(PAYMENTS!C:C,E105,PAYMENTS!E:E))</f>
        <v/>
      </c>
      <c r="M105" t="str">
        <f t="shared" si="2"/>
        <v/>
      </c>
      <c r="N105" t="str">
        <f t="shared" si="3"/>
        <v/>
      </c>
      <c r="O105" t="str">
        <f>IF(E105="","",IFERROR(_xludf.MAXIFS(PAYMENTS!A:A,PAYMENTS!C:C,E105),""))</f>
        <v/>
      </c>
    </row>
    <row r="106" spans="1:15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t="str">
        <f>IF(E106="","",SUMIF(PAYMENTS!C:C,E106,PAYMENTS!E:E))</f>
        <v/>
      </c>
      <c r="M106" t="str">
        <f t="shared" si="2"/>
        <v/>
      </c>
      <c r="N106" t="str">
        <f t="shared" si="3"/>
        <v/>
      </c>
      <c r="O106" t="str">
        <f>IF(E106="","",IFERROR(_xludf.MAXIFS(PAYMENTS!A:A,PAYMENTS!C:C,E106),""))</f>
        <v/>
      </c>
    </row>
    <row r="107" spans="1:15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t="str">
        <f>IF(E107="","",SUMIF(PAYMENTS!C:C,E107,PAYMENTS!E:E))</f>
        <v/>
      </c>
      <c r="M107" t="str">
        <f t="shared" si="2"/>
        <v/>
      </c>
      <c r="N107" t="str">
        <f t="shared" si="3"/>
        <v/>
      </c>
      <c r="O107" t="str">
        <f>IF(E107="","",IFERROR(_xludf.MAXIFS(PAYMENTS!A:A,PAYMENTS!C:C,E107),""))</f>
        <v/>
      </c>
    </row>
    <row r="108" spans="1:15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t="str">
        <f>IF(E108="","",SUMIF(PAYMENTS!C:C,E108,PAYMENTS!E:E))</f>
        <v/>
      </c>
      <c r="M108" t="str">
        <f t="shared" si="2"/>
        <v/>
      </c>
      <c r="N108" t="str">
        <f t="shared" si="3"/>
        <v/>
      </c>
      <c r="O108" t="str">
        <f>IF(E108="","",IFERROR(_xludf.MAXIFS(PAYMENTS!A:A,PAYMENTS!C:C,E108),""))</f>
        <v/>
      </c>
    </row>
    <row r="109" spans="1:15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t="str">
        <f>IF(E109="","",SUMIF(PAYMENTS!C:C,E109,PAYMENTS!E:E))</f>
        <v/>
      </c>
      <c r="M109" t="str">
        <f t="shared" si="2"/>
        <v/>
      </c>
      <c r="N109" t="str">
        <f t="shared" si="3"/>
        <v/>
      </c>
      <c r="O109" t="str">
        <f>IF(E109="","",IFERROR(_xludf.MAXIFS(PAYMENTS!A:A,PAYMENTS!C:C,E109),""))</f>
        <v/>
      </c>
    </row>
    <row r="110" spans="1:15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t="str">
        <f>IF(E110="","",SUMIF(PAYMENTS!C:C,E110,PAYMENTS!E:E))</f>
        <v/>
      </c>
      <c r="M110" t="str">
        <f t="shared" si="2"/>
        <v/>
      </c>
      <c r="N110" t="str">
        <f t="shared" si="3"/>
        <v/>
      </c>
      <c r="O110" t="str">
        <f>IF(E110="","",IFERROR(_xludf.MAXIFS(PAYMENTS!A:A,PAYMENTS!C:C,E110),""))</f>
        <v/>
      </c>
    </row>
    <row r="111" spans="1:15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t="str">
        <f>IF(E111="","",SUMIF(PAYMENTS!C:C,E111,PAYMENTS!E:E))</f>
        <v/>
      </c>
      <c r="M111" t="str">
        <f t="shared" si="2"/>
        <v/>
      </c>
      <c r="N111" t="str">
        <f t="shared" si="3"/>
        <v/>
      </c>
      <c r="O111" t="str">
        <f>IF(E111="","",IFERROR(_xludf.MAXIFS(PAYMENTS!A:A,PAYMENTS!C:C,E111),""))</f>
        <v/>
      </c>
    </row>
    <row r="112" spans="1:15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t="str">
        <f>IF(E112="","",SUMIF(PAYMENTS!C:C,E112,PAYMENTS!E:E))</f>
        <v/>
      </c>
      <c r="M112" t="str">
        <f t="shared" si="2"/>
        <v/>
      </c>
      <c r="N112" t="str">
        <f t="shared" si="3"/>
        <v/>
      </c>
      <c r="O112" t="str">
        <f>IF(E112="","",IFERROR(_xludf.MAXIFS(PAYMENTS!A:A,PAYMENTS!C:C,E112),""))</f>
        <v/>
      </c>
    </row>
    <row r="113" spans="1:15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t="str">
        <f>IF(E113="","",SUMIF(PAYMENTS!C:C,E113,PAYMENTS!E:E))</f>
        <v/>
      </c>
      <c r="M113" t="str">
        <f t="shared" si="2"/>
        <v/>
      </c>
      <c r="N113" t="str">
        <f t="shared" si="3"/>
        <v/>
      </c>
      <c r="O113" t="str">
        <f>IF(E113="","",IFERROR(_xludf.MAXIFS(PAYMENTS!A:A,PAYMENTS!C:C,E113),""))</f>
        <v/>
      </c>
    </row>
    <row r="114" spans="1:15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t="str">
        <f>IF(E114="","",SUMIF(PAYMENTS!C:C,E114,PAYMENTS!E:E))</f>
        <v/>
      </c>
      <c r="M114" t="str">
        <f t="shared" si="2"/>
        <v/>
      </c>
      <c r="N114" t="str">
        <f t="shared" si="3"/>
        <v/>
      </c>
      <c r="O114" t="str">
        <f>IF(E114="","",IFERROR(_xludf.MAXIFS(PAYMENTS!A:A,PAYMENTS!C:C,E114),""))</f>
        <v/>
      </c>
    </row>
    <row r="115" spans="1:15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t="str">
        <f>IF(E115="","",SUMIF(PAYMENTS!C:C,E115,PAYMENTS!E:E))</f>
        <v/>
      </c>
      <c r="M115" t="str">
        <f t="shared" si="2"/>
        <v/>
      </c>
      <c r="N115" t="str">
        <f t="shared" si="3"/>
        <v/>
      </c>
      <c r="O115" t="str">
        <f>IF(E115="","",IFERROR(_xludf.MAXIFS(PAYMENTS!A:A,PAYMENTS!C:C,E115),""))</f>
        <v/>
      </c>
    </row>
    <row r="116" spans="1:15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t="str">
        <f>IF(E116="","",SUMIF(PAYMENTS!C:C,E116,PAYMENTS!E:E))</f>
        <v/>
      </c>
      <c r="M116" t="str">
        <f t="shared" si="2"/>
        <v/>
      </c>
      <c r="N116" t="str">
        <f t="shared" si="3"/>
        <v/>
      </c>
      <c r="O116" t="str">
        <f>IF(E116="","",IFERROR(_xludf.MAXIFS(PAYMENTS!A:A,PAYMENTS!C:C,E116),""))</f>
        <v/>
      </c>
    </row>
    <row r="117" spans="1:15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t="str">
        <f>IF(E117="","",SUMIF(PAYMENTS!C:C,E117,PAYMENTS!E:E))</f>
        <v/>
      </c>
      <c r="M117" t="str">
        <f t="shared" si="2"/>
        <v/>
      </c>
      <c r="N117" t="str">
        <f t="shared" si="3"/>
        <v/>
      </c>
      <c r="O117" t="str">
        <f>IF(E117="","",IFERROR(_xludf.MAXIFS(PAYMENTS!A:A,PAYMENTS!C:C,E117),""))</f>
        <v/>
      </c>
    </row>
    <row r="118" spans="1:15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t="str">
        <f>IF(E118="","",SUMIF(PAYMENTS!C:C,E118,PAYMENTS!E:E))</f>
        <v/>
      </c>
      <c r="M118" t="str">
        <f t="shared" si="2"/>
        <v/>
      </c>
      <c r="N118" t="str">
        <f t="shared" si="3"/>
        <v/>
      </c>
      <c r="O118" t="str">
        <f>IF(E118="","",IFERROR(_xludf.MAXIFS(PAYMENTS!A:A,PAYMENTS!C:C,E118),""))</f>
        <v/>
      </c>
    </row>
    <row r="119" spans="1:15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t="str">
        <f>IF(E119="","",SUMIF(PAYMENTS!C:C,E119,PAYMENTS!E:E))</f>
        <v/>
      </c>
      <c r="M119" t="str">
        <f t="shared" si="2"/>
        <v/>
      </c>
      <c r="N119" t="str">
        <f t="shared" si="3"/>
        <v/>
      </c>
      <c r="O119" t="str">
        <f>IF(E119="","",IFERROR(_xludf.MAXIFS(PAYMENTS!A:A,PAYMENTS!C:C,E119),""))</f>
        <v/>
      </c>
    </row>
    <row r="120" spans="1:15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t="str">
        <f>IF(E120="","",SUMIF(PAYMENTS!C:C,E120,PAYMENTS!E:E))</f>
        <v/>
      </c>
      <c r="M120" t="str">
        <f t="shared" si="2"/>
        <v/>
      </c>
      <c r="N120" t="str">
        <f t="shared" si="3"/>
        <v/>
      </c>
      <c r="O120" t="str">
        <f>IF(E120="","",IFERROR(_xludf.MAXIFS(PAYMENTS!A:A,PAYMENTS!C:C,E120),""))</f>
        <v/>
      </c>
    </row>
    <row r="121" spans="1:15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t="str">
        <f>IF(E121="","",SUMIF(PAYMENTS!C:C,E121,PAYMENTS!E:E))</f>
        <v/>
      </c>
      <c r="M121" t="str">
        <f t="shared" si="2"/>
        <v/>
      </c>
      <c r="N121" t="str">
        <f t="shared" si="3"/>
        <v/>
      </c>
      <c r="O121" t="str">
        <f>IF(E121="","",IFERROR(_xludf.MAXIFS(PAYMENTS!A:A,PAYMENTS!C:C,E121),""))</f>
        <v/>
      </c>
    </row>
    <row r="122" spans="1:15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t="str">
        <f>IF(E122="","",SUMIF(PAYMENTS!C:C,E122,PAYMENTS!E:E))</f>
        <v/>
      </c>
      <c r="M122" t="str">
        <f t="shared" si="2"/>
        <v/>
      </c>
      <c r="N122" t="str">
        <f t="shared" si="3"/>
        <v/>
      </c>
      <c r="O122" t="str">
        <f>IF(E122="","",IFERROR(_xludf.MAXIFS(PAYMENTS!A:A,PAYMENTS!C:C,E122),""))</f>
        <v/>
      </c>
    </row>
    <row r="123" spans="1:15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t="str">
        <f>IF(E123="","",SUMIF(PAYMENTS!C:C,E123,PAYMENTS!E:E))</f>
        <v/>
      </c>
      <c r="M123" t="str">
        <f t="shared" si="2"/>
        <v/>
      </c>
      <c r="N123" t="str">
        <f t="shared" si="3"/>
        <v/>
      </c>
      <c r="O123" t="str">
        <f>IF(E123="","",IFERROR(_xludf.MAXIFS(PAYMENTS!A:A,PAYMENTS!C:C,E123),""))</f>
        <v/>
      </c>
    </row>
    <row r="124" spans="1:15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t="str">
        <f>IF(E124="","",SUMIF(PAYMENTS!C:C,E124,PAYMENTS!E:E))</f>
        <v/>
      </c>
      <c r="M124" t="str">
        <f t="shared" si="2"/>
        <v/>
      </c>
      <c r="N124" t="str">
        <f t="shared" si="3"/>
        <v/>
      </c>
      <c r="O124" t="str">
        <f>IF(E124="","",IFERROR(_xludf.MAXIFS(PAYMENTS!A:A,PAYMENTS!C:C,E124),""))</f>
        <v/>
      </c>
    </row>
    <row r="125" spans="1:15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t="str">
        <f>IF(E125="","",SUMIF(PAYMENTS!C:C,E125,PAYMENTS!E:E))</f>
        <v/>
      </c>
      <c r="M125" t="str">
        <f t="shared" si="2"/>
        <v/>
      </c>
      <c r="N125" t="str">
        <f t="shared" si="3"/>
        <v/>
      </c>
      <c r="O125" t="str">
        <f>IF(E125="","",IFERROR(_xludf.MAXIFS(PAYMENTS!A:A,PAYMENTS!C:C,E125),""))</f>
        <v/>
      </c>
    </row>
    <row r="126" spans="1:15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t="str">
        <f>IF(E126="","",SUMIF(PAYMENTS!C:C,E126,PAYMENTS!E:E))</f>
        <v/>
      </c>
      <c r="M126" t="str">
        <f t="shared" si="2"/>
        <v/>
      </c>
      <c r="N126" t="str">
        <f t="shared" si="3"/>
        <v/>
      </c>
      <c r="O126" t="str">
        <f>IF(E126="","",IFERROR(_xludf.MAXIFS(PAYMENTS!A:A,PAYMENTS!C:C,E126),""))</f>
        <v/>
      </c>
    </row>
    <row r="127" spans="1:15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t="str">
        <f>IF(E127="","",SUMIF(PAYMENTS!C:C,E127,PAYMENTS!E:E))</f>
        <v/>
      </c>
      <c r="M127" t="str">
        <f t="shared" si="2"/>
        <v/>
      </c>
      <c r="N127" t="str">
        <f t="shared" si="3"/>
        <v/>
      </c>
      <c r="O127" t="str">
        <f>IF(E127="","",IFERROR(_xludf.MAXIFS(PAYMENTS!A:A,PAYMENTS!C:C,E127),""))</f>
        <v/>
      </c>
    </row>
    <row r="128" spans="1:15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t="str">
        <f>IF(E128="","",SUMIF(PAYMENTS!C:C,E128,PAYMENTS!E:E))</f>
        <v/>
      </c>
      <c r="M128" t="str">
        <f t="shared" si="2"/>
        <v/>
      </c>
      <c r="N128" t="str">
        <f t="shared" si="3"/>
        <v/>
      </c>
      <c r="O128" t="str">
        <f>IF(E128="","",IFERROR(_xludf.MAXIFS(PAYMENTS!A:A,PAYMENTS!C:C,E128),""))</f>
        <v/>
      </c>
    </row>
    <row r="129" spans="1:15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t="str">
        <f>IF(E129="","",SUMIF(PAYMENTS!C:C,E129,PAYMENTS!E:E))</f>
        <v/>
      </c>
      <c r="M129" t="str">
        <f t="shared" si="2"/>
        <v/>
      </c>
      <c r="N129" t="str">
        <f t="shared" si="3"/>
        <v/>
      </c>
      <c r="O129" t="str">
        <f>IF(E129="","",IFERROR(_xludf.MAXIFS(PAYMENTS!A:A,PAYMENTS!C:C,E129),""))</f>
        <v/>
      </c>
    </row>
    <row r="130" spans="1:15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t="str">
        <f>IF(E130="","",SUMIF(PAYMENTS!C:C,E130,PAYMENTS!E:E))</f>
        <v/>
      </c>
      <c r="M130" t="str">
        <f t="shared" ref="M130:M193" si="4">IF(E130="","",J130-L130)</f>
        <v/>
      </c>
      <c r="N130" t="str">
        <f t="shared" ref="N130:N193" si="5">IF(E130="","",IF(M130&lt;=0,"Paid",IF(L130&gt;0,"Part Paid","Unpaid")))</f>
        <v/>
      </c>
      <c r="O130" t="str">
        <f>IF(E130="","",IFERROR(_xludf.MAXIFS(PAYMENTS!A:A,PAYMENTS!C:C,E130),""))</f>
        <v/>
      </c>
    </row>
    <row r="131" spans="1:15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t="str">
        <f>IF(E131="","",SUMIF(PAYMENTS!C:C,E131,PAYMENTS!E:E))</f>
        <v/>
      </c>
      <c r="M131" t="str">
        <f t="shared" si="4"/>
        <v/>
      </c>
      <c r="N131" t="str">
        <f t="shared" si="5"/>
        <v/>
      </c>
      <c r="O131" t="str">
        <f>IF(E131="","",IFERROR(_xludf.MAXIFS(PAYMENTS!A:A,PAYMENTS!C:C,E131),""))</f>
        <v/>
      </c>
    </row>
    <row r="132" spans="1:15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t="str">
        <f>IF(E132="","",SUMIF(PAYMENTS!C:C,E132,PAYMENTS!E:E))</f>
        <v/>
      </c>
      <c r="M132" t="str">
        <f t="shared" si="4"/>
        <v/>
      </c>
      <c r="N132" t="str">
        <f t="shared" si="5"/>
        <v/>
      </c>
      <c r="O132" t="str">
        <f>IF(E132="","",IFERROR(_xludf.MAXIFS(PAYMENTS!A:A,PAYMENTS!C:C,E132),""))</f>
        <v/>
      </c>
    </row>
    <row r="133" spans="1:15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t="str">
        <f>IF(E133="","",SUMIF(PAYMENTS!C:C,E133,PAYMENTS!E:E))</f>
        <v/>
      </c>
      <c r="M133" t="str">
        <f t="shared" si="4"/>
        <v/>
      </c>
      <c r="N133" t="str">
        <f t="shared" si="5"/>
        <v/>
      </c>
      <c r="O133" t="str">
        <f>IF(E133="","",IFERROR(_xludf.MAXIFS(PAYMENTS!A:A,PAYMENTS!C:C,E133),""))</f>
        <v/>
      </c>
    </row>
    <row r="134" spans="1:15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t="str">
        <f>IF(E134="","",SUMIF(PAYMENTS!C:C,E134,PAYMENTS!E:E))</f>
        <v/>
      </c>
      <c r="M134" t="str">
        <f t="shared" si="4"/>
        <v/>
      </c>
      <c r="N134" t="str">
        <f t="shared" si="5"/>
        <v/>
      </c>
      <c r="O134" t="str">
        <f>IF(E134="","",IFERROR(_xludf.MAXIFS(PAYMENTS!A:A,PAYMENTS!C:C,E134),""))</f>
        <v/>
      </c>
    </row>
    <row r="135" spans="1:15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t="str">
        <f>IF(E135="","",SUMIF(PAYMENTS!C:C,E135,PAYMENTS!E:E))</f>
        <v/>
      </c>
      <c r="M135" t="str">
        <f t="shared" si="4"/>
        <v/>
      </c>
      <c r="N135" t="str">
        <f t="shared" si="5"/>
        <v/>
      </c>
      <c r="O135" t="str">
        <f>IF(E135="","",IFERROR(_xludf.MAXIFS(PAYMENTS!A:A,PAYMENTS!C:C,E135),""))</f>
        <v/>
      </c>
    </row>
    <row r="136" spans="1:15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t="str">
        <f>IF(E136="","",SUMIF(PAYMENTS!C:C,E136,PAYMENTS!E:E))</f>
        <v/>
      </c>
      <c r="M136" t="str">
        <f t="shared" si="4"/>
        <v/>
      </c>
      <c r="N136" t="str">
        <f t="shared" si="5"/>
        <v/>
      </c>
      <c r="O136" t="str">
        <f>IF(E136="","",IFERROR(_xludf.MAXIFS(PAYMENTS!A:A,PAYMENTS!C:C,E136),""))</f>
        <v/>
      </c>
    </row>
    <row r="137" spans="1:15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t="str">
        <f>IF(E137="","",SUMIF(PAYMENTS!C:C,E137,PAYMENTS!E:E))</f>
        <v/>
      </c>
      <c r="M137" t="str">
        <f t="shared" si="4"/>
        <v/>
      </c>
      <c r="N137" t="str">
        <f t="shared" si="5"/>
        <v/>
      </c>
      <c r="O137" t="str">
        <f>IF(E137="","",IFERROR(_xludf.MAXIFS(PAYMENTS!A:A,PAYMENTS!C:C,E137),""))</f>
        <v/>
      </c>
    </row>
    <row r="138" spans="1:15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t="str">
        <f>IF(E138="","",SUMIF(PAYMENTS!C:C,E138,PAYMENTS!E:E))</f>
        <v/>
      </c>
      <c r="M138" t="str">
        <f t="shared" si="4"/>
        <v/>
      </c>
      <c r="N138" t="str">
        <f t="shared" si="5"/>
        <v/>
      </c>
      <c r="O138" t="str">
        <f>IF(E138="","",IFERROR(_xludf.MAXIFS(PAYMENTS!A:A,PAYMENTS!C:C,E138),""))</f>
        <v/>
      </c>
    </row>
    <row r="139" spans="1:15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t="str">
        <f>IF(E139="","",SUMIF(PAYMENTS!C:C,E139,PAYMENTS!E:E))</f>
        <v/>
      </c>
      <c r="M139" t="str">
        <f t="shared" si="4"/>
        <v/>
      </c>
      <c r="N139" t="str">
        <f t="shared" si="5"/>
        <v/>
      </c>
      <c r="O139" t="str">
        <f>IF(E139="","",IFERROR(_xludf.MAXIFS(PAYMENTS!A:A,PAYMENTS!C:C,E139),""))</f>
        <v/>
      </c>
    </row>
    <row r="140" spans="1:15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t="str">
        <f>IF(E140="","",SUMIF(PAYMENTS!C:C,E140,PAYMENTS!E:E))</f>
        <v/>
      </c>
      <c r="M140" t="str">
        <f t="shared" si="4"/>
        <v/>
      </c>
      <c r="N140" t="str">
        <f t="shared" si="5"/>
        <v/>
      </c>
      <c r="O140" t="str">
        <f>IF(E140="","",IFERROR(_xludf.MAXIFS(PAYMENTS!A:A,PAYMENTS!C:C,E140),""))</f>
        <v/>
      </c>
    </row>
    <row r="141" spans="1:15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t="str">
        <f>IF(E141="","",SUMIF(PAYMENTS!C:C,E141,PAYMENTS!E:E))</f>
        <v/>
      </c>
      <c r="M141" t="str">
        <f t="shared" si="4"/>
        <v/>
      </c>
      <c r="N141" t="str">
        <f t="shared" si="5"/>
        <v/>
      </c>
      <c r="O141" t="str">
        <f>IF(E141="","",IFERROR(_xludf.MAXIFS(PAYMENTS!A:A,PAYMENTS!C:C,E141),""))</f>
        <v/>
      </c>
    </row>
    <row r="142" spans="1:15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t="str">
        <f>IF(E142="","",SUMIF(PAYMENTS!C:C,E142,PAYMENTS!E:E))</f>
        <v/>
      </c>
      <c r="M142" t="str">
        <f t="shared" si="4"/>
        <v/>
      </c>
      <c r="N142" t="str">
        <f t="shared" si="5"/>
        <v/>
      </c>
      <c r="O142" t="str">
        <f>IF(E142="","",IFERROR(_xludf.MAXIFS(PAYMENTS!A:A,PAYMENTS!C:C,E142),""))</f>
        <v/>
      </c>
    </row>
    <row r="143" spans="1:15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t="str">
        <f>IF(E143="","",SUMIF(PAYMENTS!C:C,E143,PAYMENTS!E:E))</f>
        <v/>
      </c>
      <c r="M143" t="str">
        <f t="shared" si="4"/>
        <v/>
      </c>
      <c r="N143" t="str">
        <f t="shared" si="5"/>
        <v/>
      </c>
      <c r="O143" t="str">
        <f>IF(E143="","",IFERROR(_xludf.MAXIFS(PAYMENTS!A:A,PAYMENTS!C:C,E143),""))</f>
        <v/>
      </c>
    </row>
    <row r="144" spans="1:15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t="str">
        <f>IF(E144="","",SUMIF(PAYMENTS!C:C,E144,PAYMENTS!E:E))</f>
        <v/>
      </c>
      <c r="M144" t="str">
        <f t="shared" si="4"/>
        <v/>
      </c>
      <c r="N144" t="str">
        <f t="shared" si="5"/>
        <v/>
      </c>
      <c r="O144" t="str">
        <f>IF(E144="","",IFERROR(_xludf.MAXIFS(PAYMENTS!A:A,PAYMENTS!C:C,E144),""))</f>
        <v/>
      </c>
    </row>
    <row r="145" spans="1:15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t="str">
        <f>IF(E145="","",SUMIF(PAYMENTS!C:C,E145,PAYMENTS!E:E))</f>
        <v/>
      </c>
      <c r="M145" t="str">
        <f t="shared" si="4"/>
        <v/>
      </c>
      <c r="N145" t="str">
        <f t="shared" si="5"/>
        <v/>
      </c>
      <c r="O145" t="str">
        <f>IF(E145="","",IFERROR(_xludf.MAXIFS(PAYMENTS!A:A,PAYMENTS!C:C,E145),""))</f>
        <v/>
      </c>
    </row>
    <row r="146" spans="1:15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t="str">
        <f>IF(E146="","",SUMIF(PAYMENTS!C:C,E146,PAYMENTS!E:E))</f>
        <v/>
      </c>
      <c r="M146" t="str">
        <f t="shared" si="4"/>
        <v/>
      </c>
      <c r="N146" t="str">
        <f t="shared" si="5"/>
        <v/>
      </c>
      <c r="O146" t="str">
        <f>IF(E146="","",IFERROR(_xludf.MAXIFS(PAYMENTS!A:A,PAYMENTS!C:C,E146),""))</f>
        <v/>
      </c>
    </row>
    <row r="147" spans="1:15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t="str">
        <f>IF(E147="","",SUMIF(PAYMENTS!C:C,E147,PAYMENTS!E:E))</f>
        <v/>
      </c>
      <c r="M147" t="str">
        <f t="shared" si="4"/>
        <v/>
      </c>
      <c r="N147" t="str">
        <f t="shared" si="5"/>
        <v/>
      </c>
      <c r="O147" t="str">
        <f>IF(E147="","",IFERROR(_xludf.MAXIFS(PAYMENTS!A:A,PAYMENTS!C:C,E147),""))</f>
        <v/>
      </c>
    </row>
    <row r="148" spans="1:15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t="str">
        <f>IF(E148="","",SUMIF(PAYMENTS!C:C,E148,PAYMENTS!E:E))</f>
        <v/>
      </c>
      <c r="M148" t="str">
        <f t="shared" si="4"/>
        <v/>
      </c>
      <c r="N148" t="str">
        <f t="shared" si="5"/>
        <v/>
      </c>
      <c r="O148" t="str">
        <f>IF(E148="","",IFERROR(_xludf.MAXIFS(PAYMENTS!A:A,PAYMENTS!C:C,E148),""))</f>
        <v/>
      </c>
    </row>
    <row r="149" spans="1:15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t="str">
        <f>IF(E149="","",SUMIF(PAYMENTS!C:C,E149,PAYMENTS!E:E))</f>
        <v/>
      </c>
      <c r="M149" t="str">
        <f t="shared" si="4"/>
        <v/>
      </c>
      <c r="N149" t="str">
        <f t="shared" si="5"/>
        <v/>
      </c>
      <c r="O149" t="str">
        <f>IF(E149="","",IFERROR(_xludf.MAXIFS(PAYMENTS!A:A,PAYMENTS!C:C,E149),""))</f>
        <v/>
      </c>
    </row>
    <row r="150" spans="1:15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t="str">
        <f>IF(E150="","",SUMIF(PAYMENTS!C:C,E150,PAYMENTS!E:E))</f>
        <v/>
      </c>
      <c r="M150" t="str">
        <f t="shared" si="4"/>
        <v/>
      </c>
      <c r="N150" t="str">
        <f t="shared" si="5"/>
        <v/>
      </c>
      <c r="O150" t="str">
        <f>IF(E150="","",IFERROR(_xludf.MAXIFS(PAYMENTS!A:A,PAYMENTS!C:C,E150),""))</f>
        <v/>
      </c>
    </row>
    <row r="151" spans="1:15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t="str">
        <f>IF(E151="","",SUMIF(PAYMENTS!C:C,E151,PAYMENTS!E:E))</f>
        <v/>
      </c>
      <c r="M151" t="str">
        <f t="shared" si="4"/>
        <v/>
      </c>
      <c r="N151" t="str">
        <f t="shared" si="5"/>
        <v/>
      </c>
      <c r="O151" t="str">
        <f>IF(E151="","",IFERROR(_xludf.MAXIFS(PAYMENTS!A:A,PAYMENTS!C:C,E151),""))</f>
        <v/>
      </c>
    </row>
    <row r="152" spans="1:15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t="str">
        <f>IF(E152="","",SUMIF(PAYMENTS!C:C,E152,PAYMENTS!E:E))</f>
        <v/>
      </c>
      <c r="M152" t="str">
        <f t="shared" si="4"/>
        <v/>
      </c>
      <c r="N152" t="str">
        <f t="shared" si="5"/>
        <v/>
      </c>
      <c r="O152" t="str">
        <f>IF(E152="","",IFERROR(_xludf.MAXIFS(PAYMENTS!A:A,PAYMENTS!C:C,E152),""))</f>
        <v/>
      </c>
    </row>
    <row r="153" spans="1:15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t="str">
        <f>IF(E153="","",SUMIF(PAYMENTS!C:C,E153,PAYMENTS!E:E))</f>
        <v/>
      </c>
      <c r="M153" t="str">
        <f t="shared" si="4"/>
        <v/>
      </c>
      <c r="N153" t="str">
        <f t="shared" si="5"/>
        <v/>
      </c>
      <c r="O153" t="str">
        <f>IF(E153="","",IFERROR(_xludf.MAXIFS(PAYMENTS!A:A,PAYMENTS!C:C,E153),""))</f>
        <v/>
      </c>
    </row>
    <row r="154" spans="1:15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t="str">
        <f>IF(E154="","",SUMIF(PAYMENTS!C:C,E154,PAYMENTS!E:E))</f>
        <v/>
      </c>
      <c r="M154" t="str">
        <f t="shared" si="4"/>
        <v/>
      </c>
      <c r="N154" t="str">
        <f t="shared" si="5"/>
        <v/>
      </c>
      <c r="O154" t="str">
        <f>IF(E154="","",IFERROR(_xludf.MAXIFS(PAYMENTS!A:A,PAYMENTS!C:C,E154),""))</f>
        <v/>
      </c>
    </row>
    <row r="155" spans="1:15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t="str">
        <f>IF(E155="","",SUMIF(PAYMENTS!C:C,E155,PAYMENTS!E:E))</f>
        <v/>
      </c>
      <c r="M155" t="str">
        <f t="shared" si="4"/>
        <v/>
      </c>
      <c r="N155" t="str">
        <f t="shared" si="5"/>
        <v/>
      </c>
      <c r="O155" t="str">
        <f>IF(E155="","",IFERROR(_xludf.MAXIFS(PAYMENTS!A:A,PAYMENTS!C:C,E155),""))</f>
        <v/>
      </c>
    </row>
    <row r="156" spans="1:15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t="str">
        <f>IF(E156="","",SUMIF(PAYMENTS!C:C,E156,PAYMENTS!E:E))</f>
        <v/>
      </c>
      <c r="M156" t="str">
        <f t="shared" si="4"/>
        <v/>
      </c>
      <c r="N156" t="str">
        <f t="shared" si="5"/>
        <v/>
      </c>
      <c r="O156" t="str">
        <f>IF(E156="","",IFERROR(_xludf.MAXIFS(PAYMENTS!A:A,PAYMENTS!C:C,E156),""))</f>
        <v/>
      </c>
    </row>
    <row r="157" spans="1:15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t="str">
        <f>IF(E157="","",SUMIF(PAYMENTS!C:C,E157,PAYMENTS!E:E))</f>
        <v/>
      </c>
      <c r="M157" t="str">
        <f t="shared" si="4"/>
        <v/>
      </c>
      <c r="N157" t="str">
        <f t="shared" si="5"/>
        <v/>
      </c>
      <c r="O157" t="str">
        <f>IF(E157="","",IFERROR(_xludf.MAXIFS(PAYMENTS!A:A,PAYMENTS!C:C,E157),""))</f>
        <v/>
      </c>
    </row>
    <row r="158" spans="1:15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t="str">
        <f>IF(E158="","",SUMIF(PAYMENTS!C:C,E158,PAYMENTS!E:E))</f>
        <v/>
      </c>
      <c r="M158" t="str">
        <f t="shared" si="4"/>
        <v/>
      </c>
      <c r="N158" t="str">
        <f t="shared" si="5"/>
        <v/>
      </c>
      <c r="O158" t="str">
        <f>IF(E158="","",IFERROR(_xludf.MAXIFS(PAYMENTS!A:A,PAYMENTS!C:C,E158),""))</f>
        <v/>
      </c>
    </row>
    <row r="159" spans="1:15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t="str">
        <f>IF(E159="","",SUMIF(PAYMENTS!C:C,E159,PAYMENTS!E:E))</f>
        <v/>
      </c>
      <c r="M159" t="str">
        <f t="shared" si="4"/>
        <v/>
      </c>
      <c r="N159" t="str">
        <f t="shared" si="5"/>
        <v/>
      </c>
      <c r="O159" t="str">
        <f>IF(E159="","",IFERROR(_xludf.MAXIFS(PAYMENTS!A:A,PAYMENTS!C:C,E159),""))</f>
        <v/>
      </c>
    </row>
    <row r="160" spans="1:15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t="str">
        <f>IF(E160="","",SUMIF(PAYMENTS!C:C,E160,PAYMENTS!E:E))</f>
        <v/>
      </c>
      <c r="M160" t="str">
        <f t="shared" si="4"/>
        <v/>
      </c>
      <c r="N160" t="str">
        <f t="shared" si="5"/>
        <v/>
      </c>
      <c r="O160" t="str">
        <f>IF(E160="","",IFERROR(_xludf.MAXIFS(PAYMENTS!A:A,PAYMENTS!C:C,E160),""))</f>
        <v/>
      </c>
    </row>
    <row r="161" spans="1:15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t="str">
        <f>IF(E161="","",SUMIF(PAYMENTS!C:C,E161,PAYMENTS!E:E))</f>
        <v/>
      </c>
      <c r="M161" t="str">
        <f t="shared" si="4"/>
        <v/>
      </c>
      <c r="N161" t="str">
        <f t="shared" si="5"/>
        <v/>
      </c>
      <c r="O161" t="str">
        <f>IF(E161="","",IFERROR(_xludf.MAXIFS(PAYMENTS!A:A,PAYMENTS!C:C,E161),""))</f>
        <v/>
      </c>
    </row>
    <row r="162" spans="1:15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t="str">
        <f>IF(E162="","",SUMIF(PAYMENTS!C:C,E162,PAYMENTS!E:E))</f>
        <v/>
      </c>
      <c r="M162" t="str">
        <f t="shared" si="4"/>
        <v/>
      </c>
      <c r="N162" t="str">
        <f t="shared" si="5"/>
        <v/>
      </c>
      <c r="O162" t="str">
        <f>IF(E162="","",IFERROR(_xludf.MAXIFS(PAYMENTS!A:A,PAYMENTS!C:C,E162),""))</f>
        <v/>
      </c>
    </row>
    <row r="163" spans="1:15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t="str">
        <f>IF(E163="","",SUMIF(PAYMENTS!C:C,E163,PAYMENTS!E:E))</f>
        <v/>
      </c>
      <c r="M163" t="str">
        <f t="shared" si="4"/>
        <v/>
      </c>
      <c r="N163" t="str">
        <f t="shared" si="5"/>
        <v/>
      </c>
      <c r="O163" t="str">
        <f>IF(E163="","",IFERROR(_xludf.MAXIFS(PAYMENTS!A:A,PAYMENTS!C:C,E163),""))</f>
        <v/>
      </c>
    </row>
    <row r="164" spans="1:15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t="str">
        <f>IF(E164="","",SUMIF(PAYMENTS!C:C,E164,PAYMENTS!E:E))</f>
        <v/>
      </c>
      <c r="M164" t="str">
        <f t="shared" si="4"/>
        <v/>
      </c>
      <c r="N164" t="str">
        <f t="shared" si="5"/>
        <v/>
      </c>
      <c r="O164" t="str">
        <f>IF(E164="","",IFERROR(_xludf.MAXIFS(PAYMENTS!A:A,PAYMENTS!C:C,E164),""))</f>
        <v/>
      </c>
    </row>
    <row r="165" spans="1:15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t="str">
        <f>IF(E165="","",SUMIF(PAYMENTS!C:C,E165,PAYMENTS!E:E))</f>
        <v/>
      </c>
      <c r="M165" t="str">
        <f t="shared" si="4"/>
        <v/>
      </c>
      <c r="N165" t="str">
        <f t="shared" si="5"/>
        <v/>
      </c>
      <c r="O165" t="str">
        <f>IF(E165="","",IFERROR(_xludf.MAXIFS(PAYMENTS!A:A,PAYMENTS!C:C,E165),""))</f>
        <v/>
      </c>
    </row>
    <row r="166" spans="1:15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t="str">
        <f>IF(E166="","",SUMIF(PAYMENTS!C:C,E166,PAYMENTS!E:E))</f>
        <v/>
      </c>
      <c r="M166" t="str">
        <f t="shared" si="4"/>
        <v/>
      </c>
      <c r="N166" t="str">
        <f t="shared" si="5"/>
        <v/>
      </c>
      <c r="O166" t="str">
        <f>IF(E166="","",IFERROR(_xludf.MAXIFS(PAYMENTS!A:A,PAYMENTS!C:C,E166),""))</f>
        <v/>
      </c>
    </row>
    <row r="167" spans="1:15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t="str">
        <f>IF(E167="","",SUMIF(PAYMENTS!C:C,E167,PAYMENTS!E:E))</f>
        <v/>
      </c>
      <c r="M167" t="str">
        <f t="shared" si="4"/>
        <v/>
      </c>
      <c r="N167" t="str">
        <f t="shared" si="5"/>
        <v/>
      </c>
      <c r="O167" t="str">
        <f>IF(E167="","",IFERROR(_xludf.MAXIFS(PAYMENTS!A:A,PAYMENTS!C:C,E167),""))</f>
        <v/>
      </c>
    </row>
    <row r="168" spans="1:15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t="str">
        <f>IF(E168="","",SUMIF(PAYMENTS!C:C,E168,PAYMENTS!E:E))</f>
        <v/>
      </c>
      <c r="M168" t="str">
        <f t="shared" si="4"/>
        <v/>
      </c>
      <c r="N168" t="str">
        <f t="shared" si="5"/>
        <v/>
      </c>
      <c r="O168" t="str">
        <f>IF(E168="","",IFERROR(_xludf.MAXIFS(PAYMENTS!A:A,PAYMENTS!C:C,E168),""))</f>
        <v/>
      </c>
    </row>
    <row r="169" spans="1:15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t="str">
        <f>IF(E169="","",SUMIF(PAYMENTS!C:C,E169,PAYMENTS!E:E))</f>
        <v/>
      </c>
      <c r="M169" t="str">
        <f t="shared" si="4"/>
        <v/>
      </c>
      <c r="N169" t="str">
        <f t="shared" si="5"/>
        <v/>
      </c>
      <c r="O169" t="str">
        <f>IF(E169="","",IFERROR(_xludf.MAXIFS(PAYMENTS!A:A,PAYMENTS!C:C,E169),""))</f>
        <v/>
      </c>
    </row>
    <row r="170" spans="1:15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t="str">
        <f>IF(E170="","",SUMIF(PAYMENTS!C:C,E170,PAYMENTS!E:E))</f>
        <v/>
      </c>
      <c r="M170" t="str">
        <f t="shared" si="4"/>
        <v/>
      </c>
      <c r="N170" t="str">
        <f t="shared" si="5"/>
        <v/>
      </c>
      <c r="O170" t="str">
        <f>IF(E170="","",IFERROR(_xludf.MAXIFS(PAYMENTS!A:A,PAYMENTS!C:C,E170),""))</f>
        <v/>
      </c>
    </row>
    <row r="171" spans="1:15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t="str">
        <f>IF(E171="","",SUMIF(PAYMENTS!C:C,E171,PAYMENTS!E:E))</f>
        <v/>
      </c>
      <c r="M171" t="str">
        <f t="shared" si="4"/>
        <v/>
      </c>
      <c r="N171" t="str">
        <f t="shared" si="5"/>
        <v/>
      </c>
      <c r="O171" t="str">
        <f>IF(E171="","",IFERROR(_xludf.MAXIFS(PAYMENTS!A:A,PAYMENTS!C:C,E171),""))</f>
        <v/>
      </c>
    </row>
    <row r="172" spans="1:15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t="str">
        <f>IF(E172="","",SUMIF(PAYMENTS!C:C,E172,PAYMENTS!E:E))</f>
        <v/>
      </c>
      <c r="M172" t="str">
        <f t="shared" si="4"/>
        <v/>
      </c>
      <c r="N172" t="str">
        <f t="shared" si="5"/>
        <v/>
      </c>
      <c r="O172" t="str">
        <f>IF(E172="","",IFERROR(_xludf.MAXIFS(PAYMENTS!A:A,PAYMENTS!C:C,E172),""))</f>
        <v/>
      </c>
    </row>
    <row r="173" spans="1:15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t="str">
        <f>IF(E173="","",SUMIF(PAYMENTS!C:C,E173,PAYMENTS!E:E))</f>
        <v/>
      </c>
      <c r="M173" t="str">
        <f t="shared" si="4"/>
        <v/>
      </c>
      <c r="N173" t="str">
        <f t="shared" si="5"/>
        <v/>
      </c>
      <c r="O173" t="str">
        <f>IF(E173="","",IFERROR(_xludf.MAXIFS(PAYMENTS!A:A,PAYMENTS!C:C,E173),""))</f>
        <v/>
      </c>
    </row>
    <row r="174" spans="1:15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t="str">
        <f>IF(E174="","",SUMIF(PAYMENTS!C:C,E174,PAYMENTS!E:E))</f>
        <v/>
      </c>
      <c r="M174" t="str">
        <f t="shared" si="4"/>
        <v/>
      </c>
      <c r="N174" t="str">
        <f t="shared" si="5"/>
        <v/>
      </c>
      <c r="O174" t="str">
        <f>IF(E174="","",IFERROR(_xludf.MAXIFS(PAYMENTS!A:A,PAYMENTS!C:C,E174),""))</f>
        <v/>
      </c>
    </row>
    <row r="175" spans="1:15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t="str">
        <f>IF(E175="","",SUMIF(PAYMENTS!C:C,E175,PAYMENTS!E:E))</f>
        <v/>
      </c>
      <c r="M175" t="str">
        <f t="shared" si="4"/>
        <v/>
      </c>
      <c r="N175" t="str">
        <f t="shared" si="5"/>
        <v/>
      </c>
      <c r="O175" t="str">
        <f>IF(E175="","",IFERROR(_xludf.MAXIFS(PAYMENTS!A:A,PAYMENTS!C:C,E175),""))</f>
        <v/>
      </c>
    </row>
    <row r="176" spans="1:15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t="str">
        <f>IF(E176="","",SUMIF(PAYMENTS!C:C,E176,PAYMENTS!E:E))</f>
        <v/>
      </c>
      <c r="M176" t="str">
        <f t="shared" si="4"/>
        <v/>
      </c>
      <c r="N176" t="str">
        <f t="shared" si="5"/>
        <v/>
      </c>
      <c r="O176" t="str">
        <f>IF(E176="","",IFERROR(_xludf.MAXIFS(PAYMENTS!A:A,PAYMENTS!C:C,E176),""))</f>
        <v/>
      </c>
    </row>
    <row r="177" spans="1:15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t="str">
        <f>IF(E177="","",SUMIF(PAYMENTS!C:C,E177,PAYMENTS!E:E))</f>
        <v/>
      </c>
      <c r="M177" t="str">
        <f t="shared" si="4"/>
        <v/>
      </c>
      <c r="N177" t="str">
        <f t="shared" si="5"/>
        <v/>
      </c>
      <c r="O177" t="str">
        <f>IF(E177="","",IFERROR(_xludf.MAXIFS(PAYMENTS!A:A,PAYMENTS!C:C,E177),""))</f>
        <v/>
      </c>
    </row>
    <row r="178" spans="1:15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t="str">
        <f>IF(E178="","",SUMIF(PAYMENTS!C:C,E178,PAYMENTS!E:E))</f>
        <v/>
      </c>
      <c r="M178" t="str">
        <f t="shared" si="4"/>
        <v/>
      </c>
      <c r="N178" t="str">
        <f t="shared" si="5"/>
        <v/>
      </c>
      <c r="O178" t="str">
        <f>IF(E178="","",IFERROR(_xludf.MAXIFS(PAYMENTS!A:A,PAYMENTS!C:C,E178),""))</f>
        <v/>
      </c>
    </row>
    <row r="179" spans="1:15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t="str">
        <f>IF(E179="","",SUMIF(PAYMENTS!C:C,E179,PAYMENTS!E:E))</f>
        <v/>
      </c>
      <c r="M179" t="str">
        <f t="shared" si="4"/>
        <v/>
      </c>
      <c r="N179" t="str">
        <f t="shared" si="5"/>
        <v/>
      </c>
      <c r="O179" t="str">
        <f>IF(E179="","",IFERROR(_xludf.MAXIFS(PAYMENTS!A:A,PAYMENTS!C:C,E179),""))</f>
        <v/>
      </c>
    </row>
    <row r="180" spans="1:15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t="str">
        <f>IF(E180="","",SUMIF(PAYMENTS!C:C,E180,PAYMENTS!E:E))</f>
        <v/>
      </c>
      <c r="M180" t="str">
        <f t="shared" si="4"/>
        <v/>
      </c>
      <c r="N180" t="str">
        <f t="shared" si="5"/>
        <v/>
      </c>
      <c r="O180" t="str">
        <f>IF(E180="","",IFERROR(_xludf.MAXIFS(PAYMENTS!A:A,PAYMENTS!C:C,E180),""))</f>
        <v/>
      </c>
    </row>
    <row r="181" spans="1:15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t="str">
        <f>IF(E181="","",SUMIF(PAYMENTS!C:C,E181,PAYMENTS!E:E))</f>
        <v/>
      </c>
      <c r="M181" t="str">
        <f t="shared" si="4"/>
        <v/>
      </c>
      <c r="N181" t="str">
        <f t="shared" si="5"/>
        <v/>
      </c>
      <c r="O181" t="str">
        <f>IF(E181="","",IFERROR(_xludf.MAXIFS(PAYMENTS!A:A,PAYMENTS!C:C,E181),""))</f>
        <v/>
      </c>
    </row>
    <row r="182" spans="1:15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t="str">
        <f>IF(E182="","",SUMIF(PAYMENTS!C:C,E182,PAYMENTS!E:E))</f>
        <v/>
      </c>
      <c r="M182" t="str">
        <f t="shared" si="4"/>
        <v/>
      </c>
      <c r="N182" t="str">
        <f t="shared" si="5"/>
        <v/>
      </c>
      <c r="O182" t="str">
        <f>IF(E182="","",IFERROR(_xludf.MAXIFS(PAYMENTS!A:A,PAYMENTS!C:C,E182),""))</f>
        <v/>
      </c>
    </row>
    <row r="183" spans="1:15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t="str">
        <f>IF(E183="","",SUMIF(PAYMENTS!C:C,E183,PAYMENTS!E:E))</f>
        <v/>
      </c>
      <c r="M183" t="str">
        <f t="shared" si="4"/>
        <v/>
      </c>
      <c r="N183" t="str">
        <f t="shared" si="5"/>
        <v/>
      </c>
      <c r="O183" t="str">
        <f>IF(E183="","",IFERROR(_xludf.MAXIFS(PAYMENTS!A:A,PAYMENTS!C:C,E183),""))</f>
        <v/>
      </c>
    </row>
    <row r="184" spans="1:15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t="str">
        <f>IF(E184="","",SUMIF(PAYMENTS!C:C,E184,PAYMENTS!E:E))</f>
        <v/>
      </c>
      <c r="M184" t="str">
        <f t="shared" si="4"/>
        <v/>
      </c>
      <c r="N184" t="str">
        <f t="shared" si="5"/>
        <v/>
      </c>
      <c r="O184" t="str">
        <f>IF(E184="","",IFERROR(_xludf.MAXIFS(PAYMENTS!A:A,PAYMENTS!C:C,E184),""))</f>
        <v/>
      </c>
    </row>
    <row r="185" spans="1:15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t="str">
        <f>IF(E185="","",SUMIF(PAYMENTS!C:C,E185,PAYMENTS!E:E))</f>
        <v/>
      </c>
      <c r="M185" t="str">
        <f t="shared" si="4"/>
        <v/>
      </c>
      <c r="N185" t="str">
        <f t="shared" si="5"/>
        <v/>
      </c>
      <c r="O185" t="str">
        <f>IF(E185="","",IFERROR(_xludf.MAXIFS(PAYMENTS!A:A,PAYMENTS!C:C,E185),""))</f>
        <v/>
      </c>
    </row>
    <row r="186" spans="1:15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t="str">
        <f>IF(E186="","",SUMIF(PAYMENTS!C:C,E186,PAYMENTS!E:E))</f>
        <v/>
      </c>
      <c r="M186" t="str">
        <f t="shared" si="4"/>
        <v/>
      </c>
      <c r="N186" t="str">
        <f t="shared" si="5"/>
        <v/>
      </c>
      <c r="O186" t="str">
        <f>IF(E186="","",IFERROR(_xludf.MAXIFS(PAYMENTS!A:A,PAYMENTS!C:C,E186),""))</f>
        <v/>
      </c>
    </row>
    <row r="187" spans="1:15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t="str">
        <f>IF(E187="","",SUMIF(PAYMENTS!C:C,E187,PAYMENTS!E:E))</f>
        <v/>
      </c>
      <c r="M187" t="str">
        <f t="shared" si="4"/>
        <v/>
      </c>
      <c r="N187" t="str">
        <f t="shared" si="5"/>
        <v/>
      </c>
      <c r="O187" t="str">
        <f>IF(E187="","",IFERROR(_xludf.MAXIFS(PAYMENTS!A:A,PAYMENTS!C:C,E187),""))</f>
        <v/>
      </c>
    </row>
    <row r="188" spans="1:15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t="str">
        <f>IF(E188="","",SUMIF(PAYMENTS!C:C,E188,PAYMENTS!E:E))</f>
        <v/>
      </c>
      <c r="M188" t="str">
        <f t="shared" si="4"/>
        <v/>
      </c>
      <c r="N188" t="str">
        <f t="shared" si="5"/>
        <v/>
      </c>
      <c r="O188" t="str">
        <f>IF(E188="","",IFERROR(_xludf.MAXIFS(PAYMENTS!A:A,PAYMENTS!C:C,E188),""))</f>
        <v/>
      </c>
    </row>
    <row r="189" spans="1:15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t="str">
        <f>IF(E189="","",SUMIF(PAYMENTS!C:C,E189,PAYMENTS!E:E))</f>
        <v/>
      </c>
      <c r="M189" t="str">
        <f t="shared" si="4"/>
        <v/>
      </c>
      <c r="N189" t="str">
        <f t="shared" si="5"/>
        <v/>
      </c>
      <c r="O189" t="str">
        <f>IF(E189="","",IFERROR(_xludf.MAXIFS(PAYMENTS!A:A,PAYMENTS!C:C,E189),""))</f>
        <v/>
      </c>
    </row>
    <row r="190" spans="1:15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t="str">
        <f>IF(E190="","",SUMIF(PAYMENTS!C:C,E190,PAYMENTS!E:E))</f>
        <v/>
      </c>
      <c r="M190" t="str">
        <f t="shared" si="4"/>
        <v/>
      </c>
      <c r="N190" t="str">
        <f t="shared" si="5"/>
        <v/>
      </c>
      <c r="O190" t="str">
        <f>IF(E190="","",IFERROR(_xludf.MAXIFS(PAYMENTS!A:A,PAYMENTS!C:C,E190),""))</f>
        <v/>
      </c>
    </row>
    <row r="191" spans="1:15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t="str">
        <f>IF(E191="","",SUMIF(PAYMENTS!C:C,E191,PAYMENTS!E:E))</f>
        <v/>
      </c>
      <c r="M191" t="str">
        <f t="shared" si="4"/>
        <v/>
      </c>
      <c r="N191" t="str">
        <f t="shared" si="5"/>
        <v/>
      </c>
      <c r="O191" t="str">
        <f>IF(E191="","",IFERROR(_xludf.MAXIFS(PAYMENTS!A:A,PAYMENTS!C:C,E191),""))</f>
        <v/>
      </c>
    </row>
    <row r="192" spans="1:15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t="str">
        <f>IF(E192="","",SUMIF(PAYMENTS!C:C,E192,PAYMENTS!E:E))</f>
        <v/>
      </c>
      <c r="M192" t="str">
        <f t="shared" si="4"/>
        <v/>
      </c>
      <c r="N192" t="str">
        <f t="shared" si="5"/>
        <v/>
      </c>
      <c r="O192" t="str">
        <f>IF(E192="","",IFERROR(_xludf.MAXIFS(PAYMENTS!A:A,PAYMENTS!C:C,E192),""))</f>
        <v/>
      </c>
    </row>
    <row r="193" spans="1:15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t="str">
        <f>IF(E193="","",SUMIF(PAYMENTS!C:C,E193,PAYMENTS!E:E))</f>
        <v/>
      </c>
      <c r="M193" t="str">
        <f t="shared" si="4"/>
        <v/>
      </c>
      <c r="N193" t="str">
        <f t="shared" si="5"/>
        <v/>
      </c>
      <c r="O193" t="str">
        <f>IF(E193="","",IFERROR(_xludf.MAXIFS(PAYMENTS!A:A,PAYMENTS!C:C,E193),""))</f>
        <v/>
      </c>
    </row>
    <row r="194" spans="1:15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t="str">
        <f>IF(E194="","",SUMIF(PAYMENTS!C:C,E194,PAYMENTS!E:E))</f>
        <v/>
      </c>
      <c r="M194" t="str">
        <f t="shared" ref="M194:M257" si="6">IF(E194="","",J194-L194)</f>
        <v/>
      </c>
      <c r="N194" t="str">
        <f t="shared" ref="N194:N257" si="7">IF(E194="","",IF(M194&lt;=0,"Paid",IF(L194&gt;0,"Part Paid","Unpaid")))</f>
        <v/>
      </c>
      <c r="O194" t="str">
        <f>IF(E194="","",IFERROR(_xludf.MAXIFS(PAYMENTS!A:A,PAYMENTS!C:C,E194),""))</f>
        <v/>
      </c>
    </row>
    <row r="195" spans="1:15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t="str">
        <f>IF(E195="","",SUMIF(PAYMENTS!C:C,E195,PAYMENTS!E:E))</f>
        <v/>
      </c>
      <c r="M195" t="str">
        <f t="shared" si="6"/>
        <v/>
      </c>
      <c r="N195" t="str">
        <f t="shared" si="7"/>
        <v/>
      </c>
      <c r="O195" t="str">
        <f>IF(E195="","",IFERROR(_xludf.MAXIFS(PAYMENTS!A:A,PAYMENTS!C:C,E195),""))</f>
        <v/>
      </c>
    </row>
    <row r="196" spans="1:15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t="str">
        <f>IF(E196="","",SUMIF(PAYMENTS!C:C,E196,PAYMENTS!E:E))</f>
        <v/>
      </c>
      <c r="M196" t="str">
        <f t="shared" si="6"/>
        <v/>
      </c>
      <c r="N196" t="str">
        <f t="shared" si="7"/>
        <v/>
      </c>
      <c r="O196" t="str">
        <f>IF(E196="","",IFERROR(_xludf.MAXIFS(PAYMENTS!A:A,PAYMENTS!C:C,E196),""))</f>
        <v/>
      </c>
    </row>
    <row r="197" spans="1:15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t="str">
        <f>IF(E197="","",SUMIF(PAYMENTS!C:C,E197,PAYMENTS!E:E))</f>
        <v/>
      </c>
      <c r="M197" t="str">
        <f t="shared" si="6"/>
        <v/>
      </c>
      <c r="N197" t="str">
        <f t="shared" si="7"/>
        <v/>
      </c>
      <c r="O197" t="str">
        <f>IF(E197="","",IFERROR(_xludf.MAXIFS(PAYMENTS!A:A,PAYMENTS!C:C,E197),""))</f>
        <v/>
      </c>
    </row>
    <row r="198" spans="1:15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t="str">
        <f>IF(E198="","",SUMIF(PAYMENTS!C:C,E198,PAYMENTS!E:E))</f>
        <v/>
      </c>
      <c r="M198" t="str">
        <f t="shared" si="6"/>
        <v/>
      </c>
      <c r="N198" t="str">
        <f t="shared" si="7"/>
        <v/>
      </c>
      <c r="O198" t="str">
        <f>IF(E198="","",IFERROR(_xludf.MAXIFS(PAYMENTS!A:A,PAYMENTS!C:C,E198),""))</f>
        <v/>
      </c>
    </row>
    <row r="199" spans="1:15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t="str">
        <f>IF(E199="","",SUMIF(PAYMENTS!C:C,E199,PAYMENTS!E:E))</f>
        <v/>
      </c>
      <c r="M199" t="str">
        <f t="shared" si="6"/>
        <v/>
      </c>
      <c r="N199" t="str">
        <f t="shared" si="7"/>
        <v/>
      </c>
      <c r="O199" t="str">
        <f>IF(E199="","",IFERROR(_xludf.MAXIFS(PAYMENTS!A:A,PAYMENTS!C:C,E199),""))</f>
        <v/>
      </c>
    </row>
    <row r="200" spans="1:15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t="str">
        <f>IF(E200="","",SUMIF(PAYMENTS!C:C,E200,PAYMENTS!E:E))</f>
        <v/>
      </c>
      <c r="M200" t="str">
        <f t="shared" si="6"/>
        <v/>
      </c>
      <c r="N200" t="str">
        <f t="shared" si="7"/>
        <v/>
      </c>
      <c r="O200" t="str">
        <f>IF(E200="","",IFERROR(_xludf.MAXIFS(PAYMENTS!A:A,PAYMENTS!C:C,E200),""))</f>
        <v/>
      </c>
    </row>
    <row r="201" spans="1:15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t="str">
        <f>IF(E201="","",SUMIF(PAYMENTS!C:C,E201,PAYMENTS!E:E))</f>
        <v/>
      </c>
      <c r="M201" t="str">
        <f t="shared" si="6"/>
        <v/>
      </c>
      <c r="N201" t="str">
        <f t="shared" si="7"/>
        <v/>
      </c>
      <c r="O201" t="str">
        <f>IF(E201="","",IFERROR(_xludf.MAXIFS(PAYMENTS!A:A,PAYMENTS!C:C,E201),""))</f>
        <v/>
      </c>
    </row>
    <row r="202" spans="1:15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t="str">
        <f>IF(E202="","",SUMIF(PAYMENTS!C:C,E202,PAYMENTS!E:E))</f>
        <v/>
      </c>
      <c r="M202" t="str">
        <f t="shared" si="6"/>
        <v/>
      </c>
      <c r="N202" t="str">
        <f t="shared" si="7"/>
        <v/>
      </c>
      <c r="O202" t="str">
        <f>IF(E202="","",IFERROR(_xludf.MAXIFS(PAYMENTS!A:A,PAYMENTS!C:C,E202),""))</f>
        <v/>
      </c>
    </row>
    <row r="203" spans="1:15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t="str">
        <f>IF(E203="","",SUMIF(PAYMENTS!C:C,E203,PAYMENTS!E:E))</f>
        <v/>
      </c>
      <c r="M203" t="str">
        <f t="shared" si="6"/>
        <v/>
      </c>
      <c r="N203" t="str">
        <f t="shared" si="7"/>
        <v/>
      </c>
      <c r="O203" t="str">
        <f>IF(E203="","",IFERROR(_xludf.MAXIFS(PAYMENTS!A:A,PAYMENTS!C:C,E203),""))</f>
        <v/>
      </c>
    </row>
    <row r="204" spans="1:15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t="str">
        <f>IF(E204="","",SUMIF(PAYMENTS!C:C,E204,PAYMENTS!E:E))</f>
        <v/>
      </c>
      <c r="M204" t="str">
        <f t="shared" si="6"/>
        <v/>
      </c>
      <c r="N204" t="str">
        <f t="shared" si="7"/>
        <v/>
      </c>
      <c r="O204" t="str">
        <f>IF(E204="","",IFERROR(_xludf.MAXIFS(PAYMENTS!A:A,PAYMENTS!C:C,E204),""))</f>
        <v/>
      </c>
    </row>
    <row r="205" spans="1:15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t="str">
        <f>IF(E205="","",SUMIF(PAYMENTS!C:C,E205,PAYMENTS!E:E))</f>
        <v/>
      </c>
      <c r="M205" t="str">
        <f t="shared" si="6"/>
        <v/>
      </c>
      <c r="N205" t="str">
        <f t="shared" si="7"/>
        <v/>
      </c>
      <c r="O205" t="str">
        <f>IF(E205="","",IFERROR(_xludf.MAXIFS(PAYMENTS!A:A,PAYMENTS!C:C,E205),""))</f>
        <v/>
      </c>
    </row>
    <row r="206" spans="1:15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t="str">
        <f>IF(E206="","",SUMIF(PAYMENTS!C:C,E206,PAYMENTS!E:E))</f>
        <v/>
      </c>
      <c r="M206" t="str">
        <f t="shared" si="6"/>
        <v/>
      </c>
      <c r="N206" t="str">
        <f t="shared" si="7"/>
        <v/>
      </c>
      <c r="O206" t="str">
        <f>IF(E206="","",IFERROR(_xludf.MAXIFS(PAYMENTS!A:A,PAYMENTS!C:C,E206),""))</f>
        <v/>
      </c>
    </row>
    <row r="207" spans="1:15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t="str">
        <f>IF(E207="","",SUMIF(PAYMENTS!C:C,E207,PAYMENTS!E:E))</f>
        <v/>
      </c>
      <c r="M207" t="str">
        <f t="shared" si="6"/>
        <v/>
      </c>
      <c r="N207" t="str">
        <f t="shared" si="7"/>
        <v/>
      </c>
      <c r="O207" t="str">
        <f>IF(E207="","",IFERROR(_xludf.MAXIFS(PAYMENTS!A:A,PAYMENTS!C:C,E207),""))</f>
        <v/>
      </c>
    </row>
    <row r="208" spans="1:15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t="str">
        <f>IF(E208="","",SUMIF(PAYMENTS!C:C,E208,PAYMENTS!E:E))</f>
        <v/>
      </c>
      <c r="M208" t="str">
        <f t="shared" si="6"/>
        <v/>
      </c>
      <c r="N208" t="str">
        <f t="shared" si="7"/>
        <v/>
      </c>
      <c r="O208" t="str">
        <f>IF(E208="","",IFERROR(_xludf.MAXIFS(PAYMENTS!A:A,PAYMENTS!C:C,E208),""))</f>
        <v/>
      </c>
    </row>
    <row r="209" spans="1:15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t="str">
        <f>IF(E209="","",SUMIF(PAYMENTS!C:C,E209,PAYMENTS!E:E))</f>
        <v/>
      </c>
      <c r="M209" t="str">
        <f t="shared" si="6"/>
        <v/>
      </c>
      <c r="N209" t="str">
        <f t="shared" si="7"/>
        <v/>
      </c>
      <c r="O209" t="str">
        <f>IF(E209="","",IFERROR(_xludf.MAXIFS(PAYMENTS!A:A,PAYMENTS!C:C,E209),""))</f>
        <v/>
      </c>
    </row>
    <row r="210" spans="1:15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t="str">
        <f>IF(E210="","",SUMIF(PAYMENTS!C:C,E210,PAYMENTS!E:E))</f>
        <v/>
      </c>
      <c r="M210" t="str">
        <f t="shared" si="6"/>
        <v/>
      </c>
      <c r="N210" t="str">
        <f t="shared" si="7"/>
        <v/>
      </c>
      <c r="O210" t="str">
        <f>IF(E210="","",IFERROR(_xludf.MAXIFS(PAYMENTS!A:A,PAYMENTS!C:C,E210),""))</f>
        <v/>
      </c>
    </row>
    <row r="211" spans="1:15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t="str">
        <f>IF(E211="","",SUMIF(PAYMENTS!C:C,E211,PAYMENTS!E:E))</f>
        <v/>
      </c>
      <c r="M211" t="str">
        <f t="shared" si="6"/>
        <v/>
      </c>
      <c r="N211" t="str">
        <f t="shared" si="7"/>
        <v/>
      </c>
      <c r="O211" t="str">
        <f>IF(E211="","",IFERROR(_xludf.MAXIFS(PAYMENTS!A:A,PAYMENTS!C:C,E211),""))</f>
        <v/>
      </c>
    </row>
    <row r="212" spans="1:15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t="str">
        <f>IF(E212="","",SUMIF(PAYMENTS!C:C,E212,PAYMENTS!E:E))</f>
        <v/>
      </c>
      <c r="M212" t="str">
        <f t="shared" si="6"/>
        <v/>
      </c>
      <c r="N212" t="str">
        <f t="shared" si="7"/>
        <v/>
      </c>
      <c r="O212" t="str">
        <f>IF(E212="","",IFERROR(_xludf.MAXIFS(PAYMENTS!A:A,PAYMENTS!C:C,E212),""))</f>
        <v/>
      </c>
    </row>
    <row r="213" spans="1:15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t="str">
        <f>IF(E213="","",SUMIF(PAYMENTS!C:C,E213,PAYMENTS!E:E))</f>
        <v/>
      </c>
      <c r="M213" t="str">
        <f t="shared" si="6"/>
        <v/>
      </c>
      <c r="N213" t="str">
        <f t="shared" si="7"/>
        <v/>
      </c>
      <c r="O213" t="str">
        <f>IF(E213="","",IFERROR(_xludf.MAXIFS(PAYMENTS!A:A,PAYMENTS!C:C,E213),""))</f>
        <v/>
      </c>
    </row>
    <row r="214" spans="1:15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t="str">
        <f>IF(E214="","",SUMIF(PAYMENTS!C:C,E214,PAYMENTS!E:E))</f>
        <v/>
      </c>
      <c r="M214" t="str">
        <f t="shared" si="6"/>
        <v/>
      </c>
      <c r="N214" t="str">
        <f t="shared" si="7"/>
        <v/>
      </c>
      <c r="O214" t="str">
        <f>IF(E214="","",IFERROR(_xludf.MAXIFS(PAYMENTS!A:A,PAYMENTS!C:C,E214),""))</f>
        <v/>
      </c>
    </row>
    <row r="215" spans="1:15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t="str">
        <f>IF(E215="","",SUMIF(PAYMENTS!C:C,E215,PAYMENTS!E:E))</f>
        <v/>
      </c>
      <c r="M215" t="str">
        <f t="shared" si="6"/>
        <v/>
      </c>
      <c r="N215" t="str">
        <f t="shared" si="7"/>
        <v/>
      </c>
      <c r="O215" t="str">
        <f>IF(E215="","",IFERROR(_xludf.MAXIFS(PAYMENTS!A:A,PAYMENTS!C:C,E215),""))</f>
        <v/>
      </c>
    </row>
    <row r="216" spans="1:15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t="str">
        <f>IF(E216="","",SUMIF(PAYMENTS!C:C,E216,PAYMENTS!E:E))</f>
        <v/>
      </c>
      <c r="M216" t="str">
        <f t="shared" si="6"/>
        <v/>
      </c>
      <c r="N216" t="str">
        <f t="shared" si="7"/>
        <v/>
      </c>
      <c r="O216" t="str">
        <f>IF(E216="","",IFERROR(_xludf.MAXIFS(PAYMENTS!A:A,PAYMENTS!C:C,E216),""))</f>
        <v/>
      </c>
    </row>
    <row r="217" spans="1:15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t="str">
        <f>IF(E217="","",SUMIF(PAYMENTS!C:C,E217,PAYMENTS!E:E))</f>
        <v/>
      </c>
      <c r="M217" t="str">
        <f t="shared" si="6"/>
        <v/>
      </c>
      <c r="N217" t="str">
        <f t="shared" si="7"/>
        <v/>
      </c>
      <c r="O217" t="str">
        <f>IF(E217="","",IFERROR(_xludf.MAXIFS(PAYMENTS!A:A,PAYMENTS!C:C,E217),""))</f>
        <v/>
      </c>
    </row>
    <row r="218" spans="1:15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t="str">
        <f>IF(E218="","",SUMIF(PAYMENTS!C:C,E218,PAYMENTS!E:E))</f>
        <v/>
      </c>
      <c r="M218" t="str">
        <f t="shared" si="6"/>
        <v/>
      </c>
      <c r="N218" t="str">
        <f t="shared" si="7"/>
        <v/>
      </c>
      <c r="O218" t="str">
        <f>IF(E218="","",IFERROR(_xludf.MAXIFS(PAYMENTS!A:A,PAYMENTS!C:C,E218),""))</f>
        <v/>
      </c>
    </row>
    <row r="219" spans="1:15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t="str">
        <f>IF(E219="","",SUMIF(PAYMENTS!C:C,E219,PAYMENTS!E:E))</f>
        <v/>
      </c>
      <c r="M219" t="str">
        <f t="shared" si="6"/>
        <v/>
      </c>
      <c r="N219" t="str">
        <f t="shared" si="7"/>
        <v/>
      </c>
      <c r="O219" t="str">
        <f>IF(E219="","",IFERROR(_xludf.MAXIFS(PAYMENTS!A:A,PAYMENTS!C:C,E219),""))</f>
        <v/>
      </c>
    </row>
    <row r="220" spans="1:15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t="str">
        <f>IF(E220="","",SUMIF(PAYMENTS!C:C,E220,PAYMENTS!E:E))</f>
        <v/>
      </c>
      <c r="M220" t="str">
        <f t="shared" si="6"/>
        <v/>
      </c>
      <c r="N220" t="str">
        <f t="shared" si="7"/>
        <v/>
      </c>
      <c r="O220" t="str">
        <f>IF(E220="","",IFERROR(_xludf.MAXIFS(PAYMENTS!A:A,PAYMENTS!C:C,E220),""))</f>
        <v/>
      </c>
    </row>
    <row r="221" spans="1:15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t="str">
        <f>IF(E221="","",SUMIF(PAYMENTS!C:C,E221,PAYMENTS!E:E))</f>
        <v/>
      </c>
      <c r="M221" t="str">
        <f t="shared" si="6"/>
        <v/>
      </c>
      <c r="N221" t="str">
        <f t="shared" si="7"/>
        <v/>
      </c>
      <c r="O221" t="str">
        <f>IF(E221="","",IFERROR(_xludf.MAXIFS(PAYMENTS!A:A,PAYMENTS!C:C,E221),""))</f>
        <v/>
      </c>
    </row>
    <row r="222" spans="1:15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t="str">
        <f>IF(E222="","",SUMIF(PAYMENTS!C:C,E222,PAYMENTS!E:E))</f>
        <v/>
      </c>
      <c r="M222" t="str">
        <f t="shared" si="6"/>
        <v/>
      </c>
      <c r="N222" t="str">
        <f t="shared" si="7"/>
        <v/>
      </c>
      <c r="O222" t="str">
        <f>IF(E222="","",IFERROR(_xludf.MAXIFS(PAYMENTS!A:A,PAYMENTS!C:C,E222),""))</f>
        <v/>
      </c>
    </row>
    <row r="223" spans="1:15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t="str">
        <f>IF(E223="","",SUMIF(PAYMENTS!C:C,E223,PAYMENTS!E:E))</f>
        <v/>
      </c>
      <c r="M223" t="str">
        <f t="shared" si="6"/>
        <v/>
      </c>
      <c r="N223" t="str">
        <f t="shared" si="7"/>
        <v/>
      </c>
      <c r="O223" t="str">
        <f>IF(E223="","",IFERROR(_xludf.MAXIFS(PAYMENTS!A:A,PAYMENTS!C:C,E223),""))</f>
        <v/>
      </c>
    </row>
    <row r="224" spans="1:15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t="str">
        <f>IF(E224="","",SUMIF(PAYMENTS!C:C,E224,PAYMENTS!E:E))</f>
        <v/>
      </c>
      <c r="M224" t="str">
        <f t="shared" si="6"/>
        <v/>
      </c>
      <c r="N224" t="str">
        <f t="shared" si="7"/>
        <v/>
      </c>
      <c r="O224" t="str">
        <f>IF(E224="","",IFERROR(_xludf.MAXIFS(PAYMENTS!A:A,PAYMENTS!C:C,E224),""))</f>
        <v/>
      </c>
    </row>
    <row r="225" spans="1:15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t="str">
        <f>IF(E225="","",SUMIF(PAYMENTS!C:C,E225,PAYMENTS!E:E))</f>
        <v/>
      </c>
      <c r="M225" t="str">
        <f t="shared" si="6"/>
        <v/>
      </c>
      <c r="N225" t="str">
        <f t="shared" si="7"/>
        <v/>
      </c>
      <c r="O225" t="str">
        <f>IF(E225="","",IFERROR(_xludf.MAXIFS(PAYMENTS!A:A,PAYMENTS!C:C,E225),""))</f>
        <v/>
      </c>
    </row>
    <row r="226" spans="1:15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t="str">
        <f>IF(E226="","",SUMIF(PAYMENTS!C:C,E226,PAYMENTS!E:E))</f>
        <v/>
      </c>
      <c r="M226" t="str">
        <f t="shared" si="6"/>
        <v/>
      </c>
      <c r="N226" t="str">
        <f t="shared" si="7"/>
        <v/>
      </c>
      <c r="O226" t="str">
        <f>IF(E226="","",IFERROR(_xludf.MAXIFS(PAYMENTS!A:A,PAYMENTS!C:C,E226),""))</f>
        <v/>
      </c>
    </row>
    <row r="227" spans="1:15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t="str">
        <f>IF(E227="","",SUMIF(PAYMENTS!C:C,E227,PAYMENTS!E:E))</f>
        <v/>
      </c>
      <c r="M227" t="str">
        <f t="shared" si="6"/>
        <v/>
      </c>
      <c r="N227" t="str">
        <f t="shared" si="7"/>
        <v/>
      </c>
      <c r="O227" t="str">
        <f>IF(E227="","",IFERROR(_xludf.MAXIFS(PAYMENTS!A:A,PAYMENTS!C:C,E227),""))</f>
        <v/>
      </c>
    </row>
    <row r="228" spans="1:15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t="str">
        <f>IF(E228="","",SUMIF(PAYMENTS!C:C,E228,PAYMENTS!E:E))</f>
        <v/>
      </c>
      <c r="M228" t="str">
        <f t="shared" si="6"/>
        <v/>
      </c>
      <c r="N228" t="str">
        <f t="shared" si="7"/>
        <v/>
      </c>
      <c r="O228" t="str">
        <f>IF(E228="","",IFERROR(_xludf.MAXIFS(PAYMENTS!A:A,PAYMENTS!C:C,E228),""))</f>
        <v/>
      </c>
    </row>
    <row r="229" spans="1:15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t="str">
        <f>IF(E229="","",SUMIF(PAYMENTS!C:C,E229,PAYMENTS!E:E))</f>
        <v/>
      </c>
      <c r="M229" t="str">
        <f t="shared" si="6"/>
        <v/>
      </c>
      <c r="N229" t="str">
        <f t="shared" si="7"/>
        <v/>
      </c>
      <c r="O229" t="str">
        <f>IF(E229="","",IFERROR(_xludf.MAXIFS(PAYMENTS!A:A,PAYMENTS!C:C,E229),""))</f>
        <v/>
      </c>
    </row>
    <row r="230" spans="1:15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t="str">
        <f>IF(E230="","",SUMIF(PAYMENTS!C:C,E230,PAYMENTS!E:E))</f>
        <v/>
      </c>
      <c r="M230" t="str">
        <f t="shared" si="6"/>
        <v/>
      </c>
      <c r="N230" t="str">
        <f t="shared" si="7"/>
        <v/>
      </c>
      <c r="O230" t="str">
        <f>IF(E230="","",IFERROR(_xludf.MAXIFS(PAYMENTS!A:A,PAYMENTS!C:C,E230),""))</f>
        <v/>
      </c>
    </row>
    <row r="231" spans="1:15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t="str">
        <f>IF(E231="","",SUMIF(PAYMENTS!C:C,E231,PAYMENTS!E:E))</f>
        <v/>
      </c>
      <c r="M231" t="str">
        <f t="shared" si="6"/>
        <v/>
      </c>
      <c r="N231" t="str">
        <f t="shared" si="7"/>
        <v/>
      </c>
      <c r="O231" t="str">
        <f>IF(E231="","",IFERROR(_xludf.MAXIFS(PAYMENTS!A:A,PAYMENTS!C:C,E231),""))</f>
        <v/>
      </c>
    </row>
    <row r="232" spans="1:15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t="str">
        <f>IF(E232="","",SUMIF(PAYMENTS!C:C,E232,PAYMENTS!E:E))</f>
        <v/>
      </c>
      <c r="M232" t="str">
        <f t="shared" si="6"/>
        <v/>
      </c>
      <c r="N232" t="str">
        <f t="shared" si="7"/>
        <v/>
      </c>
      <c r="O232" t="str">
        <f>IF(E232="","",IFERROR(_xludf.MAXIFS(PAYMENTS!A:A,PAYMENTS!C:C,E232),""))</f>
        <v/>
      </c>
    </row>
    <row r="233" spans="1:15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t="str">
        <f>IF(E233="","",SUMIF(PAYMENTS!C:C,E233,PAYMENTS!E:E))</f>
        <v/>
      </c>
      <c r="M233" t="str">
        <f t="shared" si="6"/>
        <v/>
      </c>
      <c r="N233" t="str">
        <f t="shared" si="7"/>
        <v/>
      </c>
      <c r="O233" t="str">
        <f>IF(E233="","",IFERROR(_xludf.MAXIFS(PAYMENTS!A:A,PAYMENTS!C:C,E233),""))</f>
        <v/>
      </c>
    </row>
    <row r="234" spans="1:15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t="str">
        <f>IF(E234="","",SUMIF(PAYMENTS!C:C,E234,PAYMENTS!E:E))</f>
        <v/>
      </c>
      <c r="M234" t="str">
        <f t="shared" si="6"/>
        <v/>
      </c>
      <c r="N234" t="str">
        <f t="shared" si="7"/>
        <v/>
      </c>
      <c r="O234" t="str">
        <f>IF(E234="","",IFERROR(_xludf.MAXIFS(PAYMENTS!A:A,PAYMENTS!C:C,E234),""))</f>
        <v/>
      </c>
    </row>
    <row r="235" spans="1:15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t="str">
        <f>IF(E235="","",SUMIF(PAYMENTS!C:C,E235,PAYMENTS!E:E))</f>
        <v/>
      </c>
      <c r="M235" t="str">
        <f t="shared" si="6"/>
        <v/>
      </c>
      <c r="N235" t="str">
        <f t="shared" si="7"/>
        <v/>
      </c>
      <c r="O235" t="str">
        <f>IF(E235="","",IFERROR(_xludf.MAXIFS(PAYMENTS!A:A,PAYMENTS!C:C,E235),""))</f>
        <v/>
      </c>
    </row>
    <row r="236" spans="1:15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t="str">
        <f>IF(E236="","",SUMIF(PAYMENTS!C:C,E236,PAYMENTS!E:E))</f>
        <v/>
      </c>
      <c r="M236" t="str">
        <f t="shared" si="6"/>
        <v/>
      </c>
      <c r="N236" t="str">
        <f t="shared" si="7"/>
        <v/>
      </c>
      <c r="O236" t="str">
        <f>IF(E236="","",IFERROR(_xludf.MAXIFS(PAYMENTS!A:A,PAYMENTS!C:C,E236),""))</f>
        <v/>
      </c>
    </row>
    <row r="237" spans="1:15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t="str">
        <f>IF(E237="","",SUMIF(PAYMENTS!C:C,E237,PAYMENTS!E:E))</f>
        <v/>
      </c>
      <c r="M237" t="str">
        <f t="shared" si="6"/>
        <v/>
      </c>
      <c r="N237" t="str">
        <f t="shared" si="7"/>
        <v/>
      </c>
      <c r="O237" t="str">
        <f>IF(E237="","",IFERROR(_xludf.MAXIFS(PAYMENTS!A:A,PAYMENTS!C:C,E237),""))</f>
        <v/>
      </c>
    </row>
    <row r="238" spans="1:15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t="str">
        <f>IF(E238="","",SUMIF(PAYMENTS!C:C,E238,PAYMENTS!E:E))</f>
        <v/>
      </c>
      <c r="M238" t="str">
        <f t="shared" si="6"/>
        <v/>
      </c>
      <c r="N238" t="str">
        <f t="shared" si="7"/>
        <v/>
      </c>
      <c r="O238" t="str">
        <f>IF(E238="","",IFERROR(_xludf.MAXIFS(PAYMENTS!A:A,PAYMENTS!C:C,E238),""))</f>
        <v/>
      </c>
    </row>
    <row r="239" spans="1:15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t="str">
        <f>IF(E239="","",SUMIF(PAYMENTS!C:C,E239,PAYMENTS!E:E))</f>
        <v/>
      </c>
      <c r="M239" t="str">
        <f t="shared" si="6"/>
        <v/>
      </c>
      <c r="N239" t="str">
        <f t="shared" si="7"/>
        <v/>
      </c>
      <c r="O239" t="str">
        <f>IF(E239="","",IFERROR(_xludf.MAXIFS(PAYMENTS!A:A,PAYMENTS!C:C,E239),""))</f>
        <v/>
      </c>
    </row>
    <row r="240" spans="1:15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t="str">
        <f>IF(E240="","",SUMIF(PAYMENTS!C:C,E240,PAYMENTS!E:E))</f>
        <v/>
      </c>
      <c r="M240" t="str">
        <f t="shared" si="6"/>
        <v/>
      </c>
      <c r="N240" t="str">
        <f t="shared" si="7"/>
        <v/>
      </c>
      <c r="O240" t="str">
        <f>IF(E240="","",IFERROR(_xludf.MAXIFS(PAYMENTS!A:A,PAYMENTS!C:C,E240),""))</f>
        <v/>
      </c>
    </row>
    <row r="241" spans="1:15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t="str">
        <f>IF(E241="","",SUMIF(PAYMENTS!C:C,E241,PAYMENTS!E:E))</f>
        <v/>
      </c>
      <c r="M241" t="str">
        <f t="shared" si="6"/>
        <v/>
      </c>
      <c r="N241" t="str">
        <f t="shared" si="7"/>
        <v/>
      </c>
      <c r="O241" t="str">
        <f>IF(E241="","",IFERROR(_xludf.MAXIFS(PAYMENTS!A:A,PAYMENTS!C:C,E241),""))</f>
        <v/>
      </c>
    </row>
    <row r="242" spans="1:15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t="str">
        <f>IF(E242="","",SUMIF(PAYMENTS!C:C,E242,PAYMENTS!E:E))</f>
        <v/>
      </c>
      <c r="M242" t="str">
        <f t="shared" si="6"/>
        <v/>
      </c>
      <c r="N242" t="str">
        <f t="shared" si="7"/>
        <v/>
      </c>
      <c r="O242" t="str">
        <f>IF(E242="","",IFERROR(_xludf.MAXIFS(PAYMENTS!A:A,PAYMENTS!C:C,E242),""))</f>
        <v/>
      </c>
    </row>
    <row r="243" spans="1:15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t="str">
        <f>IF(E243="","",SUMIF(PAYMENTS!C:C,E243,PAYMENTS!E:E))</f>
        <v/>
      </c>
      <c r="M243" t="str">
        <f t="shared" si="6"/>
        <v/>
      </c>
      <c r="N243" t="str">
        <f t="shared" si="7"/>
        <v/>
      </c>
      <c r="O243" t="str">
        <f>IF(E243="","",IFERROR(_xludf.MAXIFS(PAYMENTS!A:A,PAYMENTS!C:C,E243),""))</f>
        <v/>
      </c>
    </row>
    <row r="244" spans="1:15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t="str">
        <f>IF(E244="","",SUMIF(PAYMENTS!C:C,E244,PAYMENTS!E:E))</f>
        <v/>
      </c>
      <c r="M244" t="str">
        <f t="shared" si="6"/>
        <v/>
      </c>
      <c r="N244" t="str">
        <f t="shared" si="7"/>
        <v/>
      </c>
      <c r="O244" t="str">
        <f>IF(E244="","",IFERROR(_xludf.MAXIFS(PAYMENTS!A:A,PAYMENTS!C:C,E244),""))</f>
        <v/>
      </c>
    </row>
    <row r="245" spans="1:15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t="str">
        <f>IF(E245="","",SUMIF(PAYMENTS!C:C,E245,PAYMENTS!E:E))</f>
        <v/>
      </c>
      <c r="M245" t="str">
        <f t="shared" si="6"/>
        <v/>
      </c>
      <c r="N245" t="str">
        <f t="shared" si="7"/>
        <v/>
      </c>
      <c r="O245" t="str">
        <f>IF(E245="","",IFERROR(_xludf.MAXIFS(PAYMENTS!A:A,PAYMENTS!C:C,E245),""))</f>
        <v/>
      </c>
    </row>
    <row r="246" spans="1:15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t="str">
        <f>IF(E246="","",SUMIF(PAYMENTS!C:C,E246,PAYMENTS!E:E))</f>
        <v/>
      </c>
      <c r="M246" t="str">
        <f t="shared" si="6"/>
        <v/>
      </c>
      <c r="N246" t="str">
        <f t="shared" si="7"/>
        <v/>
      </c>
      <c r="O246" t="str">
        <f>IF(E246="","",IFERROR(_xludf.MAXIFS(PAYMENTS!A:A,PAYMENTS!C:C,E246),""))</f>
        <v/>
      </c>
    </row>
    <row r="247" spans="1:15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t="str">
        <f>IF(E247="","",SUMIF(PAYMENTS!C:C,E247,PAYMENTS!E:E))</f>
        <v/>
      </c>
      <c r="M247" t="str">
        <f t="shared" si="6"/>
        <v/>
      </c>
      <c r="N247" t="str">
        <f t="shared" si="7"/>
        <v/>
      </c>
      <c r="O247" t="str">
        <f>IF(E247="","",IFERROR(_xludf.MAXIFS(PAYMENTS!A:A,PAYMENTS!C:C,E247),""))</f>
        <v/>
      </c>
    </row>
    <row r="248" spans="1:15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t="str">
        <f>IF(E248="","",SUMIF(PAYMENTS!C:C,E248,PAYMENTS!E:E))</f>
        <v/>
      </c>
      <c r="M248" t="str">
        <f t="shared" si="6"/>
        <v/>
      </c>
      <c r="N248" t="str">
        <f t="shared" si="7"/>
        <v/>
      </c>
      <c r="O248" t="str">
        <f>IF(E248="","",IFERROR(_xludf.MAXIFS(PAYMENTS!A:A,PAYMENTS!C:C,E248),""))</f>
        <v/>
      </c>
    </row>
    <row r="249" spans="1:15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t="str">
        <f>IF(E249="","",SUMIF(PAYMENTS!C:C,E249,PAYMENTS!E:E))</f>
        <v/>
      </c>
      <c r="M249" t="str">
        <f t="shared" si="6"/>
        <v/>
      </c>
      <c r="N249" t="str">
        <f t="shared" si="7"/>
        <v/>
      </c>
      <c r="O249" t="str">
        <f>IF(E249="","",IFERROR(_xludf.MAXIFS(PAYMENTS!A:A,PAYMENTS!C:C,E249),""))</f>
        <v/>
      </c>
    </row>
    <row r="250" spans="1:15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t="str">
        <f>IF(E250="","",SUMIF(PAYMENTS!C:C,E250,PAYMENTS!E:E))</f>
        <v/>
      </c>
      <c r="M250" t="str">
        <f t="shared" si="6"/>
        <v/>
      </c>
      <c r="N250" t="str">
        <f t="shared" si="7"/>
        <v/>
      </c>
      <c r="O250" t="str">
        <f>IF(E250="","",IFERROR(_xludf.MAXIFS(PAYMENTS!A:A,PAYMENTS!C:C,E250),""))</f>
        <v/>
      </c>
    </row>
    <row r="251" spans="1:15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t="str">
        <f>IF(E251="","",SUMIF(PAYMENTS!C:C,E251,PAYMENTS!E:E))</f>
        <v/>
      </c>
      <c r="M251" t="str">
        <f t="shared" si="6"/>
        <v/>
      </c>
      <c r="N251" t="str">
        <f t="shared" si="7"/>
        <v/>
      </c>
      <c r="O251" t="str">
        <f>IF(E251="","",IFERROR(_xludf.MAXIFS(PAYMENTS!A:A,PAYMENTS!C:C,E251),""))</f>
        <v/>
      </c>
    </row>
    <row r="252" spans="1:15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t="str">
        <f>IF(E252="","",SUMIF(PAYMENTS!C:C,E252,PAYMENTS!E:E))</f>
        <v/>
      </c>
      <c r="M252" t="str">
        <f t="shared" si="6"/>
        <v/>
      </c>
      <c r="N252" t="str">
        <f t="shared" si="7"/>
        <v/>
      </c>
      <c r="O252" t="str">
        <f>IF(E252="","",IFERROR(_xludf.MAXIFS(PAYMENTS!A:A,PAYMENTS!C:C,E252),""))</f>
        <v/>
      </c>
    </row>
    <row r="253" spans="1:15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t="str">
        <f>IF(E253="","",SUMIF(PAYMENTS!C:C,E253,PAYMENTS!E:E))</f>
        <v/>
      </c>
      <c r="M253" t="str">
        <f t="shared" si="6"/>
        <v/>
      </c>
      <c r="N253" t="str">
        <f t="shared" si="7"/>
        <v/>
      </c>
      <c r="O253" t="str">
        <f>IF(E253="","",IFERROR(_xludf.MAXIFS(PAYMENTS!A:A,PAYMENTS!C:C,E253),""))</f>
        <v/>
      </c>
    </row>
    <row r="254" spans="1:15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t="str">
        <f>IF(E254="","",SUMIF(PAYMENTS!C:C,E254,PAYMENTS!E:E))</f>
        <v/>
      </c>
      <c r="M254" t="str">
        <f t="shared" si="6"/>
        <v/>
      </c>
      <c r="N254" t="str">
        <f t="shared" si="7"/>
        <v/>
      </c>
      <c r="O254" t="str">
        <f>IF(E254="","",IFERROR(_xludf.MAXIFS(PAYMENTS!A:A,PAYMENTS!C:C,E254),""))</f>
        <v/>
      </c>
    </row>
    <row r="255" spans="1:15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t="str">
        <f>IF(E255="","",SUMIF(PAYMENTS!C:C,E255,PAYMENTS!E:E))</f>
        <v/>
      </c>
      <c r="M255" t="str">
        <f t="shared" si="6"/>
        <v/>
      </c>
      <c r="N255" t="str">
        <f t="shared" si="7"/>
        <v/>
      </c>
      <c r="O255" t="str">
        <f>IF(E255="","",IFERROR(_xludf.MAXIFS(PAYMENTS!A:A,PAYMENTS!C:C,E255),""))</f>
        <v/>
      </c>
    </row>
    <row r="256" spans="1:15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t="str">
        <f>IF(E256="","",SUMIF(PAYMENTS!C:C,E256,PAYMENTS!E:E))</f>
        <v/>
      </c>
      <c r="M256" t="str">
        <f t="shared" si="6"/>
        <v/>
      </c>
      <c r="N256" t="str">
        <f t="shared" si="7"/>
        <v/>
      </c>
      <c r="O256" t="str">
        <f>IF(E256="","",IFERROR(_xludf.MAXIFS(PAYMENTS!A:A,PAYMENTS!C:C,E256),""))</f>
        <v/>
      </c>
    </row>
    <row r="257" spans="1:15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t="str">
        <f>IF(E257="","",SUMIF(PAYMENTS!C:C,E257,PAYMENTS!E:E))</f>
        <v/>
      </c>
      <c r="M257" t="str">
        <f t="shared" si="6"/>
        <v/>
      </c>
      <c r="N257" t="str">
        <f t="shared" si="7"/>
        <v/>
      </c>
      <c r="O257" t="str">
        <f>IF(E257="","",IFERROR(_xludf.MAXIFS(PAYMENTS!A:A,PAYMENTS!C:C,E257),""))</f>
        <v/>
      </c>
    </row>
    <row r="258" spans="1:15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t="str">
        <f>IF(E258="","",SUMIF(PAYMENTS!C:C,E258,PAYMENTS!E:E))</f>
        <v/>
      </c>
      <c r="M258" t="str">
        <f t="shared" ref="M258:M321" si="8">IF(E258="","",J258-L258)</f>
        <v/>
      </c>
      <c r="N258" t="str">
        <f t="shared" ref="N258:N321" si="9">IF(E258="","",IF(M258&lt;=0,"Paid",IF(L258&gt;0,"Part Paid","Unpaid")))</f>
        <v/>
      </c>
      <c r="O258" t="str">
        <f>IF(E258="","",IFERROR(_xludf.MAXIFS(PAYMENTS!A:A,PAYMENTS!C:C,E258),""))</f>
        <v/>
      </c>
    </row>
    <row r="259" spans="1:15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t="str">
        <f>IF(E259="","",SUMIF(PAYMENTS!C:C,E259,PAYMENTS!E:E))</f>
        <v/>
      </c>
      <c r="M259" t="str">
        <f t="shared" si="8"/>
        <v/>
      </c>
      <c r="N259" t="str">
        <f t="shared" si="9"/>
        <v/>
      </c>
      <c r="O259" t="str">
        <f>IF(E259="","",IFERROR(_xludf.MAXIFS(PAYMENTS!A:A,PAYMENTS!C:C,E259),""))</f>
        <v/>
      </c>
    </row>
    <row r="260" spans="1:15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t="str">
        <f>IF(E260="","",SUMIF(PAYMENTS!C:C,E260,PAYMENTS!E:E))</f>
        <v/>
      </c>
      <c r="M260" t="str">
        <f t="shared" si="8"/>
        <v/>
      </c>
      <c r="N260" t="str">
        <f t="shared" si="9"/>
        <v/>
      </c>
      <c r="O260" t="str">
        <f>IF(E260="","",IFERROR(_xludf.MAXIFS(PAYMENTS!A:A,PAYMENTS!C:C,E260),""))</f>
        <v/>
      </c>
    </row>
    <row r="261" spans="1:15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t="str">
        <f>IF(E261="","",SUMIF(PAYMENTS!C:C,E261,PAYMENTS!E:E))</f>
        <v/>
      </c>
      <c r="M261" t="str">
        <f t="shared" si="8"/>
        <v/>
      </c>
      <c r="N261" t="str">
        <f t="shared" si="9"/>
        <v/>
      </c>
      <c r="O261" t="str">
        <f>IF(E261="","",IFERROR(_xludf.MAXIFS(PAYMENTS!A:A,PAYMENTS!C:C,E261),""))</f>
        <v/>
      </c>
    </row>
    <row r="262" spans="1:15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t="str">
        <f>IF(E262="","",SUMIF(PAYMENTS!C:C,E262,PAYMENTS!E:E))</f>
        <v/>
      </c>
      <c r="M262" t="str">
        <f t="shared" si="8"/>
        <v/>
      </c>
      <c r="N262" t="str">
        <f t="shared" si="9"/>
        <v/>
      </c>
      <c r="O262" t="str">
        <f>IF(E262="","",IFERROR(_xludf.MAXIFS(PAYMENTS!A:A,PAYMENTS!C:C,E262),""))</f>
        <v/>
      </c>
    </row>
    <row r="263" spans="1:15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t="str">
        <f>IF(E263="","",SUMIF(PAYMENTS!C:C,E263,PAYMENTS!E:E))</f>
        <v/>
      </c>
      <c r="M263" t="str">
        <f t="shared" si="8"/>
        <v/>
      </c>
      <c r="N263" t="str">
        <f t="shared" si="9"/>
        <v/>
      </c>
      <c r="O263" t="str">
        <f>IF(E263="","",IFERROR(_xludf.MAXIFS(PAYMENTS!A:A,PAYMENTS!C:C,E263),""))</f>
        <v/>
      </c>
    </row>
    <row r="264" spans="1:15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t="str">
        <f>IF(E264="","",SUMIF(PAYMENTS!C:C,E264,PAYMENTS!E:E))</f>
        <v/>
      </c>
      <c r="M264" t="str">
        <f t="shared" si="8"/>
        <v/>
      </c>
      <c r="N264" t="str">
        <f t="shared" si="9"/>
        <v/>
      </c>
      <c r="O264" t="str">
        <f>IF(E264="","",IFERROR(_xludf.MAXIFS(PAYMENTS!A:A,PAYMENTS!C:C,E264),""))</f>
        <v/>
      </c>
    </row>
    <row r="265" spans="1:15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t="str">
        <f>IF(E265="","",SUMIF(PAYMENTS!C:C,E265,PAYMENTS!E:E))</f>
        <v/>
      </c>
      <c r="M265" t="str">
        <f t="shared" si="8"/>
        <v/>
      </c>
      <c r="N265" t="str">
        <f t="shared" si="9"/>
        <v/>
      </c>
      <c r="O265" t="str">
        <f>IF(E265="","",IFERROR(_xludf.MAXIFS(PAYMENTS!A:A,PAYMENTS!C:C,E265),""))</f>
        <v/>
      </c>
    </row>
    <row r="266" spans="1:15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t="str">
        <f>IF(E266="","",SUMIF(PAYMENTS!C:C,E266,PAYMENTS!E:E))</f>
        <v/>
      </c>
      <c r="M266" t="str">
        <f t="shared" si="8"/>
        <v/>
      </c>
      <c r="N266" t="str">
        <f t="shared" si="9"/>
        <v/>
      </c>
      <c r="O266" t="str">
        <f>IF(E266="","",IFERROR(_xludf.MAXIFS(PAYMENTS!A:A,PAYMENTS!C:C,E266),""))</f>
        <v/>
      </c>
    </row>
    <row r="267" spans="1:15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t="str">
        <f>IF(E267="","",SUMIF(PAYMENTS!C:C,E267,PAYMENTS!E:E))</f>
        <v/>
      </c>
      <c r="M267" t="str">
        <f t="shared" si="8"/>
        <v/>
      </c>
      <c r="N267" t="str">
        <f t="shared" si="9"/>
        <v/>
      </c>
      <c r="O267" t="str">
        <f>IF(E267="","",IFERROR(_xludf.MAXIFS(PAYMENTS!A:A,PAYMENTS!C:C,E267),""))</f>
        <v/>
      </c>
    </row>
    <row r="268" spans="1:15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t="str">
        <f>IF(E268="","",SUMIF(PAYMENTS!C:C,E268,PAYMENTS!E:E))</f>
        <v/>
      </c>
      <c r="M268" t="str">
        <f t="shared" si="8"/>
        <v/>
      </c>
      <c r="N268" t="str">
        <f t="shared" si="9"/>
        <v/>
      </c>
      <c r="O268" t="str">
        <f>IF(E268="","",IFERROR(_xludf.MAXIFS(PAYMENTS!A:A,PAYMENTS!C:C,E268),""))</f>
        <v/>
      </c>
    </row>
    <row r="269" spans="1:15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t="str">
        <f>IF(E269="","",SUMIF(PAYMENTS!C:C,E269,PAYMENTS!E:E))</f>
        <v/>
      </c>
      <c r="M269" t="str">
        <f t="shared" si="8"/>
        <v/>
      </c>
      <c r="N269" t="str">
        <f t="shared" si="9"/>
        <v/>
      </c>
      <c r="O269" t="str">
        <f>IF(E269="","",IFERROR(_xludf.MAXIFS(PAYMENTS!A:A,PAYMENTS!C:C,E269),""))</f>
        <v/>
      </c>
    </row>
    <row r="270" spans="1:15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t="str">
        <f>IF(E270="","",SUMIF(PAYMENTS!C:C,E270,PAYMENTS!E:E))</f>
        <v/>
      </c>
      <c r="M270" t="str">
        <f t="shared" si="8"/>
        <v/>
      </c>
      <c r="N270" t="str">
        <f t="shared" si="9"/>
        <v/>
      </c>
      <c r="O270" t="str">
        <f>IF(E270="","",IFERROR(_xludf.MAXIFS(PAYMENTS!A:A,PAYMENTS!C:C,E270),""))</f>
        <v/>
      </c>
    </row>
    <row r="271" spans="1:15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t="str">
        <f>IF(E271="","",SUMIF(PAYMENTS!C:C,E271,PAYMENTS!E:E))</f>
        <v/>
      </c>
      <c r="M271" t="str">
        <f t="shared" si="8"/>
        <v/>
      </c>
      <c r="N271" t="str">
        <f t="shared" si="9"/>
        <v/>
      </c>
      <c r="O271" t="str">
        <f>IF(E271="","",IFERROR(_xludf.MAXIFS(PAYMENTS!A:A,PAYMENTS!C:C,E271),""))</f>
        <v/>
      </c>
    </row>
    <row r="272" spans="1:15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t="str">
        <f>IF(E272="","",SUMIF(PAYMENTS!C:C,E272,PAYMENTS!E:E))</f>
        <v/>
      </c>
      <c r="M272" t="str">
        <f t="shared" si="8"/>
        <v/>
      </c>
      <c r="N272" t="str">
        <f t="shared" si="9"/>
        <v/>
      </c>
      <c r="O272" t="str">
        <f>IF(E272="","",IFERROR(_xludf.MAXIFS(PAYMENTS!A:A,PAYMENTS!C:C,E272),""))</f>
        <v/>
      </c>
    </row>
    <row r="273" spans="1:15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t="str">
        <f>IF(E273="","",SUMIF(PAYMENTS!C:C,E273,PAYMENTS!E:E))</f>
        <v/>
      </c>
      <c r="M273" t="str">
        <f t="shared" si="8"/>
        <v/>
      </c>
      <c r="N273" t="str">
        <f t="shared" si="9"/>
        <v/>
      </c>
      <c r="O273" t="str">
        <f>IF(E273="","",IFERROR(_xludf.MAXIFS(PAYMENTS!A:A,PAYMENTS!C:C,E273),""))</f>
        <v/>
      </c>
    </row>
    <row r="274" spans="1:15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t="str">
        <f>IF(E274="","",SUMIF(PAYMENTS!C:C,E274,PAYMENTS!E:E))</f>
        <v/>
      </c>
      <c r="M274" t="str">
        <f t="shared" si="8"/>
        <v/>
      </c>
      <c r="N274" t="str">
        <f t="shared" si="9"/>
        <v/>
      </c>
      <c r="O274" t="str">
        <f>IF(E274="","",IFERROR(_xludf.MAXIFS(PAYMENTS!A:A,PAYMENTS!C:C,E274),""))</f>
        <v/>
      </c>
    </row>
    <row r="275" spans="1:15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t="str">
        <f>IF(E275="","",SUMIF(PAYMENTS!C:C,E275,PAYMENTS!E:E))</f>
        <v/>
      </c>
      <c r="M275" t="str">
        <f t="shared" si="8"/>
        <v/>
      </c>
      <c r="N275" t="str">
        <f t="shared" si="9"/>
        <v/>
      </c>
      <c r="O275" t="str">
        <f>IF(E275="","",IFERROR(_xludf.MAXIFS(PAYMENTS!A:A,PAYMENTS!C:C,E275),""))</f>
        <v/>
      </c>
    </row>
    <row r="276" spans="1:15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t="str">
        <f>IF(E276="","",SUMIF(PAYMENTS!C:C,E276,PAYMENTS!E:E))</f>
        <v/>
      </c>
      <c r="M276" t="str">
        <f t="shared" si="8"/>
        <v/>
      </c>
      <c r="N276" t="str">
        <f t="shared" si="9"/>
        <v/>
      </c>
      <c r="O276" t="str">
        <f>IF(E276="","",IFERROR(_xludf.MAXIFS(PAYMENTS!A:A,PAYMENTS!C:C,E276),""))</f>
        <v/>
      </c>
    </row>
    <row r="277" spans="1:15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t="str">
        <f>IF(E277="","",SUMIF(PAYMENTS!C:C,E277,PAYMENTS!E:E))</f>
        <v/>
      </c>
      <c r="M277" t="str">
        <f t="shared" si="8"/>
        <v/>
      </c>
      <c r="N277" t="str">
        <f t="shared" si="9"/>
        <v/>
      </c>
      <c r="O277" t="str">
        <f>IF(E277="","",IFERROR(_xludf.MAXIFS(PAYMENTS!A:A,PAYMENTS!C:C,E277),""))</f>
        <v/>
      </c>
    </row>
    <row r="278" spans="1:15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t="str">
        <f>IF(E278="","",SUMIF(PAYMENTS!C:C,E278,PAYMENTS!E:E))</f>
        <v/>
      </c>
      <c r="M278" t="str">
        <f t="shared" si="8"/>
        <v/>
      </c>
      <c r="N278" t="str">
        <f t="shared" si="9"/>
        <v/>
      </c>
      <c r="O278" t="str">
        <f>IF(E278="","",IFERROR(_xludf.MAXIFS(PAYMENTS!A:A,PAYMENTS!C:C,E278),""))</f>
        <v/>
      </c>
    </row>
    <row r="279" spans="1:15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t="str">
        <f>IF(E279="","",SUMIF(PAYMENTS!C:C,E279,PAYMENTS!E:E))</f>
        <v/>
      </c>
      <c r="M279" t="str">
        <f t="shared" si="8"/>
        <v/>
      </c>
      <c r="N279" t="str">
        <f t="shared" si="9"/>
        <v/>
      </c>
      <c r="O279" t="str">
        <f>IF(E279="","",IFERROR(_xludf.MAXIFS(PAYMENTS!A:A,PAYMENTS!C:C,E279),""))</f>
        <v/>
      </c>
    </row>
    <row r="280" spans="1:15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t="str">
        <f>IF(E280="","",SUMIF(PAYMENTS!C:C,E280,PAYMENTS!E:E))</f>
        <v/>
      </c>
      <c r="M280" t="str">
        <f t="shared" si="8"/>
        <v/>
      </c>
      <c r="N280" t="str">
        <f t="shared" si="9"/>
        <v/>
      </c>
      <c r="O280" t="str">
        <f>IF(E280="","",IFERROR(_xludf.MAXIFS(PAYMENTS!A:A,PAYMENTS!C:C,E280),""))</f>
        <v/>
      </c>
    </row>
    <row r="281" spans="1:15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t="str">
        <f>IF(E281="","",SUMIF(PAYMENTS!C:C,E281,PAYMENTS!E:E))</f>
        <v/>
      </c>
      <c r="M281" t="str">
        <f t="shared" si="8"/>
        <v/>
      </c>
      <c r="N281" t="str">
        <f t="shared" si="9"/>
        <v/>
      </c>
      <c r="O281" t="str">
        <f>IF(E281="","",IFERROR(_xludf.MAXIFS(PAYMENTS!A:A,PAYMENTS!C:C,E281),""))</f>
        <v/>
      </c>
    </row>
    <row r="282" spans="1:15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t="str">
        <f>IF(E282="","",SUMIF(PAYMENTS!C:C,E282,PAYMENTS!E:E))</f>
        <v/>
      </c>
      <c r="M282" t="str">
        <f t="shared" si="8"/>
        <v/>
      </c>
      <c r="N282" t="str">
        <f t="shared" si="9"/>
        <v/>
      </c>
      <c r="O282" t="str">
        <f>IF(E282="","",IFERROR(_xludf.MAXIFS(PAYMENTS!A:A,PAYMENTS!C:C,E282),""))</f>
        <v/>
      </c>
    </row>
    <row r="283" spans="1:15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t="str">
        <f>IF(E283="","",SUMIF(PAYMENTS!C:C,E283,PAYMENTS!E:E))</f>
        <v/>
      </c>
      <c r="M283" t="str">
        <f t="shared" si="8"/>
        <v/>
      </c>
      <c r="N283" t="str">
        <f t="shared" si="9"/>
        <v/>
      </c>
      <c r="O283" t="str">
        <f>IF(E283="","",IFERROR(_xludf.MAXIFS(PAYMENTS!A:A,PAYMENTS!C:C,E283),""))</f>
        <v/>
      </c>
    </row>
    <row r="284" spans="1:15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t="str">
        <f>IF(E284="","",SUMIF(PAYMENTS!C:C,E284,PAYMENTS!E:E))</f>
        <v/>
      </c>
      <c r="M284" t="str">
        <f t="shared" si="8"/>
        <v/>
      </c>
      <c r="N284" t="str">
        <f t="shared" si="9"/>
        <v/>
      </c>
      <c r="O284" t="str">
        <f>IF(E284="","",IFERROR(_xludf.MAXIFS(PAYMENTS!A:A,PAYMENTS!C:C,E284),""))</f>
        <v/>
      </c>
    </row>
    <row r="285" spans="1:15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t="str">
        <f>IF(E285="","",SUMIF(PAYMENTS!C:C,E285,PAYMENTS!E:E))</f>
        <v/>
      </c>
      <c r="M285" t="str">
        <f t="shared" si="8"/>
        <v/>
      </c>
      <c r="N285" t="str">
        <f t="shared" si="9"/>
        <v/>
      </c>
      <c r="O285" t="str">
        <f>IF(E285="","",IFERROR(_xludf.MAXIFS(PAYMENTS!A:A,PAYMENTS!C:C,E285),""))</f>
        <v/>
      </c>
    </row>
    <row r="286" spans="1:15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t="str">
        <f>IF(E286="","",SUMIF(PAYMENTS!C:C,E286,PAYMENTS!E:E))</f>
        <v/>
      </c>
      <c r="M286" t="str">
        <f t="shared" si="8"/>
        <v/>
      </c>
      <c r="N286" t="str">
        <f t="shared" si="9"/>
        <v/>
      </c>
      <c r="O286" t="str">
        <f>IF(E286="","",IFERROR(_xludf.MAXIFS(PAYMENTS!A:A,PAYMENTS!C:C,E286),""))</f>
        <v/>
      </c>
    </row>
    <row r="287" spans="1:15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t="str">
        <f>IF(E287="","",SUMIF(PAYMENTS!C:C,E287,PAYMENTS!E:E))</f>
        <v/>
      </c>
      <c r="M287" t="str">
        <f t="shared" si="8"/>
        <v/>
      </c>
      <c r="N287" t="str">
        <f t="shared" si="9"/>
        <v/>
      </c>
      <c r="O287" t="str">
        <f>IF(E287="","",IFERROR(_xludf.MAXIFS(PAYMENTS!A:A,PAYMENTS!C:C,E287),""))</f>
        <v/>
      </c>
    </row>
    <row r="288" spans="1:15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t="str">
        <f>IF(E288="","",SUMIF(PAYMENTS!C:C,E288,PAYMENTS!E:E))</f>
        <v/>
      </c>
      <c r="M288" t="str">
        <f t="shared" si="8"/>
        <v/>
      </c>
      <c r="N288" t="str">
        <f t="shared" si="9"/>
        <v/>
      </c>
      <c r="O288" t="str">
        <f>IF(E288="","",IFERROR(_xludf.MAXIFS(PAYMENTS!A:A,PAYMENTS!C:C,E288),""))</f>
        <v/>
      </c>
    </row>
    <row r="289" spans="1:15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t="str">
        <f>IF(E289="","",SUMIF(PAYMENTS!C:C,E289,PAYMENTS!E:E))</f>
        <v/>
      </c>
      <c r="M289" t="str">
        <f t="shared" si="8"/>
        <v/>
      </c>
      <c r="N289" t="str">
        <f t="shared" si="9"/>
        <v/>
      </c>
      <c r="O289" t="str">
        <f>IF(E289="","",IFERROR(_xludf.MAXIFS(PAYMENTS!A:A,PAYMENTS!C:C,E289),""))</f>
        <v/>
      </c>
    </row>
    <row r="290" spans="1:15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t="str">
        <f>IF(E290="","",SUMIF(PAYMENTS!C:C,E290,PAYMENTS!E:E))</f>
        <v/>
      </c>
      <c r="M290" t="str">
        <f t="shared" si="8"/>
        <v/>
      </c>
      <c r="N290" t="str">
        <f t="shared" si="9"/>
        <v/>
      </c>
      <c r="O290" t="str">
        <f>IF(E290="","",IFERROR(_xludf.MAXIFS(PAYMENTS!A:A,PAYMENTS!C:C,E290),""))</f>
        <v/>
      </c>
    </row>
    <row r="291" spans="1:15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t="str">
        <f>IF(E291="","",SUMIF(PAYMENTS!C:C,E291,PAYMENTS!E:E))</f>
        <v/>
      </c>
      <c r="M291" t="str">
        <f t="shared" si="8"/>
        <v/>
      </c>
      <c r="N291" t="str">
        <f t="shared" si="9"/>
        <v/>
      </c>
      <c r="O291" t="str">
        <f>IF(E291="","",IFERROR(_xludf.MAXIFS(PAYMENTS!A:A,PAYMENTS!C:C,E291),""))</f>
        <v/>
      </c>
    </row>
    <row r="292" spans="1:15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t="str">
        <f>IF(E292="","",SUMIF(PAYMENTS!C:C,E292,PAYMENTS!E:E))</f>
        <v/>
      </c>
      <c r="M292" t="str">
        <f t="shared" si="8"/>
        <v/>
      </c>
      <c r="N292" t="str">
        <f t="shared" si="9"/>
        <v/>
      </c>
      <c r="O292" t="str">
        <f>IF(E292="","",IFERROR(_xludf.MAXIFS(PAYMENTS!A:A,PAYMENTS!C:C,E292),""))</f>
        <v/>
      </c>
    </row>
    <row r="293" spans="1:15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t="str">
        <f>IF(E293="","",SUMIF(PAYMENTS!C:C,E293,PAYMENTS!E:E))</f>
        <v/>
      </c>
      <c r="M293" t="str">
        <f t="shared" si="8"/>
        <v/>
      </c>
      <c r="N293" t="str">
        <f t="shared" si="9"/>
        <v/>
      </c>
      <c r="O293" t="str">
        <f>IF(E293="","",IFERROR(_xludf.MAXIFS(PAYMENTS!A:A,PAYMENTS!C:C,E293),""))</f>
        <v/>
      </c>
    </row>
    <row r="294" spans="1:15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t="str">
        <f>IF(E294="","",SUMIF(PAYMENTS!C:C,E294,PAYMENTS!E:E))</f>
        <v/>
      </c>
      <c r="M294" t="str">
        <f t="shared" si="8"/>
        <v/>
      </c>
      <c r="N294" t="str">
        <f t="shared" si="9"/>
        <v/>
      </c>
      <c r="O294" t="str">
        <f>IF(E294="","",IFERROR(_xludf.MAXIFS(PAYMENTS!A:A,PAYMENTS!C:C,E294),""))</f>
        <v/>
      </c>
    </row>
    <row r="295" spans="1:15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t="str">
        <f>IF(E295="","",SUMIF(PAYMENTS!C:C,E295,PAYMENTS!E:E))</f>
        <v/>
      </c>
      <c r="M295" t="str">
        <f t="shared" si="8"/>
        <v/>
      </c>
      <c r="N295" t="str">
        <f t="shared" si="9"/>
        <v/>
      </c>
      <c r="O295" t="str">
        <f>IF(E295="","",IFERROR(_xludf.MAXIFS(PAYMENTS!A:A,PAYMENTS!C:C,E295),""))</f>
        <v/>
      </c>
    </row>
    <row r="296" spans="1:15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t="str">
        <f>IF(E296="","",SUMIF(PAYMENTS!C:C,E296,PAYMENTS!E:E))</f>
        <v/>
      </c>
      <c r="M296" t="str">
        <f t="shared" si="8"/>
        <v/>
      </c>
      <c r="N296" t="str">
        <f t="shared" si="9"/>
        <v/>
      </c>
      <c r="O296" t="str">
        <f>IF(E296="","",IFERROR(_xludf.MAXIFS(PAYMENTS!A:A,PAYMENTS!C:C,E296),""))</f>
        <v/>
      </c>
    </row>
    <row r="297" spans="1:15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t="str">
        <f>IF(E297="","",SUMIF(PAYMENTS!C:C,E297,PAYMENTS!E:E))</f>
        <v/>
      </c>
      <c r="M297" t="str">
        <f t="shared" si="8"/>
        <v/>
      </c>
      <c r="N297" t="str">
        <f t="shared" si="9"/>
        <v/>
      </c>
      <c r="O297" t="str">
        <f>IF(E297="","",IFERROR(_xludf.MAXIFS(PAYMENTS!A:A,PAYMENTS!C:C,E297),""))</f>
        <v/>
      </c>
    </row>
    <row r="298" spans="1:15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t="str">
        <f>IF(E298="","",SUMIF(PAYMENTS!C:C,E298,PAYMENTS!E:E))</f>
        <v/>
      </c>
      <c r="M298" t="str">
        <f t="shared" si="8"/>
        <v/>
      </c>
      <c r="N298" t="str">
        <f t="shared" si="9"/>
        <v/>
      </c>
      <c r="O298" t="str">
        <f>IF(E298="","",IFERROR(_xludf.MAXIFS(PAYMENTS!A:A,PAYMENTS!C:C,E298),""))</f>
        <v/>
      </c>
    </row>
    <row r="299" spans="1:15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t="str">
        <f>IF(E299="","",SUMIF(PAYMENTS!C:C,E299,PAYMENTS!E:E))</f>
        <v/>
      </c>
      <c r="M299" t="str">
        <f t="shared" si="8"/>
        <v/>
      </c>
      <c r="N299" t="str">
        <f t="shared" si="9"/>
        <v/>
      </c>
      <c r="O299" t="str">
        <f>IF(E299="","",IFERROR(_xludf.MAXIFS(PAYMENTS!A:A,PAYMENTS!C:C,E299),""))</f>
        <v/>
      </c>
    </row>
    <row r="300" spans="1:15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t="str">
        <f>IF(E300="","",SUMIF(PAYMENTS!C:C,E300,PAYMENTS!E:E))</f>
        <v/>
      </c>
      <c r="M300" t="str">
        <f t="shared" si="8"/>
        <v/>
      </c>
      <c r="N300" t="str">
        <f t="shared" si="9"/>
        <v/>
      </c>
      <c r="O300" t="str">
        <f>IF(E300="","",IFERROR(_xludf.MAXIFS(PAYMENTS!A:A,PAYMENTS!C:C,E300),""))</f>
        <v/>
      </c>
    </row>
    <row r="301" spans="1:15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t="str">
        <f>IF(E301="","",SUMIF(PAYMENTS!C:C,E301,PAYMENTS!E:E))</f>
        <v/>
      </c>
      <c r="M301" t="str">
        <f t="shared" si="8"/>
        <v/>
      </c>
      <c r="N301" t="str">
        <f t="shared" si="9"/>
        <v/>
      </c>
      <c r="O301" t="str">
        <f>IF(E301="","",IFERROR(_xludf.MAXIFS(PAYMENTS!A:A,PAYMENTS!C:C,E301),""))</f>
        <v/>
      </c>
    </row>
    <row r="302" spans="1:15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t="str">
        <f>IF(E302="","",SUMIF(PAYMENTS!C:C,E302,PAYMENTS!E:E))</f>
        <v/>
      </c>
      <c r="M302" t="str">
        <f t="shared" si="8"/>
        <v/>
      </c>
      <c r="N302" t="str">
        <f t="shared" si="9"/>
        <v/>
      </c>
      <c r="O302" t="str">
        <f>IF(E302="","",IFERROR(_xludf.MAXIFS(PAYMENTS!A:A,PAYMENTS!C:C,E302),""))</f>
        <v/>
      </c>
    </row>
    <row r="303" spans="1:15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t="str">
        <f>IF(E303="","",SUMIF(PAYMENTS!C:C,E303,PAYMENTS!E:E))</f>
        <v/>
      </c>
      <c r="M303" t="str">
        <f t="shared" si="8"/>
        <v/>
      </c>
      <c r="N303" t="str">
        <f t="shared" si="9"/>
        <v/>
      </c>
      <c r="O303" t="str">
        <f>IF(E303="","",IFERROR(_xludf.MAXIFS(PAYMENTS!A:A,PAYMENTS!C:C,E303),""))</f>
        <v/>
      </c>
    </row>
    <row r="304" spans="1:15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t="str">
        <f>IF(E304="","",SUMIF(PAYMENTS!C:C,E304,PAYMENTS!E:E))</f>
        <v/>
      </c>
      <c r="M304" t="str">
        <f t="shared" si="8"/>
        <v/>
      </c>
      <c r="N304" t="str">
        <f t="shared" si="9"/>
        <v/>
      </c>
      <c r="O304" t="str">
        <f>IF(E304="","",IFERROR(_xludf.MAXIFS(PAYMENTS!A:A,PAYMENTS!C:C,E304),""))</f>
        <v/>
      </c>
    </row>
    <row r="305" spans="1:15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t="str">
        <f>IF(E305="","",SUMIF(PAYMENTS!C:C,E305,PAYMENTS!E:E))</f>
        <v/>
      </c>
      <c r="M305" t="str">
        <f t="shared" si="8"/>
        <v/>
      </c>
      <c r="N305" t="str">
        <f t="shared" si="9"/>
        <v/>
      </c>
      <c r="O305" t="str">
        <f>IF(E305="","",IFERROR(_xludf.MAXIFS(PAYMENTS!A:A,PAYMENTS!C:C,E305),""))</f>
        <v/>
      </c>
    </row>
    <row r="306" spans="1:15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t="str">
        <f>IF(E306="","",SUMIF(PAYMENTS!C:C,E306,PAYMENTS!E:E))</f>
        <v/>
      </c>
      <c r="M306" t="str">
        <f t="shared" si="8"/>
        <v/>
      </c>
      <c r="N306" t="str">
        <f t="shared" si="9"/>
        <v/>
      </c>
      <c r="O306" t="str">
        <f>IF(E306="","",IFERROR(_xludf.MAXIFS(PAYMENTS!A:A,PAYMENTS!C:C,E306),""))</f>
        <v/>
      </c>
    </row>
    <row r="307" spans="1:15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t="str">
        <f>IF(E307="","",SUMIF(PAYMENTS!C:C,E307,PAYMENTS!E:E))</f>
        <v/>
      </c>
      <c r="M307" t="str">
        <f t="shared" si="8"/>
        <v/>
      </c>
      <c r="N307" t="str">
        <f t="shared" si="9"/>
        <v/>
      </c>
      <c r="O307" t="str">
        <f>IF(E307="","",IFERROR(_xludf.MAXIFS(PAYMENTS!A:A,PAYMENTS!C:C,E307),""))</f>
        <v/>
      </c>
    </row>
    <row r="308" spans="1:15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t="str">
        <f>IF(E308="","",SUMIF(PAYMENTS!C:C,E308,PAYMENTS!E:E))</f>
        <v/>
      </c>
      <c r="M308" t="str">
        <f t="shared" si="8"/>
        <v/>
      </c>
      <c r="N308" t="str">
        <f t="shared" si="9"/>
        <v/>
      </c>
      <c r="O308" t="str">
        <f>IF(E308="","",IFERROR(_xludf.MAXIFS(PAYMENTS!A:A,PAYMENTS!C:C,E308),""))</f>
        <v/>
      </c>
    </row>
    <row r="309" spans="1:15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t="str">
        <f>IF(E309="","",SUMIF(PAYMENTS!C:C,E309,PAYMENTS!E:E))</f>
        <v/>
      </c>
      <c r="M309" t="str">
        <f t="shared" si="8"/>
        <v/>
      </c>
      <c r="N309" t="str">
        <f t="shared" si="9"/>
        <v/>
      </c>
      <c r="O309" t="str">
        <f>IF(E309="","",IFERROR(_xludf.MAXIFS(PAYMENTS!A:A,PAYMENTS!C:C,E309),""))</f>
        <v/>
      </c>
    </row>
    <row r="310" spans="1:15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t="str">
        <f>IF(E310="","",SUMIF(PAYMENTS!C:C,E310,PAYMENTS!E:E))</f>
        <v/>
      </c>
      <c r="M310" t="str">
        <f t="shared" si="8"/>
        <v/>
      </c>
      <c r="N310" t="str">
        <f t="shared" si="9"/>
        <v/>
      </c>
      <c r="O310" t="str">
        <f>IF(E310="","",IFERROR(_xludf.MAXIFS(PAYMENTS!A:A,PAYMENTS!C:C,E310),""))</f>
        <v/>
      </c>
    </row>
    <row r="311" spans="1:15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t="str">
        <f>IF(E311="","",SUMIF(PAYMENTS!C:C,E311,PAYMENTS!E:E))</f>
        <v/>
      </c>
      <c r="M311" t="str">
        <f t="shared" si="8"/>
        <v/>
      </c>
      <c r="N311" t="str">
        <f t="shared" si="9"/>
        <v/>
      </c>
      <c r="O311" t="str">
        <f>IF(E311="","",IFERROR(_xludf.MAXIFS(PAYMENTS!A:A,PAYMENTS!C:C,E311),""))</f>
        <v/>
      </c>
    </row>
    <row r="312" spans="1:15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t="str">
        <f>IF(E312="","",SUMIF(PAYMENTS!C:C,E312,PAYMENTS!E:E))</f>
        <v/>
      </c>
      <c r="M312" t="str">
        <f t="shared" si="8"/>
        <v/>
      </c>
      <c r="N312" t="str">
        <f t="shared" si="9"/>
        <v/>
      </c>
      <c r="O312" t="str">
        <f>IF(E312="","",IFERROR(_xludf.MAXIFS(PAYMENTS!A:A,PAYMENTS!C:C,E312),""))</f>
        <v/>
      </c>
    </row>
    <row r="313" spans="1:15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t="str">
        <f>IF(E313="","",SUMIF(PAYMENTS!C:C,E313,PAYMENTS!E:E))</f>
        <v/>
      </c>
      <c r="M313" t="str">
        <f t="shared" si="8"/>
        <v/>
      </c>
      <c r="N313" t="str">
        <f t="shared" si="9"/>
        <v/>
      </c>
      <c r="O313" t="str">
        <f>IF(E313="","",IFERROR(_xludf.MAXIFS(PAYMENTS!A:A,PAYMENTS!C:C,E313),""))</f>
        <v/>
      </c>
    </row>
    <row r="314" spans="1:15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t="str">
        <f>IF(E314="","",SUMIF(PAYMENTS!C:C,E314,PAYMENTS!E:E))</f>
        <v/>
      </c>
      <c r="M314" t="str">
        <f t="shared" si="8"/>
        <v/>
      </c>
      <c r="N314" t="str">
        <f t="shared" si="9"/>
        <v/>
      </c>
      <c r="O314" t="str">
        <f>IF(E314="","",IFERROR(_xludf.MAXIFS(PAYMENTS!A:A,PAYMENTS!C:C,E314),""))</f>
        <v/>
      </c>
    </row>
    <row r="315" spans="1:15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t="str">
        <f>IF(E315="","",SUMIF(PAYMENTS!C:C,E315,PAYMENTS!E:E))</f>
        <v/>
      </c>
      <c r="M315" t="str">
        <f t="shared" si="8"/>
        <v/>
      </c>
      <c r="N315" t="str">
        <f t="shared" si="9"/>
        <v/>
      </c>
      <c r="O315" t="str">
        <f>IF(E315="","",IFERROR(_xludf.MAXIFS(PAYMENTS!A:A,PAYMENTS!C:C,E315),""))</f>
        <v/>
      </c>
    </row>
    <row r="316" spans="1:15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t="str">
        <f>IF(E316="","",SUMIF(PAYMENTS!C:C,E316,PAYMENTS!E:E))</f>
        <v/>
      </c>
      <c r="M316" t="str">
        <f t="shared" si="8"/>
        <v/>
      </c>
      <c r="N316" t="str">
        <f t="shared" si="9"/>
        <v/>
      </c>
      <c r="O316" t="str">
        <f>IF(E316="","",IFERROR(_xludf.MAXIFS(PAYMENTS!A:A,PAYMENTS!C:C,E316),""))</f>
        <v/>
      </c>
    </row>
    <row r="317" spans="1:15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t="str">
        <f>IF(E317="","",SUMIF(PAYMENTS!C:C,E317,PAYMENTS!E:E))</f>
        <v/>
      </c>
      <c r="M317" t="str">
        <f t="shared" si="8"/>
        <v/>
      </c>
      <c r="N317" t="str">
        <f t="shared" si="9"/>
        <v/>
      </c>
      <c r="O317" t="str">
        <f>IF(E317="","",IFERROR(_xludf.MAXIFS(PAYMENTS!A:A,PAYMENTS!C:C,E317),""))</f>
        <v/>
      </c>
    </row>
    <row r="318" spans="1:15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t="str">
        <f>IF(E318="","",SUMIF(PAYMENTS!C:C,E318,PAYMENTS!E:E))</f>
        <v/>
      </c>
      <c r="M318" t="str">
        <f t="shared" si="8"/>
        <v/>
      </c>
      <c r="N318" t="str">
        <f t="shared" si="9"/>
        <v/>
      </c>
      <c r="O318" t="str">
        <f>IF(E318="","",IFERROR(_xludf.MAXIFS(PAYMENTS!A:A,PAYMENTS!C:C,E318),""))</f>
        <v/>
      </c>
    </row>
    <row r="319" spans="1:15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t="str">
        <f>IF(E319="","",SUMIF(PAYMENTS!C:C,E319,PAYMENTS!E:E))</f>
        <v/>
      </c>
      <c r="M319" t="str">
        <f t="shared" si="8"/>
        <v/>
      </c>
      <c r="N319" t="str">
        <f t="shared" si="9"/>
        <v/>
      </c>
      <c r="O319" t="str">
        <f>IF(E319="","",IFERROR(_xludf.MAXIFS(PAYMENTS!A:A,PAYMENTS!C:C,E319),""))</f>
        <v/>
      </c>
    </row>
    <row r="320" spans="1:15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t="str">
        <f>IF(E320="","",SUMIF(PAYMENTS!C:C,E320,PAYMENTS!E:E))</f>
        <v/>
      </c>
      <c r="M320" t="str">
        <f t="shared" si="8"/>
        <v/>
      </c>
      <c r="N320" t="str">
        <f t="shared" si="9"/>
        <v/>
      </c>
      <c r="O320" t="str">
        <f>IF(E320="","",IFERROR(_xludf.MAXIFS(PAYMENTS!A:A,PAYMENTS!C:C,E320),""))</f>
        <v/>
      </c>
    </row>
    <row r="321" spans="1:15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t="str">
        <f>IF(E321="","",SUMIF(PAYMENTS!C:C,E321,PAYMENTS!E:E))</f>
        <v/>
      </c>
      <c r="M321" t="str">
        <f t="shared" si="8"/>
        <v/>
      </c>
      <c r="N321" t="str">
        <f t="shared" si="9"/>
        <v/>
      </c>
      <c r="O321" t="str">
        <f>IF(E321="","",IFERROR(_xludf.MAXIFS(PAYMENTS!A:A,PAYMENTS!C:C,E321),""))</f>
        <v/>
      </c>
    </row>
    <row r="322" spans="1:15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t="str">
        <f>IF(E322="","",SUMIF(PAYMENTS!C:C,E322,PAYMENTS!E:E))</f>
        <v/>
      </c>
      <c r="M322" t="str">
        <f t="shared" ref="M322:M385" si="10">IF(E322="","",J322-L322)</f>
        <v/>
      </c>
      <c r="N322" t="str">
        <f t="shared" ref="N322:N385" si="11">IF(E322="","",IF(M322&lt;=0,"Paid",IF(L322&gt;0,"Part Paid","Unpaid")))</f>
        <v/>
      </c>
      <c r="O322" t="str">
        <f>IF(E322="","",IFERROR(_xludf.MAXIFS(PAYMENTS!A:A,PAYMENTS!C:C,E322),""))</f>
        <v/>
      </c>
    </row>
    <row r="323" spans="1:15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t="str">
        <f>IF(E323="","",SUMIF(PAYMENTS!C:C,E323,PAYMENTS!E:E))</f>
        <v/>
      </c>
      <c r="M323" t="str">
        <f t="shared" si="10"/>
        <v/>
      </c>
      <c r="N323" t="str">
        <f t="shared" si="11"/>
        <v/>
      </c>
      <c r="O323" t="str">
        <f>IF(E323="","",IFERROR(_xludf.MAXIFS(PAYMENTS!A:A,PAYMENTS!C:C,E323),""))</f>
        <v/>
      </c>
    </row>
    <row r="324" spans="1:15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t="str">
        <f>IF(E324="","",SUMIF(PAYMENTS!C:C,E324,PAYMENTS!E:E))</f>
        <v/>
      </c>
      <c r="M324" t="str">
        <f t="shared" si="10"/>
        <v/>
      </c>
      <c r="N324" t="str">
        <f t="shared" si="11"/>
        <v/>
      </c>
      <c r="O324" t="str">
        <f>IF(E324="","",IFERROR(_xludf.MAXIFS(PAYMENTS!A:A,PAYMENTS!C:C,E324),""))</f>
        <v/>
      </c>
    </row>
    <row r="325" spans="1:15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t="str">
        <f>IF(E325="","",SUMIF(PAYMENTS!C:C,E325,PAYMENTS!E:E))</f>
        <v/>
      </c>
      <c r="M325" t="str">
        <f t="shared" si="10"/>
        <v/>
      </c>
      <c r="N325" t="str">
        <f t="shared" si="11"/>
        <v/>
      </c>
      <c r="O325" t="str">
        <f>IF(E325="","",IFERROR(_xludf.MAXIFS(PAYMENTS!A:A,PAYMENTS!C:C,E325),""))</f>
        <v/>
      </c>
    </row>
    <row r="326" spans="1:15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t="str">
        <f>IF(E326="","",SUMIF(PAYMENTS!C:C,E326,PAYMENTS!E:E))</f>
        <v/>
      </c>
      <c r="M326" t="str">
        <f t="shared" si="10"/>
        <v/>
      </c>
      <c r="N326" t="str">
        <f t="shared" si="11"/>
        <v/>
      </c>
      <c r="O326" t="str">
        <f>IF(E326="","",IFERROR(_xludf.MAXIFS(PAYMENTS!A:A,PAYMENTS!C:C,E326),""))</f>
        <v/>
      </c>
    </row>
    <row r="327" spans="1:15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t="str">
        <f>IF(E327="","",SUMIF(PAYMENTS!C:C,E327,PAYMENTS!E:E))</f>
        <v/>
      </c>
      <c r="M327" t="str">
        <f t="shared" si="10"/>
        <v/>
      </c>
      <c r="N327" t="str">
        <f t="shared" si="11"/>
        <v/>
      </c>
      <c r="O327" t="str">
        <f>IF(E327="","",IFERROR(_xludf.MAXIFS(PAYMENTS!A:A,PAYMENTS!C:C,E327),""))</f>
        <v/>
      </c>
    </row>
    <row r="328" spans="1:15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t="str">
        <f>IF(E328="","",SUMIF(PAYMENTS!C:C,E328,PAYMENTS!E:E))</f>
        <v/>
      </c>
      <c r="M328" t="str">
        <f t="shared" si="10"/>
        <v/>
      </c>
      <c r="N328" t="str">
        <f t="shared" si="11"/>
        <v/>
      </c>
      <c r="O328" t="str">
        <f>IF(E328="","",IFERROR(_xludf.MAXIFS(PAYMENTS!A:A,PAYMENTS!C:C,E328),""))</f>
        <v/>
      </c>
    </row>
    <row r="329" spans="1:15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t="str">
        <f>IF(E329="","",SUMIF(PAYMENTS!C:C,E329,PAYMENTS!E:E))</f>
        <v/>
      </c>
      <c r="M329" t="str">
        <f t="shared" si="10"/>
        <v/>
      </c>
      <c r="N329" t="str">
        <f t="shared" si="11"/>
        <v/>
      </c>
      <c r="O329" t="str">
        <f>IF(E329="","",IFERROR(_xludf.MAXIFS(PAYMENTS!A:A,PAYMENTS!C:C,E329),""))</f>
        <v/>
      </c>
    </row>
    <row r="330" spans="1:15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t="str">
        <f>IF(E330="","",SUMIF(PAYMENTS!C:C,E330,PAYMENTS!E:E))</f>
        <v/>
      </c>
      <c r="M330" t="str">
        <f t="shared" si="10"/>
        <v/>
      </c>
      <c r="N330" t="str">
        <f t="shared" si="11"/>
        <v/>
      </c>
      <c r="O330" t="str">
        <f>IF(E330="","",IFERROR(_xludf.MAXIFS(PAYMENTS!A:A,PAYMENTS!C:C,E330),""))</f>
        <v/>
      </c>
    </row>
    <row r="331" spans="1:15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t="str">
        <f>IF(E331="","",SUMIF(PAYMENTS!C:C,E331,PAYMENTS!E:E))</f>
        <v/>
      </c>
      <c r="M331" t="str">
        <f t="shared" si="10"/>
        <v/>
      </c>
      <c r="N331" t="str">
        <f t="shared" si="11"/>
        <v/>
      </c>
      <c r="O331" t="str">
        <f>IF(E331="","",IFERROR(_xludf.MAXIFS(PAYMENTS!A:A,PAYMENTS!C:C,E331),""))</f>
        <v/>
      </c>
    </row>
    <row r="332" spans="1:15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t="str">
        <f>IF(E332="","",SUMIF(PAYMENTS!C:C,E332,PAYMENTS!E:E))</f>
        <v/>
      </c>
      <c r="M332" t="str">
        <f t="shared" si="10"/>
        <v/>
      </c>
      <c r="N332" t="str">
        <f t="shared" si="11"/>
        <v/>
      </c>
      <c r="O332" t="str">
        <f>IF(E332="","",IFERROR(_xludf.MAXIFS(PAYMENTS!A:A,PAYMENTS!C:C,E332),""))</f>
        <v/>
      </c>
    </row>
    <row r="333" spans="1:15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t="str">
        <f>IF(E333="","",SUMIF(PAYMENTS!C:C,E333,PAYMENTS!E:E))</f>
        <v/>
      </c>
      <c r="M333" t="str">
        <f t="shared" si="10"/>
        <v/>
      </c>
      <c r="N333" t="str">
        <f t="shared" si="11"/>
        <v/>
      </c>
      <c r="O333" t="str">
        <f>IF(E333="","",IFERROR(_xludf.MAXIFS(PAYMENTS!A:A,PAYMENTS!C:C,E333),""))</f>
        <v/>
      </c>
    </row>
    <row r="334" spans="1:15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t="str">
        <f>IF(E334="","",SUMIF(PAYMENTS!C:C,E334,PAYMENTS!E:E))</f>
        <v/>
      </c>
      <c r="M334" t="str">
        <f t="shared" si="10"/>
        <v/>
      </c>
      <c r="N334" t="str">
        <f t="shared" si="11"/>
        <v/>
      </c>
      <c r="O334" t="str">
        <f>IF(E334="","",IFERROR(_xludf.MAXIFS(PAYMENTS!A:A,PAYMENTS!C:C,E334),""))</f>
        <v/>
      </c>
    </row>
    <row r="335" spans="1:15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t="str">
        <f>IF(E335="","",SUMIF(PAYMENTS!C:C,E335,PAYMENTS!E:E))</f>
        <v/>
      </c>
      <c r="M335" t="str">
        <f t="shared" si="10"/>
        <v/>
      </c>
      <c r="N335" t="str">
        <f t="shared" si="11"/>
        <v/>
      </c>
      <c r="O335" t="str">
        <f>IF(E335="","",IFERROR(_xludf.MAXIFS(PAYMENTS!A:A,PAYMENTS!C:C,E335),""))</f>
        <v/>
      </c>
    </row>
    <row r="336" spans="1:15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t="str">
        <f>IF(E336="","",SUMIF(PAYMENTS!C:C,E336,PAYMENTS!E:E))</f>
        <v/>
      </c>
      <c r="M336" t="str">
        <f t="shared" si="10"/>
        <v/>
      </c>
      <c r="N336" t="str">
        <f t="shared" si="11"/>
        <v/>
      </c>
      <c r="O336" t="str">
        <f>IF(E336="","",IFERROR(_xludf.MAXIFS(PAYMENTS!A:A,PAYMENTS!C:C,E336),""))</f>
        <v/>
      </c>
    </row>
    <row r="337" spans="1:15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t="str">
        <f>IF(E337="","",SUMIF(PAYMENTS!C:C,E337,PAYMENTS!E:E))</f>
        <v/>
      </c>
      <c r="M337" t="str">
        <f t="shared" si="10"/>
        <v/>
      </c>
      <c r="N337" t="str">
        <f t="shared" si="11"/>
        <v/>
      </c>
      <c r="O337" t="str">
        <f>IF(E337="","",IFERROR(_xludf.MAXIFS(PAYMENTS!A:A,PAYMENTS!C:C,E337),""))</f>
        <v/>
      </c>
    </row>
    <row r="338" spans="1:15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t="str">
        <f>IF(E338="","",SUMIF(PAYMENTS!C:C,E338,PAYMENTS!E:E))</f>
        <v/>
      </c>
      <c r="M338" t="str">
        <f t="shared" si="10"/>
        <v/>
      </c>
      <c r="N338" t="str">
        <f t="shared" si="11"/>
        <v/>
      </c>
      <c r="O338" t="str">
        <f>IF(E338="","",IFERROR(_xludf.MAXIFS(PAYMENTS!A:A,PAYMENTS!C:C,E338),""))</f>
        <v/>
      </c>
    </row>
    <row r="339" spans="1:15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t="str">
        <f>IF(E339="","",SUMIF(PAYMENTS!C:C,E339,PAYMENTS!E:E))</f>
        <v/>
      </c>
      <c r="M339" t="str">
        <f t="shared" si="10"/>
        <v/>
      </c>
      <c r="N339" t="str">
        <f t="shared" si="11"/>
        <v/>
      </c>
      <c r="O339" t="str">
        <f>IF(E339="","",IFERROR(_xludf.MAXIFS(PAYMENTS!A:A,PAYMENTS!C:C,E339),""))</f>
        <v/>
      </c>
    </row>
    <row r="340" spans="1:15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t="str">
        <f>IF(E340="","",SUMIF(PAYMENTS!C:C,E340,PAYMENTS!E:E))</f>
        <v/>
      </c>
      <c r="M340" t="str">
        <f t="shared" si="10"/>
        <v/>
      </c>
      <c r="N340" t="str">
        <f t="shared" si="11"/>
        <v/>
      </c>
      <c r="O340" t="str">
        <f>IF(E340="","",IFERROR(_xludf.MAXIFS(PAYMENTS!A:A,PAYMENTS!C:C,E340),""))</f>
        <v/>
      </c>
    </row>
    <row r="341" spans="1:15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t="str">
        <f>IF(E341="","",SUMIF(PAYMENTS!C:C,E341,PAYMENTS!E:E))</f>
        <v/>
      </c>
      <c r="M341" t="str">
        <f t="shared" si="10"/>
        <v/>
      </c>
      <c r="N341" t="str">
        <f t="shared" si="11"/>
        <v/>
      </c>
      <c r="O341" t="str">
        <f>IF(E341="","",IFERROR(_xludf.MAXIFS(PAYMENTS!A:A,PAYMENTS!C:C,E341),""))</f>
        <v/>
      </c>
    </row>
    <row r="342" spans="1:15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t="str">
        <f>IF(E342="","",SUMIF(PAYMENTS!C:C,E342,PAYMENTS!E:E))</f>
        <v/>
      </c>
      <c r="M342" t="str">
        <f t="shared" si="10"/>
        <v/>
      </c>
      <c r="N342" t="str">
        <f t="shared" si="11"/>
        <v/>
      </c>
      <c r="O342" t="str">
        <f>IF(E342="","",IFERROR(_xludf.MAXIFS(PAYMENTS!A:A,PAYMENTS!C:C,E342),""))</f>
        <v/>
      </c>
    </row>
    <row r="343" spans="1:15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t="str">
        <f>IF(E343="","",SUMIF(PAYMENTS!C:C,E343,PAYMENTS!E:E))</f>
        <v/>
      </c>
      <c r="M343" t="str">
        <f t="shared" si="10"/>
        <v/>
      </c>
      <c r="N343" t="str">
        <f t="shared" si="11"/>
        <v/>
      </c>
      <c r="O343" t="str">
        <f>IF(E343="","",IFERROR(_xludf.MAXIFS(PAYMENTS!A:A,PAYMENTS!C:C,E343),""))</f>
        <v/>
      </c>
    </row>
    <row r="344" spans="1:15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t="str">
        <f>IF(E344="","",SUMIF(PAYMENTS!C:C,E344,PAYMENTS!E:E))</f>
        <v/>
      </c>
      <c r="M344" t="str">
        <f t="shared" si="10"/>
        <v/>
      </c>
      <c r="N344" t="str">
        <f t="shared" si="11"/>
        <v/>
      </c>
      <c r="O344" t="str">
        <f>IF(E344="","",IFERROR(_xludf.MAXIFS(PAYMENTS!A:A,PAYMENTS!C:C,E344),""))</f>
        <v/>
      </c>
    </row>
    <row r="345" spans="1:15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t="str">
        <f>IF(E345="","",SUMIF(PAYMENTS!C:C,E345,PAYMENTS!E:E))</f>
        <v/>
      </c>
      <c r="M345" t="str">
        <f t="shared" si="10"/>
        <v/>
      </c>
      <c r="N345" t="str">
        <f t="shared" si="11"/>
        <v/>
      </c>
      <c r="O345" t="str">
        <f>IF(E345="","",IFERROR(_xludf.MAXIFS(PAYMENTS!A:A,PAYMENTS!C:C,E345),""))</f>
        <v/>
      </c>
    </row>
    <row r="346" spans="1:15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t="str">
        <f>IF(E346="","",SUMIF(PAYMENTS!C:C,E346,PAYMENTS!E:E))</f>
        <v/>
      </c>
      <c r="M346" t="str">
        <f t="shared" si="10"/>
        <v/>
      </c>
      <c r="N346" t="str">
        <f t="shared" si="11"/>
        <v/>
      </c>
      <c r="O346" t="str">
        <f>IF(E346="","",IFERROR(_xludf.MAXIFS(PAYMENTS!A:A,PAYMENTS!C:C,E346),""))</f>
        <v/>
      </c>
    </row>
    <row r="347" spans="1:15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t="str">
        <f>IF(E347="","",SUMIF(PAYMENTS!C:C,E347,PAYMENTS!E:E))</f>
        <v/>
      </c>
      <c r="M347" t="str">
        <f t="shared" si="10"/>
        <v/>
      </c>
      <c r="N347" t="str">
        <f t="shared" si="11"/>
        <v/>
      </c>
      <c r="O347" t="str">
        <f>IF(E347="","",IFERROR(_xludf.MAXIFS(PAYMENTS!A:A,PAYMENTS!C:C,E347),""))</f>
        <v/>
      </c>
    </row>
    <row r="348" spans="1:15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t="str">
        <f>IF(E348="","",SUMIF(PAYMENTS!C:C,E348,PAYMENTS!E:E))</f>
        <v/>
      </c>
      <c r="M348" t="str">
        <f t="shared" si="10"/>
        <v/>
      </c>
      <c r="N348" t="str">
        <f t="shared" si="11"/>
        <v/>
      </c>
      <c r="O348" t="str">
        <f>IF(E348="","",IFERROR(_xludf.MAXIFS(PAYMENTS!A:A,PAYMENTS!C:C,E348),""))</f>
        <v/>
      </c>
    </row>
    <row r="349" spans="1:15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t="str">
        <f>IF(E349="","",SUMIF(PAYMENTS!C:C,E349,PAYMENTS!E:E))</f>
        <v/>
      </c>
      <c r="M349" t="str">
        <f t="shared" si="10"/>
        <v/>
      </c>
      <c r="N349" t="str">
        <f t="shared" si="11"/>
        <v/>
      </c>
      <c r="O349" t="str">
        <f>IF(E349="","",IFERROR(_xludf.MAXIFS(PAYMENTS!A:A,PAYMENTS!C:C,E349),""))</f>
        <v/>
      </c>
    </row>
    <row r="350" spans="1:15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t="str">
        <f>IF(E350="","",SUMIF(PAYMENTS!C:C,E350,PAYMENTS!E:E))</f>
        <v/>
      </c>
      <c r="M350" t="str">
        <f t="shared" si="10"/>
        <v/>
      </c>
      <c r="N350" t="str">
        <f t="shared" si="11"/>
        <v/>
      </c>
      <c r="O350" t="str">
        <f>IF(E350="","",IFERROR(_xludf.MAXIFS(PAYMENTS!A:A,PAYMENTS!C:C,E350),""))</f>
        <v/>
      </c>
    </row>
    <row r="351" spans="1:15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t="str">
        <f>IF(E351="","",SUMIF(PAYMENTS!C:C,E351,PAYMENTS!E:E))</f>
        <v/>
      </c>
      <c r="M351" t="str">
        <f t="shared" si="10"/>
        <v/>
      </c>
      <c r="N351" t="str">
        <f t="shared" si="11"/>
        <v/>
      </c>
      <c r="O351" t="str">
        <f>IF(E351="","",IFERROR(_xludf.MAXIFS(PAYMENTS!A:A,PAYMENTS!C:C,E351),""))</f>
        <v/>
      </c>
    </row>
    <row r="352" spans="1:15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t="str">
        <f>IF(E352="","",SUMIF(PAYMENTS!C:C,E352,PAYMENTS!E:E))</f>
        <v/>
      </c>
      <c r="M352" t="str">
        <f t="shared" si="10"/>
        <v/>
      </c>
      <c r="N352" t="str">
        <f t="shared" si="11"/>
        <v/>
      </c>
      <c r="O352" t="str">
        <f>IF(E352="","",IFERROR(_xludf.MAXIFS(PAYMENTS!A:A,PAYMENTS!C:C,E352),""))</f>
        <v/>
      </c>
    </row>
    <row r="353" spans="1:15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t="str">
        <f>IF(E353="","",SUMIF(PAYMENTS!C:C,E353,PAYMENTS!E:E))</f>
        <v/>
      </c>
      <c r="M353" t="str">
        <f t="shared" si="10"/>
        <v/>
      </c>
      <c r="N353" t="str">
        <f t="shared" si="11"/>
        <v/>
      </c>
      <c r="O353" t="str">
        <f>IF(E353="","",IFERROR(_xludf.MAXIFS(PAYMENTS!A:A,PAYMENTS!C:C,E353),""))</f>
        <v/>
      </c>
    </row>
    <row r="354" spans="1:15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t="str">
        <f>IF(E354="","",SUMIF(PAYMENTS!C:C,E354,PAYMENTS!E:E))</f>
        <v/>
      </c>
      <c r="M354" t="str">
        <f t="shared" si="10"/>
        <v/>
      </c>
      <c r="N354" t="str">
        <f t="shared" si="11"/>
        <v/>
      </c>
      <c r="O354" t="str">
        <f>IF(E354="","",IFERROR(_xludf.MAXIFS(PAYMENTS!A:A,PAYMENTS!C:C,E354),""))</f>
        <v/>
      </c>
    </row>
    <row r="355" spans="1:15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t="str">
        <f>IF(E355="","",SUMIF(PAYMENTS!C:C,E355,PAYMENTS!E:E))</f>
        <v/>
      </c>
      <c r="M355" t="str">
        <f t="shared" si="10"/>
        <v/>
      </c>
      <c r="N355" t="str">
        <f t="shared" si="11"/>
        <v/>
      </c>
      <c r="O355" t="str">
        <f>IF(E355="","",IFERROR(_xludf.MAXIFS(PAYMENTS!A:A,PAYMENTS!C:C,E355),""))</f>
        <v/>
      </c>
    </row>
    <row r="356" spans="1:15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t="str">
        <f>IF(E356="","",SUMIF(PAYMENTS!C:C,E356,PAYMENTS!E:E))</f>
        <v/>
      </c>
      <c r="M356" t="str">
        <f t="shared" si="10"/>
        <v/>
      </c>
      <c r="N356" t="str">
        <f t="shared" si="11"/>
        <v/>
      </c>
      <c r="O356" t="str">
        <f>IF(E356="","",IFERROR(_xludf.MAXIFS(PAYMENTS!A:A,PAYMENTS!C:C,E356),""))</f>
        <v/>
      </c>
    </row>
    <row r="357" spans="1:15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t="str">
        <f>IF(E357="","",SUMIF(PAYMENTS!C:C,E357,PAYMENTS!E:E))</f>
        <v/>
      </c>
      <c r="M357" t="str">
        <f t="shared" si="10"/>
        <v/>
      </c>
      <c r="N357" t="str">
        <f t="shared" si="11"/>
        <v/>
      </c>
      <c r="O357" t="str">
        <f>IF(E357="","",IFERROR(_xludf.MAXIFS(PAYMENTS!A:A,PAYMENTS!C:C,E357),""))</f>
        <v/>
      </c>
    </row>
    <row r="358" spans="1:15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t="str">
        <f>IF(E358="","",SUMIF(PAYMENTS!C:C,E358,PAYMENTS!E:E))</f>
        <v/>
      </c>
      <c r="M358" t="str">
        <f t="shared" si="10"/>
        <v/>
      </c>
      <c r="N358" t="str">
        <f t="shared" si="11"/>
        <v/>
      </c>
      <c r="O358" t="str">
        <f>IF(E358="","",IFERROR(_xludf.MAXIFS(PAYMENTS!A:A,PAYMENTS!C:C,E358),""))</f>
        <v/>
      </c>
    </row>
    <row r="359" spans="1:15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t="str">
        <f>IF(E359="","",SUMIF(PAYMENTS!C:C,E359,PAYMENTS!E:E))</f>
        <v/>
      </c>
      <c r="M359" t="str">
        <f t="shared" si="10"/>
        <v/>
      </c>
      <c r="N359" t="str">
        <f t="shared" si="11"/>
        <v/>
      </c>
      <c r="O359" t="str">
        <f>IF(E359="","",IFERROR(_xludf.MAXIFS(PAYMENTS!A:A,PAYMENTS!C:C,E359),""))</f>
        <v/>
      </c>
    </row>
    <row r="360" spans="1:15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t="str">
        <f>IF(E360="","",SUMIF(PAYMENTS!C:C,E360,PAYMENTS!E:E))</f>
        <v/>
      </c>
      <c r="M360" t="str">
        <f t="shared" si="10"/>
        <v/>
      </c>
      <c r="N360" t="str">
        <f t="shared" si="11"/>
        <v/>
      </c>
      <c r="O360" t="str">
        <f>IF(E360="","",IFERROR(_xludf.MAXIFS(PAYMENTS!A:A,PAYMENTS!C:C,E360),""))</f>
        <v/>
      </c>
    </row>
    <row r="361" spans="1:15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t="str">
        <f>IF(E361="","",SUMIF(PAYMENTS!C:C,E361,PAYMENTS!E:E))</f>
        <v/>
      </c>
      <c r="M361" t="str">
        <f t="shared" si="10"/>
        <v/>
      </c>
      <c r="N361" t="str">
        <f t="shared" si="11"/>
        <v/>
      </c>
      <c r="O361" t="str">
        <f>IF(E361="","",IFERROR(_xludf.MAXIFS(PAYMENTS!A:A,PAYMENTS!C:C,E361),""))</f>
        <v/>
      </c>
    </row>
    <row r="362" spans="1:15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t="str">
        <f>IF(E362="","",SUMIF(PAYMENTS!C:C,E362,PAYMENTS!E:E))</f>
        <v/>
      </c>
      <c r="M362" t="str">
        <f t="shared" si="10"/>
        <v/>
      </c>
      <c r="N362" t="str">
        <f t="shared" si="11"/>
        <v/>
      </c>
      <c r="O362" t="str">
        <f>IF(E362="","",IFERROR(_xludf.MAXIFS(PAYMENTS!A:A,PAYMENTS!C:C,E362),""))</f>
        <v/>
      </c>
    </row>
    <row r="363" spans="1:15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t="str">
        <f>IF(E363="","",SUMIF(PAYMENTS!C:C,E363,PAYMENTS!E:E))</f>
        <v/>
      </c>
      <c r="M363" t="str">
        <f t="shared" si="10"/>
        <v/>
      </c>
      <c r="N363" t="str">
        <f t="shared" si="11"/>
        <v/>
      </c>
      <c r="O363" t="str">
        <f>IF(E363="","",IFERROR(_xludf.MAXIFS(PAYMENTS!A:A,PAYMENTS!C:C,E363),""))</f>
        <v/>
      </c>
    </row>
    <row r="364" spans="1:15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t="str">
        <f>IF(E364="","",SUMIF(PAYMENTS!C:C,E364,PAYMENTS!E:E))</f>
        <v/>
      </c>
      <c r="M364" t="str">
        <f t="shared" si="10"/>
        <v/>
      </c>
      <c r="N364" t="str">
        <f t="shared" si="11"/>
        <v/>
      </c>
      <c r="O364" t="str">
        <f>IF(E364="","",IFERROR(_xludf.MAXIFS(PAYMENTS!A:A,PAYMENTS!C:C,E364),""))</f>
        <v/>
      </c>
    </row>
    <row r="365" spans="1:15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t="str">
        <f>IF(E365="","",SUMIF(PAYMENTS!C:C,E365,PAYMENTS!E:E))</f>
        <v/>
      </c>
      <c r="M365" t="str">
        <f t="shared" si="10"/>
        <v/>
      </c>
      <c r="N365" t="str">
        <f t="shared" si="11"/>
        <v/>
      </c>
      <c r="O365" t="str">
        <f>IF(E365="","",IFERROR(_xludf.MAXIFS(PAYMENTS!A:A,PAYMENTS!C:C,E365),""))</f>
        <v/>
      </c>
    </row>
    <row r="366" spans="1:15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t="str">
        <f>IF(E366="","",SUMIF(PAYMENTS!C:C,E366,PAYMENTS!E:E))</f>
        <v/>
      </c>
      <c r="M366" t="str">
        <f t="shared" si="10"/>
        <v/>
      </c>
      <c r="N366" t="str">
        <f t="shared" si="11"/>
        <v/>
      </c>
      <c r="O366" t="str">
        <f>IF(E366="","",IFERROR(_xludf.MAXIFS(PAYMENTS!A:A,PAYMENTS!C:C,E366),""))</f>
        <v/>
      </c>
    </row>
    <row r="367" spans="1:15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t="str">
        <f>IF(E367="","",SUMIF(PAYMENTS!C:C,E367,PAYMENTS!E:E))</f>
        <v/>
      </c>
      <c r="M367" t="str">
        <f t="shared" si="10"/>
        <v/>
      </c>
      <c r="N367" t="str">
        <f t="shared" si="11"/>
        <v/>
      </c>
      <c r="O367" t="str">
        <f>IF(E367="","",IFERROR(_xludf.MAXIFS(PAYMENTS!A:A,PAYMENTS!C:C,E367),""))</f>
        <v/>
      </c>
    </row>
    <row r="368" spans="1:15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t="str">
        <f>IF(E368="","",SUMIF(PAYMENTS!C:C,E368,PAYMENTS!E:E))</f>
        <v/>
      </c>
      <c r="M368" t="str">
        <f t="shared" si="10"/>
        <v/>
      </c>
      <c r="N368" t="str">
        <f t="shared" si="11"/>
        <v/>
      </c>
      <c r="O368" t="str">
        <f>IF(E368="","",IFERROR(_xludf.MAXIFS(PAYMENTS!A:A,PAYMENTS!C:C,E368),""))</f>
        <v/>
      </c>
    </row>
    <row r="369" spans="1:15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t="str">
        <f>IF(E369="","",SUMIF(PAYMENTS!C:C,E369,PAYMENTS!E:E))</f>
        <v/>
      </c>
      <c r="M369" t="str">
        <f t="shared" si="10"/>
        <v/>
      </c>
      <c r="N369" t="str">
        <f t="shared" si="11"/>
        <v/>
      </c>
      <c r="O369" t="str">
        <f>IF(E369="","",IFERROR(_xludf.MAXIFS(PAYMENTS!A:A,PAYMENTS!C:C,E369),""))</f>
        <v/>
      </c>
    </row>
    <row r="370" spans="1:15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t="str">
        <f>IF(E370="","",SUMIF(PAYMENTS!C:C,E370,PAYMENTS!E:E))</f>
        <v/>
      </c>
      <c r="M370" t="str">
        <f t="shared" si="10"/>
        <v/>
      </c>
      <c r="N370" t="str">
        <f t="shared" si="11"/>
        <v/>
      </c>
      <c r="O370" t="str">
        <f>IF(E370="","",IFERROR(_xludf.MAXIFS(PAYMENTS!A:A,PAYMENTS!C:C,E370),""))</f>
        <v/>
      </c>
    </row>
    <row r="371" spans="1:15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t="str">
        <f>IF(E371="","",SUMIF(PAYMENTS!C:C,E371,PAYMENTS!E:E))</f>
        <v/>
      </c>
      <c r="M371" t="str">
        <f t="shared" si="10"/>
        <v/>
      </c>
      <c r="N371" t="str">
        <f t="shared" si="11"/>
        <v/>
      </c>
      <c r="O371" t="str">
        <f>IF(E371="","",IFERROR(_xludf.MAXIFS(PAYMENTS!A:A,PAYMENTS!C:C,E371),""))</f>
        <v/>
      </c>
    </row>
    <row r="372" spans="1:15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t="str">
        <f>IF(E372="","",SUMIF(PAYMENTS!C:C,E372,PAYMENTS!E:E))</f>
        <v/>
      </c>
      <c r="M372" t="str">
        <f t="shared" si="10"/>
        <v/>
      </c>
      <c r="N372" t="str">
        <f t="shared" si="11"/>
        <v/>
      </c>
      <c r="O372" t="str">
        <f>IF(E372="","",IFERROR(_xludf.MAXIFS(PAYMENTS!A:A,PAYMENTS!C:C,E372),""))</f>
        <v/>
      </c>
    </row>
    <row r="373" spans="1:15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t="str">
        <f>IF(E373="","",SUMIF(PAYMENTS!C:C,E373,PAYMENTS!E:E))</f>
        <v/>
      </c>
      <c r="M373" t="str">
        <f t="shared" si="10"/>
        <v/>
      </c>
      <c r="N373" t="str">
        <f t="shared" si="11"/>
        <v/>
      </c>
      <c r="O373" t="str">
        <f>IF(E373="","",IFERROR(_xludf.MAXIFS(PAYMENTS!A:A,PAYMENTS!C:C,E373),""))</f>
        <v/>
      </c>
    </row>
    <row r="374" spans="1:15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t="str">
        <f>IF(E374="","",SUMIF(PAYMENTS!C:C,E374,PAYMENTS!E:E))</f>
        <v/>
      </c>
      <c r="M374" t="str">
        <f t="shared" si="10"/>
        <v/>
      </c>
      <c r="N374" t="str">
        <f t="shared" si="11"/>
        <v/>
      </c>
      <c r="O374" t="str">
        <f>IF(E374="","",IFERROR(_xludf.MAXIFS(PAYMENTS!A:A,PAYMENTS!C:C,E374),""))</f>
        <v/>
      </c>
    </row>
    <row r="375" spans="1:15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t="str">
        <f>IF(E375="","",SUMIF(PAYMENTS!C:C,E375,PAYMENTS!E:E))</f>
        <v/>
      </c>
      <c r="M375" t="str">
        <f t="shared" si="10"/>
        <v/>
      </c>
      <c r="N375" t="str">
        <f t="shared" si="11"/>
        <v/>
      </c>
      <c r="O375" t="str">
        <f>IF(E375="","",IFERROR(_xludf.MAXIFS(PAYMENTS!A:A,PAYMENTS!C:C,E375),""))</f>
        <v/>
      </c>
    </row>
    <row r="376" spans="1:15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t="str">
        <f>IF(E376="","",SUMIF(PAYMENTS!C:C,E376,PAYMENTS!E:E))</f>
        <v/>
      </c>
      <c r="M376" t="str">
        <f t="shared" si="10"/>
        <v/>
      </c>
      <c r="N376" t="str">
        <f t="shared" si="11"/>
        <v/>
      </c>
      <c r="O376" t="str">
        <f>IF(E376="","",IFERROR(_xludf.MAXIFS(PAYMENTS!A:A,PAYMENTS!C:C,E376),""))</f>
        <v/>
      </c>
    </row>
    <row r="377" spans="1:15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t="str">
        <f>IF(E377="","",SUMIF(PAYMENTS!C:C,E377,PAYMENTS!E:E))</f>
        <v/>
      </c>
      <c r="M377" t="str">
        <f t="shared" si="10"/>
        <v/>
      </c>
      <c r="N377" t="str">
        <f t="shared" si="11"/>
        <v/>
      </c>
      <c r="O377" t="str">
        <f>IF(E377="","",IFERROR(_xludf.MAXIFS(PAYMENTS!A:A,PAYMENTS!C:C,E377),""))</f>
        <v/>
      </c>
    </row>
    <row r="378" spans="1:15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t="str">
        <f>IF(E378="","",SUMIF(PAYMENTS!C:C,E378,PAYMENTS!E:E))</f>
        <v/>
      </c>
      <c r="M378" t="str">
        <f t="shared" si="10"/>
        <v/>
      </c>
      <c r="N378" t="str">
        <f t="shared" si="11"/>
        <v/>
      </c>
      <c r="O378" t="str">
        <f>IF(E378="","",IFERROR(_xludf.MAXIFS(PAYMENTS!A:A,PAYMENTS!C:C,E378),""))</f>
        <v/>
      </c>
    </row>
    <row r="379" spans="1:15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t="str">
        <f>IF(E379="","",SUMIF(PAYMENTS!C:C,E379,PAYMENTS!E:E))</f>
        <v/>
      </c>
      <c r="M379" t="str">
        <f t="shared" si="10"/>
        <v/>
      </c>
      <c r="N379" t="str">
        <f t="shared" si="11"/>
        <v/>
      </c>
      <c r="O379" t="str">
        <f>IF(E379="","",IFERROR(_xludf.MAXIFS(PAYMENTS!A:A,PAYMENTS!C:C,E379),""))</f>
        <v/>
      </c>
    </row>
    <row r="380" spans="1:15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t="str">
        <f>IF(E380="","",SUMIF(PAYMENTS!C:C,E380,PAYMENTS!E:E))</f>
        <v/>
      </c>
      <c r="M380" t="str">
        <f t="shared" si="10"/>
        <v/>
      </c>
      <c r="N380" t="str">
        <f t="shared" si="11"/>
        <v/>
      </c>
      <c r="O380" t="str">
        <f>IF(E380="","",IFERROR(_xludf.MAXIFS(PAYMENTS!A:A,PAYMENTS!C:C,E380),""))</f>
        <v/>
      </c>
    </row>
    <row r="381" spans="1:15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t="str">
        <f>IF(E381="","",SUMIF(PAYMENTS!C:C,E381,PAYMENTS!E:E))</f>
        <v/>
      </c>
      <c r="M381" t="str">
        <f t="shared" si="10"/>
        <v/>
      </c>
      <c r="N381" t="str">
        <f t="shared" si="11"/>
        <v/>
      </c>
      <c r="O381" t="str">
        <f>IF(E381="","",IFERROR(_xludf.MAXIFS(PAYMENTS!A:A,PAYMENTS!C:C,E381),""))</f>
        <v/>
      </c>
    </row>
    <row r="382" spans="1:15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t="str">
        <f>IF(E382="","",SUMIF(PAYMENTS!C:C,E382,PAYMENTS!E:E))</f>
        <v/>
      </c>
      <c r="M382" t="str">
        <f t="shared" si="10"/>
        <v/>
      </c>
      <c r="N382" t="str">
        <f t="shared" si="11"/>
        <v/>
      </c>
      <c r="O382" t="str">
        <f>IF(E382="","",IFERROR(_xludf.MAXIFS(PAYMENTS!A:A,PAYMENTS!C:C,E382),""))</f>
        <v/>
      </c>
    </row>
    <row r="383" spans="1:15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t="str">
        <f>IF(E383="","",SUMIF(PAYMENTS!C:C,E383,PAYMENTS!E:E))</f>
        <v/>
      </c>
      <c r="M383" t="str">
        <f t="shared" si="10"/>
        <v/>
      </c>
      <c r="N383" t="str">
        <f t="shared" si="11"/>
        <v/>
      </c>
      <c r="O383" t="str">
        <f>IF(E383="","",IFERROR(_xludf.MAXIFS(PAYMENTS!A:A,PAYMENTS!C:C,E383),""))</f>
        <v/>
      </c>
    </row>
    <row r="384" spans="1:15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t="str">
        <f>IF(E384="","",SUMIF(PAYMENTS!C:C,E384,PAYMENTS!E:E))</f>
        <v/>
      </c>
      <c r="M384" t="str">
        <f t="shared" si="10"/>
        <v/>
      </c>
      <c r="N384" t="str">
        <f t="shared" si="11"/>
        <v/>
      </c>
      <c r="O384" t="str">
        <f>IF(E384="","",IFERROR(_xludf.MAXIFS(PAYMENTS!A:A,PAYMENTS!C:C,E384),""))</f>
        <v/>
      </c>
    </row>
    <row r="385" spans="1:15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t="str">
        <f>IF(E385="","",SUMIF(PAYMENTS!C:C,E385,PAYMENTS!E:E))</f>
        <v/>
      </c>
      <c r="M385" t="str">
        <f t="shared" si="10"/>
        <v/>
      </c>
      <c r="N385" t="str">
        <f t="shared" si="11"/>
        <v/>
      </c>
      <c r="O385" t="str">
        <f>IF(E385="","",IFERROR(_xludf.MAXIFS(PAYMENTS!A:A,PAYMENTS!C:C,E385),""))</f>
        <v/>
      </c>
    </row>
    <row r="386" spans="1:15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t="str">
        <f>IF(E386="","",SUMIF(PAYMENTS!C:C,E386,PAYMENTS!E:E))</f>
        <v/>
      </c>
      <c r="M386" t="str">
        <f t="shared" ref="M386:M449" si="12">IF(E386="","",J386-L386)</f>
        <v/>
      </c>
      <c r="N386" t="str">
        <f t="shared" ref="N386:N449" si="13">IF(E386="","",IF(M386&lt;=0,"Paid",IF(L386&gt;0,"Part Paid","Unpaid")))</f>
        <v/>
      </c>
      <c r="O386" t="str">
        <f>IF(E386="","",IFERROR(_xludf.MAXIFS(PAYMENTS!A:A,PAYMENTS!C:C,E386),""))</f>
        <v/>
      </c>
    </row>
    <row r="387" spans="1:15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t="str">
        <f>IF(E387="","",SUMIF(PAYMENTS!C:C,E387,PAYMENTS!E:E))</f>
        <v/>
      </c>
      <c r="M387" t="str">
        <f t="shared" si="12"/>
        <v/>
      </c>
      <c r="N387" t="str">
        <f t="shared" si="13"/>
        <v/>
      </c>
      <c r="O387" t="str">
        <f>IF(E387="","",IFERROR(_xludf.MAXIFS(PAYMENTS!A:A,PAYMENTS!C:C,E387),""))</f>
        <v/>
      </c>
    </row>
    <row r="388" spans="1:15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t="str">
        <f>IF(E388="","",SUMIF(PAYMENTS!C:C,E388,PAYMENTS!E:E))</f>
        <v/>
      </c>
      <c r="M388" t="str">
        <f t="shared" si="12"/>
        <v/>
      </c>
      <c r="N388" t="str">
        <f t="shared" si="13"/>
        <v/>
      </c>
      <c r="O388" t="str">
        <f>IF(E388="","",IFERROR(_xludf.MAXIFS(PAYMENTS!A:A,PAYMENTS!C:C,E388),""))</f>
        <v/>
      </c>
    </row>
    <row r="389" spans="1:15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t="str">
        <f>IF(E389="","",SUMIF(PAYMENTS!C:C,E389,PAYMENTS!E:E))</f>
        <v/>
      </c>
      <c r="M389" t="str">
        <f t="shared" si="12"/>
        <v/>
      </c>
      <c r="N389" t="str">
        <f t="shared" si="13"/>
        <v/>
      </c>
      <c r="O389" t="str">
        <f>IF(E389="","",IFERROR(_xludf.MAXIFS(PAYMENTS!A:A,PAYMENTS!C:C,E389),""))</f>
        <v/>
      </c>
    </row>
    <row r="390" spans="1:15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t="str">
        <f>IF(E390="","",SUMIF(PAYMENTS!C:C,E390,PAYMENTS!E:E))</f>
        <v/>
      </c>
      <c r="M390" t="str">
        <f t="shared" si="12"/>
        <v/>
      </c>
      <c r="N390" t="str">
        <f t="shared" si="13"/>
        <v/>
      </c>
      <c r="O390" t="str">
        <f>IF(E390="","",IFERROR(_xludf.MAXIFS(PAYMENTS!A:A,PAYMENTS!C:C,E390),""))</f>
        <v/>
      </c>
    </row>
    <row r="391" spans="1:15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t="str">
        <f>IF(E391="","",SUMIF(PAYMENTS!C:C,E391,PAYMENTS!E:E))</f>
        <v/>
      </c>
      <c r="M391" t="str">
        <f t="shared" si="12"/>
        <v/>
      </c>
      <c r="N391" t="str">
        <f t="shared" si="13"/>
        <v/>
      </c>
      <c r="O391" t="str">
        <f>IF(E391="","",IFERROR(_xludf.MAXIFS(PAYMENTS!A:A,PAYMENTS!C:C,E391),""))</f>
        <v/>
      </c>
    </row>
    <row r="392" spans="1:15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t="str">
        <f>IF(E392="","",SUMIF(PAYMENTS!C:C,E392,PAYMENTS!E:E))</f>
        <v/>
      </c>
      <c r="M392" t="str">
        <f t="shared" si="12"/>
        <v/>
      </c>
      <c r="N392" t="str">
        <f t="shared" si="13"/>
        <v/>
      </c>
      <c r="O392" t="str">
        <f>IF(E392="","",IFERROR(_xludf.MAXIFS(PAYMENTS!A:A,PAYMENTS!C:C,E392),""))</f>
        <v/>
      </c>
    </row>
    <row r="393" spans="1:15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t="str">
        <f>IF(E393="","",SUMIF(PAYMENTS!C:C,E393,PAYMENTS!E:E))</f>
        <v/>
      </c>
      <c r="M393" t="str">
        <f t="shared" si="12"/>
        <v/>
      </c>
      <c r="N393" t="str">
        <f t="shared" si="13"/>
        <v/>
      </c>
      <c r="O393" t="str">
        <f>IF(E393="","",IFERROR(_xludf.MAXIFS(PAYMENTS!A:A,PAYMENTS!C:C,E393),""))</f>
        <v/>
      </c>
    </row>
    <row r="394" spans="1:15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t="str">
        <f>IF(E394="","",SUMIF(PAYMENTS!C:C,E394,PAYMENTS!E:E))</f>
        <v/>
      </c>
      <c r="M394" t="str">
        <f t="shared" si="12"/>
        <v/>
      </c>
      <c r="N394" t="str">
        <f t="shared" si="13"/>
        <v/>
      </c>
      <c r="O394" t="str">
        <f>IF(E394="","",IFERROR(_xludf.MAXIFS(PAYMENTS!A:A,PAYMENTS!C:C,E394),""))</f>
        <v/>
      </c>
    </row>
    <row r="395" spans="1:15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t="str">
        <f>IF(E395="","",SUMIF(PAYMENTS!C:C,E395,PAYMENTS!E:E))</f>
        <v/>
      </c>
      <c r="M395" t="str">
        <f t="shared" si="12"/>
        <v/>
      </c>
      <c r="N395" t="str">
        <f t="shared" si="13"/>
        <v/>
      </c>
      <c r="O395" t="str">
        <f>IF(E395="","",IFERROR(_xludf.MAXIFS(PAYMENTS!A:A,PAYMENTS!C:C,E395),""))</f>
        <v/>
      </c>
    </row>
    <row r="396" spans="1:15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t="str">
        <f>IF(E396="","",SUMIF(PAYMENTS!C:C,E396,PAYMENTS!E:E))</f>
        <v/>
      </c>
      <c r="M396" t="str">
        <f t="shared" si="12"/>
        <v/>
      </c>
      <c r="N396" t="str">
        <f t="shared" si="13"/>
        <v/>
      </c>
      <c r="O396" t="str">
        <f>IF(E396="","",IFERROR(_xludf.MAXIFS(PAYMENTS!A:A,PAYMENTS!C:C,E396),""))</f>
        <v/>
      </c>
    </row>
    <row r="397" spans="1:15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t="str">
        <f>IF(E397="","",SUMIF(PAYMENTS!C:C,E397,PAYMENTS!E:E))</f>
        <v/>
      </c>
      <c r="M397" t="str">
        <f t="shared" si="12"/>
        <v/>
      </c>
      <c r="N397" t="str">
        <f t="shared" si="13"/>
        <v/>
      </c>
      <c r="O397" t="str">
        <f>IF(E397="","",IFERROR(_xludf.MAXIFS(PAYMENTS!A:A,PAYMENTS!C:C,E397),""))</f>
        <v/>
      </c>
    </row>
    <row r="398" spans="1:15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t="str">
        <f>IF(E398="","",SUMIF(PAYMENTS!C:C,E398,PAYMENTS!E:E))</f>
        <v/>
      </c>
      <c r="M398" t="str">
        <f t="shared" si="12"/>
        <v/>
      </c>
      <c r="N398" t="str">
        <f t="shared" si="13"/>
        <v/>
      </c>
      <c r="O398" t="str">
        <f>IF(E398="","",IFERROR(_xludf.MAXIFS(PAYMENTS!A:A,PAYMENTS!C:C,E398),""))</f>
        <v/>
      </c>
    </row>
    <row r="399" spans="1:15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t="str">
        <f>IF(E399="","",SUMIF(PAYMENTS!C:C,E399,PAYMENTS!E:E))</f>
        <v/>
      </c>
      <c r="M399" t="str">
        <f t="shared" si="12"/>
        <v/>
      </c>
      <c r="N399" t="str">
        <f t="shared" si="13"/>
        <v/>
      </c>
      <c r="O399" t="str">
        <f>IF(E399="","",IFERROR(_xludf.MAXIFS(PAYMENTS!A:A,PAYMENTS!C:C,E399),""))</f>
        <v/>
      </c>
    </row>
    <row r="400" spans="1:15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t="str">
        <f>IF(E400="","",SUMIF(PAYMENTS!C:C,E400,PAYMENTS!E:E))</f>
        <v/>
      </c>
      <c r="M400" t="str">
        <f t="shared" si="12"/>
        <v/>
      </c>
      <c r="N400" t="str">
        <f t="shared" si="13"/>
        <v/>
      </c>
      <c r="O400" t="str">
        <f>IF(E400="","",IFERROR(_xludf.MAXIFS(PAYMENTS!A:A,PAYMENTS!C:C,E400),""))</f>
        <v/>
      </c>
    </row>
    <row r="401" spans="1:15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t="str">
        <f>IF(E401="","",SUMIF(PAYMENTS!C:C,E401,PAYMENTS!E:E))</f>
        <v/>
      </c>
      <c r="M401" t="str">
        <f t="shared" si="12"/>
        <v/>
      </c>
      <c r="N401" t="str">
        <f t="shared" si="13"/>
        <v/>
      </c>
      <c r="O401" t="str">
        <f>IF(E401="","",IFERROR(_xludf.MAXIFS(PAYMENTS!A:A,PAYMENTS!C:C,E401),""))</f>
        <v/>
      </c>
    </row>
    <row r="402" spans="1:15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t="str">
        <f>IF(E402="","",SUMIF(PAYMENTS!C:C,E402,PAYMENTS!E:E))</f>
        <v/>
      </c>
      <c r="M402" t="str">
        <f t="shared" si="12"/>
        <v/>
      </c>
      <c r="N402" t="str">
        <f t="shared" si="13"/>
        <v/>
      </c>
      <c r="O402" t="str">
        <f>IF(E402="","",IFERROR(_xludf.MAXIFS(PAYMENTS!A:A,PAYMENTS!C:C,E402),""))</f>
        <v/>
      </c>
    </row>
    <row r="403" spans="1:15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t="str">
        <f>IF(E403="","",SUMIF(PAYMENTS!C:C,E403,PAYMENTS!E:E))</f>
        <v/>
      </c>
      <c r="M403" t="str">
        <f t="shared" si="12"/>
        <v/>
      </c>
      <c r="N403" t="str">
        <f t="shared" si="13"/>
        <v/>
      </c>
      <c r="O403" t="str">
        <f>IF(E403="","",IFERROR(_xludf.MAXIFS(PAYMENTS!A:A,PAYMENTS!C:C,E403),""))</f>
        <v/>
      </c>
    </row>
    <row r="404" spans="1:15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t="str">
        <f>IF(E404="","",SUMIF(PAYMENTS!C:C,E404,PAYMENTS!E:E))</f>
        <v/>
      </c>
      <c r="M404" t="str">
        <f t="shared" si="12"/>
        <v/>
      </c>
      <c r="N404" t="str">
        <f t="shared" si="13"/>
        <v/>
      </c>
      <c r="O404" t="str">
        <f>IF(E404="","",IFERROR(_xludf.MAXIFS(PAYMENTS!A:A,PAYMENTS!C:C,E404),""))</f>
        <v/>
      </c>
    </row>
    <row r="405" spans="1:15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t="str">
        <f>IF(E405="","",SUMIF(PAYMENTS!C:C,E405,PAYMENTS!E:E))</f>
        <v/>
      </c>
      <c r="M405" t="str">
        <f t="shared" si="12"/>
        <v/>
      </c>
      <c r="N405" t="str">
        <f t="shared" si="13"/>
        <v/>
      </c>
      <c r="O405" t="str">
        <f>IF(E405="","",IFERROR(_xludf.MAXIFS(PAYMENTS!A:A,PAYMENTS!C:C,E405),""))</f>
        <v/>
      </c>
    </row>
    <row r="406" spans="1:15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t="str">
        <f>IF(E406="","",SUMIF(PAYMENTS!C:C,E406,PAYMENTS!E:E))</f>
        <v/>
      </c>
      <c r="M406" t="str">
        <f t="shared" si="12"/>
        <v/>
      </c>
      <c r="N406" t="str">
        <f t="shared" si="13"/>
        <v/>
      </c>
      <c r="O406" t="str">
        <f>IF(E406="","",IFERROR(_xludf.MAXIFS(PAYMENTS!A:A,PAYMENTS!C:C,E406),""))</f>
        <v/>
      </c>
    </row>
    <row r="407" spans="1:15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t="str">
        <f>IF(E407="","",SUMIF(PAYMENTS!C:C,E407,PAYMENTS!E:E))</f>
        <v/>
      </c>
      <c r="M407" t="str">
        <f t="shared" si="12"/>
        <v/>
      </c>
      <c r="N407" t="str">
        <f t="shared" si="13"/>
        <v/>
      </c>
      <c r="O407" t="str">
        <f>IF(E407="","",IFERROR(_xludf.MAXIFS(PAYMENTS!A:A,PAYMENTS!C:C,E407),""))</f>
        <v/>
      </c>
    </row>
    <row r="408" spans="1:15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t="str">
        <f>IF(E408="","",SUMIF(PAYMENTS!C:C,E408,PAYMENTS!E:E))</f>
        <v/>
      </c>
      <c r="M408" t="str">
        <f t="shared" si="12"/>
        <v/>
      </c>
      <c r="N408" t="str">
        <f t="shared" si="13"/>
        <v/>
      </c>
      <c r="O408" t="str">
        <f>IF(E408="","",IFERROR(_xludf.MAXIFS(PAYMENTS!A:A,PAYMENTS!C:C,E408),""))</f>
        <v/>
      </c>
    </row>
    <row r="409" spans="1:15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t="str">
        <f>IF(E409="","",SUMIF(PAYMENTS!C:C,E409,PAYMENTS!E:E))</f>
        <v/>
      </c>
      <c r="M409" t="str">
        <f t="shared" si="12"/>
        <v/>
      </c>
      <c r="N409" t="str">
        <f t="shared" si="13"/>
        <v/>
      </c>
      <c r="O409" t="str">
        <f>IF(E409="","",IFERROR(_xludf.MAXIFS(PAYMENTS!A:A,PAYMENTS!C:C,E409),""))</f>
        <v/>
      </c>
    </row>
    <row r="410" spans="1:15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t="str">
        <f>IF(E410="","",SUMIF(PAYMENTS!C:C,E410,PAYMENTS!E:E))</f>
        <v/>
      </c>
      <c r="M410" t="str">
        <f t="shared" si="12"/>
        <v/>
      </c>
      <c r="N410" t="str">
        <f t="shared" si="13"/>
        <v/>
      </c>
      <c r="O410" t="str">
        <f>IF(E410="","",IFERROR(_xludf.MAXIFS(PAYMENTS!A:A,PAYMENTS!C:C,E410),""))</f>
        <v/>
      </c>
    </row>
    <row r="411" spans="1:15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t="str">
        <f>IF(E411="","",SUMIF(PAYMENTS!C:C,E411,PAYMENTS!E:E))</f>
        <v/>
      </c>
      <c r="M411" t="str">
        <f t="shared" si="12"/>
        <v/>
      </c>
      <c r="N411" t="str">
        <f t="shared" si="13"/>
        <v/>
      </c>
      <c r="O411" t="str">
        <f>IF(E411="","",IFERROR(_xludf.MAXIFS(PAYMENTS!A:A,PAYMENTS!C:C,E411),""))</f>
        <v/>
      </c>
    </row>
    <row r="412" spans="1:15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t="str">
        <f>IF(E412="","",SUMIF(PAYMENTS!C:C,E412,PAYMENTS!E:E))</f>
        <v/>
      </c>
      <c r="M412" t="str">
        <f t="shared" si="12"/>
        <v/>
      </c>
      <c r="N412" t="str">
        <f t="shared" si="13"/>
        <v/>
      </c>
      <c r="O412" t="str">
        <f>IF(E412="","",IFERROR(_xludf.MAXIFS(PAYMENTS!A:A,PAYMENTS!C:C,E412),""))</f>
        <v/>
      </c>
    </row>
    <row r="413" spans="1:15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t="str">
        <f>IF(E413="","",SUMIF(PAYMENTS!C:C,E413,PAYMENTS!E:E))</f>
        <v/>
      </c>
      <c r="M413" t="str">
        <f t="shared" si="12"/>
        <v/>
      </c>
      <c r="N413" t="str">
        <f t="shared" si="13"/>
        <v/>
      </c>
      <c r="O413" t="str">
        <f>IF(E413="","",IFERROR(_xludf.MAXIFS(PAYMENTS!A:A,PAYMENTS!C:C,E413),""))</f>
        <v/>
      </c>
    </row>
    <row r="414" spans="1:15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t="str">
        <f>IF(E414="","",SUMIF(PAYMENTS!C:C,E414,PAYMENTS!E:E))</f>
        <v/>
      </c>
      <c r="M414" t="str">
        <f t="shared" si="12"/>
        <v/>
      </c>
      <c r="N414" t="str">
        <f t="shared" si="13"/>
        <v/>
      </c>
      <c r="O414" t="str">
        <f>IF(E414="","",IFERROR(_xludf.MAXIFS(PAYMENTS!A:A,PAYMENTS!C:C,E414),""))</f>
        <v/>
      </c>
    </row>
    <row r="415" spans="1:15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t="str">
        <f>IF(E415="","",SUMIF(PAYMENTS!C:C,E415,PAYMENTS!E:E))</f>
        <v/>
      </c>
      <c r="M415" t="str">
        <f t="shared" si="12"/>
        <v/>
      </c>
      <c r="N415" t="str">
        <f t="shared" si="13"/>
        <v/>
      </c>
      <c r="O415" t="str">
        <f>IF(E415="","",IFERROR(_xludf.MAXIFS(PAYMENTS!A:A,PAYMENTS!C:C,E415),""))</f>
        <v/>
      </c>
    </row>
    <row r="416" spans="1:15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t="str">
        <f>IF(E416="","",SUMIF(PAYMENTS!C:C,E416,PAYMENTS!E:E))</f>
        <v/>
      </c>
      <c r="M416" t="str">
        <f t="shared" si="12"/>
        <v/>
      </c>
      <c r="N416" t="str">
        <f t="shared" si="13"/>
        <v/>
      </c>
      <c r="O416" t="str">
        <f>IF(E416="","",IFERROR(_xludf.MAXIFS(PAYMENTS!A:A,PAYMENTS!C:C,E416),""))</f>
        <v/>
      </c>
    </row>
    <row r="417" spans="1:15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t="str">
        <f>IF(E417="","",SUMIF(PAYMENTS!C:C,E417,PAYMENTS!E:E))</f>
        <v/>
      </c>
      <c r="M417" t="str">
        <f t="shared" si="12"/>
        <v/>
      </c>
      <c r="N417" t="str">
        <f t="shared" si="13"/>
        <v/>
      </c>
      <c r="O417" t="str">
        <f>IF(E417="","",IFERROR(_xludf.MAXIFS(PAYMENTS!A:A,PAYMENTS!C:C,E417),""))</f>
        <v/>
      </c>
    </row>
    <row r="418" spans="1:15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t="str">
        <f>IF(E418="","",SUMIF(PAYMENTS!C:C,E418,PAYMENTS!E:E))</f>
        <v/>
      </c>
      <c r="M418" t="str">
        <f t="shared" si="12"/>
        <v/>
      </c>
      <c r="N418" t="str">
        <f t="shared" si="13"/>
        <v/>
      </c>
      <c r="O418" t="str">
        <f>IF(E418="","",IFERROR(_xludf.MAXIFS(PAYMENTS!A:A,PAYMENTS!C:C,E418),""))</f>
        <v/>
      </c>
    </row>
    <row r="419" spans="1:15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t="str">
        <f>IF(E419="","",SUMIF(PAYMENTS!C:C,E419,PAYMENTS!E:E))</f>
        <v/>
      </c>
      <c r="M419" t="str">
        <f t="shared" si="12"/>
        <v/>
      </c>
      <c r="N419" t="str">
        <f t="shared" si="13"/>
        <v/>
      </c>
      <c r="O419" t="str">
        <f>IF(E419="","",IFERROR(_xludf.MAXIFS(PAYMENTS!A:A,PAYMENTS!C:C,E419),""))</f>
        <v/>
      </c>
    </row>
    <row r="420" spans="1:15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t="str">
        <f>IF(E420="","",SUMIF(PAYMENTS!C:C,E420,PAYMENTS!E:E))</f>
        <v/>
      </c>
      <c r="M420" t="str">
        <f t="shared" si="12"/>
        <v/>
      </c>
      <c r="N420" t="str">
        <f t="shared" si="13"/>
        <v/>
      </c>
      <c r="O420" t="str">
        <f>IF(E420="","",IFERROR(_xludf.MAXIFS(PAYMENTS!A:A,PAYMENTS!C:C,E420),""))</f>
        <v/>
      </c>
    </row>
    <row r="421" spans="1:15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t="str">
        <f>IF(E421="","",SUMIF(PAYMENTS!C:C,E421,PAYMENTS!E:E))</f>
        <v/>
      </c>
      <c r="M421" t="str">
        <f t="shared" si="12"/>
        <v/>
      </c>
      <c r="N421" t="str">
        <f t="shared" si="13"/>
        <v/>
      </c>
      <c r="O421" t="str">
        <f>IF(E421="","",IFERROR(_xludf.MAXIFS(PAYMENTS!A:A,PAYMENTS!C:C,E421),""))</f>
        <v/>
      </c>
    </row>
    <row r="422" spans="1:15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t="str">
        <f>IF(E422="","",SUMIF(PAYMENTS!C:C,E422,PAYMENTS!E:E))</f>
        <v/>
      </c>
      <c r="M422" t="str">
        <f t="shared" si="12"/>
        <v/>
      </c>
      <c r="N422" t="str">
        <f t="shared" si="13"/>
        <v/>
      </c>
      <c r="O422" t="str">
        <f>IF(E422="","",IFERROR(_xludf.MAXIFS(PAYMENTS!A:A,PAYMENTS!C:C,E422),""))</f>
        <v/>
      </c>
    </row>
    <row r="423" spans="1:15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t="str">
        <f>IF(E423="","",SUMIF(PAYMENTS!C:C,E423,PAYMENTS!E:E))</f>
        <v/>
      </c>
      <c r="M423" t="str">
        <f t="shared" si="12"/>
        <v/>
      </c>
      <c r="N423" t="str">
        <f t="shared" si="13"/>
        <v/>
      </c>
      <c r="O423" t="str">
        <f>IF(E423="","",IFERROR(_xludf.MAXIFS(PAYMENTS!A:A,PAYMENTS!C:C,E423),""))</f>
        <v/>
      </c>
    </row>
    <row r="424" spans="1:15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t="str">
        <f>IF(E424="","",SUMIF(PAYMENTS!C:C,E424,PAYMENTS!E:E))</f>
        <v/>
      </c>
      <c r="M424" t="str">
        <f t="shared" si="12"/>
        <v/>
      </c>
      <c r="N424" t="str">
        <f t="shared" si="13"/>
        <v/>
      </c>
      <c r="O424" t="str">
        <f>IF(E424="","",IFERROR(_xludf.MAXIFS(PAYMENTS!A:A,PAYMENTS!C:C,E424),""))</f>
        <v/>
      </c>
    </row>
    <row r="425" spans="1:15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t="str">
        <f>IF(E425="","",SUMIF(PAYMENTS!C:C,E425,PAYMENTS!E:E))</f>
        <v/>
      </c>
      <c r="M425" t="str">
        <f t="shared" si="12"/>
        <v/>
      </c>
      <c r="N425" t="str">
        <f t="shared" si="13"/>
        <v/>
      </c>
      <c r="O425" t="str">
        <f>IF(E425="","",IFERROR(_xludf.MAXIFS(PAYMENTS!A:A,PAYMENTS!C:C,E425),""))</f>
        <v/>
      </c>
    </row>
    <row r="426" spans="1:15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t="str">
        <f>IF(E426="","",SUMIF(PAYMENTS!C:C,E426,PAYMENTS!E:E))</f>
        <v/>
      </c>
      <c r="M426" t="str">
        <f t="shared" si="12"/>
        <v/>
      </c>
      <c r="N426" t="str">
        <f t="shared" si="13"/>
        <v/>
      </c>
      <c r="O426" t="str">
        <f>IF(E426="","",IFERROR(_xludf.MAXIFS(PAYMENTS!A:A,PAYMENTS!C:C,E426),""))</f>
        <v/>
      </c>
    </row>
    <row r="427" spans="1:15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t="str">
        <f>IF(E427="","",SUMIF(PAYMENTS!C:C,E427,PAYMENTS!E:E))</f>
        <v/>
      </c>
      <c r="M427" t="str">
        <f t="shared" si="12"/>
        <v/>
      </c>
      <c r="N427" t="str">
        <f t="shared" si="13"/>
        <v/>
      </c>
      <c r="O427" t="str">
        <f>IF(E427="","",IFERROR(_xludf.MAXIFS(PAYMENTS!A:A,PAYMENTS!C:C,E427),""))</f>
        <v/>
      </c>
    </row>
    <row r="428" spans="1:15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t="str">
        <f>IF(E428="","",SUMIF(PAYMENTS!C:C,E428,PAYMENTS!E:E))</f>
        <v/>
      </c>
      <c r="M428" t="str">
        <f t="shared" si="12"/>
        <v/>
      </c>
      <c r="N428" t="str">
        <f t="shared" si="13"/>
        <v/>
      </c>
      <c r="O428" t="str">
        <f>IF(E428="","",IFERROR(_xludf.MAXIFS(PAYMENTS!A:A,PAYMENTS!C:C,E428),""))</f>
        <v/>
      </c>
    </row>
    <row r="429" spans="1:15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t="str">
        <f>IF(E429="","",SUMIF(PAYMENTS!C:C,E429,PAYMENTS!E:E))</f>
        <v/>
      </c>
      <c r="M429" t="str">
        <f t="shared" si="12"/>
        <v/>
      </c>
      <c r="N429" t="str">
        <f t="shared" si="13"/>
        <v/>
      </c>
      <c r="O429" t="str">
        <f>IF(E429="","",IFERROR(_xludf.MAXIFS(PAYMENTS!A:A,PAYMENTS!C:C,E429),""))</f>
        <v/>
      </c>
    </row>
    <row r="430" spans="1:15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t="str">
        <f>IF(E430="","",SUMIF(PAYMENTS!C:C,E430,PAYMENTS!E:E))</f>
        <v/>
      </c>
      <c r="M430" t="str">
        <f t="shared" si="12"/>
        <v/>
      </c>
      <c r="N430" t="str">
        <f t="shared" si="13"/>
        <v/>
      </c>
      <c r="O430" t="str">
        <f>IF(E430="","",IFERROR(_xludf.MAXIFS(PAYMENTS!A:A,PAYMENTS!C:C,E430),""))</f>
        <v/>
      </c>
    </row>
    <row r="431" spans="1:15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t="str">
        <f>IF(E431="","",SUMIF(PAYMENTS!C:C,E431,PAYMENTS!E:E))</f>
        <v/>
      </c>
      <c r="M431" t="str">
        <f t="shared" si="12"/>
        <v/>
      </c>
      <c r="N431" t="str">
        <f t="shared" si="13"/>
        <v/>
      </c>
      <c r="O431" t="str">
        <f>IF(E431="","",IFERROR(_xludf.MAXIFS(PAYMENTS!A:A,PAYMENTS!C:C,E431),""))</f>
        <v/>
      </c>
    </row>
    <row r="432" spans="1:15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t="str">
        <f>IF(E432="","",SUMIF(PAYMENTS!C:C,E432,PAYMENTS!E:E))</f>
        <v/>
      </c>
      <c r="M432" t="str">
        <f t="shared" si="12"/>
        <v/>
      </c>
      <c r="N432" t="str">
        <f t="shared" si="13"/>
        <v/>
      </c>
      <c r="O432" t="str">
        <f>IF(E432="","",IFERROR(_xludf.MAXIFS(PAYMENTS!A:A,PAYMENTS!C:C,E432),""))</f>
        <v/>
      </c>
    </row>
    <row r="433" spans="1:15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t="str">
        <f>IF(E433="","",SUMIF(PAYMENTS!C:C,E433,PAYMENTS!E:E))</f>
        <v/>
      </c>
      <c r="M433" t="str">
        <f t="shared" si="12"/>
        <v/>
      </c>
      <c r="N433" t="str">
        <f t="shared" si="13"/>
        <v/>
      </c>
      <c r="O433" t="str">
        <f>IF(E433="","",IFERROR(_xludf.MAXIFS(PAYMENTS!A:A,PAYMENTS!C:C,E433),""))</f>
        <v/>
      </c>
    </row>
    <row r="434" spans="1:15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t="str">
        <f>IF(E434="","",SUMIF(PAYMENTS!C:C,E434,PAYMENTS!E:E))</f>
        <v/>
      </c>
      <c r="M434" t="str">
        <f t="shared" si="12"/>
        <v/>
      </c>
      <c r="N434" t="str">
        <f t="shared" si="13"/>
        <v/>
      </c>
      <c r="O434" t="str">
        <f>IF(E434="","",IFERROR(_xludf.MAXIFS(PAYMENTS!A:A,PAYMENTS!C:C,E434),""))</f>
        <v/>
      </c>
    </row>
    <row r="435" spans="1:15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t="str">
        <f>IF(E435="","",SUMIF(PAYMENTS!C:C,E435,PAYMENTS!E:E))</f>
        <v/>
      </c>
      <c r="M435" t="str">
        <f t="shared" si="12"/>
        <v/>
      </c>
      <c r="N435" t="str">
        <f t="shared" si="13"/>
        <v/>
      </c>
      <c r="O435" t="str">
        <f>IF(E435="","",IFERROR(_xludf.MAXIFS(PAYMENTS!A:A,PAYMENTS!C:C,E435),""))</f>
        <v/>
      </c>
    </row>
    <row r="436" spans="1:15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t="str">
        <f>IF(E436="","",SUMIF(PAYMENTS!C:C,E436,PAYMENTS!E:E))</f>
        <v/>
      </c>
      <c r="M436" t="str">
        <f t="shared" si="12"/>
        <v/>
      </c>
      <c r="N436" t="str">
        <f t="shared" si="13"/>
        <v/>
      </c>
      <c r="O436" t="str">
        <f>IF(E436="","",IFERROR(_xludf.MAXIFS(PAYMENTS!A:A,PAYMENTS!C:C,E436),""))</f>
        <v/>
      </c>
    </row>
    <row r="437" spans="1:15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t="str">
        <f>IF(E437="","",SUMIF(PAYMENTS!C:C,E437,PAYMENTS!E:E))</f>
        <v/>
      </c>
      <c r="M437" t="str">
        <f t="shared" si="12"/>
        <v/>
      </c>
      <c r="N437" t="str">
        <f t="shared" si="13"/>
        <v/>
      </c>
      <c r="O437" t="str">
        <f>IF(E437="","",IFERROR(_xludf.MAXIFS(PAYMENTS!A:A,PAYMENTS!C:C,E437),""))</f>
        <v/>
      </c>
    </row>
    <row r="438" spans="1:15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t="str">
        <f>IF(E438="","",SUMIF(PAYMENTS!C:C,E438,PAYMENTS!E:E))</f>
        <v/>
      </c>
      <c r="M438" t="str">
        <f t="shared" si="12"/>
        <v/>
      </c>
      <c r="N438" t="str">
        <f t="shared" si="13"/>
        <v/>
      </c>
      <c r="O438" t="str">
        <f>IF(E438="","",IFERROR(_xludf.MAXIFS(PAYMENTS!A:A,PAYMENTS!C:C,E438),""))</f>
        <v/>
      </c>
    </row>
    <row r="439" spans="1:15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t="str">
        <f>IF(E439="","",SUMIF(PAYMENTS!C:C,E439,PAYMENTS!E:E))</f>
        <v/>
      </c>
      <c r="M439" t="str">
        <f t="shared" si="12"/>
        <v/>
      </c>
      <c r="N439" t="str">
        <f t="shared" si="13"/>
        <v/>
      </c>
      <c r="O439" t="str">
        <f>IF(E439="","",IFERROR(_xludf.MAXIFS(PAYMENTS!A:A,PAYMENTS!C:C,E439),""))</f>
        <v/>
      </c>
    </row>
    <row r="440" spans="1:15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t="str">
        <f>IF(E440="","",SUMIF(PAYMENTS!C:C,E440,PAYMENTS!E:E))</f>
        <v/>
      </c>
      <c r="M440" t="str">
        <f t="shared" si="12"/>
        <v/>
      </c>
      <c r="N440" t="str">
        <f t="shared" si="13"/>
        <v/>
      </c>
      <c r="O440" t="str">
        <f>IF(E440="","",IFERROR(_xludf.MAXIFS(PAYMENTS!A:A,PAYMENTS!C:C,E440),""))</f>
        <v/>
      </c>
    </row>
    <row r="441" spans="1:15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t="str">
        <f>IF(E441="","",SUMIF(PAYMENTS!C:C,E441,PAYMENTS!E:E))</f>
        <v/>
      </c>
      <c r="M441" t="str">
        <f t="shared" si="12"/>
        <v/>
      </c>
      <c r="N441" t="str">
        <f t="shared" si="13"/>
        <v/>
      </c>
      <c r="O441" t="str">
        <f>IF(E441="","",IFERROR(_xludf.MAXIFS(PAYMENTS!A:A,PAYMENTS!C:C,E441),""))</f>
        <v/>
      </c>
    </row>
    <row r="442" spans="1:15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t="str">
        <f>IF(E442="","",SUMIF(PAYMENTS!C:C,E442,PAYMENTS!E:E))</f>
        <v/>
      </c>
      <c r="M442" t="str">
        <f t="shared" si="12"/>
        <v/>
      </c>
      <c r="N442" t="str">
        <f t="shared" si="13"/>
        <v/>
      </c>
      <c r="O442" t="str">
        <f>IF(E442="","",IFERROR(_xludf.MAXIFS(PAYMENTS!A:A,PAYMENTS!C:C,E442),""))</f>
        <v/>
      </c>
    </row>
    <row r="443" spans="1:15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t="str">
        <f>IF(E443="","",SUMIF(PAYMENTS!C:C,E443,PAYMENTS!E:E))</f>
        <v/>
      </c>
      <c r="M443" t="str">
        <f t="shared" si="12"/>
        <v/>
      </c>
      <c r="N443" t="str">
        <f t="shared" si="13"/>
        <v/>
      </c>
      <c r="O443" t="str">
        <f>IF(E443="","",IFERROR(_xludf.MAXIFS(PAYMENTS!A:A,PAYMENTS!C:C,E443),""))</f>
        <v/>
      </c>
    </row>
    <row r="444" spans="1:15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t="str">
        <f>IF(E444="","",SUMIF(PAYMENTS!C:C,E444,PAYMENTS!E:E))</f>
        <v/>
      </c>
      <c r="M444" t="str">
        <f t="shared" si="12"/>
        <v/>
      </c>
      <c r="N444" t="str">
        <f t="shared" si="13"/>
        <v/>
      </c>
      <c r="O444" t="str">
        <f>IF(E444="","",IFERROR(_xludf.MAXIFS(PAYMENTS!A:A,PAYMENTS!C:C,E444),""))</f>
        <v/>
      </c>
    </row>
    <row r="445" spans="1:15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t="str">
        <f>IF(E445="","",SUMIF(PAYMENTS!C:C,E445,PAYMENTS!E:E))</f>
        <v/>
      </c>
      <c r="M445" t="str">
        <f t="shared" si="12"/>
        <v/>
      </c>
      <c r="N445" t="str">
        <f t="shared" si="13"/>
        <v/>
      </c>
      <c r="O445" t="str">
        <f>IF(E445="","",IFERROR(_xludf.MAXIFS(PAYMENTS!A:A,PAYMENTS!C:C,E445),""))</f>
        <v/>
      </c>
    </row>
    <row r="446" spans="1:15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t="str">
        <f>IF(E446="","",SUMIF(PAYMENTS!C:C,E446,PAYMENTS!E:E))</f>
        <v/>
      </c>
      <c r="M446" t="str">
        <f t="shared" si="12"/>
        <v/>
      </c>
      <c r="N446" t="str">
        <f t="shared" si="13"/>
        <v/>
      </c>
      <c r="O446" t="str">
        <f>IF(E446="","",IFERROR(_xludf.MAXIFS(PAYMENTS!A:A,PAYMENTS!C:C,E446),""))</f>
        <v/>
      </c>
    </row>
    <row r="447" spans="1:15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t="str">
        <f>IF(E447="","",SUMIF(PAYMENTS!C:C,E447,PAYMENTS!E:E))</f>
        <v/>
      </c>
      <c r="M447" t="str">
        <f t="shared" si="12"/>
        <v/>
      </c>
      <c r="N447" t="str">
        <f t="shared" si="13"/>
        <v/>
      </c>
      <c r="O447" t="str">
        <f>IF(E447="","",IFERROR(_xludf.MAXIFS(PAYMENTS!A:A,PAYMENTS!C:C,E447),""))</f>
        <v/>
      </c>
    </row>
    <row r="448" spans="1:15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t="str">
        <f>IF(E448="","",SUMIF(PAYMENTS!C:C,E448,PAYMENTS!E:E))</f>
        <v/>
      </c>
      <c r="M448" t="str">
        <f t="shared" si="12"/>
        <v/>
      </c>
      <c r="N448" t="str">
        <f t="shared" si="13"/>
        <v/>
      </c>
      <c r="O448" t="str">
        <f>IF(E448="","",IFERROR(_xludf.MAXIFS(PAYMENTS!A:A,PAYMENTS!C:C,E448),""))</f>
        <v/>
      </c>
    </row>
    <row r="449" spans="1:15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t="str">
        <f>IF(E449="","",SUMIF(PAYMENTS!C:C,E449,PAYMENTS!E:E))</f>
        <v/>
      </c>
      <c r="M449" t="str">
        <f t="shared" si="12"/>
        <v/>
      </c>
      <c r="N449" t="str">
        <f t="shared" si="13"/>
        <v/>
      </c>
      <c r="O449" t="str">
        <f>IF(E449="","",IFERROR(_xludf.MAXIFS(PAYMENTS!A:A,PAYMENTS!C:C,E449),""))</f>
        <v/>
      </c>
    </row>
    <row r="450" spans="1:15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t="str">
        <f>IF(E450="","",SUMIF(PAYMENTS!C:C,E450,PAYMENTS!E:E))</f>
        <v/>
      </c>
      <c r="M450" t="str">
        <f t="shared" ref="M450:M513" si="14">IF(E450="","",J450-L450)</f>
        <v/>
      </c>
      <c r="N450" t="str">
        <f t="shared" ref="N450:N513" si="15">IF(E450="","",IF(M450&lt;=0,"Paid",IF(L450&gt;0,"Part Paid","Unpaid")))</f>
        <v/>
      </c>
      <c r="O450" t="str">
        <f>IF(E450="","",IFERROR(_xludf.MAXIFS(PAYMENTS!A:A,PAYMENTS!C:C,E450),""))</f>
        <v/>
      </c>
    </row>
    <row r="451" spans="1:15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t="str">
        <f>IF(E451="","",SUMIF(PAYMENTS!C:C,E451,PAYMENTS!E:E))</f>
        <v/>
      </c>
      <c r="M451" t="str">
        <f t="shared" si="14"/>
        <v/>
      </c>
      <c r="N451" t="str">
        <f t="shared" si="15"/>
        <v/>
      </c>
      <c r="O451" t="str">
        <f>IF(E451="","",IFERROR(_xludf.MAXIFS(PAYMENTS!A:A,PAYMENTS!C:C,E451),""))</f>
        <v/>
      </c>
    </row>
    <row r="452" spans="1:15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t="str">
        <f>IF(E452="","",SUMIF(PAYMENTS!C:C,E452,PAYMENTS!E:E))</f>
        <v/>
      </c>
      <c r="M452" t="str">
        <f t="shared" si="14"/>
        <v/>
      </c>
      <c r="N452" t="str">
        <f t="shared" si="15"/>
        <v/>
      </c>
      <c r="O452" t="str">
        <f>IF(E452="","",IFERROR(_xludf.MAXIFS(PAYMENTS!A:A,PAYMENTS!C:C,E452),""))</f>
        <v/>
      </c>
    </row>
    <row r="453" spans="1:15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t="str">
        <f>IF(E453="","",SUMIF(PAYMENTS!C:C,E453,PAYMENTS!E:E))</f>
        <v/>
      </c>
      <c r="M453" t="str">
        <f t="shared" si="14"/>
        <v/>
      </c>
      <c r="N453" t="str">
        <f t="shared" si="15"/>
        <v/>
      </c>
      <c r="O453" t="str">
        <f>IF(E453="","",IFERROR(_xludf.MAXIFS(PAYMENTS!A:A,PAYMENTS!C:C,E453),""))</f>
        <v/>
      </c>
    </row>
    <row r="454" spans="1:15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t="str">
        <f>IF(E454="","",SUMIF(PAYMENTS!C:C,E454,PAYMENTS!E:E))</f>
        <v/>
      </c>
      <c r="M454" t="str">
        <f t="shared" si="14"/>
        <v/>
      </c>
      <c r="N454" t="str">
        <f t="shared" si="15"/>
        <v/>
      </c>
      <c r="O454" t="str">
        <f>IF(E454="","",IFERROR(_xludf.MAXIFS(PAYMENTS!A:A,PAYMENTS!C:C,E454),""))</f>
        <v/>
      </c>
    </row>
    <row r="455" spans="1:15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t="str">
        <f>IF(E455="","",SUMIF(PAYMENTS!C:C,E455,PAYMENTS!E:E))</f>
        <v/>
      </c>
      <c r="M455" t="str">
        <f t="shared" si="14"/>
        <v/>
      </c>
      <c r="N455" t="str">
        <f t="shared" si="15"/>
        <v/>
      </c>
      <c r="O455" t="str">
        <f>IF(E455="","",IFERROR(_xludf.MAXIFS(PAYMENTS!A:A,PAYMENTS!C:C,E455),""))</f>
        <v/>
      </c>
    </row>
    <row r="456" spans="1:15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t="str">
        <f>IF(E456="","",SUMIF(PAYMENTS!C:C,E456,PAYMENTS!E:E))</f>
        <v/>
      </c>
      <c r="M456" t="str">
        <f t="shared" si="14"/>
        <v/>
      </c>
      <c r="N456" t="str">
        <f t="shared" si="15"/>
        <v/>
      </c>
      <c r="O456" t="str">
        <f>IF(E456="","",IFERROR(_xludf.MAXIFS(PAYMENTS!A:A,PAYMENTS!C:C,E456),""))</f>
        <v/>
      </c>
    </row>
    <row r="457" spans="1:15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t="str">
        <f>IF(E457="","",SUMIF(PAYMENTS!C:C,E457,PAYMENTS!E:E))</f>
        <v/>
      </c>
      <c r="M457" t="str">
        <f t="shared" si="14"/>
        <v/>
      </c>
      <c r="N457" t="str">
        <f t="shared" si="15"/>
        <v/>
      </c>
      <c r="O457" t="str">
        <f>IF(E457="","",IFERROR(_xludf.MAXIFS(PAYMENTS!A:A,PAYMENTS!C:C,E457),""))</f>
        <v/>
      </c>
    </row>
    <row r="458" spans="1:15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t="str">
        <f>IF(E458="","",SUMIF(PAYMENTS!C:C,E458,PAYMENTS!E:E))</f>
        <v/>
      </c>
      <c r="M458" t="str">
        <f t="shared" si="14"/>
        <v/>
      </c>
      <c r="N458" t="str">
        <f t="shared" si="15"/>
        <v/>
      </c>
      <c r="O458" t="str">
        <f>IF(E458="","",IFERROR(_xludf.MAXIFS(PAYMENTS!A:A,PAYMENTS!C:C,E458),""))</f>
        <v/>
      </c>
    </row>
    <row r="459" spans="1:15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t="str">
        <f>IF(E459="","",SUMIF(PAYMENTS!C:C,E459,PAYMENTS!E:E))</f>
        <v/>
      </c>
      <c r="M459" t="str">
        <f t="shared" si="14"/>
        <v/>
      </c>
      <c r="N459" t="str">
        <f t="shared" si="15"/>
        <v/>
      </c>
      <c r="O459" t="str">
        <f>IF(E459="","",IFERROR(_xludf.MAXIFS(PAYMENTS!A:A,PAYMENTS!C:C,E459),""))</f>
        <v/>
      </c>
    </row>
    <row r="460" spans="1:15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t="str">
        <f>IF(E460="","",SUMIF(PAYMENTS!C:C,E460,PAYMENTS!E:E))</f>
        <v/>
      </c>
      <c r="M460" t="str">
        <f t="shared" si="14"/>
        <v/>
      </c>
      <c r="N460" t="str">
        <f t="shared" si="15"/>
        <v/>
      </c>
      <c r="O460" t="str">
        <f>IF(E460="","",IFERROR(_xludf.MAXIFS(PAYMENTS!A:A,PAYMENTS!C:C,E460),""))</f>
        <v/>
      </c>
    </row>
    <row r="461" spans="1:15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t="str">
        <f>IF(E461="","",SUMIF(PAYMENTS!C:C,E461,PAYMENTS!E:E))</f>
        <v/>
      </c>
      <c r="M461" t="str">
        <f t="shared" si="14"/>
        <v/>
      </c>
      <c r="N461" t="str">
        <f t="shared" si="15"/>
        <v/>
      </c>
      <c r="O461" t="str">
        <f>IF(E461="","",IFERROR(_xludf.MAXIFS(PAYMENTS!A:A,PAYMENTS!C:C,E461),""))</f>
        <v/>
      </c>
    </row>
    <row r="462" spans="1:15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t="str">
        <f>IF(E462="","",SUMIF(PAYMENTS!C:C,E462,PAYMENTS!E:E))</f>
        <v/>
      </c>
      <c r="M462" t="str">
        <f t="shared" si="14"/>
        <v/>
      </c>
      <c r="N462" t="str">
        <f t="shared" si="15"/>
        <v/>
      </c>
      <c r="O462" t="str">
        <f>IF(E462="","",IFERROR(_xludf.MAXIFS(PAYMENTS!A:A,PAYMENTS!C:C,E462),""))</f>
        <v/>
      </c>
    </row>
    <row r="463" spans="1:15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t="str">
        <f>IF(E463="","",SUMIF(PAYMENTS!C:C,E463,PAYMENTS!E:E))</f>
        <v/>
      </c>
      <c r="M463" t="str">
        <f t="shared" si="14"/>
        <v/>
      </c>
      <c r="N463" t="str">
        <f t="shared" si="15"/>
        <v/>
      </c>
      <c r="O463" t="str">
        <f>IF(E463="","",IFERROR(_xludf.MAXIFS(PAYMENTS!A:A,PAYMENTS!C:C,E463),""))</f>
        <v/>
      </c>
    </row>
    <row r="464" spans="1:15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t="str">
        <f>IF(E464="","",SUMIF(PAYMENTS!C:C,E464,PAYMENTS!E:E))</f>
        <v/>
      </c>
      <c r="M464" t="str">
        <f t="shared" si="14"/>
        <v/>
      </c>
      <c r="N464" t="str">
        <f t="shared" si="15"/>
        <v/>
      </c>
      <c r="O464" t="str">
        <f>IF(E464="","",IFERROR(_xludf.MAXIFS(PAYMENTS!A:A,PAYMENTS!C:C,E464),""))</f>
        <v/>
      </c>
    </row>
    <row r="465" spans="1:15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t="str">
        <f>IF(E465="","",SUMIF(PAYMENTS!C:C,E465,PAYMENTS!E:E))</f>
        <v/>
      </c>
      <c r="M465" t="str">
        <f t="shared" si="14"/>
        <v/>
      </c>
      <c r="N465" t="str">
        <f t="shared" si="15"/>
        <v/>
      </c>
      <c r="O465" t="str">
        <f>IF(E465="","",IFERROR(_xludf.MAXIFS(PAYMENTS!A:A,PAYMENTS!C:C,E465),""))</f>
        <v/>
      </c>
    </row>
    <row r="466" spans="1:15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t="str">
        <f>IF(E466="","",SUMIF(PAYMENTS!C:C,E466,PAYMENTS!E:E))</f>
        <v/>
      </c>
      <c r="M466" t="str">
        <f t="shared" si="14"/>
        <v/>
      </c>
      <c r="N466" t="str">
        <f t="shared" si="15"/>
        <v/>
      </c>
      <c r="O466" t="str">
        <f>IF(E466="","",IFERROR(_xludf.MAXIFS(PAYMENTS!A:A,PAYMENTS!C:C,E466),""))</f>
        <v/>
      </c>
    </row>
    <row r="467" spans="1:15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t="str">
        <f>IF(E467="","",SUMIF(PAYMENTS!C:C,E467,PAYMENTS!E:E))</f>
        <v/>
      </c>
      <c r="M467" t="str">
        <f t="shared" si="14"/>
        <v/>
      </c>
      <c r="N467" t="str">
        <f t="shared" si="15"/>
        <v/>
      </c>
      <c r="O467" t="str">
        <f>IF(E467="","",IFERROR(_xludf.MAXIFS(PAYMENTS!A:A,PAYMENTS!C:C,E467),""))</f>
        <v/>
      </c>
    </row>
    <row r="468" spans="1:15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t="str">
        <f>IF(E468="","",SUMIF(PAYMENTS!C:C,E468,PAYMENTS!E:E))</f>
        <v/>
      </c>
      <c r="M468" t="str">
        <f t="shared" si="14"/>
        <v/>
      </c>
      <c r="N468" t="str">
        <f t="shared" si="15"/>
        <v/>
      </c>
      <c r="O468" t="str">
        <f>IF(E468="","",IFERROR(_xludf.MAXIFS(PAYMENTS!A:A,PAYMENTS!C:C,E468),""))</f>
        <v/>
      </c>
    </row>
    <row r="469" spans="1:15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t="str">
        <f>IF(E469="","",SUMIF(PAYMENTS!C:C,E469,PAYMENTS!E:E))</f>
        <v/>
      </c>
      <c r="M469" t="str">
        <f t="shared" si="14"/>
        <v/>
      </c>
      <c r="N469" t="str">
        <f t="shared" si="15"/>
        <v/>
      </c>
      <c r="O469" t="str">
        <f>IF(E469="","",IFERROR(_xludf.MAXIFS(PAYMENTS!A:A,PAYMENTS!C:C,E469),""))</f>
        <v/>
      </c>
    </row>
    <row r="470" spans="1:15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t="str">
        <f>IF(E470="","",SUMIF(PAYMENTS!C:C,E470,PAYMENTS!E:E))</f>
        <v/>
      </c>
      <c r="M470" t="str">
        <f t="shared" si="14"/>
        <v/>
      </c>
      <c r="N470" t="str">
        <f t="shared" si="15"/>
        <v/>
      </c>
      <c r="O470" t="str">
        <f>IF(E470="","",IFERROR(_xludf.MAXIFS(PAYMENTS!A:A,PAYMENTS!C:C,E470),""))</f>
        <v/>
      </c>
    </row>
    <row r="471" spans="1:15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t="str">
        <f>IF(E471="","",SUMIF(PAYMENTS!C:C,E471,PAYMENTS!E:E))</f>
        <v/>
      </c>
      <c r="M471" t="str">
        <f t="shared" si="14"/>
        <v/>
      </c>
      <c r="N471" t="str">
        <f t="shared" si="15"/>
        <v/>
      </c>
      <c r="O471" t="str">
        <f>IF(E471="","",IFERROR(_xludf.MAXIFS(PAYMENTS!A:A,PAYMENTS!C:C,E471),""))</f>
        <v/>
      </c>
    </row>
    <row r="472" spans="1:15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t="str">
        <f>IF(E472="","",SUMIF(PAYMENTS!C:C,E472,PAYMENTS!E:E))</f>
        <v/>
      </c>
      <c r="M472" t="str">
        <f t="shared" si="14"/>
        <v/>
      </c>
      <c r="N472" t="str">
        <f t="shared" si="15"/>
        <v/>
      </c>
      <c r="O472" t="str">
        <f>IF(E472="","",IFERROR(_xludf.MAXIFS(PAYMENTS!A:A,PAYMENTS!C:C,E472),""))</f>
        <v/>
      </c>
    </row>
    <row r="473" spans="1:15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t="str">
        <f>IF(E473="","",SUMIF(PAYMENTS!C:C,E473,PAYMENTS!E:E))</f>
        <v/>
      </c>
      <c r="M473" t="str">
        <f t="shared" si="14"/>
        <v/>
      </c>
      <c r="N473" t="str">
        <f t="shared" si="15"/>
        <v/>
      </c>
      <c r="O473" t="str">
        <f>IF(E473="","",IFERROR(_xludf.MAXIFS(PAYMENTS!A:A,PAYMENTS!C:C,E473),""))</f>
        <v/>
      </c>
    </row>
    <row r="474" spans="1:15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t="str">
        <f>IF(E474="","",SUMIF(PAYMENTS!C:C,E474,PAYMENTS!E:E))</f>
        <v/>
      </c>
      <c r="M474" t="str">
        <f t="shared" si="14"/>
        <v/>
      </c>
      <c r="N474" t="str">
        <f t="shared" si="15"/>
        <v/>
      </c>
      <c r="O474" t="str">
        <f>IF(E474="","",IFERROR(_xludf.MAXIFS(PAYMENTS!A:A,PAYMENTS!C:C,E474),""))</f>
        <v/>
      </c>
    </row>
    <row r="475" spans="1:15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t="str">
        <f>IF(E475="","",SUMIF(PAYMENTS!C:C,E475,PAYMENTS!E:E))</f>
        <v/>
      </c>
      <c r="M475" t="str">
        <f t="shared" si="14"/>
        <v/>
      </c>
      <c r="N475" t="str">
        <f t="shared" si="15"/>
        <v/>
      </c>
      <c r="O475" t="str">
        <f>IF(E475="","",IFERROR(_xludf.MAXIFS(PAYMENTS!A:A,PAYMENTS!C:C,E475),""))</f>
        <v/>
      </c>
    </row>
    <row r="476" spans="1:15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t="str">
        <f>IF(E476="","",SUMIF(PAYMENTS!C:C,E476,PAYMENTS!E:E))</f>
        <v/>
      </c>
      <c r="M476" t="str">
        <f t="shared" si="14"/>
        <v/>
      </c>
      <c r="N476" t="str">
        <f t="shared" si="15"/>
        <v/>
      </c>
      <c r="O476" t="str">
        <f>IF(E476="","",IFERROR(_xludf.MAXIFS(PAYMENTS!A:A,PAYMENTS!C:C,E476),""))</f>
        <v/>
      </c>
    </row>
    <row r="477" spans="1:15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t="str">
        <f>IF(E477="","",SUMIF(PAYMENTS!C:C,E477,PAYMENTS!E:E))</f>
        <v/>
      </c>
      <c r="M477" t="str">
        <f t="shared" si="14"/>
        <v/>
      </c>
      <c r="N477" t="str">
        <f t="shared" si="15"/>
        <v/>
      </c>
      <c r="O477" t="str">
        <f>IF(E477="","",IFERROR(_xludf.MAXIFS(PAYMENTS!A:A,PAYMENTS!C:C,E477),""))</f>
        <v/>
      </c>
    </row>
    <row r="478" spans="1:15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t="str">
        <f>IF(E478="","",SUMIF(PAYMENTS!C:C,E478,PAYMENTS!E:E))</f>
        <v/>
      </c>
      <c r="M478" t="str">
        <f t="shared" si="14"/>
        <v/>
      </c>
      <c r="N478" t="str">
        <f t="shared" si="15"/>
        <v/>
      </c>
      <c r="O478" t="str">
        <f>IF(E478="","",IFERROR(_xludf.MAXIFS(PAYMENTS!A:A,PAYMENTS!C:C,E478),""))</f>
        <v/>
      </c>
    </row>
    <row r="479" spans="1:15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t="str">
        <f>IF(E479="","",SUMIF(PAYMENTS!C:C,E479,PAYMENTS!E:E))</f>
        <v/>
      </c>
      <c r="M479" t="str">
        <f t="shared" si="14"/>
        <v/>
      </c>
      <c r="N479" t="str">
        <f t="shared" si="15"/>
        <v/>
      </c>
      <c r="O479" t="str">
        <f>IF(E479="","",IFERROR(_xludf.MAXIFS(PAYMENTS!A:A,PAYMENTS!C:C,E479),""))</f>
        <v/>
      </c>
    </row>
    <row r="480" spans="1:15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t="str">
        <f>IF(E480="","",SUMIF(PAYMENTS!C:C,E480,PAYMENTS!E:E))</f>
        <v/>
      </c>
      <c r="M480" t="str">
        <f t="shared" si="14"/>
        <v/>
      </c>
      <c r="N480" t="str">
        <f t="shared" si="15"/>
        <v/>
      </c>
      <c r="O480" t="str">
        <f>IF(E480="","",IFERROR(_xludf.MAXIFS(PAYMENTS!A:A,PAYMENTS!C:C,E480),""))</f>
        <v/>
      </c>
    </row>
    <row r="481" spans="1:15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t="str">
        <f>IF(E481="","",SUMIF(PAYMENTS!C:C,E481,PAYMENTS!E:E))</f>
        <v/>
      </c>
      <c r="M481" t="str">
        <f t="shared" si="14"/>
        <v/>
      </c>
      <c r="N481" t="str">
        <f t="shared" si="15"/>
        <v/>
      </c>
      <c r="O481" t="str">
        <f>IF(E481="","",IFERROR(_xludf.MAXIFS(PAYMENTS!A:A,PAYMENTS!C:C,E481),""))</f>
        <v/>
      </c>
    </row>
    <row r="482" spans="1:15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t="str">
        <f>IF(E482="","",SUMIF(PAYMENTS!C:C,E482,PAYMENTS!E:E))</f>
        <v/>
      </c>
      <c r="M482" t="str">
        <f t="shared" si="14"/>
        <v/>
      </c>
      <c r="N482" t="str">
        <f t="shared" si="15"/>
        <v/>
      </c>
      <c r="O482" t="str">
        <f>IF(E482="","",IFERROR(_xludf.MAXIFS(PAYMENTS!A:A,PAYMENTS!C:C,E482),""))</f>
        <v/>
      </c>
    </row>
    <row r="483" spans="1:15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t="str">
        <f>IF(E483="","",SUMIF(PAYMENTS!C:C,E483,PAYMENTS!E:E))</f>
        <v/>
      </c>
      <c r="M483" t="str">
        <f t="shared" si="14"/>
        <v/>
      </c>
      <c r="N483" t="str">
        <f t="shared" si="15"/>
        <v/>
      </c>
      <c r="O483" t="str">
        <f>IF(E483="","",IFERROR(_xludf.MAXIFS(PAYMENTS!A:A,PAYMENTS!C:C,E483),""))</f>
        <v/>
      </c>
    </row>
    <row r="484" spans="1:15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t="str">
        <f>IF(E484="","",SUMIF(PAYMENTS!C:C,E484,PAYMENTS!E:E))</f>
        <v/>
      </c>
      <c r="M484" t="str">
        <f t="shared" si="14"/>
        <v/>
      </c>
      <c r="N484" t="str">
        <f t="shared" si="15"/>
        <v/>
      </c>
      <c r="O484" t="str">
        <f>IF(E484="","",IFERROR(_xludf.MAXIFS(PAYMENTS!A:A,PAYMENTS!C:C,E484),""))</f>
        <v/>
      </c>
    </row>
    <row r="485" spans="1:15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t="str">
        <f>IF(E485="","",SUMIF(PAYMENTS!C:C,E485,PAYMENTS!E:E))</f>
        <v/>
      </c>
      <c r="M485" t="str">
        <f t="shared" si="14"/>
        <v/>
      </c>
      <c r="N485" t="str">
        <f t="shared" si="15"/>
        <v/>
      </c>
      <c r="O485" t="str">
        <f>IF(E485="","",IFERROR(_xludf.MAXIFS(PAYMENTS!A:A,PAYMENTS!C:C,E485),""))</f>
        <v/>
      </c>
    </row>
    <row r="486" spans="1:15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t="str">
        <f>IF(E486="","",SUMIF(PAYMENTS!C:C,E486,PAYMENTS!E:E))</f>
        <v/>
      </c>
      <c r="M486" t="str">
        <f t="shared" si="14"/>
        <v/>
      </c>
      <c r="N486" t="str">
        <f t="shared" si="15"/>
        <v/>
      </c>
      <c r="O486" t="str">
        <f>IF(E486="","",IFERROR(_xludf.MAXIFS(PAYMENTS!A:A,PAYMENTS!C:C,E486),""))</f>
        <v/>
      </c>
    </row>
    <row r="487" spans="1:15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t="str">
        <f>IF(E487="","",SUMIF(PAYMENTS!C:C,E487,PAYMENTS!E:E))</f>
        <v/>
      </c>
      <c r="M487" t="str">
        <f t="shared" si="14"/>
        <v/>
      </c>
      <c r="N487" t="str">
        <f t="shared" si="15"/>
        <v/>
      </c>
      <c r="O487" t="str">
        <f>IF(E487="","",IFERROR(_xludf.MAXIFS(PAYMENTS!A:A,PAYMENTS!C:C,E487),""))</f>
        <v/>
      </c>
    </row>
    <row r="488" spans="1:15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t="str">
        <f>IF(E488="","",SUMIF(PAYMENTS!C:C,E488,PAYMENTS!E:E))</f>
        <v/>
      </c>
      <c r="M488" t="str">
        <f t="shared" si="14"/>
        <v/>
      </c>
      <c r="N488" t="str">
        <f t="shared" si="15"/>
        <v/>
      </c>
      <c r="O488" t="str">
        <f>IF(E488="","",IFERROR(_xludf.MAXIFS(PAYMENTS!A:A,PAYMENTS!C:C,E488),""))</f>
        <v/>
      </c>
    </row>
    <row r="489" spans="1:15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t="str">
        <f>IF(E489="","",SUMIF(PAYMENTS!C:C,E489,PAYMENTS!E:E))</f>
        <v/>
      </c>
      <c r="M489" t="str">
        <f t="shared" si="14"/>
        <v/>
      </c>
      <c r="N489" t="str">
        <f t="shared" si="15"/>
        <v/>
      </c>
      <c r="O489" t="str">
        <f>IF(E489="","",IFERROR(_xludf.MAXIFS(PAYMENTS!A:A,PAYMENTS!C:C,E489),""))</f>
        <v/>
      </c>
    </row>
    <row r="490" spans="1:15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t="str">
        <f>IF(E490="","",SUMIF(PAYMENTS!C:C,E490,PAYMENTS!E:E))</f>
        <v/>
      </c>
      <c r="M490" t="str">
        <f t="shared" si="14"/>
        <v/>
      </c>
      <c r="N490" t="str">
        <f t="shared" si="15"/>
        <v/>
      </c>
      <c r="O490" t="str">
        <f>IF(E490="","",IFERROR(_xludf.MAXIFS(PAYMENTS!A:A,PAYMENTS!C:C,E490),""))</f>
        <v/>
      </c>
    </row>
    <row r="491" spans="1:15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t="str">
        <f>IF(E491="","",SUMIF(PAYMENTS!C:C,E491,PAYMENTS!E:E))</f>
        <v/>
      </c>
      <c r="M491" t="str">
        <f t="shared" si="14"/>
        <v/>
      </c>
      <c r="N491" t="str">
        <f t="shared" si="15"/>
        <v/>
      </c>
      <c r="O491" t="str">
        <f>IF(E491="","",IFERROR(_xludf.MAXIFS(PAYMENTS!A:A,PAYMENTS!C:C,E491),""))</f>
        <v/>
      </c>
    </row>
    <row r="492" spans="1:15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t="str">
        <f>IF(E492="","",SUMIF(PAYMENTS!C:C,E492,PAYMENTS!E:E))</f>
        <v/>
      </c>
      <c r="M492" t="str">
        <f t="shared" si="14"/>
        <v/>
      </c>
      <c r="N492" t="str">
        <f t="shared" si="15"/>
        <v/>
      </c>
      <c r="O492" t="str">
        <f>IF(E492="","",IFERROR(_xludf.MAXIFS(PAYMENTS!A:A,PAYMENTS!C:C,E492),""))</f>
        <v/>
      </c>
    </row>
    <row r="493" spans="1:15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t="str">
        <f>IF(E493="","",SUMIF(PAYMENTS!C:C,E493,PAYMENTS!E:E))</f>
        <v/>
      </c>
      <c r="M493" t="str">
        <f t="shared" si="14"/>
        <v/>
      </c>
      <c r="N493" t="str">
        <f t="shared" si="15"/>
        <v/>
      </c>
      <c r="O493" t="str">
        <f>IF(E493="","",IFERROR(_xludf.MAXIFS(PAYMENTS!A:A,PAYMENTS!C:C,E493),""))</f>
        <v/>
      </c>
    </row>
    <row r="494" spans="1:15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t="str">
        <f>IF(E494="","",SUMIF(PAYMENTS!C:C,E494,PAYMENTS!E:E))</f>
        <v/>
      </c>
      <c r="M494" t="str">
        <f t="shared" si="14"/>
        <v/>
      </c>
      <c r="N494" t="str">
        <f t="shared" si="15"/>
        <v/>
      </c>
      <c r="O494" t="str">
        <f>IF(E494="","",IFERROR(_xludf.MAXIFS(PAYMENTS!A:A,PAYMENTS!C:C,E494),""))</f>
        <v/>
      </c>
    </row>
    <row r="495" spans="1:15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t="str">
        <f>IF(E495="","",SUMIF(PAYMENTS!C:C,E495,PAYMENTS!E:E))</f>
        <v/>
      </c>
      <c r="M495" t="str">
        <f t="shared" si="14"/>
        <v/>
      </c>
      <c r="N495" t="str">
        <f t="shared" si="15"/>
        <v/>
      </c>
      <c r="O495" t="str">
        <f>IF(E495="","",IFERROR(_xludf.MAXIFS(PAYMENTS!A:A,PAYMENTS!C:C,E495),""))</f>
        <v/>
      </c>
    </row>
    <row r="496" spans="1:15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t="str">
        <f>IF(E496="","",SUMIF(PAYMENTS!C:C,E496,PAYMENTS!E:E))</f>
        <v/>
      </c>
      <c r="M496" t="str">
        <f t="shared" si="14"/>
        <v/>
      </c>
      <c r="N496" t="str">
        <f t="shared" si="15"/>
        <v/>
      </c>
      <c r="O496" t="str">
        <f>IF(E496="","",IFERROR(_xludf.MAXIFS(PAYMENTS!A:A,PAYMENTS!C:C,E496),""))</f>
        <v/>
      </c>
    </row>
    <row r="497" spans="1:15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t="str">
        <f>IF(E497="","",SUMIF(PAYMENTS!C:C,E497,PAYMENTS!E:E))</f>
        <v/>
      </c>
      <c r="M497" t="str">
        <f t="shared" si="14"/>
        <v/>
      </c>
      <c r="N497" t="str">
        <f t="shared" si="15"/>
        <v/>
      </c>
      <c r="O497" t="str">
        <f>IF(E497="","",IFERROR(_xludf.MAXIFS(PAYMENTS!A:A,PAYMENTS!C:C,E497),""))</f>
        <v/>
      </c>
    </row>
    <row r="498" spans="1:15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t="str">
        <f>IF(E498="","",SUMIF(PAYMENTS!C:C,E498,PAYMENTS!E:E))</f>
        <v/>
      </c>
      <c r="M498" t="str">
        <f t="shared" si="14"/>
        <v/>
      </c>
      <c r="N498" t="str">
        <f t="shared" si="15"/>
        <v/>
      </c>
      <c r="O498" t="str">
        <f>IF(E498="","",IFERROR(_xludf.MAXIFS(PAYMENTS!A:A,PAYMENTS!C:C,E498),""))</f>
        <v/>
      </c>
    </row>
    <row r="499" spans="1:15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t="str">
        <f>IF(E499="","",SUMIF(PAYMENTS!C:C,E499,PAYMENTS!E:E))</f>
        <v/>
      </c>
      <c r="M499" t="str">
        <f t="shared" si="14"/>
        <v/>
      </c>
      <c r="N499" t="str">
        <f t="shared" si="15"/>
        <v/>
      </c>
      <c r="O499" t="str">
        <f>IF(E499="","",IFERROR(_xludf.MAXIFS(PAYMENTS!A:A,PAYMENTS!C:C,E499),""))</f>
        <v/>
      </c>
    </row>
    <row r="500" spans="1:15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t="str">
        <f>IF(E500="","",SUMIF(PAYMENTS!C:C,E500,PAYMENTS!E:E))</f>
        <v/>
      </c>
      <c r="M500" t="str">
        <f t="shared" si="14"/>
        <v/>
      </c>
      <c r="N500" t="str">
        <f t="shared" si="15"/>
        <v/>
      </c>
      <c r="O500" t="str">
        <f>IF(E500="","",IFERROR(_xludf.MAXIFS(PAYMENTS!A:A,PAYMENTS!C:C,E500),""))</f>
        <v/>
      </c>
    </row>
    <row r="501" spans="1:15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t="str">
        <f>IF(E501="","",SUMIF(PAYMENTS!C:C,E501,PAYMENTS!E:E))</f>
        <v/>
      </c>
      <c r="M501" t="str">
        <f t="shared" si="14"/>
        <v/>
      </c>
      <c r="N501" t="str">
        <f t="shared" si="15"/>
        <v/>
      </c>
      <c r="O501" t="str">
        <f>IF(E501="","",IFERROR(_xludf.MAXIFS(PAYMENTS!A:A,PAYMENTS!C:C,E501),""))</f>
        <v/>
      </c>
    </row>
    <row r="502" spans="1:15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t="str">
        <f>IF(E502="","",SUMIF(PAYMENTS!C:C,E502,PAYMENTS!E:E))</f>
        <v/>
      </c>
      <c r="M502" t="str">
        <f t="shared" si="14"/>
        <v/>
      </c>
      <c r="N502" t="str">
        <f t="shared" si="15"/>
        <v/>
      </c>
      <c r="O502" t="str">
        <f>IF(E502="","",IFERROR(_xludf.MAXIFS(PAYMENTS!A:A,PAYMENTS!C:C,E502),""))</f>
        <v/>
      </c>
    </row>
    <row r="503" spans="1:15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t="str">
        <f>IF(E503="","",SUMIF(PAYMENTS!C:C,E503,PAYMENTS!E:E))</f>
        <v/>
      </c>
      <c r="M503" t="str">
        <f t="shared" si="14"/>
        <v/>
      </c>
      <c r="N503" t="str">
        <f t="shared" si="15"/>
        <v/>
      </c>
      <c r="O503" t="str">
        <f>IF(E503="","",IFERROR(_xludf.MAXIFS(PAYMENTS!A:A,PAYMENTS!C:C,E503),""))</f>
        <v/>
      </c>
    </row>
    <row r="504" spans="1:15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t="str">
        <f>IF(E504="","",SUMIF(PAYMENTS!C:C,E504,PAYMENTS!E:E))</f>
        <v/>
      </c>
      <c r="M504" t="str">
        <f t="shared" si="14"/>
        <v/>
      </c>
      <c r="N504" t="str">
        <f t="shared" si="15"/>
        <v/>
      </c>
      <c r="O504" t="str">
        <f>IF(E504="","",IFERROR(_xludf.MAXIFS(PAYMENTS!A:A,PAYMENTS!C:C,E504),""))</f>
        <v/>
      </c>
    </row>
    <row r="505" spans="1:15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t="str">
        <f>IF(E505="","",SUMIF(PAYMENTS!C:C,E505,PAYMENTS!E:E))</f>
        <v/>
      </c>
      <c r="M505" t="str">
        <f t="shared" si="14"/>
        <v/>
      </c>
      <c r="N505" t="str">
        <f t="shared" si="15"/>
        <v/>
      </c>
      <c r="O505" t="str">
        <f>IF(E505="","",IFERROR(_xludf.MAXIFS(PAYMENTS!A:A,PAYMENTS!C:C,E505),""))</f>
        <v/>
      </c>
    </row>
    <row r="506" spans="1:15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t="str">
        <f>IF(E506="","",SUMIF(PAYMENTS!C:C,E506,PAYMENTS!E:E))</f>
        <v/>
      </c>
      <c r="M506" t="str">
        <f t="shared" si="14"/>
        <v/>
      </c>
      <c r="N506" t="str">
        <f t="shared" si="15"/>
        <v/>
      </c>
      <c r="O506" t="str">
        <f>IF(E506="","",IFERROR(_xludf.MAXIFS(PAYMENTS!A:A,PAYMENTS!C:C,E506),""))</f>
        <v/>
      </c>
    </row>
    <row r="507" spans="1:15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t="str">
        <f>IF(E507="","",SUMIF(PAYMENTS!C:C,E507,PAYMENTS!E:E))</f>
        <v/>
      </c>
      <c r="M507" t="str">
        <f t="shared" si="14"/>
        <v/>
      </c>
      <c r="N507" t="str">
        <f t="shared" si="15"/>
        <v/>
      </c>
      <c r="O507" t="str">
        <f>IF(E507="","",IFERROR(_xludf.MAXIFS(PAYMENTS!A:A,PAYMENTS!C:C,E507),""))</f>
        <v/>
      </c>
    </row>
    <row r="508" spans="1:15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t="str">
        <f>IF(E508="","",SUMIF(PAYMENTS!C:C,E508,PAYMENTS!E:E))</f>
        <v/>
      </c>
      <c r="M508" t="str">
        <f t="shared" si="14"/>
        <v/>
      </c>
      <c r="N508" t="str">
        <f t="shared" si="15"/>
        <v/>
      </c>
      <c r="O508" t="str">
        <f>IF(E508="","",IFERROR(_xludf.MAXIFS(PAYMENTS!A:A,PAYMENTS!C:C,E508),""))</f>
        <v/>
      </c>
    </row>
    <row r="509" spans="1:15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t="str">
        <f>IF(E509="","",SUMIF(PAYMENTS!C:C,E509,PAYMENTS!E:E))</f>
        <v/>
      </c>
      <c r="M509" t="str">
        <f t="shared" si="14"/>
        <v/>
      </c>
      <c r="N509" t="str">
        <f t="shared" si="15"/>
        <v/>
      </c>
      <c r="O509" t="str">
        <f>IF(E509="","",IFERROR(_xludf.MAXIFS(PAYMENTS!A:A,PAYMENTS!C:C,E509),""))</f>
        <v/>
      </c>
    </row>
    <row r="510" spans="1:15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t="str">
        <f>IF(E510="","",SUMIF(PAYMENTS!C:C,E510,PAYMENTS!E:E))</f>
        <v/>
      </c>
      <c r="M510" t="str">
        <f t="shared" si="14"/>
        <v/>
      </c>
      <c r="N510" t="str">
        <f t="shared" si="15"/>
        <v/>
      </c>
      <c r="O510" t="str">
        <f>IF(E510="","",IFERROR(_xludf.MAXIFS(PAYMENTS!A:A,PAYMENTS!C:C,E510),""))</f>
        <v/>
      </c>
    </row>
    <row r="511" spans="1:15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t="str">
        <f>IF(E511="","",SUMIF(PAYMENTS!C:C,E511,PAYMENTS!E:E))</f>
        <v/>
      </c>
      <c r="M511" t="str">
        <f t="shared" si="14"/>
        <v/>
      </c>
      <c r="N511" t="str">
        <f t="shared" si="15"/>
        <v/>
      </c>
      <c r="O511" t="str">
        <f>IF(E511="","",IFERROR(_xludf.MAXIFS(PAYMENTS!A:A,PAYMENTS!C:C,E511),""))</f>
        <v/>
      </c>
    </row>
    <row r="512" spans="1:15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t="str">
        <f>IF(E512="","",SUMIF(PAYMENTS!C:C,E512,PAYMENTS!E:E))</f>
        <v/>
      </c>
      <c r="M512" t="str">
        <f t="shared" si="14"/>
        <v/>
      </c>
      <c r="N512" t="str">
        <f t="shared" si="15"/>
        <v/>
      </c>
      <c r="O512" t="str">
        <f>IF(E512="","",IFERROR(_xludf.MAXIFS(PAYMENTS!A:A,PAYMENTS!C:C,E512),""))</f>
        <v/>
      </c>
    </row>
    <row r="513" spans="1:15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t="str">
        <f>IF(E513="","",SUMIF(PAYMENTS!C:C,E513,PAYMENTS!E:E))</f>
        <v/>
      </c>
      <c r="M513" t="str">
        <f t="shared" si="14"/>
        <v/>
      </c>
      <c r="N513" t="str">
        <f t="shared" si="15"/>
        <v/>
      </c>
      <c r="O513" t="str">
        <f>IF(E513="","",IFERROR(_xludf.MAXIFS(PAYMENTS!A:A,PAYMENTS!C:C,E513),""))</f>
        <v/>
      </c>
    </row>
    <row r="514" spans="1:15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t="str">
        <f>IF(E514="","",SUMIF(PAYMENTS!C:C,E514,PAYMENTS!E:E))</f>
        <v/>
      </c>
      <c r="M514" t="str">
        <f t="shared" ref="M514:M577" si="16">IF(E514="","",J514-L514)</f>
        <v/>
      </c>
      <c r="N514" t="str">
        <f t="shared" ref="N514:N577" si="17">IF(E514="","",IF(M514&lt;=0,"Paid",IF(L514&gt;0,"Part Paid","Unpaid")))</f>
        <v/>
      </c>
      <c r="O514" t="str">
        <f>IF(E514="","",IFERROR(_xludf.MAXIFS(PAYMENTS!A:A,PAYMENTS!C:C,E514),""))</f>
        <v/>
      </c>
    </row>
    <row r="515" spans="1:15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t="str">
        <f>IF(E515="","",SUMIF(PAYMENTS!C:C,E515,PAYMENTS!E:E))</f>
        <v/>
      </c>
      <c r="M515" t="str">
        <f t="shared" si="16"/>
        <v/>
      </c>
      <c r="N515" t="str">
        <f t="shared" si="17"/>
        <v/>
      </c>
      <c r="O515" t="str">
        <f>IF(E515="","",IFERROR(_xludf.MAXIFS(PAYMENTS!A:A,PAYMENTS!C:C,E515),""))</f>
        <v/>
      </c>
    </row>
    <row r="516" spans="1:15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t="str">
        <f>IF(E516="","",SUMIF(PAYMENTS!C:C,E516,PAYMENTS!E:E))</f>
        <v/>
      </c>
      <c r="M516" t="str">
        <f t="shared" si="16"/>
        <v/>
      </c>
      <c r="N516" t="str">
        <f t="shared" si="17"/>
        <v/>
      </c>
      <c r="O516" t="str">
        <f>IF(E516="","",IFERROR(_xludf.MAXIFS(PAYMENTS!A:A,PAYMENTS!C:C,E516),""))</f>
        <v/>
      </c>
    </row>
    <row r="517" spans="1:15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t="str">
        <f>IF(E517="","",SUMIF(PAYMENTS!C:C,E517,PAYMENTS!E:E))</f>
        <v/>
      </c>
      <c r="M517" t="str">
        <f t="shared" si="16"/>
        <v/>
      </c>
      <c r="N517" t="str">
        <f t="shared" si="17"/>
        <v/>
      </c>
      <c r="O517" t="str">
        <f>IF(E517="","",IFERROR(_xludf.MAXIFS(PAYMENTS!A:A,PAYMENTS!C:C,E517),""))</f>
        <v/>
      </c>
    </row>
    <row r="518" spans="1:15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t="str">
        <f>IF(E518="","",SUMIF(PAYMENTS!C:C,E518,PAYMENTS!E:E))</f>
        <v/>
      </c>
      <c r="M518" t="str">
        <f t="shared" si="16"/>
        <v/>
      </c>
      <c r="N518" t="str">
        <f t="shared" si="17"/>
        <v/>
      </c>
      <c r="O518" t="str">
        <f>IF(E518="","",IFERROR(_xludf.MAXIFS(PAYMENTS!A:A,PAYMENTS!C:C,E518),""))</f>
        <v/>
      </c>
    </row>
    <row r="519" spans="1:15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t="str">
        <f>IF(E519="","",SUMIF(PAYMENTS!C:C,E519,PAYMENTS!E:E))</f>
        <v/>
      </c>
      <c r="M519" t="str">
        <f t="shared" si="16"/>
        <v/>
      </c>
      <c r="N519" t="str">
        <f t="shared" si="17"/>
        <v/>
      </c>
      <c r="O519" t="str">
        <f>IF(E519="","",IFERROR(_xludf.MAXIFS(PAYMENTS!A:A,PAYMENTS!C:C,E519),""))</f>
        <v/>
      </c>
    </row>
    <row r="520" spans="1:15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t="str">
        <f>IF(E520="","",SUMIF(PAYMENTS!C:C,E520,PAYMENTS!E:E))</f>
        <v/>
      </c>
      <c r="M520" t="str">
        <f t="shared" si="16"/>
        <v/>
      </c>
      <c r="N520" t="str">
        <f t="shared" si="17"/>
        <v/>
      </c>
      <c r="O520" t="str">
        <f>IF(E520="","",IFERROR(_xludf.MAXIFS(PAYMENTS!A:A,PAYMENTS!C:C,E520),""))</f>
        <v/>
      </c>
    </row>
    <row r="521" spans="1:15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t="str">
        <f>IF(E521="","",SUMIF(PAYMENTS!C:C,E521,PAYMENTS!E:E))</f>
        <v/>
      </c>
      <c r="M521" t="str">
        <f t="shared" si="16"/>
        <v/>
      </c>
      <c r="N521" t="str">
        <f t="shared" si="17"/>
        <v/>
      </c>
      <c r="O521" t="str">
        <f>IF(E521="","",IFERROR(_xludf.MAXIFS(PAYMENTS!A:A,PAYMENTS!C:C,E521),""))</f>
        <v/>
      </c>
    </row>
    <row r="522" spans="1:15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t="str">
        <f>IF(E522="","",SUMIF(PAYMENTS!C:C,E522,PAYMENTS!E:E))</f>
        <v/>
      </c>
      <c r="M522" t="str">
        <f t="shared" si="16"/>
        <v/>
      </c>
      <c r="N522" t="str">
        <f t="shared" si="17"/>
        <v/>
      </c>
      <c r="O522" t="str">
        <f>IF(E522="","",IFERROR(_xludf.MAXIFS(PAYMENTS!A:A,PAYMENTS!C:C,E522),""))</f>
        <v/>
      </c>
    </row>
    <row r="523" spans="1:15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t="str">
        <f>IF(E523="","",SUMIF(PAYMENTS!C:C,E523,PAYMENTS!E:E))</f>
        <v/>
      </c>
      <c r="M523" t="str">
        <f t="shared" si="16"/>
        <v/>
      </c>
      <c r="N523" t="str">
        <f t="shared" si="17"/>
        <v/>
      </c>
      <c r="O523" t="str">
        <f>IF(E523="","",IFERROR(_xludf.MAXIFS(PAYMENTS!A:A,PAYMENTS!C:C,E523),""))</f>
        <v/>
      </c>
    </row>
    <row r="524" spans="1:15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t="str">
        <f>IF(E524="","",SUMIF(PAYMENTS!C:C,E524,PAYMENTS!E:E))</f>
        <v/>
      </c>
      <c r="M524" t="str">
        <f t="shared" si="16"/>
        <v/>
      </c>
      <c r="N524" t="str">
        <f t="shared" si="17"/>
        <v/>
      </c>
      <c r="O524" t="str">
        <f>IF(E524="","",IFERROR(_xludf.MAXIFS(PAYMENTS!A:A,PAYMENTS!C:C,E524),""))</f>
        <v/>
      </c>
    </row>
    <row r="525" spans="1:15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t="str">
        <f>IF(E525="","",SUMIF(PAYMENTS!C:C,E525,PAYMENTS!E:E))</f>
        <v/>
      </c>
      <c r="M525" t="str">
        <f t="shared" si="16"/>
        <v/>
      </c>
      <c r="N525" t="str">
        <f t="shared" si="17"/>
        <v/>
      </c>
      <c r="O525" t="str">
        <f>IF(E525="","",IFERROR(_xludf.MAXIFS(PAYMENTS!A:A,PAYMENTS!C:C,E525),""))</f>
        <v/>
      </c>
    </row>
    <row r="526" spans="1:15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t="str">
        <f>IF(E526="","",SUMIF(PAYMENTS!C:C,E526,PAYMENTS!E:E))</f>
        <v/>
      </c>
      <c r="M526" t="str">
        <f t="shared" si="16"/>
        <v/>
      </c>
      <c r="N526" t="str">
        <f t="shared" si="17"/>
        <v/>
      </c>
      <c r="O526" t="str">
        <f>IF(E526="","",IFERROR(_xludf.MAXIFS(PAYMENTS!A:A,PAYMENTS!C:C,E526),""))</f>
        <v/>
      </c>
    </row>
    <row r="527" spans="1:15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t="str">
        <f>IF(E527="","",SUMIF(PAYMENTS!C:C,E527,PAYMENTS!E:E))</f>
        <v/>
      </c>
      <c r="M527" t="str">
        <f t="shared" si="16"/>
        <v/>
      </c>
      <c r="N527" t="str">
        <f t="shared" si="17"/>
        <v/>
      </c>
      <c r="O527" t="str">
        <f>IF(E527="","",IFERROR(_xludf.MAXIFS(PAYMENTS!A:A,PAYMENTS!C:C,E527),""))</f>
        <v/>
      </c>
    </row>
    <row r="528" spans="1:15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t="str">
        <f>IF(E528="","",SUMIF(PAYMENTS!C:C,E528,PAYMENTS!E:E))</f>
        <v/>
      </c>
      <c r="M528" t="str">
        <f t="shared" si="16"/>
        <v/>
      </c>
      <c r="N528" t="str">
        <f t="shared" si="17"/>
        <v/>
      </c>
      <c r="O528" t="str">
        <f>IF(E528="","",IFERROR(_xludf.MAXIFS(PAYMENTS!A:A,PAYMENTS!C:C,E528),""))</f>
        <v/>
      </c>
    </row>
    <row r="529" spans="1:15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t="str">
        <f>IF(E529="","",SUMIF(PAYMENTS!C:C,E529,PAYMENTS!E:E))</f>
        <v/>
      </c>
      <c r="M529" t="str">
        <f t="shared" si="16"/>
        <v/>
      </c>
      <c r="N529" t="str">
        <f t="shared" si="17"/>
        <v/>
      </c>
      <c r="O529" t="str">
        <f>IF(E529="","",IFERROR(_xludf.MAXIFS(PAYMENTS!A:A,PAYMENTS!C:C,E529),""))</f>
        <v/>
      </c>
    </row>
    <row r="530" spans="1:15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t="str">
        <f>IF(E530="","",SUMIF(PAYMENTS!C:C,E530,PAYMENTS!E:E))</f>
        <v/>
      </c>
      <c r="M530" t="str">
        <f t="shared" si="16"/>
        <v/>
      </c>
      <c r="N530" t="str">
        <f t="shared" si="17"/>
        <v/>
      </c>
      <c r="O530" t="str">
        <f>IF(E530="","",IFERROR(_xludf.MAXIFS(PAYMENTS!A:A,PAYMENTS!C:C,E530),""))</f>
        <v/>
      </c>
    </row>
    <row r="531" spans="1:15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t="str">
        <f>IF(E531="","",SUMIF(PAYMENTS!C:C,E531,PAYMENTS!E:E))</f>
        <v/>
      </c>
      <c r="M531" t="str">
        <f t="shared" si="16"/>
        <v/>
      </c>
      <c r="N531" t="str">
        <f t="shared" si="17"/>
        <v/>
      </c>
      <c r="O531" t="str">
        <f>IF(E531="","",IFERROR(_xludf.MAXIFS(PAYMENTS!A:A,PAYMENTS!C:C,E531),""))</f>
        <v/>
      </c>
    </row>
    <row r="532" spans="1:15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t="str">
        <f>IF(E532="","",SUMIF(PAYMENTS!C:C,E532,PAYMENTS!E:E))</f>
        <v/>
      </c>
      <c r="M532" t="str">
        <f t="shared" si="16"/>
        <v/>
      </c>
      <c r="N532" t="str">
        <f t="shared" si="17"/>
        <v/>
      </c>
      <c r="O532" t="str">
        <f>IF(E532="","",IFERROR(_xludf.MAXIFS(PAYMENTS!A:A,PAYMENTS!C:C,E532),""))</f>
        <v/>
      </c>
    </row>
    <row r="533" spans="1:15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t="str">
        <f>IF(E533="","",SUMIF(PAYMENTS!C:C,E533,PAYMENTS!E:E))</f>
        <v/>
      </c>
      <c r="M533" t="str">
        <f t="shared" si="16"/>
        <v/>
      </c>
      <c r="N533" t="str">
        <f t="shared" si="17"/>
        <v/>
      </c>
      <c r="O533" t="str">
        <f>IF(E533="","",IFERROR(_xludf.MAXIFS(PAYMENTS!A:A,PAYMENTS!C:C,E533),""))</f>
        <v/>
      </c>
    </row>
    <row r="534" spans="1:15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t="str">
        <f>IF(E534="","",SUMIF(PAYMENTS!C:C,E534,PAYMENTS!E:E))</f>
        <v/>
      </c>
      <c r="M534" t="str">
        <f t="shared" si="16"/>
        <v/>
      </c>
      <c r="N534" t="str">
        <f t="shared" si="17"/>
        <v/>
      </c>
      <c r="O534" t="str">
        <f>IF(E534="","",IFERROR(_xludf.MAXIFS(PAYMENTS!A:A,PAYMENTS!C:C,E534),""))</f>
        <v/>
      </c>
    </row>
    <row r="535" spans="1:15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t="str">
        <f>IF(E535="","",SUMIF(PAYMENTS!C:C,E535,PAYMENTS!E:E))</f>
        <v/>
      </c>
      <c r="M535" t="str">
        <f t="shared" si="16"/>
        <v/>
      </c>
      <c r="N535" t="str">
        <f t="shared" si="17"/>
        <v/>
      </c>
      <c r="O535" t="str">
        <f>IF(E535="","",IFERROR(_xludf.MAXIFS(PAYMENTS!A:A,PAYMENTS!C:C,E535),""))</f>
        <v/>
      </c>
    </row>
    <row r="536" spans="1:15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t="str">
        <f>IF(E536="","",SUMIF(PAYMENTS!C:C,E536,PAYMENTS!E:E))</f>
        <v/>
      </c>
      <c r="M536" t="str">
        <f t="shared" si="16"/>
        <v/>
      </c>
      <c r="N536" t="str">
        <f t="shared" si="17"/>
        <v/>
      </c>
      <c r="O536" t="str">
        <f>IF(E536="","",IFERROR(_xludf.MAXIFS(PAYMENTS!A:A,PAYMENTS!C:C,E536),""))</f>
        <v/>
      </c>
    </row>
    <row r="537" spans="1:15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t="str">
        <f>IF(E537="","",SUMIF(PAYMENTS!C:C,E537,PAYMENTS!E:E))</f>
        <v/>
      </c>
      <c r="M537" t="str">
        <f t="shared" si="16"/>
        <v/>
      </c>
      <c r="N537" t="str">
        <f t="shared" si="17"/>
        <v/>
      </c>
      <c r="O537" t="str">
        <f>IF(E537="","",IFERROR(_xludf.MAXIFS(PAYMENTS!A:A,PAYMENTS!C:C,E537),""))</f>
        <v/>
      </c>
    </row>
    <row r="538" spans="1:15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t="str">
        <f>IF(E538="","",SUMIF(PAYMENTS!C:C,E538,PAYMENTS!E:E))</f>
        <v/>
      </c>
      <c r="M538" t="str">
        <f t="shared" si="16"/>
        <v/>
      </c>
      <c r="N538" t="str">
        <f t="shared" si="17"/>
        <v/>
      </c>
      <c r="O538" t="str">
        <f>IF(E538="","",IFERROR(_xludf.MAXIFS(PAYMENTS!A:A,PAYMENTS!C:C,E538),""))</f>
        <v/>
      </c>
    </row>
    <row r="539" spans="1:15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t="str">
        <f>IF(E539="","",SUMIF(PAYMENTS!C:C,E539,PAYMENTS!E:E))</f>
        <v/>
      </c>
      <c r="M539" t="str">
        <f t="shared" si="16"/>
        <v/>
      </c>
      <c r="N539" t="str">
        <f t="shared" si="17"/>
        <v/>
      </c>
      <c r="O539" t="str">
        <f>IF(E539="","",IFERROR(_xludf.MAXIFS(PAYMENTS!A:A,PAYMENTS!C:C,E539),""))</f>
        <v/>
      </c>
    </row>
    <row r="540" spans="1:15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t="str">
        <f>IF(E540="","",SUMIF(PAYMENTS!C:C,E540,PAYMENTS!E:E))</f>
        <v/>
      </c>
      <c r="M540" t="str">
        <f t="shared" si="16"/>
        <v/>
      </c>
      <c r="N540" t="str">
        <f t="shared" si="17"/>
        <v/>
      </c>
      <c r="O540" t="str">
        <f>IF(E540="","",IFERROR(_xludf.MAXIFS(PAYMENTS!A:A,PAYMENTS!C:C,E540),""))</f>
        <v/>
      </c>
    </row>
    <row r="541" spans="1:15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t="str">
        <f>IF(E541="","",SUMIF(PAYMENTS!C:C,E541,PAYMENTS!E:E))</f>
        <v/>
      </c>
      <c r="M541" t="str">
        <f t="shared" si="16"/>
        <v/>
      </c>
      <c r="N541" t="str">
        <f t="shared" si="17"/>
        <v/>
      </c>
      <c r="O541" t="str">
        <f>IF(E541="","",IFERROR(_xludf.MAXIFS(PAYMENTS!A:A,PAYMENTS!C:C,E541),""))</f>
        <v/>
      </c>
    </row>
    <row r="542" spans="1:15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t="str">
        <f>IF(E542="","",SUMIF(PAYMENTS!C:C,E542,PAYMENTS!E:E))</f>
        <v/>
      </c>
      <c r="M542" t="str">
        <f t="shared" si="16"/>
        <v/>
      </c>
      <c r="N542" t="str">
        <f t="shared" si="17"/>
        <v/>
      </c>
      <c r="O542" t="str">
        <f>IF(E542="","",IFERROR(_xludf.MAXIFS(PAYMENTS!A:A,PAYMENTS!C:C,E542),""))</f>
        <v/>
      </c>
    </row>
    <row r="543" spans="1:15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t="str">
        <f>IF(E543="","",SUMIF(PAYMENTS!C:C,E543,PAYMENTS!E:E))</f>
        <v/>
      </c>
      <c r="M543" t="str">
        <f t="shared" si="16"/>
        <v/>
      </c>
      <c r="N543" t="str">
        <f t="shared" si="17"/>
        <v/>
      </c>
      <c r="O543" t="str">
        <f>IF(E543="","",IFERROR(_xludf.MAXIFS(PAYMENTS!A:A,PAYMENTS!C:C,E543),""))</f>
        <v/>
      </c>
    </row>
    <row r="544" spans="1:15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t="str">
        <f>IF(E544="","",SUMIF(PAYMENTS!C:C,E544,PAYMENTS!E:E))</f>
        <v/>
      </c>
      <c r="M544" t="str">
        <f t="shared" si="16"/>
        <v/>
      </c>
      <c r="N544" t="str">
        <f t="shared" si="17"/>
        <v/>
      </c>
      <c r="O544" t="str">
        <f>IF(E544="","",IFERROR(_xludf.MAXIFS(PAYMENTS!A:A,PAYMENTS!C:C,E544),""))</f>
        <v/>
      </c>
    </row>
    <row r="545" spans="1:15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t="str">
        <f>IF(E545="","",SUMIF(PAYMENTS!C:C,E545,PAYMENTS!E:E))</f>
        <v/>
      </c>
      <c r="M545" t="str">
        <f t="shared" si="16"/>
        <v/>
      </c>
      <c r="N545" t="str">
        <f t="shared" si="17"/>
        <v/>
      </c>
      <c r="O545" t="str">
        <f>IF(E545="","",IFERROR(_xludf.MAXIFS(PAYMENTS!A:A,PAYMENTS!C:C,E545),""))</f>
        <v/>
      </c>
    </row>
    <row r="546" spans="1:15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t="str">
        <f>IF(E546="","",SUMIF(PAYMENTS!C:C,E546,PAYMENTS!E:E))</f>
        <v/>
      </c>
      <c r="M546" t="str">
        <f t="shared" si="16"/>
        <v/>
      </c>
      <c r="N546" t="str">
        <f t="shared" si="17"/>
        <v/>
      </c>
      <c r="O546" t="str">
        <f>IF(E546="","",IFERROR(_xludf.MAXIFS(PAYMENTS!A:A,PAYMENTS!C:C,E546),""))</f>
        <v/>
      </c>
    </row>
    <row r="547" spans="1:15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t="str">
        <f>IF(E547="","",SUMIF(PAYMENTS!C:C,E547,PAYMENTS!E:E))</f>
        <v/>
      </c>
      <c r="M547" t="str">
        <f t="shared" si="16"/>
        <v/>
      </c>
      <c r="N547" t="str">
        <f t="shared" si="17"/>
        <v/>
      </c>
      <c r="O547" t="str">
        <f>IF(E547="","",IFERROR(_xludf.MAXIFS(PAYMENTS!A:A,PAYMENTS!C:C,E547),""))</f>
        <v/>
      </c>
    </row>
    <row r="548" spans="1:15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t="str">
        <f>IF(E548="","",SUMIF(PAYMENTS!C:C,E548,PAYMENTS!E:E))</f>
        <v/>
      </c>
      <c r="M548" t="str">
        <f t="shared" si="16"/>
        <v/>
      </c>
      <c r="N548" t="str">
        <f t="shared" si="17"/>
        <v/>
      </c>
      <c r="O548" t="str">
        <f>IF(E548="","",IFERROR(_xludf.MAXIFS(PAYMENTS!A:A,PAYMENTS!C:C,E548),""))</f>
        <v/>
      </c>
    </row>
    <row r="549" spans="1:15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t="str">
        <f>IF(E549="","",SUMIF(PAYMENTS!C:C,E549,PAYMENTS!E:E))</f>
        <v/>
      </c>
      <c r="M549" t="str">
        <f t="shared" si="16"/>
        <v/>
      </c>
      <c r="N549" t="str">
        <f t="shared" si="17"/>
        <v/>
      </c>
      <c r="O549" t="str">
        <f>IF(E549="","",IFERROR(_xludf.MAXIFS(PAYMENTS!A:A,PAYMENTS!C:C,E549),""))</f>
        <v/>
      </c>
    </row>
    <row r="550" spans="1:15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t="str">
        <f>IF(E550="","",SUMIF(PAYMENTS!C:C,E550,PAYMENTS!E:E))</f>
        <v/>
      </c>
      <c r="M550" t="str">
        <f t="shared" si="16"/>
        <v/>
      </c>
      <c r="N550" t="str">
        <f t="shared" si="17"/>
        <v/>
      </c>
      <c r="O550" t="str">
        <f>IF(E550="","",IFERROR(_xludf.MAXIFS(PAYMENTS!A:A,PAYMENTS!C:C,E550),""))</f>
        <v/>
      </c>
    </row>
    <row r="551" spans="1:15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t="str">
        <f>IF(E551="","",SUMIF(PAYMENTS!C:C,E551,PAYMENTS!E:E))</f>
        <v/>
      </c>
      <c r="M551" t="str">
        <f t="shared" si="16"/>
        <v/>
      </c>
      <c r="N551" t="str">
        <f t="shared" si="17"/>
        <v/>
      </c>
      <c r="O551" t="str">
        <f>IF(E551="","",IFERROR(_xludf.MAXIFS(PAYMENTS!A:A,PAYMENTS!C:C,E551),""))</f>
        <v/>
      </c>
    </row>
    <row r="552" spans="1:15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t="str">
        <f>IF(E552="","",SUMIF(PAYMENTS!C:C,E552,PAYMENTS!E:E))</f>
        <v/>
      </c>
      <c r="M552" t="str">
        <f t="shared" si="16"/>
        <v/>
      </c>
      <c r="N552" t="str">
        <f t="shared" si="17"/>
        <v/>
      </c>
      <c r="O552" t="str">
        <f>IF(E552="","",IFERROR(_xludf.MAXIFS(PAYMENTS!A:A,PAYMENTS!C:C,E552),""))</f>
        <v/>
      </c>
    </row>
    <row r="553" spans="1:15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t="str">
        <f>IF(E553="","",SUMIF(PAYMENTS!C:C,E553,PAYMENTS!E:E))</f>
        <v/>
      </c>
      <c r="M553" t="str">
        <f t="shared" si="16"/>
        <v/>
      </c>
      <c r="N553" t="str">
        <f t="shared" si="17"/>
        <v/>
      </c>
      <c r="O553" t="str">
        <f>IF(E553="","",IFERROR(_xludf.MAXIFS(PAYMENTS!A:A,PAYMENTS!C:C,E553),""))</f>
        <v/>
      </c>
    </row>
    <row r="554" spans="1:15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t="str">
        <f>IF(E554="","",SUMIF(PAYMENTS!C:C,E554,PAYMENTS!E:E))</f>
        <v/>
      </c>
      <c r="M554" t="str">
        <f t="shared" si="16"/>
        <v/>
      </c>
      <c r="N554" t="str">
        <f t="shared" si="17"/>
        <v/>
      </c>
      <c r="O554" t="str">
        <f>IF(E554="","",IFERROR(_xludf.MAXIFS(PAYMENTS!A:A,PAYMENTS!C:C,E554),""))</f>
        <v/>
      </c>
    </row>
    <row r="555" spans="1:15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t="str">
        <f>IF(E555="","",SUMIF(PAYMENTS!C:C,E555,PAYMENTS!E:E))</f>
        <v/>
      </c>
      <c r="M555" t="str">
        <f t="shared" si="16"/>
        <v/>
      </c>
      <c r="N555" t="str">
        <f t="shared" si="17"/>
        <v/>
      </c>
      <c r="O555" t="str">
        <f>IF(E555="","",IFERROR(_xludf.MAXIFS(PAYMENTS!A:A,PAYMENTS!C:C,E555),""))</f>
        <v/>
      </c>
    </row>
    <row r="556" spans="1:15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t="str">
        <f>IF(E556="","",SUMIF(PAYMENTS!C:C,E556,PAYMENTS!E:E))</f>
        <v/>
      </c>
      <c r="M556" t="str">
        <f t="shared" si="16"/>
        <v/>
      </c>
      <c r="N556" t="str">
        <f t="shared" si="17"/>
        <v/>
      </c>
      <c r="O556" t="str">
        <f>IF(E556="","",IFERROR(_xludf.MAXIFS(PAYMENTS!A:A,PAYMENTS!C:C,E556),""))</f>
        <v/>
      </c>
    </row>
    <row r="557" spans="1:15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t="str">
        <f>IF(E557="","",SUMIF(PAYMENTS!C:C,E557,PAYMENTS!E:E))</f>
        <v/>
      </c>
      <c r="M557" t="str">
        <f t="shared" si="16"/>
        <v/>
      </c>
      <c r="N557" t="str">
        <f t="shared" si="17"/>
        <v/>
      </c>
      <c r="O557" t="str">
        <f>IF(E557="","",IFERROR(_xludf.MAXIFS(PAYMENTS!A:A,PAYMENTS!C:C,E557),""))</f>
        <v/>
      </c>
    </row>
    <row r="558" spans="1:15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t="str">
        <f>IF(E558="","",SUMIF(PAYMENTS!C:C,E558,PAYMENTS!E:E))</f>
        <v/>
      </c>
      <c r="M558" t="str">
        <f t="shared" si="16"/>
        <v/>
      </c>
      <c r="N558" t="str">
        <f t="shared" si="17"/>
        <v/>
      </c>
      <c r="O558" t="str">
        <f>IF(E558="","",IFERROR(_xludf.MAXIFS(PAYMENTS!A:A,PAYMENTS!C:C,E558),""))</f>
        <v/>
      </c>
    </row>
    <row r="559" spans="1:15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t="str">
        <f>IF(E559="","",SUMIF(PAYMENTS!C:C,E559,PAYMENTS!E:E))</f>
        <v/>
      </c>
      <c r="M559" t="str">
        <f t="shared" si="16"/>
        <v/>
      </c>
      <c r="N559" t="str">
        <f t="shared" si="17"/>
        <v/>
      </c>
      <c r="O559" t="str">
        <f>IF(E559="","",IFERROR(_xludf.MAXIFS(PAYMENTS!A:A,PAYMENTS!C:C,E559),""))</f>
        <v/>
      </c>
    </row>
    <row r="560" spans="1:15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t="str">
        <f>IF(E560="","",SUMIF(PAYMENTS!C:C,E560,PAYMENTS!E:E))</f>
        <v/>
      </c>
      <c r="M560" t="str">
        <f t="shared" si="16"/>
        <v/>
      </c>
      <c r="N560" t="str">
        <f t="shared" si="17"/>
        <v/>
      </c>
      <c r="O560" t="str">
        <f>IF(E560="","",IFERROR(_xludf.MAXIFS(PAYMENTS!A:A,PAYMENTS!C:C,E560),""))</f>
        <v/>
      </c>
    </row>
    <row r="561" spans="1:15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t="str">
        <f>IF(E561="","",SUMIF(PAYMENTS!C:C,E561,PAYMENTS!E:E))</f>
        <v/>
      </c>
      <c r="M561" t="str">
        <f t="shared" si="16"/>
        <v/>
      </c>
      <c r="N561" t="str">
        <f t="shared" si="17"/>
        <v/>
      </c>
      <c r="O561" t="str">
        <f>IF(E561="","",IFERROR(_xludf.MAXIFS(PAYMENTS!A:A,PAYMENTS!C:C,E561),""))</f>
        <v/>
      </c>
    </row>
    <row r="562" spans="1:15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t="str">
        <f>IF(E562="","",SUMIF(PAYMENTS!C:C,E562,PAYMENTS!E:E))</f>
        <v/>
      </c>
      <c r="M562" t="str">
        <f t="shared" si="16"/>
        <v/>
      </c>
      <c r="N562" t="str">
        <f t="shared" si="17"/>
        <v/>
      </c>
      <c r="O562" t="str">
        <f>IF(E562="","",IFERROR(_xludf.MAXIFS(PAYMENTS!A:A,PAYMENTS!C:C,E562),""))</f>
        <v/>
      </c>
    </row>
    <row r="563" spans="1:15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t="str">
        <f>IF(E563="","",SUMIF(PAYMENTS!C:C,E563,PAYMENTS!E:E))</f>
        <v/>
      </c>
      <c r="M563" t="str">
        <f t="shared" si="16"/>
        <v/>
      </c>
      <c r="N563" t="str">
        <f t="shared" si="17"/>
        <v/>
      </c>
      <c r="O563" t="str">
        <f>IF(E563="","",IFERROR(_xludf.MAXIFS(PAYMENTS!A:A,PAYMENTS!C:C,E563),""))</f>
        <v/>
      </c>
    </row>
    <row r="564" spans="1:15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t="str">
        <f>IF(E564="","",SUMIF(PAYMENTS!C:C,E564,PAYMENTS!E:E))</f>
        <v/>
      </c>
      <c r="M564" t="str">
        <f t="shared" si="16"/>
        <v/>
      </c>
      <c r="N564" t="str">
        <f t="shared" si="17"/>
        <v/>
      </c>
      <c r="O564" t="str">
        <f>IF(E564="","",IFERROR(_xludf.MAXIFS(PAYMENTS!A:A,PAYMENTS!C:C,E564),""))</f>
        <v/>
      </c>
    </row>
    <row r="565" spans="1:15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t="str">
        <f>IF(E565="","",SUMIF(PAYMENTS!C:C,E565,PAYMENTS!E:E))</f>
        <v/>
      </c>
      <c r="M565" t="str">
        <f t="shared" si="16"/>
        <v/>
      </c>
      <c r="N565" t="str">
        <f t="shared" si="17"/>
        <v/>
      </c>
      <c r="O565" t="str">
        <f>IF(E565="","",IFERROR(_xludf.MAXIFS(PAYMENTS!A:A,PAYMENTS!C:C,E565),""))</f>
        <v/>
      </c>
    </row>
    <row r="566" spans="1:15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t="str">
        <f>IF(E566="","",SUMIF(PAYMENTS!C:C,E566,PAYMENTS!E:E))</f>
        <v/>
      </c>
      <c r="M566" t="str">
        <f t="shared" si="16"/>
        <v/>
      </c>
      <c r="N566" t="str">
        <f t="shared" si="17"/>
        <v/>
      </c>
      <c r="O566" t="str">
        <f>IF(E566="","",IFERROR(_xludf.MAXIFS(PAYMENTS!A:A,PAYMENTS!C:C,E566),""))</f>
        <v/>
      </c>
    </row>
    <row r="567" spans="1:15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t="str">
        <f>IF(E567="","",SUMIF(PAYMENTS!C:C,E567,PAYMENTS!E:E))</f>
        <v/>
      </c>
      <c r="M567" t="str">
        <f t="shared" si="16"/>
        <v/>
      </c>
      <c r="N567" t="str">
        <f t="shared" si="17"/>
        <v/>
      </c>
      <c r="O567" t="str">
        <f>IF(E567="","",IFERROR(_xludf.MAXIFS(PAYMENTS!A:A,PAYMENTS!C:C,E567),""))</f>
        <v/>
      </c>
    </row>
    <row r="568" spans="1:15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t="str">
        <f>IF(E568="","",SUMIF(PAYMENTS!C:C,E568,PAYMENTS!E:E))</f>
        <v/>
      </c>
      <c r="M568" t="str">
        <f t="shared" si="16"/>
        <v/>
      </c>
      <c r="N568" t="str">
        <f t="shared" si="17"/>
        <v/>
      </c>
      <c r="O568" t="str">
        <f>IF(E568="","",IFERROR(_xludf.MAXIFS(PAYMENTS!A:A,PAYMENTS!C:C,E568),""))</f>
        <v/>
      </c>
    </row>
    <row r="569" spans="1:15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t="str">
        <f>IF(E569="","",SUMIF(PAYMENTS!C:C,E569,PAYMENTS!E:E))</f>
        <v/>
      </c>
      <c r="M569" t="str">
        <f t="shared" si="16"/>
        <v/>
      </c>
      <c r="N569" t="str">
        <f t="shared" si="17"/>
        <v/>
      </c>
      <c r="O569" t="str">
        <f>IF(E569="","",IFERROR(_xludf.MAXIFS(PAYMENTS!A:A,PAYMENTS!C:C,E569),""))</f>
        <v/>
      </c>
    </row>
    <row r="570" spans="1:15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t="str">
        <f>IF(E570="","",SUMIF(PAYMENTS!C:C,E570,PAYMENTS!E:E))</f>
        <v/>
      </c>
      <c r="M570" t="str">
        <f t="shared" si="16"/>
        <v/>
      </c>
      <c r="N570" t="str">
        <f t="shared" si="17"/>
        <v/>
      </c>
      <c r="O570" t="str">
        <f>IF(E570="","",IFERROR(_xludf.MAXIFS(PAYMENTS!A:A,PAYMENTS!C:C,E570),""))</f>
        <v/>
      </c>
    </row>
    <row r="571" spans="1:15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t="str">
        <f>IF(E571="","",SUMIF(PAYMENTS!C:C,E571,PAYMENTS!E:E))</f>
        <v/>
      </c>
      <c r="M571" t="str">
        <f t="shared" si="16"/>
        <v/>
      </c>
      <c r="N571" t="str">
        <f t="shared" si="17"/>
        <v/>
      </c>
      <c r="O571" t="str">
        <f>IF(E571="","",IFERROR(_xludf.MAXIFS(PAYMENTS!A:A,PAYMENTS!C:C,E571),""))</f>
        <v/>
      </c>
    </row>
    <row r="572" spans="1:15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t="str">
        <f>IF(E572="","",SUMIF(PAYMENTS!C:C,E572,PAYMENTS!E:E))</f>
        <v/>
      </c>
      <c r="M572" t="str">
        <f t="shared" si="16"/>
        <v/>
      </c>
      <c r="N572" t="str">
        <f t="shared" si="17"/>
        <v/>
      </c>
      <c r="O572" t="str">
        <f>IF(E572="","",IFERROR(_xludf.MAXIFS(PAYMENTS!A:A,PAYMENTS!C:C,E572),""))</f>
        <v/>
      </c>
    </row>
    <row r="573" spans="1:15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t="str">
        <f>IF(E573="","",SUMIF(PAYMENTS!C:C,E573,PAYMENTS!E:E))</f>
        <v/>
      </c>
      <c r="M573" t="str">
        <f t="shared" si="16"/>
        <v/>
      </c>
      <c r="N573" t="str">
        <f t="shared" si="17"/>
        <v/>
      </c>
      <c r="O573" t="str">
        <f>IF(E573="","",IFERROR(_xludf.MAXIFS(PAYMENTS!A:A,PAYMENTS!C:C,E573),""))</f>
        <v/>
      </c>
    </row>
    <row r="574" spans="1:15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t="str">
        <f>IF(E574="","",SUMIF(PAYMENTS!C:C,E574,PAYMENTS!E:E))</f>
        <v/>
      </c>
      <c r="M574" t="str">
        <f t="shared" si="16"/>
        <v/>
      </c>
      <c r="N574" t="str">
        <f t="shared" si="17"/>
        <v/>
      </c>
      <c r="O574" t="str">
        <f>IF(E574="","",IFERROR(_xludf.MAXIFS(PAYMENTS!A:A,PAYMENTS!C:C,E574),""))</f>
        <v/>
      </c>
    </row>
    <row r="575" spans="1:15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t="str">
        <f>IF(E575="","",SUMIF(PAYMENTS!C:C,E575,PAYMENTS!E:E))</f>
        <v/>
      </c>
      <c r="M575" t="str">
        <f t="shared" si="16"/>
        <v/>
      </c>
      <c r="N575" t="str">
        <f t="shared" si="17"/>
        <v/>
      </c>
      <c r="O575" t="str">
        <f>IF(E575="","",IFERROR(_xludf.MAXIFS(PAYMENTS!A:A,PAYMENTS!C:C,E575),""))</f>
        <v/>
      </c>
    </row>
    <row r="576" spans="1:15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t="str">
        <f>IF(E576="","",SUMIF(PAYMENTS!C:C,E576,PAYMENTS!E:E))</f>
        <v/>
      </c>
      <c r="M576" t="str">
        <f t="shared" si="16"/>
        <v/>
      </c>
      <c r="N576" t="str">
        <f t="shared" si="17"/>
        <v/>
      </c>
      <c r="O576" t="str">
        <f>IF(E576="","",IFERROR(_xludf.MAXIFS(PAYMENTS!A:A,PAYMENTS!C:C,E576),""))</f>
        <v/>
      </c>
    </row>
    <row r="577" spans="1:15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t="str">
        <f>IF(E577="","",SUMIF(PAYMENTS!C:C,E577,PAYMENTS!E:E))</f>
        <v/>
      </c>
      <c r="M577" t="str">
        <f t="shared" si="16"/>
        <v/>
      </c>
      <c r="N577" t="str">
        <f t="shared" si="17"/>
        <v/>
      </c>
      <c r="O577" t="str">
        <f>IF(E577="","",IFERROR(_xludf.MAXIFS(PAYMENTS!A:A,PAYMENTS!C:C,E577),""))</f>
        <v/>
      </c>
    </row>
    <row r="578" spans="1:15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t="str">
        <f>IF(E578="","",SUMIF(PAYMENTS!C:C,E578,PAYMENTS!E:E))</f>
        <v/>
      </c>
      <c r="M578" t="str">
        <f t="shared" ref="M578:M641" si="18">IF(E578="","",J578-L578)</f>
        <v/>
      </c>
      <c r="N578" t="str">
        <f t="shared" ref="N578:N641" si="19">IF(E578="","",IF(M578&lt;=0,"Paid",IF(L578&gt;0,"Part Paid","Unpaid")))</f>
        <v/>
      </c>
      <c r="O578" t="str">
        <f>IF(E578="","",IFERROR(_xludf.MAXIFS(PAYMENTS!A:A,PAYMENTS!C:C,E578),""))</f>
        <v/>
      </c>
    </row>
    <row r="579" spans="1:15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t="str">
        <f>IF(E579="","",SUMIF(PAYMENTS!C:C,E579,PAYMENTS!E:E))</f>
        <v/>
      </c>
      <c r="M579" t="str">
        <f t="shared" si="18"/>
        <v/>
      </c>
      <c r="N579" t="str">
        <f t="shared" si="19"/>
        <v/>
      </c>
      <c r="O579" t="str">
        <f>IF(E579="","",IFERROR(_xludf.MAXIFS(PAYMENTS!A:A,PAYMENTS!C:C,E579),""))</f>
        <v/>
      </c>
    </row>
    <row r="580" spans="1:15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t="str">
        <f>IF(E580="","",SUMIF(PAYMENTS!C:C,E580,PAYMENTS!E:E))</f>
        <v/>
      </c>
      <c r="M580" t="str">
        <f t="shared" si="18"/>
        <v/>
      </c>
      <c r="N580" t="str">
        <f t="shared" si="19"/>
        <v/>
      </c>
      <c r="O580" t="str">
        <f>IF(E580="","",IFERROR(_xludf.MAXIFS(PAYMENTS!A:A,PAYMENTS!C:C,E580),""))</f>
        <v/>
      </c>
    </row>
    <row r="581" spans="1:15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t="str">
        <f>IF(E581="","",SUMIF(PAYMENTS!C:C,E581,PAYMENTS!E:E))</f>
        <v/>
      </c>
      <c r="M581" t="str">
        <f t="shared" si="18"/>
        <v/>
      </c>
      <c r="N581" t="str">
        <f t="shared" si="19"/>
        <v/>
      </c>
      <c r="O581" t="str">
        <f>IF(E581="","",IFERROR(_xludf.MAXIFS(PAYMENTS!A:A,PAYMENTS!C:C,E581),""))</f>
        <v/>
      </c>
    </row>
    <row r="582" spans="1:15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t="str">
        <f>IF(E582="","",SUMIF(PAYMENTS!C:C,E582,PAYMENTS!E:E))</f>
        <v/>
      </c>
      <c r="M582" t="str">
        <f t="shared" si="18"/>
        <v/>
      </c>
      <c r="N582" t="str">
        <f t="shared" si="19"/>
        <v/>
      </c>
      <c r="O582" t="str">
        <f>IF(E582="","",IFERROR(_xludf.MAXIFS(PAYMENTS!A:A,PAYMENTS!C:C,E582),""))</f>
        <v/>
      </c>
    </row>
    <row r="583" spans="1:15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t="str">
        <f>IF(E583="","",SUMIF(PAYMENTS!C:C,E583,PAYMENTS!E:E))</f>
        <v/>
      </c>
      <c r="M583" t="str">
        <f t="shared" si="18"/>
        <v/>
      </c>
      <c r="N583" t="str">
        <f t="shared" si="19"/>
        <v/>
      </c>
      <c r="O583" t="str">
        <f>IF(E583="","",IFERROR(_xludf.MAXIFS(PAYMENTS!A:A,PAYMENTS!C:C,E583),""))</f>
        <v/>
      </c>
    </row>
    <row r="584" spans="1:15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t="str">
        <f>IF(E584="","",SUMIF(PAYMENTS!C:C,E584,PAYMENTS!E:E))</f>
        <v/>
      </c>
      <c r="M584" t="str">
        <f t="shared" si="18"/>
        <v/>
      </c>
      <c r="N584" t="str">
        <f t="shared" si="19"/>
        <v/>
      </c>
      <c r="O584" t="str">
        <f>IF(E584="","",IFERROR(_xludf.MAXIFS(PAYMENTS!A:A,PAYMENTS!C:C,E584),""))</f>
        <v/>
      </c>
    </row>
    <row r="585" spans="1:15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t="str">
        <f>IF(E585="","",SUMIF(PAYMENTS!C:C,E585,PAYMENTS!E:E))</f>
        <v/>
      </c>
      <c r="M585" t="str">
        <f t="shared" si="18"/>
        <v/>
      </c>
      <c r="N585" t="str">
        <f t="shared" si="19"/>
        <v/>
      </c>
      <c r="O585" t="str">
        <f>IF(E585="","",IFERROR(_xludf.MAXIFS(PAYMENTS!A:A,PAYMENTS!C:C,E585),""))</f>
        <v/>
      </c>
    </row>
    <row r="586" spans="1:15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t="str">
        <f>IF(E586="","",SUMIF(PAYMENTS!C:C,E586,PAYMENTS!E:E))</f>
        <v/>
      </c>
      <c r="M586" t="str">
        <f t="shared" si="18"/>
        <v/>
      </c>
      <c r="N586" t="str">
        <f t="shared" si="19"/>
        <v/>
      </c>
      <c r="O586" t="str">
        <f>IF(E586="","",IFERROR(_xludf.MAXIFS(PAYMENTS!A:A,PAYMENTS!C:C,E586),""))</f>
        <v/>
      </c>
    </row>
    <row r="587" spans="1:15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t="str">
        <f>IF(E587="","",SUMIF(PAYMENTS!C:C,E587,PAYMENTS!E:E))</f>
        <v/>
      </c>
      <c r="M587" t="str">
        <f t="shared" si="18"/>
        <v/>
      </c>
      <c r="N587" t="str">
        <f t="shared" si="19"/>
        <v/>
      </c>
      <c r="O587" t="str">
        <f>IF(E587="","",IFERROR(_xludf.MAXIFS(PAYMENTS!A:A,PAYMENTS!C:C,E587),""))</f>
        <v/>
      </c>
    </row>
    <row r="588" spans="1:15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t="str">
        <f>IF(E588="","",SUMIF(PAYMENTS!C:C,E588,PAYMENTS!E:E))</f>
        <v/>
      </c>
      <c r="M588" t="str">
        <f t="shared" si="18"/>
        <v/>
      </c>
      <c r="N588" t="str">
        <f t="shared" si="19"/>
        <v/>
      </c>
      <c r="O588" t="str">
        <f>IF(E588="","",IFERROR(_xludf.MAXIFS(PAYMENTS!A:A,PAYMENTS!C:C,E588),""))</f>
        <v/>
      </c>
    </row>
    <row r="589" spans="1:15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t="str">
        <f>IF(E589="","",SUMIF(PAYMENTS!C:C,E589,PAYMENTS!E:E))</f>
        <v/>
      </c>
      <c r="M589" t="str">
        <f t="shared" si="18"/>
        <v/>
      </c>
      <c r="N589" t="str">
        <f t="shared" si="19"/>
        <v/>
      </c>
      <c r="O589" t="str">
        <f>IF(E589="","",IFERROR(_xludf.MAXIFS(PAYMENTS!A:A,PAYMENTS!C:C,E589),""))</f>
        <v/>
      </c>
    </row>
    <row r="590" spans="1:15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t="str">
        <f>IF(E590="","",SUMIF(PAYMENTS!C:C,E590,PAYMENTS!E:E))</f>
        <v/>
      </c>
      <c r="M590" t="str">
        <f t="shared" si="18"/>
        <v/>
      </c>
      <c r="N590" t="str">
        <f t="shared" si="19"/>
        <v/>
      </c>
      <c r="O590" t="str">
        <f>IF(E590="","",IFERROR(_xludf.MAXIFS(PAYMENTS!A:A,PAYMENTS!C:C,E590),""))</f>
        <v/>
      </c>
    </row>
    <row r="591" spans="1:15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t="str">
        <f>IF(E591="","",SUMIF(PAYMENTS!C:C,E591,PAYMENTS!E:E))</f>
        <v/>
      </c>
      <c r="M591" t="str">
        <f t="shared" si="18"/>
        <v/>
      </c>
      <c r="N591" t="str">
        <f t="shared" si="19"/>
        <v/>
      </c>
      <c r="O591" t="str">
        <f>IF(E591="","",IFERROR(_xludf.MAXIFS(PAYMENTS!A:A,PAYMENTS!C:C,E591),""))</f>
        <v/>
      </c>
    </row>
    <row r="592" spans="1:15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t="str">
        <f>IF(E592="","",SUMIF(PAYMENTS!C:C,E592,PAYMENTS!E:E))</f>
        <v/>
      </c>
      <c r="M592" t="str">
        <f t="shared" si="18"/>
        <v/>
      </c>
      <c r="N592" t="str">
        <f t="shared" si="19"/>
        <v/>
      </c>
      <c r="O592" t="str">
        <f>IF(E592="","",IFERROR(_xludf.MAXIFS(PAYMENTS!A:A,PAYMENTS!C:C,E592),""))</f>
        <v/>
      </c>
    </row>
    <row r="593" spans="1:15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t="str">
        <f>IF(E593="","",SUMIF(PAYMENTS!C:C,E593,PAYMENTS!E:E))</f>
        <v/>
      </c>
      <c r="M593" t="str">
        <f t="shared" si="18"/>
        <v/>
      </c>
      <c r="N593" t="str">
        <f t="shared" si="19"/>
        <v/>
      </c>
      <c r="O593" t="str">
        <f>IF(E593="","",IFERROR(_xludf.MAXIFS(PAYMENTS!A:A,PAYMENTS!C:C,E593),""))</f>
        <v/>
      </c>
    </row>
    <row r="594" spans="1:15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t="str">
        <f>IF(E594="","",SUMIF(PAYMENTS!C:C,E594,PAYMENTS!E:E))</f>
        <v/>
      </c>
      <c r="M594" t="str">
        <f t="shared" si="18"/>
        <v/>
      </c>
      <c r="N594" t="str">
        <f t="shared" si="19"/>
        <v/>
      </c>
      <c r="O594" t="str">
        <f>IF(E594="","",IFERROR(_xludf.MAXIFS(PAYMENTS!A:A,PAYMENTS!C:C,E594),""))</f>
        <v/>
      </c>
    </row>
    <row r="595" spans="1:15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t="str">
        <f>IF(E595="","",SUMIF(PAYMENTS!C:C,E595,PAYMENTS!E:E))</f>
        <v/>
      </c>
      <c r="M595" t="str">
        <f t="shared" si="18"/>
        <v/>
      </c>
      <c r="N595" t="str">
        <f t="shared" si="19"/>
        <v/>
      </c>
      <c r="O595" t="str">
        <f>IF(E595="","",IFERROR(_xludf.MAXIFS(PAYMENTS!A:A,PAYMENTS!C:C,E595),""))</f>
        <v/>
      </c>
    </row>
    <row r="596" spans="1:15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t="str">
        <f>IF(E596="","",SUMIF(PAYMENTS!C:C,E596,PAYMENTS!E:E))</f>
        <v/>
      </c>
      <c r="M596" t="str">
        <f t="shared" si="18"/>
        <v/>
      </c>
      <c r="N596" t="str">
        <f t="shared" si="19"/>
        <v/>
      </c>
      <c r="O596" t="str">
        <f>IF(E596="","",IFERROR(_xludf.MAXIFS(PAYMENTS!A:A,PAYMENTS!C:C,E596),""))</f>
        <v/>
      </c>
    </row>
    <row r="597" spans="1:15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t="str">
        <f>IF(E597="","",SUMIF(PAYMENTS!C:C,E597,PAYMENTS!E:E))</f>
        <v/>
      </c>
      <c r="M597" t="str">
        <f t="shared" si="18"/>
        <v/>
      </c>
      <c r="N597" t="str">
        <f t="shared" si="19"/>
        <v/>
      </c>
      <c r="O597" t="str">
        <f>IF(E597="","",IFERROR(_xludf.MAXIFS(PAYMENTS!A:A,PAYMENTS!C:C,E597),""))</f>
        <v/>
      </c>
    </row>
    <row r="598" spans="1:15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t="str">
        <f>IF(E598="","",SUMIF(PAYMENTS!C:C,E598,PAYMENTS!E:E))</f>
        <v/>
      </c>
      <c r="M598" t="str">
        <f t="shared" si="18"/>
        <v/>
      </c>
      <c r="N598" t="str">
        <f t="shared" si="19"/>
        <v/>
      </c>
      <c r="O598" t="str">
        <f>IF(E598="","",IFERROR(_xludf.MAXIFS(PAYMENTS!A:A,PAYMENTS!C:C,E598),""))</f>
        <v/>
      </c>
    </row>
    <row r="599" spans="1:15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t="str">
        <f>IF(E599="","",SUMIF(PAYMENTS!C:C,E599,PAYMENTS!E:E))</f>
        <v/>
      </c>
      <c r="M599" t="str">
        <f t="shared" si="18"/>
        <v/>
      </c>
      <c r="N599" t="str">
        <f t="shared" si="19"/>
        <v/>
      </c>
      <c r="O599" t="str">
        <f>IF(E599="","",IFERROR(_xludf.MAXIFS(PAYMENTS!A:A,PAYMENTS!C:C,E599),""))</f>
        <v/>
      </c>
    </row>
    <row r="600" spans="1:15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t="str">
        <f>IF(E600="","",SUMIF(PAYMENTS!C:C,E600,PAYMENTS!E:E))</f>
        <v/>
      </c>
      <c r="M600" t="str">
        <f t="shared" si="18"/>
        <v/>
      </c>
      <c r="N600" t="str">
        <f t="shared" si="19"/>
        <v/>
      </c>
      <c r="O600" t="str">
        <f>IF(E600="","",IFERROR(_xludf.MAXIFS(PAYMENTS!A:A,PAYMENTS!C:C,E600),""))</f>
        <v/>
      </c>
    </row>
    <row r="601" spans="1:15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t="str">
        <f>IF(E601="","",SUMIF(PAYMENTS!C:C,E601,PAYMENTS!E:E))</f>
        <v/>
      </c>
      <c r="M601" t="str">
        <f t="shared" si="18"/>
        <v/>
      </c>
      <c r="N601" t="str">
        <f t="shared" si="19"/>
        <v/>
      </c>
      <c r="O601" t="str">
        <f>IF(E601="","",IFERROR(_xludf.MAXIFS(PAYMENTS!A:A,PAYMENTS!C:C,E601),""))</f>
        <v/>
      </c>
    </row>
    <row r="602" spans="1:15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t="str">
        <f>IF(E602="","",SUMIF(PAYMENTS!C:C,E602,PAYMENTS!E:E))</f>
        <v/>
      </c>
      <c r="M602" t="str">
        <f t="shared" si="18"/>
        <v/>
      </c>
      <c r="N602" t="str">
        <f t="shared" si="19"/>
        <v/>
      </c>
      <c r="O602" t="str">
        <f>IF(E602="","",IFERROR(_xludf.MAXIFS(PAYMENTS!A:A,PAYMENTS!C:C,E602),""))</f>
        <v/>
      </c>
    </row>
    <row r="603" spans="1:15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t="str">
        <f>IF(E603="","",SUMIF(PAYMENTS!C:C,E603,PAYMENTS!E:E))</f>
        <v/>
      </c>
      <c r="M603" t="str">
        <f t="shared" si="18"/>
        <v/>
      </c>
      <c r="N603" t="str">
        <f t="shared" si="19"/>
        <v/>
      </c>
      <c r="O603" t="str">
        <f>IF(E603="","",IFERROR(_xludf.MAXIFS(PAYMENTS!A:A,PAYMENTS!C:C,E603),""))</f>
        <v/>
      </c>
    </row>
    <row r="604" spans="1:15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t="str">
        <f>IF(E604="","",SUMIF(PAYMENTS!C:C,E604,PAYMENTS!E:E))</f>
        <v/>
      </c>
      <c r="M604" t="str">
        <f t="shared" si="18"/>
        <v/>
      </c>
      <c r="N604" t="str">
        <f t="shared" si="19"/>
        <v/>
      </c>
      <c r="O604" t="str">
        <f>IF(E604="","",IFERROR(_xludf.MAXIFS(PAYMENTS!A:A,PAYMENTS!C:C,E604),""))</f>
        <v/>
      </c>
    </row>
    <row r="605" spans="1:15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t="str">
        <f>IF(E605="","",SUMIF(PAYMENTS!C:C,E605,PAYMENTS!E:E))</f>
        <v/>
      </c>
      <c r="M605" t="str">
        <f t="shared" si="18"/>
        <v/>
      </c>
      <c r="N605" t="str">
        <f t="shared" si="19"/>
        <v/>
      </c>
      <c r="O605" t="str">
        <f>IF(E605="","",IFERROR(_xludf.MAXIFS(PAYMENTS!A:A,PAYMENTS!C:C,E605),""))</f>
        <v/>
      </c>
    </row>
    <row r="606" spans="1:15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t="str">
        <f>IF(E606="","",SUMIF(PAYMENTS!C:C,E606,PAYMENTS!E:E))</f>
        <v/>
      </c>
      <c r="M606" t="str">
        <f t="shared" si="18"/>
        <v/>
      </c>
      <c r="N606" t="str">
        <f t="shared" si="19"/>
        <v/>
      </c>
      <c r="O606" t="str">
        <f>IF(E606="","",IFERROR(_xludf.MAXIFS(PAYMENTS!A:A,PAYMENTS!C:C,E606),""))</f>
        <v/>
      </c>
    </row>
    <row r="607" spans="1:15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t="str">
        <f>IF(E607="","",SUMIF(PAYMENTS!C:C,E607,PAYMENTS!E:E))</f>
        <v/>
      </c>
      <c r="M607" t="str">
        <f t="shared" si="18"/>
        <v/>
      </c>
      <c r="N607" t="str">
        <f t="shared" si="19"/>
        <v/>
      </c>
      <c r="O607" t="str">
        <f>IF(E607="","",IFERROR(_xludf.MAXIFS(PAYMENTS!A:A,PAYMENTS!C:C,E607),""))</f>
        <v/>
      </c>
    </row>
    <row r="608" spans="1:15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t="str">
        <f>IF(E608="","",SUMIF(PAYMENTS!C:C,E608,PAYMENTS!E:E))</f>
        <v/>
      </c>
      <c r="M608" t="str">
        <f t="shared" si="18"/>
        <v/>
      </c>
      <c r="N608" t="str">
        <f t="shared" si="19"/>
        <v/>
      </c>
      <c r="O608" t="str">
        <f>IF(E608="","",IFERROR(_xludf.MAXIFS(PAYMENTS!A:A,PAYMENTS!C:C,E608),""))</f>
        <v/>
      </c>
    </row>
    <row r="609" spans="1:15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t="str">
        <f>IF(E609="","",SUMIF(PAYMENTS!C:C,E609,PAYMENTS!E:E))</f>
        <v/>
      </c>
      <c r="M609" t="str">
        <f t="shared" si="18"/>
        <v/>
      </c>
      <c r="N609" t="str">
        <f t="shared" si="19"/>
        <v/>
      </c>
      <c r="O609" t="str">
        <f>IF(E609="","",IFERROR(_xludf.MAXIFS(PAYMENTS!A:A,PAYMENTS!C:C,E609),""))</f>
        <v/>
      </c>
    </row>
    <row r="610" spans="1:15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t="str">
        <f>IF(E610="","",SUMIF(PAYMENTS!C:C,E610,PAYMENTS!E:E))</f>
        <v/>
      </c>
      <c r="M610" t="str">
        <f t="shared" si="18"/>
        <v/>
      </c>
      <c r="N610" t="str">
        <f t="shared" si="19"/>
        <v/>
      </c>
      <c r="O610" t="str">
        <f>IF(E610="","",IFERROR(_xludf.MAXIFS(PAYMENTS!A:A,PAYMENTS!C:C,E610),""))</f>
        <v/>
      </c>
    </row>
    <row r="611" spans="1:15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t="str">
        <f>IF(E611="","",SUMIF(PAYMENTS!C:C,E611,PAYMENTS!E:E))</f>
        <v/>
      </c>
      <c r="M611" t="str">
        <f t="shared" si="18"/>
        <v/>
      </c>
      <c r="N611" t="str">
        <f t="shared" si="19"/>
        <v/>
      </c>
      <c r="O611" t="str">
        <f>IF(E611="","",IFERROR(_xludf.MAXIFS(PAYMENTS!A:A,PAYMENTS!C:C,E611),""))</f>
        <v/>
      </c>
    </row>
    <row r="612" spans="1:15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t="str">
        <f>IF(E612="","",SUMIF(PAYMENTS!C:C,E612,PAYMENTS!E:E))</f>
        <v/>
      </c>
      <c r="M612" t="str">
        <f t="shared" si="18"/>
        <v/>
      </c>
      <c r="N612" t="str">
        <f t="shared" si="19"/>
        <v/>
      </c>
      <c r="O612" t="str">
        <f>IF(E612="","",IFERROR(_xludf.MAXIFS(PAYMENTS!A:A,PAYMENTS!C:C,E612),""))</f>
        <v/>
      </c>
    </row>
    <row r="613" spans="1:15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t="str">
        <f>IF(E613="","",SUMIF(PAYMENTS!C:C,E613,PAYMENTS!E:E))</f>
        <v/>
      </c>
      <c r="M613" t="str">
        <f t="shared" si="18"/>
        <v/>
      </c>
      <c r="N613" t="str">
        <f t="shared" si="19"/>
        <v/>
      </c>
      <c r="O613" t="str">
        <f>IF(E613="","",IFERROR(_xludf.MAXIFS(PAYMENTS!A:A,PAYMENTS!C:C,E613),""))</f>
        <v/>
      </c>
    </row>
    <row r="614" spans="1:15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t="str">
        <f>IF(E614="","",SUMIF(PAYMENTS!C:C,E614,PAYMENTS!E:E))</f>
        <v/>
      </c>
      <c r="M614" t="str">
        <f t="shared" si="18"/>
        <v/>
      </c>
      <c r="N614" t="str">
        <f t="shared" si="19"/>
        <v/>
      </c>
      <c r="O614" t="str">
        <f>IF(E614="","",IFERROR(_xludf.MAXIFS(PAYMENTS!A:A,PAYMENTS!C:C,E614),""))</f>
        <v/>
      </c>
    </row>
    <row r="615" spans="1:15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t="str">
        <f>IF(E615="","",SUMIF(PAYMENTS!C:C,E615,PAYMENTS!E:E))</f>
        <v/>
      </c>
      <c r="M615" t="str">
        <f t="shared" si="18"/>
        <v/>
      </c>
      <c r="N615" t="str">
        <f t="shared" si="19"/>
        <v/>
      </c>
      <c r="O615" t="str">
        <f>IF(E615="","",IFERROR(_xludf.MAXIFS(PAYMENTS!A:A,PAYMENTS!C:C,E615),""))</f>
        <v/>
      </c>
    </row>
    <row r="616" spans="1:15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t="str">
        <f>IF(E616="","",SUMIF(PAYMENTS!C:C,E616,PAYMENTS!E:E))</f>
        <v/>
      </c>
      <c r="M616" t="str">
        <f t="shared" si="18"/>
        <v/>
      </c>
      <c r="N616" t="str">
        <f t="shared" si="19"/>
        <v/>
      </c>
      <c r="O616" t="str">
        <f>IF(E616="","",IFERROR(_xludf.MAXIFS(PAYMENTS!A:A,PAYMENTS!C:C,E616),""))</f>
        <v/>
      </c>
    </row>
    <row r="617" spans="1:15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t="str">
        <f>IF(E617="","",SUMIF(PAYMENTS!C:C,E617,PAYMENTS!E:E))</f>
        <v/>
      </c>
      <c r="M617" t="str">
        <f t="shared" si="18"/>
        <v/>
      </c>
      <c r="N617" t="str">
        <f t="shared" si="19"/>
        <v/>
      </c>
      <c r="O617" t="str">
        <f>IF(E617="","",IFERROR(_xludf.MAXIFS(PAYMENTS!A:A,PAYMENTS!C:C,E617),""))</f>
        <v/>
      </c>
    </row>
    <row r="618" spans="1:15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t="str">
        <f>IF(E618="","",SUMIF(PAYMENTS!C:C,E618,PAYMENTS!E:E))</f>
        <v/>
      </c>
      <c r="M618" t="str">
        <f t="shared" si="18"/>
        <v/>
      </c>
      <c r="N618" t="str">
        <f t="shared" si="19"/>
        <v/>
      </c>
      <c r="O618" t="str">
        <f>IF(E618="","",IFERROR(_xludf.MAXIFS(PAYMENTS!A:A,PAYMENTS!C:C,E618),""))</f>
        <v/>
      </c>
    </row>
    <row r="619" spans="1:15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t="str">
        <f>IF(E619="","",SUMIF(PAYMENTS!C:C,E619,PAYMENTS!E:E))</f>
        <v/>
      </c>
      <c r="M619" t="str">
        <f t="shared" si="18"/>
        <v/>
      </c>
      <c r="N619" t="str">
        <f t="shared" si="19"/>
        <v/>
      </c>
      <c r="O619" t="str">
        <f>IF(E619="","",IFERROR(_xludf.MAXIFS(PAYMENTS!A:A,PAYMENTS!C:C,E619),""))</f>
        <v/>
      </c>
    </row>
    <row r="620" spans="1:15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t="str">
        <f>IF(E620="","",SUMIF(PAYMENTS!C:C,E620,PAYMENTS!E:E))</f>
        <v/>
      </c>
      <c r="M620" t="str">
        <f t="shared" si="18"/>
        <v/>
      </c>
      <c r="N620" t="str">
        <f t="shared" si="19"/>
        <v/>
      </c>
      <c r="O620" t="str">
        <f>IF(E620="","",IFERROR(_xludf.MAXIFS(PAYMENTS!A:A,PAYMENTS!C:C,E620),""))</f>
        <v/>
      </c>
    </row>
    <row r="621" spans="1:15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t="str">
        <f>IF(E621="","",SUMIF(PAYMENTS!C:C,E621,PAYMENTS!E:E))</f>
        <v/>
      </c>
      <c r="M621" t="str">
        <f t="shared" si="18"/>
        <v/>
      </c>
      <c r="N621" t="str">
        <f t="shared" si="19"/>
        <v/>
      </c>
      <c r="O621" t="str">
        <f>IF(E621="","",IFERROR(_xludf.MAXIFS(PAYMENTS!A:A,PAYMENTS!C:C,E621),""))</f>
        <v/>
      </c>
    </row>
    <row r="622" spans="1:15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t="str">
        <f>IF(E622="","",SUMIF(PAYMENTS!C:C,E622,PAYMENTS!E:E))</f>
        <v/>
      </c>
      <c r="M622" t="str">
        <f t="shared" si="18"/>
        <v/>
      </c>
      <c r="N622" t="str">
        <f t="shared" si="19"/>
        <v/>
      </c>
      <c r="O622" t="str">
        <f>IF(E622="","",IFERROR(_xludf.MAXIFS(PAYMENTS!A:A,PAYMENTS!C:C,E622),""))</f>
        <v/>
      </c>
    </row>
    <row r="623" spans="1:15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t="str">
        <f>IF(E623="","",SUMIF(PAYMENTS!C:C,E623,PAYMENTS!E:E))</f>
        <v/>
      </c>
      <c r="M623" t="str">
        <f t="shared" si="18"/>
        <v/>
      </c>
      <c r="N623" t="str">
        <f t="shared" si="19"/>
        <v/>
      </c>
      <c r="O623" t="str">
        <f>IF(E623="","",IFERROR(_xludf.MAXIFS(PAYMENTS!A:A,PAYMENTS!C:C,E623),""))</f>
        <v/>
      </c>
    </row>
    <row r="624" spans="1:15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t="str">
        <f>IF(E624="","",SUMIF(PAYMENTS!C:C,E624,PAYMENTS!E:E))</f>
        <v/>
      </c>
      <c r="M624" t="str">
        <f t="shared" si="18"/>
        <v/>
      </c>
      <c r="N624" t="str">
        <f t="shared" si="19"/>
        <v/>
      </c>
      <c r="O624" t="str">
        <f>IF(E624="","",IFERROR(_xludf.MAXIFS(PAYMENTS!A:A,PAYMENTS!C:C,E624),""))</f>
        <v/>
      </c>
    </row>
    <row r="625" spans="1:15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t="str">
        <f>IF(E625="","",SUMIF(PAYMENTS!C:C,E625,PAYMENTS!E:E))</f>
        <v/>
      </c>
      <c r="M625" t="str">
        <f t="shared" si="18"/>
        <v/>
      </c>
      <c r="N625" t="str">
        <f t="shared" si="19"/>
        <v/>
      </c>
      <c r="O625" t="str">
        <f>IF(E625="","",IFERROR(_xludf.MAXIFS(PAYMENTS!A:A,PAYMENTS!C:C,E625),""))</f>
        <v/>
      </c>
    </row>
    <row r="626" spans="1:15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t="str">
        <f>IF(E626="","",SUMIF(PAYMENTS!C:C,E626,PAYMENTS!E:E))</f>
        <v/>
      </c>
      <c r="M626" t="str">
        <f t="shared" si="18"/>
        <v/>
      </c>
      <c r="N626" t="str">
        <f t="shared" si="19"/>
        <v/>
      </c>
      <c r="O626" t="str">
        <f>IF(E626="","",IFERROR(_xludf.MAXIFS(PAYMENTS!A:A,PAYMENTS!C:C,E626),""))</f>
        <v/>
      </c>
    </row>
    <row r="627" spans="1:15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t="str">
        <f>IF(E627="","",SUMIF(PAYMENTS!C:C,E627,PAYMENTS!E:E))</f>
        <v/>
      </c>
      <c r="M627" t="str">
        <f t="shared" si="18"/>
        <v/>
      </c>
      <c r="N627" t="str">
        <f t="shared" si="19"/>
        <v/>
      </c>
      <c r="O627" t="str">
        <f>IF(E627="","",IFERROR(_xludf.MAXIFS(PAYMENTS!A:A,PAYMENTS!C:C,E627),""))</f>
        <v/>
      </c>
    </row>
    <row r="628" spans="1:15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t="str">
        <f>IF(E628="","",SUMIF(PAYMENTS!C:C,E628,PAYMENTS!E:E))</f>
        <v/>
      </c>
      <c r="M628" t="str">
        <f t="shared" si="18"/>
        <v/>
      </c>
      <c r="N628" t="str">
        <f t="shared" si="19"/>
        <v/>
      </c>
      <c r="O628" t="str">
        <f>IF(E628="","",IFERROR(_xludf.MAXIFS(PAYMENTS!A:A,PAYMENTS!C:C,E628),""))</f>
        <v/>
      </c>
    </row>
    <row r="629" spans="1:15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t="str">
        <f>IF(E629="","",SUMIF(PAYMENTS!C:C,E629,PAYMENTS!E:E))</f>
        <v/>
      </c>
      <c r="M629" t="str">
        <f t="shared" si="18"/>
        <v/>
      </c>
      <c r="N629" t="str">
        <f t="shared" si="19"/>
        <v/>
      </c>
      <c r="O629" t="str">
        <f>IF(E629="","",IFERROR(_xludf.MAXIFS(PAYMENTS!A:A,PAYMENTS!C:C,E629),""))</f>
        <v/>
      </c>
    </row>
    <row r="630" spans="1:15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t="str">
        <f>IF(E630="","",SUMIF(PAYMENTS!C:C,E630,PAYMENTS!E:E))</f>
        <v/>
      </c>
      <c r="M630" t="str">
        <f t="shared" si="18"/>
        <v/>
      </c>
      <c r="N630" t="str">
        <f t="shared" si="19"/>
        <v/>
      </c>
      <c r="O630" t="str">
        <f>IF(E630="","",IFERROR(_xludf.MAXIFS(PAYMENTS!A:A,PAYMENTS!C:C,E630),""))</f>
        <v/>
      </c>
    </row>
    <row r="631" spans="1:15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t="str">
        <f>IF(E631="","",SUMIF(PAYMENTS!C:C,E631,PAYMENTS!E:E))</f>
        <v/>
      </c>
      <c r="M631" t="str">
        <f t="shared" si="18"/>
        <v/>
      </c>
      <c r="N631" t="str">
        <f t="shared" si="19"/>
        <v/>
      </c>
      <c r="O631" t="str">
        <f>IF(E631="","",IFERROR(_xludf.MAXIFS(PAYMENTS!A:A,PAYMENTS!C:C,E631),""))</f>
        <v/>
      </c>
    </row>
    <row r="632" spans="1:15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t="str">
        <f>IF(E632="","",SUMIF(PAYMENTS!C:C,E632,PAYMENTS!E:E))</f>
        <v/>
      </c>
      <c r="M632" t="str">
        <f t="shared" si="18"/>
        <v/>
      </c>
      <c r="N632" t="str">
        <f t="shared" si="19"/>
        <v/>
      </c>
      <c r="O632" t="str">
        <f>IF(E632="","",IFERROR(_xludf.MAXIFS(PAYMENTS!A:A,PAYMENTS!C:C,E632),""))</f>
        <v/>
      </c>
    </row>
    <row r="633" spans="1:15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t="str">
        <f>IF(E633="","",SUMIF(PAYMENTS!C:C,E633,PAYMENTS!E:E))</f>
        <v/>
      </c>
      <c r="M633" t="str">
        <f t="shared" si="18"/>
        <v/>
      </c>
      <c r="N633" t="str">
        <f t="shared" si="19"/>
        <v/>
      </c>
      <c r="O633" t="str">
        <f>IF(E633="","",IFERROR(_xludf.MAXIFS(PAYMENTS!A:A,PAYMENTS!C:C,E633),""))</f>
        <v/>
      </c>
    </row>
    <row r="634" spans="1:15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t="str">
        <f>IF(E634="","",SUMIF(PAYMENTS!C:C,E634,PAYMENTS!E:E))</f>
        <v/>
      </c>
      <c r="M634" t="str">
        <f t="shared" si="18"/>
        <v/>
      </c>
      <c r="N634" t="str">
        <f t="shared" si="19"/>
        <v/>
      </c>
      <c r="O634" t="str">
        <f>IF(E634="","",IFERROR(_xludf.MAXIFS(PAYMENTS!A:A,PAYMENTS!C:C,E634),""))</f>
        <v/>
      </c>
    </row>
    <row r="635" spans="1:15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t="str">
        <f>IF(E635="","",SUMIF(PAYMENTS!C:C,E635,PAYMENTS!E:E))</f>
        <v/>
      </c>
      <c r="M635" t="str">
        <f t="shared" si="18"/>
        <v/>
      </c>
      <c r="N635" t="str">
        <f t="shared" si="19"/>
        <v/>
      </c>
      <c r="O635" t="str">
        <f>IF(E635="","",IFERROR(_xludf.MAXIFS(PAYMENTS!A:A,PAYMENTS!C:C,E635),""))</f>
        <v/>
      </c>
    </row>
    <row r="636" spans="1:15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t="str">
        <f>IF(E636="","",SUMIF(PAYMENTS!C:C,E636,PAYMENTS!E:E))</f>
        <v/>
      </c>
      <c r="M636" t="str">
        <f t="shared" si="18"/>
        <v/>
      </c>
      <c r="N636" t="str">
        <f t="shared" si="19"/>
        <v/>
      </c>
      <c r="O636" t="str">
        <f>IF(E636="","",IFERROR(_xludf.MAXIFS(PAYMENTS!A:A,PAYMENTS!C:C,E636),""))</f>
        <v/>
      </c>
    </row>
    <row r="637" spans="1:15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t="str">
        <f>IF(E637="","",SUMIF(PAYMENTS!C:C,E637,PAYMENTS!E:E))</f>
        <v/>
      </c>
      <c r="M637" t="str">
        <f t="shared" si="18"/>
        <v/>
      </c>
      <c r="N637" t="str">
        <f t="shared" si="19"/>
        <v/>
      </c>
      <c r="O637" t="str">
        <f>IF(E637="","",IFERROR(_xludf.MAXIFS(PAYMENTS!A:A,PAYMENTS!C:C,E637),""))</f>
        <v/>
      </c>
    </row>
    <row r="638" spans="1:15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t="str">
        <f>IF(E638="","",SUMIF(PAYMENTS!C:C,E638,PAYMENTS!E:E))</f>
        <v/>
      </c>
      <c r="M638" t="str">
        <f t="shared" si="18"/>
        <v/>
      </c>
      <c r="N638" t="str">
        <f t="shared" si="19"/>
        <v/>
      </c>
      <c r="O638" t="str">
        <f>IF(E638="","",IFERROR(_xludf.MAXIFS(PAYMENTS!A:A,PAYMENTS!C:C,E638),""))</f>
        <v/>
      </c>
    </row>
    <row r="639" spans="1:15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t="str">
        <f>IF(E639="","",SUMIF(PAYMENTS!C:C,E639,PAYMENTS!E:E))</f>
        <v/>
      </c>
      <c r="M639" t="str">
        <f t="shared" si="18"/>
        <v/>
      </c>
      <c r="N639" t="str">
        <f t="shared" si="19"/>
        <v/>
      </c>
      <c r="O639" t="str">
        <f>IF(E639="","",IFERROR(_xludf.MAXIFS(PAYMENTS!A:A,PAYMENTS!C:C,E639),""))</f>
        <v/>
      </c>
    </row>
    <row r="640" spans="1:15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t="str">
        <f>IF(E640="","",SUMIF(PAYMENTS!C:C,E640,PAYMENTS!E:E))</f>
        <v/>
      </c>
      <c r="M640" t="str">
        <f t="shared" si="18"/>
        <v/>
      </c>
      <c r="N640" t="str">
        <f t="shared" si="19"/>
        <v/>
      </c>
      <c r="O640" t="str">
        <f>IF(E640="","",IFERROR(_xludf.MAXIFS(PAYMENTS!A:A,PAYMENTS!C:C,E640),""))</f>
        <v/>
      </c>
    </row>
    <row r="641" spans="1:15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t="str">
        <f>IF(E641="","",SUMIF(PAYMENTS!C:C,E641,PAYMENTS!E:E))</f>
        <v/>
      </c>
      <c r="M641" t="str">
        <f t="shared" si="18"/>
        <v/>
      </c>
      <c r="N641" t="str">
        <f t="shared" si="19"/>
        <v/>
      </c>
      <c r="O641" t="str">
        <f>IF(E641="","",IFERROR(_xludf.MAXIFS(PAYMENTS!A:A,PAYMENTS!C:C,E641),""))</f>
        <v/>
      </c>
    </row>
    <row r="642" spans="1:15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t="str">
        <f>IF(E642="","",SUMIF(PAYMENTS!C:C,E642,PAYMENTS!E:E))</f>
        <v/>
      </c>
      <c r="M642" t="str">
        <f t="shared" ref="M642:M705" si="20">IF(E642="","",J642-L642)</f>
        <v/>
      </c>
      <c r="N642" t="str">
        <f t="shared" ref="N642:N705" si="21">IF(E642="","",IF(M642&lt;=0,"Paid",IF(L642&gt;0,"Part Paid","Unpaid")))</f>
        <v/>
      </c>
      <c r="O642" t="str">
        <f>IF(E642="","",IFERROR(_xludf.MAXIFS(PAYMENTS!A:A,PAYMENTS!C:C,E642),""))</f>
        <v/>
      </c>
    </row>
    <row r="643" spans="1:15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t="str">
        <f>IF(E643="","",SUMIF(PAYMENTS!C:C,E643,PAYMENTS!E:E))</f>
        <v/>
      </c>
      <c r="M643" t="str">
        <f t="shared" si="20"/>
        <v/>
      </c>
      <c r="N643" t="str">
        <f t="shared" si="21"/>
        <v/>
      </c>
      <c r="O643" t="str">
        <f>IF(E643="","",IFERROR(_xludf.MAXIFS(PAYMENTS!A:A,PAYMENTS!C:C,E643),""))</f>
        <v/>
      </c>
    </row>
    <row r="644" spans="1:15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t="str">
        <f>IF(E644="","",SUMIF(PAYMENTS!C:C,E644,PAYMENTS!E:E))</f>
        <v/>
      </c>
      <c r="M644" t="str">
        <f t="shared" si="20"/>
        <v/>
      </c>
      <c r="N644" t="str">
        <f t="shared" si="21"/>
        <v/>
      </c>
      <c r="O644" t="str">
        <f>IF(E644="","",IFERROR(_xludf.MAXIFS(PAYMENTS!A:A,PAYMENTS!C:C,E644),""))</f>
        <v/>
      </c>
    </row>
    <row r="645" spans="1:15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t="str">
        <f>IF(E645="","",SUMIF(PAYMENTS!C:C,E645,PAYMENTS!E:E))</f>
        <v/>
      </c>
      <c r="M645" t="str">
        <f t="shared" si="20"/>
        <v/>
      </c>
      <c r="N645" t="str">
        <f t="shared" si="21"/>
        <v/>
      </c>
      <c r="O645" t="str">
        <f>IF(E645="","",IFERROR(_xludf.MAXIFS(PAYMENTS!A:A,PAYMENTS!C:C,E645),""))</f>
        <v/>
      </c>
    </row>
    <row r="646" spans="1:15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t="str">
        <f>IF(E646="","",SUMIF(PAYMENTS!C:C,E646,PAYMENTS!E:E))</f>
        <v/>
      </c>
      <c r="M646" t="str">
        <f t="shared" si="20"/>
        <v/>
      </c>
      <c r="N646" t="str">
        <f t="shared" si="21"/>
        <v/>
      </c>
      <c r="O646" t="str">
        <f>IF(E646="","",IFERROR(_xludf.MAXIFS(PAYMENTS!A:A,PAYMENTS!C:C,E646),""))</f>
        <v/>
      </c>
    </row>
    <row r="647" spans="1:15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t="str">
        <f>IF(E647="","",SUMIF(PAYMENTS!C:C,E647,PAYMENTS!E:E))</f>
        <v/>
      </c>
      <c r="M647" t="str">
        <f t="shared" si="20"/>
        <v/>
      </c>
      <c r="N647" t="str">
        <f t="shared" si="21"/>
        <v/>
      </c>
      <c r="O647" t="str">
        <f>IF(E647="","",IFERROR(_xludf.MAXIFS(PAYMENTS!A:A,PAYMENTS!C:C,E647),""))</f>
        <v/>
      </c>
    </row>
    <row r="648" spans="1:15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t="str">
        <f>IF(E648="","",SUMIF(PAYMENTS!C:C,E648,PAYMENTS!E:E))</f>
        <v/>
      </c>
      <c r="M648" t="str">
        <f t="shared" si="20"/>
        <v/>
      </c>
      <c r="N648" t="str">
        <f t="shared" si="21"/>
        <v/>
      </c>
      <c r="O648" t="str">
        <f>IF(E648="","",IFERROR(_xludf.MAXIFS(PAYMENTS!A:A,PAYMENTS!C:C,E648),""))</f>
        <v/>
      </c>
    </row>
    <row r="649" spans="1:15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t="str">
        <f>IF(E649="","",SUMIF(PAYMENTS!C:C,E649,PAYMENTS!E:E))</f>
        <v/>
      </c>
      <c r="M649" t="str">
        <f t="shared" si="20"/>
        <v/>
      </c>
      <c r="N649" t="str">
        <f t="shared" si="21"/>
        <v/>
      </c>
      <c r="O649" t="str">
        <f>IF(E649="","",IFERROR(_xludf.MAXIFS(PAYMENTS!A:A,PAYMENTS!C:C,E649),""))</f>
        <v/>
      </c>
    </row>
    <row r="650" spans="1:15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t="str">
        <f>IF(E650="","",SUMIF(PAYMENTS!C:C,E650,PAYMENTS!E:E))</f>
        <v/>
      </c>
      <c r="M650" t="str">
        <f t="shared" si="20"/>
        <v/>
      </c>
      <c r="N650" t="str">
        <f t="shared" si="21"/>
        <v/>
      </c>
      <c r="O650" t="str">
        <f>IF(E650="","",IFERROR(_xludf.MAXIFS(PAYMENTS!A:A,PAYMENTS!C:C,E650),""))</f>
        <v/>
      </c>
    </row>
    <row r="651" spans="1:15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t="str">
        <f>IF(E651="","",SUMIF(PAYMENTS!C:C,E651,PAYMENTS!E:E))</f>
        <v/>
      </c>
      <c r="M651" t="str">
        <f t="shared" si="20"/>
        <v/>
      </c>
      <c r="N651" t="str">
        <f t="shared" si="21"/>
        <v/>
      </c>
      <c r="O651" t="str">
        <f>IF(E651="","",IFERROR(_xludf.MAXIFS(PAYMENTS!A:A,PAYMENTS!C:C,E651),""))</f>
        <v/>
      </c>
    </row>
    <row r="652" spans="1:15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t="str">
        <f>IF(E652="","",SUMIF(PAYMENTS!C:C,E652,PAYMENTS!E:E))</f>
        <v/>
      </c>
      <c r="M652" t="str">
        <f t="shared" si="20"/>
        <v/>
      </c>
      <c r="N652" t="str">
        <f t="shared" si="21"/>
        <v/>
      </c>
      <c r="O652" t="str">
        <f>IF(E652="","",IFERROR(_xludf.MAXIFS(PAYMENTS!A:A,PAYMENTS!C:C,E652),""))</f>
        <v/>
      </c>
    </row>
    <row r="653" spans="1:15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t="str">
        <f>IF(E653="","",SUMIF(PAYMENTS!C:C,E653,PAYMENTS!E:E))</f>
        <v/>
      </c>
      <c r="M653" t="str">
        <f t="shared" si="20"/>
        <v/>
      </c>
      <c r="N653" t="str">
        <f t="shared" si="21"/>
        <v/>
      </c>
      <c r="O653" t="str">
        <f>IF(E653="","",IFERROR(_xludf.MAXIFS(PAYMENTS!A:A,PAYMENTS!C:C,E653),""))</f>
        <v/>
      </c>
    </row>
    <row r="654" spans="1:15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t="str">
        <f>IF(E654="","",SUMIF(PAYMENTS!C:C,E654,PAYMENTS!E:E))</f>
        <v/>
      </c>
      <c r="M654" t="str">
        <f t="shared" si="20"/>
        <v/>
      </c>
      <c r="N654" t="str">
        <f t="shared" si="21"/>
        <v/>
      </c>
      <c r="O654" t="str">
        <f>IF(E654="","",IFERROR(_xludf.MAXIFS(PAYMENTS!A:A,PAYMENTS!C:C,E654),""))</f>
        <v/>
      </c>
    </row>
    <row r="655" spans="1:15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t="str">
        <f>IF(E655="","",SUMIF(PAYMENTS!C:C,E655,PAYMENTS!E:E))</f>
        <v/>
      </c>
      <c r="M655" t="str">
        <f t="shared" si="20"/>
        <v/>
      </c>
      <c r="N655" t="str">
        <f t="shared" si="21"/>
        <v/>
      </c>
      <c r="O655" t="str">
        <f>IF(E655="","",IFERROR(_xludf.MAXIFS(PAYMENTS!A:A,PAYMENTS!C:C,E655),""))</f>
        <v/>
      </c>
    </row>
    <row r="656" spans="1:15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t="str">
        <f>IF(E656="","",SUMIF(PAYMENTS!C:C,E656,PAYMENTS!E:E))</f>
        <v/>
      </c>
      <c r="M656" t="str">
        <f t="shared" si="20"/>
        <v/>
      </c>
      <c r="N656" t="str">
        <f t="shared" si="21"/>
        <v/>
      </c>
      <c r="O656" t="str">
        <f>IF(E656="","",IFERROR(_xludf.MAXIFS(PAYMENTS!A:A,PAYMENTS!C:C,E656),""))</f>
        <v/>
      </c>
    </row>
    <row r="657" spans="1:15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t="str">
        <f>IF(E657="","",SUMIF(PAYMENTS!C:C,E657,PAYMENTS!E:E))</f>
        <v/>
      </c>
      <c r="M657" t="str">
        <f t="shared" si="20"/>
        <v/>
      </c>
      <c r="N657" t="str">
        <f t="shared" si="21"/>
        <v/>
      </c>
      <c r="O657" t="str">
        <f>IF(E657="","",IFERROR(_xludf.MAXIFS(PAYMENTS!A:A,PAYMENTS!C:C,E657),""))</f>
        <v/>
      </c>
    </row>
    <row r="658" spans="1:15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t="str">
        <f>IF(E658="","",SUMIF(PAYMENTS!C:C,E658,PAYMENTS!E:E))</f>
        <v/>
      </c>
      <c r="M658" t="str">
        <f t="shared" si="20"/>
        <v/>
      </c>
      <c r="N658" t="str">
        <f t="shared" si="21"/>
        <v/>
      </c>
      <c r="O658" t="str">
        <f>IF(E658="","",IFERROR(_xludf.MAXIFS(PAYMENTS!A:A,PAYMENTS!C:C,E658),""))</f>
        <v/>
      </c>
    </row>
    <row r="659" spans="1:15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t="str">
        <f>IF(E659="","",SUMIF(PAYMENTS!C:C,E659,PAYMENTS!E:E))</f>
        <v/>
      </c>
      <c r="M659" t="str">
        <f t="shared" si="20"/>
        <v/>
      </c>
      <c r="N659" t="str">
        <f t="shared" si="21"/>
        <v/>
      </c>
      <c r="O659" t="str">
        <f>IF(E659="","",IFERROR(_xludf.MAXIFS(PAYMENTS!A:A,PAYMENTS!C:C,E659),""))</f>
        <v/>
      </c>
    </row>
    <row r="660" spans="1:15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t="str">
        <f>IF(E660="","",SUMIF(PAYMENTS!C:C,E660,PAYMENTS!E:E))</f>
        <v/>
      </c>
      <c r="M660" t="str">
        <f t="shared" si="20"/>
        <v/>
      </c>
      <c r="N660" t="str">
        <f t="shared" si="21"/>
        <v/>
      </c>
      <c r="O660" t="str">
        <f>IF(E660="","",IFERROR(_xludf.MAXIFS(PAYMENTS!A:A,PAYMENTS!C:C,E660),""))</f>
        <v/>
      </c>
    </row>
    <row r="661" spans="1:15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t="str">
        <f>IF(E661="","",SUMIF(PAYMENTS!C:C,E661,PAYMENTS!E:E))</f>
        <v/>
      </c>
      <c r="M661" t="str">
        <f t="shared" si="20"/>
        <v/>
      </c>
      <c r="N661" t="str">
        <f t="shared" si="21"/>
        <v/>
      </c>
      <c r="O661" t="str">
        <f>IF(E661="","",IFERROR(_xludf.MAXIFS(PAYMENTS!A:A,PAYMENTS!C:C,E661),""))</f>
        <v/>
      </c>
    </row>
    <row r="662" spans="1:15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t="str">
        <f>IF(E662="","",SUMIF(PAYMENTS!C:C,E662,PAYMENTS!E:E))</f>
        <v/>
      </c>
      <c r="M662" t="str">
        <f t="shared" si="20"/>
        <v/>
      </c>
      <c r="N662" t="str">
        <f t="shared" si="21"/>
        <v/>
      </c>
      <c r="O662" t="str">
        <f>IF(E662="","",IFERROR(_xludf.MAXIFS(PAYMENTS!A:A,PAYMENTS!C:C,E662),""))</f>
        <v/>
      </c>
    </row>
    <row r="663" spans="1:15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t="str">
        <f>IF(E663="","",SUMIF(PAYMENTS!C:C,E663,PAYMENTS!E:E))</f>
        <v/>
      </c>
      <c r="M663" t="str">
        <f t="shared" si="20"/>
        <v/>
      </c>
      <c r="N663" t="str">
        <f t="shared" si="21"/>
        <v/>
      </c>
      <c r="O663" t="str">
        <f>IF(E663="","",IFERROR(_xludf.MAXIFS(PAYMENTS!A:A,PAYMENTS!C:C,E663),""))</f>
        <v/>
      </c>
    </row>
    <row r="664" spans="1:15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t="str">
        <f>IF(E664="","",SUMIF(PAYMENTS!C:C,E664,PAYMENTS!E:E))</f>
        <v/>
      </c>
      <c r="M664" t="str">
        <f t="shared" si="20"/>
        <v/>
      </c>
      <c r="N664" t="str">
        <f t="shared" si="21"/>
        <v/>
      </c>
      <c r="O664" t="str">
        <f>IF(E664="","",IFERROR(_xludf.MAXIFS(PAYMENTS!A:A,PAYMENTS!C:C,E664),""))</f>
        <v/>
      </c>
    </row>
    <row r="665" spans="1:15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t="str">
        <f>IF(E665="","",SUMIF(PAYMENTS!C:C,E665,PAYMENTS!E:E))</f>
        <v/>
      </c>
      <c r="M665" t="str">
        <f t="shared" si="20"/>
        <v/>
      </c>
      <c r="N665" t="str">
        <f t="shared" si="21"/>
        <v/>
      </c>
      <c r="O665" t="str">
        <f>IF(E665="","",IFERROR(_xludf.MAXIFS(PAYMENTS!A:A,PAYMENTS!C:C,E665),""))</f>
        <v/>
      </c>
    </row>
    <row r="666" spans="1:15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t="str">
        <f>IF(E666="","",SUMIF(PAYMENTS!C:C,E666,PAYMENTS!E:E))</f>
        <v/>
      </c>
      <c r="M666" t="str">
        <f t="shared" si="20"/>
        <v/>
      </c>
      <c r="N666" t="str">
        <f t="shared" si="21"/>
        <v/>
      </c>
      <c r="O666" t="str">
        <f>IF(E666="","",IFERROR(_xludf.MAXIFS(PAYMENTS!A:A,PAYMENTS!C:C,E666),""))</f>
        <v/>
      </c>
    </row>
    <row r="667" spans="1:15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t="str">
        <f>IF(E667="","",SUMIF(PAYMENTS!C:C,E667,PAYMENTS!E:E))</f>
        <v/>
      </c>
      <c r="M667" t="str">
        <f t="shared" si="20"/>
        <v/>
      </c>
      <c r="N667" t="str">
        <f t="shared" si="21"/>
        <v/>
      </c>
      <c r="O667" t="str">
        <f>IF(E667="","",IFERROR(_xludf.MAXIFS(PAYMENTS!A:A,PAYMENTS!C:C,E667),""))</f>
        <v/>
      </c>
    </row>
    <row r="668" spans="1:15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t="str">
        <f>IF(E668="","",SUMIF(PAYMENTS!C:C,E668,PAYMENTS!E:E))</f>
        <v/>
      </c>
      <c r="M668" t="str">
        <f t="shared" si="20"/>
        <v/>
      </c>
      <c r="N668" t="str">
        <f t="shared" si="21"/>
        <v/>
      </c>
      <c r="O668" t="str">
        <f>IF(E668="","",IFERROR(_xludf.MAXIFS(PAYMENTS!A:A,PAYMENTS!C:C,E668),""))</f>
        <v/>
      </c>
    </row>
    <row r="669" spans="1:15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t="str">
        <f>IF(E669="","",SUMIF(PAYMENTS!C:C,E669,PAYMENTS!E:E))</f>
        <v/>
      </c>
      <c r="M669" t="str">
        <f t="shared" si="20"/>
        <v/>
      </c>
      <c r="N669" t="str">
        <f t="shared" si="21"/>
        <v/>
      </c>
      <c r="O669" t="str">
        <f>IF(E669="","",IFERROR(_xludf.MAXIFS(PAYMENTS!A:A,PAYMENTS!C:C,E669),""))</f>
        <v/>
      </c>
    </row>
    <row r="670" spans="1:15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t="str">
        <f>IF(E670="","",SUMIF(PAYMENTS!C:C,E670,PAYMENTS!E:E))</f>
        <v/>
      </c>
      <c r="M670" t="str">
        <f t="shared" si="20"/>
        <v/>
      </c>
      <c r="N670" t="str">
        <f t="shared" si="21"/>
        <v/>
      </c>
      <c r="O670" t="str">
        <f>IF(E670="","",IFERROR(_xludf.MAXIFS(PAYMENTS!A:A,PAYMENTS!C:C,E670),""))</f>
        <v/>
      </c>
    </row>
    <row r="671" spans="1:15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t="str">
        <f>IF(E671="","",SUMIF(PAYMENTS!C:C,E671,PAYMENTS!E:E))</f>
        <v/>
      </c>
      <c r="M671" t="str">
        <f t="shared" si="20"/>
        <v/>
      </c>
      <c r="N671" t="str">
        <f t="shared" si="21"/>
        <v/>
      </c>
      <c r="O671" t="str">
        <f>IF(E671="","",IFERROR(_xludf.MAXIFS(PAYMENTS!A:A,PAYMENTS!C:C,E671),""))</f>
        <v/>
      </c>
    </row>
    <row r="672" spans="1:15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t="str">
        <f>IF(E672="","",SUMIF(PAYMENTS!C:C,E672,PAYMENTS!E:E))</f>
        <v/>
      </c>
      <c r="M672" t="str">
        <f t="shared" si="20"/>
        <v/>
      </c>
      <c r="N672" t="str">
        <f t="shared" si="21"/>
        <v/>
      </c>
      <c r="O672" t="str">
        <f>IF(E672="","",IFERROR(_xludf.MAXIFS(PAYMENTS!A:A,PAYMENTS!C:C,E672),""))</f>
        <v/>
      </c>
    </row>
    <row r="673" spans="1:15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t="str">
        <f>IF(E673="","",SUMIF(PAYMENTS!C:C,E673,PAYMENTS!E:E))</f>
        <v/>
      </c>
      <c r="M673" t="str">
        <f t="shared" si="20"/>
        <v/>
      </c>
      <c r="N673" t="str">
        <f t="shared" si="21"/>
        <v/>
      </c>
      <c r="O673" t="str">
        <f>IF(E673="","",IFERROR(_xludf.MAXIFS(PAYMENTS!A:A,PAYMENTS!C:C,E673),""))</f>
        <v/>
      </c>
    </row>
    <row r="674" spans="1:15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t="str">
        <f>IF(E674="","",SUMIF(PAYMENTS!C:C,E674,PAYMENTS!E:E))</f>
        <v/>
      </c>
      <c r="M674" t="str">
        <f t="shared" si="20"/>
        <v/>
      </c>
      <c r="N674" t="str">
        <f t="shared" si="21"/>
        <v/>
      </c>
      <c r="O674" t="str">
        <f>IF(E674="","",IFERROR(_xludf.MAXIFS(PAYMENTS!A:A,PAYMENTS!C:C,E674),""))</f>
        <v/>
      </c>
    </row>
    <row r="675" spans="1:15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t="str">
        <f>IF(E675="","",SUMIF(PAYMENTS!C:C,E675,PAYMENTS!E:E))</f>
        <v/>
      </c>
      <c r="M675" t="str">
        <f t="shared" si="20"/>
        <v/>
      </c>
      <c r="N675" t="str">
        <f t="shared" si="21"/>
        <v/>
      </c>
      <c r="O675" t="str">
        <f>IF(E675="","",IFERROR(_xludf.MAXIFS(PAYMENTS!A:A,PAYMENTS!C:C,E675),""))</f>
        <v/>
      </c>
    </row>
    <row r="676" spans="1:15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t="str">
        <f>IF(E676="","",SUMIF(PAYMENTS!C:C,E676,PAYMENTS!E:E))</f>
        <v/>
      </c>
      <c r="M676" t="str">
        <f t="shared" si="20"/>
        <v/>
      </c>
      <c r="N676" t="str">
        <f t="shared" si="21"/>
        <v/>
      </c>
      <c r="O676" t="str">
        <f>IF(E676="","",IFERROR(_xludf.MAXIFS(PAYMENTS!A:A,PAYMENTS!C:C,E676),""))</f>
        <v/>
      </c>
    </row>
    <row r="677" spans="1:15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t="str">
        <f>IF(E677="","",SUMIF(PAYMENTS!C:C,E677,PAYMENTS!E:E))</f>
        <v/>
      </c>
      <c r="M677" t="str">
        <f t="shared" si="20"/>
        <v/>
      </c>
      <c r="N677" t="str">
        <f t="shared" si="21"/>
        <v/>
      </c>
      <c r="O677" t="str">
        <f>IF(E677="","",IFERROR(_xludf.MAXIFS(PAYMENTS!A:A,PAYMENTS!C:C,E677),""))</f>
        <v/>
      </c>
    </row>
    <row r="678" spans="1:15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t="str">
        <f>IF(E678="","",SUMIF(PAYMENTS!C:C,E678,PAYMENTS!E:E))</f>
        <v/>
      </c>
      <c r="M678" t="str">
        <f t="shared" si="20"/>
        <v/>
      </c>
      <c r="N678" t="str">
        <f t="shared" si="21"/>
        <v/>
      </c>
      <c r="O678" t="str">
        <f>IF(E678="","",IFERROR(_xludf.MAXIFS(PAYMENTS!A:A,PAYMENTS!C:C,E678),""))</f>
        <v/>
      </c>
    </row>
    <row r="679" spans="1:15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t="str">
        <f>IF(E679="","",SUMIF(PAYMENTS!C:C,E679,PAYMENTS!E:E))</f>
        <v/>
      </c>
      <c r="M679" t="str">
        <f t="shared" si="20"/>
        <v/>
      </c>
      <c r="N679" t="str">
        <f t="shared" si="21"/>
        <v/>
      </c>
      <c r="O679" t="str">
        <f>IF(E679="","",IFERROR(_xludf.MAXIFS(PAYMENTS!A:A,PAYMENTS!C:C,E679),""))</f>
        <v/>
      </c>
    </row>
    <row r="680" spans="1:15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t="str">
        <f>IF(E680="","",SUMIF(PAYMENTS!C:C,E680,PAYMENTS!E:E))</f>
        <v/>
      </c>
      <c r="M680" t="str">
        <f t="shared" si="20"/>
        <v/>
      </c>
      <c r="N680" t="str">
        <f t="shared" si="21"/>
        <v/>
      </c>
      <c r="O680" t="str">
        <f>IF(E680="","",IFERROR(_xludf.MAXIFS(PAYMENTS!A:A,PAYMENTS!C:C,E680),""))</f>
        <v/>
      </c>
    </row>
    <row r="681" spans="1:15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t="str">
        <f>IF(E681="","",SUMIF(PAYMENTS!C:C,E681,PAYMENTS!E:E))</f>
        <v/>
      </c>
      <c r="M681" t="str">
        <f t="shared" si="20"/>
        <v/>
      </c>
      <c r="N681" t="str">
        <f t="shared" si="21"/>
        <v/>
      </c>
      <c r="O681" t="str">
        <f>IF(E681="","",IFERROR(_xludf.MAXIFS(PAYMENTS!A:A,PAYMENTS!C:C,E681),""))</f>
        <v/>
      </c>
    </row>
    <row r="682" spans="1:15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t="str">
        <f>IF(E682="","",SUMIF(PAYMENTS!C:C,E682,PAYMENTS!E:E))</f>
        <v/>
      </c>
      <c r="M682" t="str">
        <f t="shared" si="20"/>
        <v/>
      </c>
      <c r="N682" t="str">
        <f t="shared" si="21"/>
        <v/>
      </c>
      <c r="O682" t="str">
        <f>IF(E682="","",IFERROR(_xludf.MAXIFS(PAYMENTS!A:A,PAYMENTS!C:C,E682),""))</f>
        <v/>
      </c>
    </row>
    <row r="683" spans="1:15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t="str">
        <f>IF(E683="","",SUMIF(PAYMENTS!C:C,E683,PAYMENTS!E:E))</f>
        <v/>
      </c>
      <c r="M683" t="str">
        <f t="shared" si="20"/>
        <v/>
      </c>
      <c r="N683" t="str">
        <f t="shared" si="21"/>
        <v/>
      </c>
      <c r="O683" t="str">
        <f>IF(E683="","",IFERROR(_xludf.MAXIFS(PAYMENTS!A:A,PAYMENTS!C:C,E683),""))</f>
        <v/>
      </c>
    </row>
    <row r="684" spans="1:15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t="str">
        <f>IF(E684="","",SUMIF(PAYMENTS!C:C,E684,PAYMENTS!E:E))</f>
        <v/>
      </c>
      <c r="M684" t="str">
        <f t="shared" si="20"/>
        <v/>
      </c>
      <c r="N684" t="str">
        <f t="shared" si="21"/>
        <v/>
      </c>
      <c r="O684" t="str">
        <f>IF(E684="","",IFERROR(_xludf.MAXIFS(PAYMENTS!A:A,PAYMENTS!C:C,E684),""))</f>
        <v/>
      </c>
    </row>
    <row r="685" spans="1:15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t="str">
        <f>IF(E685="","",SUMIF(PAYMENTS!C:C,E685,PAYMENTS!E:E))</f>
        <v/>
      </c>
      <c r="M685" t="str">
        <f t="shared" si="20"/>
        <v/>
      </c>
      <c r="N685" t="str">
        <f t="shared" si="21"/>
        <v/>
      </c>
      <c r="O685" t="str">
        <f>IF(E685="","",IFERROR(_xludf.MAXIFS(PAYMENTS!A:A,PAYMENTS!C:C,E685),""))</f>
        <v/>
      </c>
    </row>
    <row r="686" spans="1:15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t="str">
        <f>IF(E686="","",SUMIF(PAYMENTS!C:C,E686,PAYMENTS!E:E))</f>
        <v/>
      </c>
      <c r="M686" t="str">
        <f t="shared" si="20"/>
        <v/>
      </c>
      <c r="N686" t="str">
        <f t="shared" si="21"/>
        <v/>
      </c>
      <c r="O686" t="str">
        <f>IF(E686="","",IFERROR(_xludf.MAXIFS(PAYMENTS!A:A,PAYMENTS!C:C,E686),""))</f>
        <v/>
      </c>
    </row>
    <row r="687" spans="1:15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t="str">
        <f>IF(E687="","",SUMIF(PAYMENTS!C:C,E687,PAYMENTS!E:E))</f>
        <v/>
      </c>
      <c r="M687" t="str">
        <f t="shared" si="20"/>
        <v/>
      </c>
      <c r="N687" t="str">
        <f t="shared" si="21"/>
        <v/>
      </c>
      <c r="O687" t="str">
        <f>IF(E687="","",IFERROR(_xludf.MAXIFS(PAYMENTS!A:A,PAYMENTS!C:C,E687),""))</f>
        <v/>
      </c>
    </row>
    <row r="688" spans="1:15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t="str">
        <f>IF(E688="","",SUMIF(PAYMENTS!C:C,E688,PAYMENTS!E:E))</f>
        <v/>
      </c>
      <c r="M688" t="str">
        <f t="shared" si="20"/>
        <v/>
      </c>
      <c r="N688" t="str">
        <f t="shared" si="21"/>
        <v/>
      </c>
      <c r="O688" t="str">
        <f>IF(E688="","",IFERROR(_xludf.MAXIFS(PAYMENTS!A:A,PAYMENTS!C:C,E688),""))</f>
        <v/>
      </c>
    </row>
    <row r="689" spans="1:15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t="str">
        <f>IF(E689="","",SUMIF(PAYMENTS!C:C,E689,PAYMENTS!E:E))</f>
        <v/>
      </c>
      <c r="M689" t="str">
        <f t="shared" si="20"/>
        <v/>
      </c>
      <c r="N689" t="str">
        <f t="shared" si="21"/>
        <v/>
      </c>
      <c r="O689" t="str">
        <f>IF(E689="","",IFERROR(_xludf.MAXIFS(PAYMENTS!A:A,PAYMENTS!C:C,E689),""))</f>
        <v/>
      </c>
    </row>
    <row r="690" spans="1:15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t="str">
        <f>IF(E690="","",SUMIF(PAYMENTS!C:C,E690,PAYMENTS!E:E))</f>
        <v/>
      </c>
      <c r="M690" t="str">
        <f t="shared" si="20"/>
        <v/>
      </c>
      <c r="N690" t="str">
        <f t="shared" si="21"/>
        <v/>
      </c>
      <c r="O690" t="str">
        <f>IF(E690="","",IFERROR(_xludf.MAXIFS(PAYMENTS!A:A,PAYMENTS!C:C,E690),""))</f>
        <v/>
      </c>
    </row>
    <row r="691" spans="1:15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t="str">
        <f>IF(E691="","",SUMIF(PAYMENTS!C:C,E691,PAYMENTS!E:E))</f>
        <v/>
      </c>
      <c r="M691" t="str">
        <f t="shared" si="20"/>
        <v/>
      </c>
      <c r="N691" t="str">
        <f t="shared" si="21"/>
        <v/>
      </c>
      <c r="O691" t="str">
        <f>IF(E691="","",IFERROR(_xludf.MAXIFS(PAYMENTS!A:A,PAYMENTS!C:C,E691),""))</f>
        <v/>
      </c>
    </row>
    <row r="692" spans="1:15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t="str">
        <f>IF(E692="","",SUMIF(PAYMENTS!C:C,E692,PAYMENTS!E:E))</f>
        <v/>
      </c>
      <c r="M692" t="str">
        <f t="shared" si="20"/>
        <v/>
      </c>
      <c r="N692" t="str">
        <f t="shared" si="21"/>
        <v/>
      </c>
      <c r="O692" t="str">
        <f>IF(E692="","",IFERROR(_xludf.MAXIFS(PAYMENTS!A:A,PAYMENTS!C:C,E692),""))</f>
        <v/>
      </c>
    </row>
    <row r="693" spans="1:15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t="str">
        <f>IF(E693="","",SUMIF(PAYMENTS!C:C,E693,PAYMENTS!E:E))</f>
        <v/>
      </c>
      <c r="M693" t="str">
        <f t="shared" si="20"/>
        <v/>
      </c>
      <c r="N693" t="str">
        <f t="shared" si="21"/>
        <v/>
      </c>
      <c r="O693" t="str">
        <f>IF(E693="","",IFERROR(_xludf.MAXIFS(PAYMENTS!A:A,PAYMENTS!C:C,E693),""))</f>
        <v/>
      </c>
    </row>
    <row r="694" spans="1:15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t="str">
        <f>IF(E694="","",SUMIF(PAYMENTS!C:C,E694,PAYMENTS!E:E))</f>
        <v/>
      </c>
      <c r="M694" t="str">
        <f t="shared" si="20"/>
        <v/>
      </c>
      <c r="N694" t="str">
        <f t="shared" si="21"/>
        <v/>
      </c>
      <c r="O694" t="str">
        <f>IF(E694="","",IFERROR(_xludf.MAXIFS(PAYMENTS!A:A,PAYMENTS!C:C,E694),""))</f>
        <v/>
      </c>
    </row>
    <row r="695" spans="1:15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t="str">
        <f>IF(E695="","",SUMIF(PAYMENTS!C:C,E695,PAYMENTS!E:E))</f>
        <v/>
      </c>
      <c r="M695" t="str">
        <f t="shared" si="20"/>
        <v/>
      </c>
      <c r="N695" t="str">
        <f t="shared" si="21"/>
        <v/>
      </c>
      <c r="O695" t="str">
        <f>IF(E695="","",IFERROR(_xludf.MAXIFS(PAYMENTS!A:A,PAYMENTS!C:C,E695),""))</f>
        <v/>
      </c>
    </row>
    <row r="696" spans="1:15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t="str">
        <f>IF(E696="","",SUMIF(PAYMENTS!C:C,E696,PAYMENTS!E:E))</f>
        <v/>
      </c>
      <c r="M696" t="str">
        <f t="shared" si="20"/>
        <v/>
      </c>
      <c r="N696" t="str">
        <f t="shared" si="21"/>
        <v/>
      </c>
      <c r="O696" t="str">
        <f>IF(E696="","",IFERROR(_xludf.MAXIFS(PAYMENTS!A:A,PAYMENTS!C:C,E696),""))</f>
        <v/>
      </c>
    </row>
    <row r="697" spans="1:15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t="str">
        <f>IF(E697="","",SUMIF(PAYMENTS!C:C,E697,PAYMENTS!E:E))</f>
        <v/>
      </c>
      <c r="M697" t="str">
        <f t="shared" si="20"/>
        <v/>
      </c>
      <c r="N697" t="str">
        <f t="shared" si="21"/>
        <v/>
      </c>
      <c r="O697" t="str">
        <f>IF(E697="","",IFERROR(_xludf.MAXIFS(PAYMENTS!A:A,PAYMENTS!C:C,E697),""))</f>
        <v/>
      </c>
    </row>
    <row r="698" spans="1:15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t="str">
        <f>IF(E698="","",SUMIF(PAYMENTS!C:C,E698,PAYMENTS!E:E))</f>
        <v/>
      </c>
      <c r="M698" t="str">
        <f t="shared" si="20"/>
        <v/>
      </c>
      <c r="N698" t="str">
        <f t="shared" si="21"/>
        <v/>
      </c>
      <c r="O698" t="str">
        <f>IF(E698="","",IFERROR(_xludf.MAXIFS(PAYMENTS!A:A,PAYMENTS!C:C,E698),""))</f>
        <v/>
      </c>
    </row>
    <row r="699" spans="1:15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t="str">
        <f>IF(E699="","",SUMIF(PAYMENTS!C:C,E699,PAYMENTS!E:E))</f>
        <v/>
      </c>
      <c r="M699" t="str">
        <f t="shared" si="20"/>
        <v/>
      </c>
      <c r="N699" t="str">
        <f t="shared" si="21"/>
        <v/>
      </c>
      <c r="O699" t="str">
        <f>IF(E699="","",IFERROR(_xludf.MAXIFS(PAYMENTS!A:A,PAYMENTS!C:C,E699),""))</f>
        <v/>
      </c>
    </row>
    <row r="700" spans="1:15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t="str">
        <f>IF(E700="","",SUMIF(PAYMENTS!C:C,E700,PAYMENTS!E:E))</f>
        <v/>
      </c>
      <c r="M700" t="str">
        <f t="shared" si="20"/>
        <v/>
      </c>
      <c r="N700" t="str">
        <f t="shared" si="21"/>
        <v/>
      </c>
      <c r="O700" t="str">
        <f>IF(E700="","",IFERROR(_xludf.MAXIFS(PAYMENTS!A:A,PAYMENTS!C:C,E700),""))</f>
        <v/>
      </c>
    </row>
    <row r="701" spans="1:15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t="str">
        <f>IF(E701="","",SUMIF(PAYMENTS!C:C,E701,PAYMENTS!E:E))</f>
        <v/>
      </c>
      <c r="M701" t="str">
        <f t="shared" si="20"/>
        <v/>
      </c>
      <c r="N701" t="str">
        <f t="shared" si="21"/>
        <v/>
      </c>
      <c r="O701" t="str">
        <f>IF(E701="","",IFERROR(_xludf.MAXIFS(PAYMENTS!A:A,PAYMENTS!C:C,E701),""))</f>
        <v/>
      </c>
    </row>
    <row r="702" spans="1:15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t="str">
        <f>IF(E702="","",SUMIF(PAYMENTS!C:C,E702,PAYMENTS!E:E))</f>
        <v/>
      </c>
      <c r="M702" t="str">
        <f t="shared" si="20"/>
        <v/>
      </c>
      <c r="N702" t="str">
        <f t="shared" si="21"/>
        <v/>
      </c>
      <c r="O702" t="str">
        <f>IF(E702="","",IFERROR(_xludf.MAXIFS(PAYMENTS!A:A,PAYMENTS!C:C,E702),""))</f>
        <v/>
      </c>
    </row>
    <row r="703" spans="1:15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t="str">
        <f>IF(E703="","",SUMIF(PAYMENTS!C:C,E703,PAYMENTS!E:E))</f>
        <v/>
      </c>
      <c r="M703" t="str">
        <f t="shared" si="20"/>
        <v/>
      </c>
      <c r="N703" t="str">
        <f t="shared" si="21"/>
        <v/>
      </c>
      <c r="O703" t="str">
        <f>IF(E703="","",IFERROR(_xludf.MAXIFS(PAYMENTS!A:A,PAYMENTS!C:C,E703),""))</f>
        <v/>
      </c>
    </row>
    <row r="704" spans="1:15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t="str">
        <f>IF(E704="","",SUMIF(PAYMENTS!C:C,E704,PAYMENTS!E:E))</f>
        <v/>
      </c>
      <c r="M704" t="str">
        <f t="shared" si="20"/>
        <v/>
      </c>
      <c r="N704" t="str">
        <f t="shared" si="21"/>
        <v/>
      </c>
      <c r="O704" t="str">
        <f>IF(E704="","",IFERROR(_xludf.MAXIFS(PAYMENTS!A:A,PAYMENTS!C:C,E704),""))</f>
        <v/>
      </c>
    </row>
    <row r="705" spans="1:15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t="str">
        <f>IF(E705="","",SUMIF(PAYMENTS!C:C,E705,PAYMENTS!E:E))</f>
        <v/>
      </c>
      <c r="M705" t="str">
        <f t="shared" si="20"/>
        <v/>
      </c>
      <c r="N705" t="str">
        <f t="shared" si="21"/>
        <v/>
      </c>
      <c r="O705" t="str">
        <f>IF(E705="","",IFERROR(_xludf.MAXIFS(PAYMENTS!A:A,PAYMENTS!C:C,E705),""))</f>
        <v/>
      </c>
    </row>
    <row r="706" spans="1:15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t="str">
        <f>IF(E706="","",SUMIF(PAYMENTS!C:C,E706,PAYMENTS!E:E))</f>
        <v/>
      </c>
      <c r="M706" t="str">
        <f t="shared" ref="M706:M769" si="22">IF(E706="","",J706-L706)</f>
        <v/>
      </c>
      <c r="N706" t="str">
        <f t="shared" ref="N706:N769" si="23">IF(E706="","",IF(M706&lt;=0,"Paid",IF(L706&gt;0,"Part Paid","Unpaid")))</f>
        <v/>
      </c>
      <c r="O706" t="str">
        <f>IF(E706="","",IFERROR(_xludf.MAXIFS(PAYMENTS!A:A,PAYMENTS!C:C,E706),""))</f>
        <v/>
      </c>
    </row>
    <row r="707" spans="1:15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t="str">
        <f>IF(E707="","",SUMIF(PAYMENTS!C:C,E707,PAYMENTS!E:E))</f>
        <v/>
      </c>
      <c r="M707" t="str">
        <f t="shared" si="22"/>
        <v/>
      </c>
      <c r="N707" t="str">
        <f t="shared" si="23"/>
        <v/>
      </c>
      <c r="O707" t="str">
        <f>IF(E707="","",IFERROR(_xludf.MAXIFS(PAYMENTS!A:A,PAYMENTS!C:C,E707),""))</f>
        <v/>
      </c>
    </row>
    <row r="708" spans="1:15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t="str">
        <f>IF(E708="","",SUMIF(PAYMENTS!C:C,E708,PAYMENTS!E:E))</f>
        <v/>
      </c>
      <c r="M708" t="str">
        <f t="shared" si="22"/>
        <v/>
      </c>
      <c r="N708" t="str">
        <f t="shared" si="23"/>
        <v/>
      </c>
      <c r="O708" t="str">
        <f>IF(E708="","",IFERROR(_xludf.MAXIFS(PAYMENTS!A:A,PAYMENTS!C:C,E708),""))</f>
        <v/>
      </c>
    </row>
    <row r="709" spans="1:15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t="str">
        <f>IF(E709="","",SUMIF(PAYMENTS!C:C,E709,PAYMENTS!E:E))</f>
        <v/>
      </c>
      <c r="M709" t="str">
        <f t="shared" si="22"/>
        <v/>
      </c>
      <c r="N709" t="str">
        <f t="shared" si="23"/>
        <v/>
      </c>
      <c r="O709" t="str">
        <f>IF(E709="","",IFERROR(_xludf.MAXIFS(PAYMENTS!A:A,PAYMENTS!C:C,E709),""))</f>
        <v/>
      </c>
    </row>
    <row r="710" spans="1:15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t="str">
        <f>IF(E710="","",SUMIF(PAYMENTS!C:C,E710,PAYMENTS!E:E))</f>
        <v/>
      </c>
      <c r="M710" t="str">
        <f t="shared" si="22"/>
        <v/>
      </c>
      <c r="N710" t="str">
        <f t="shared" si="23"/>
        <v/>
      </c>
      <c r="O710" t="str">
        <f>IF(E710="","",IFERROR(_xludf.MAXIFS(PAYMENTS!A:A,PAYMENTS!C:C,E710),""))</f>
        <v/>
      </c>
    </row>
    <row r="711" spans="1:15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t="str">
        <f>IF(E711="","",SUMIF(PAYMENTS!C:C,E711,PAYMENTS!E:E))</f>
        <v/>
      </c>
      <c r="M711" t="str">
        <f t="shared" si="22"/>
        <v/>
      </c>
      <c r="N711" t="str">
        <f t="shared" si="23"/>
        <v/>
      </c>
      <c r="O711" t="str">
        <f>IF(E711="","",IFERROR(_xludf.MAXIFS(PAYMENTS!A:A,PAYMENTS!C:C,E711),""))</f>
        <v/>
      </c>
    </row>
    <row r="712" spans="1:15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t="str">
        <f>IF(E712="","",SUMIF(PAYMENTS!C:C,E712,PAYMENTS!E:E))</f>
        <v/>
      </c>
      <c r="M712" t="str">
        <f t="shared" si="22"/>
        <v/>
      </c>
      <c r="N712" t="str">
        <f t="shared" si="23"/>
        <v/>
      </c>
      <c r="O712" t="str">
        <f>IF(E712="","",IFERROR(_xludf.MAXIFS(PAYMENTS!A:A,PAYMENTS!C:C,E712),""))</f>
        <v/>
      </c>
    </row>
    <row r="713" spans="1:15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t="str">
        <f>IF(E713="","",SUMIF(PAYMENTS!C:C,E713,PAYMENTS!E:E))</f>
        <v/>
      </c>
      <c r="M713" t="str">
        <f t="shared" si="22"/>
        <v/>
      </c>
      <c r="N713" t="str">
        <f t="shared" si="23"/>
        <v/>
      </c>
      <c r="O713" t="str">
        <f>IF(E713="","",IFERROR(_xludf.MAXIFS(PAYMENTS!A:A,PAYMENTS!C:C,E713),""))</f>
        <v/>
      </c>
    </row>
    <row r="714" spans="1:15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t="str">
        <f>IF(E714="","",SUMIF(PAYMENTS!C:C,E714,PAYMENTS!E:E))</f>
        <v/>
      </c>
      <c r="M714" t="str">
        <f t="shared" si="22"/>
        <v/>
      </c>
      <c r="N714" t="str">
        <f t="shared" si="23"/>
        <v/>
      </c>
      <c r="O714" t="str">
        <f>IF(E714="","",IFERROR(_xludf.MAXIFS(PAYMENTS!A:A,PAYMENTS!C:C,E714),""))</f>
        <v/>
      </c>
    </row>
    <row r="715" spans="1:15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t="str">
        <f>IF(E715="","",SUMIF(PAYMENTS!C:C,E715,PAYMENTS!E:E))</f>
        <v/>
      </c>
      <c r="M715" t="str">
        <f t="shared" si="22"/>
        <v/>
      </c>
      <c r="N715" t="str">
        <f t="shared" si="23"/>
        <v/>
      </c>
      <c r="O715" t="str">
        <f>IF(E715="","",IFERROR(_xludf.MAXIFS(PAYMENTS!A:A,PAYMENTS!C:C,E715),""))</f>
        <v/>
      </c>
    </row>
    <row r="716" spans="1:15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t="str">
        <f>IF(E716="","",SUMIF(PAYMENTS!C:C,E716,PAYMENTS!E:E))</f>
        <v/>
      </c>
      <c r="M716" t="str">
        <f t="shared" si="22"/>
        <v/>
      </c>
      <c r="N716" t="str">
        <f t="shared" si="23"/>
        <v/>
      </c>
      <c r="O716" t="str">
        <f>IF(E716="","",IFERROR(_xludf.MAXIFS(PAYMENTS!A:A,PAYMENTS!C:C,E716),""))</f>
        <v/>
      </c>
    </row>
    <row r="717" spans="1:15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t="str">
        <f>IF(E717="","",SUMIF(PAYMENTS!C:C,E717,PAYMENTS!E:E))</f>
        <v/>
      </c>
      <c r="M717" t="str">
        <f t="shared" si="22"/>
        <v/>
      </c>
      <c r="N717" t="str">
        <f t="shared" si="23"/>
        <v/>
      </c>
      <c r="O717" t="str">
        <f>IF(E717="","",IFERROR(_xludf.MAXIFS(PAYMENTS!A:A,PAYMENTS!C:C,E717),""))</f>
        <v/>
      </c>
    </row>
    <row r="718" spans="1:15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t="str">
        <f>IF(E718="","",SUMIF(PAYMENTS!C:C,E718,PAYMENTS!E:E))</f>
        <v/>
      </c>
      <c r="M718" t="str">
        <f t="shared" si="22"/>
        <v/>
      </c>
      <c r="N718" t="str">
        <f t="shared" si="23"/>
        <v/>
      </c>
      <c r="O718" t="str">
        <f>IF(E718="","",IFERROR(_xludf.MAXIFS(PAYMENTS!A:A,PAYMENTS!C:C,E718),""))</f>
        <v/>
      </c>
    </row>
    <row r="719" spans="1:15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t="str">
        <f>IF(E719="","",SUMIF(PAYMENTS!C:C,E719,PAYMENTS!E:E))</f>
        <v/>
      </c>
      <c r="M719" t="str">
        <f t="shared" si="22"/>
        <v/>
      </c>
      <c r="N719" t="str">
        <f t="shared" si="23"/>
        <v/>
      </c>
      <c r="O719" t="str">
        <f>IF(E719="","",IFERROR(_xludf.MAXIFS(PAYMENTS!A:A,PAYMENTS!C:C,E719),""))</f>
        <v/>
      </c>
    </row>
    <row r="720" spans="1:15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t="str">
        <f>IF(E720="","",SUMIF(PAYMENTS!C:C,E720,PAYMENTS!E:E))</f>
        <v/>
      </c>
      <c r="M720" t="str">
        <f t="shared" si="22"/>
        <v/>
      </c>
      <c r="N720" t="str">
        <f t="shared" si="23"/>
        <v/>
      </c>
      <c r="O720" t="str">
        <f>IF(E720="","",IFERROR(_xludf.MAXIFS(PAYMENTS!A:A,PAYMENTS!C:C,E720),""))</f>
        <v/>
      </c>
    </row>
    <row r="721" spans="1:15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t="str">
        <f>IF(E721="","",SUMIF(PAYMENTS!C:C,E721,PAYMENTS!E:E))</f>
        <v/>
      </c>
      <c r="M721" t="str">
        <f t="shared" si="22"/>
        <v/>
      </c>
      <c r="N721" t="str">
        <f t="shared" si="23"/>
        <v/>
      </c>
      <c r="O721" t="str">
        <f>IF(E721="","",IFERROR(_xludf.MAXIFS(PAYMENTS!A:A,PAYMENTS!C:C,E721),""))</f>
        <v/>
      </c>
    </row>
    <row r="722" spans="1:15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t="str">
        <f>IF(E722="","",SUMIF(PAYMENTS!C:C,E722,PAYMENTS!E:E))</f>
        <v/>
      </c>
      <c r="M722" t="str">
        <f t="shared" si="22"/>
        <v/>
      </c>
      <c r="N722" t="str">
        <f t="shared" si="23"/>
        <v/>
      </c>
      <c r="O722" t="str">
        <f>IF(E722="","",IFERROR(_xludf.MAXIFS(PAYMENTS!A:A,PAYMENTS!C:C,E722),""))</f>
        <v/>
      </c>
    </row>
    <row r="723" spans="1:15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t="str">
        <f>IF(E723="","",SUMIF(PAYMENTS!C:C,E723,PAYMENTS!E:E))</f>
        <v/>
      </c>
      <c r="M723" t="str">
        <f t="shared" si="22"/>
        <v/>
      </c>
      <c r="N723" t="str">
        <f t="shared" si="23"/>
        <v/>
      </c>
      <c r="O723" t="str">
        <f>IF(E723="","",IFERROR(_xludf.MAXIFS(PAYMENTS!A:A,PAYMENTS!C:C,E723),""))</f>
        <v/>
      </c>
    </row>
    <row r="724" spans="1:15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t="str">
        <f>IF(E724="","",SUMIF(PAYMENTS!C:C,E724,PAYMENTS!E:E))</f>
        <v/>
      </c>
      <c r="M724" t="str">
        <f t="shared" si="22"/>
        <v/>
      </c>
      <c r="N724" t="str">
        <f t="shared" si="23"/>
        <v/>
      </c>
      <c r="O724" t="str">
        <f>IF(E724="","",IFERROR(_xludf.MAXIFS(PAYMENTS!A:A,PAYMENTS!C:C,E724),""))</f>
        <v/>
      </c>
    </row>
    <row r="725" spans="1:15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t="str">
        <f>IF(E725="","",SUMIF(PAYMENTS!C:C,E725,PAYMENTS!E:E))</f>
        <v/>
      </c>
      <c r="M725" t="str">
        <f t="shared" si="22"/>
        <v/>
      </c>
      <c r="N725" t="str">
        <f t="shared" si="23"/>
        <v/>
      </c>
      <c r="O725" t="str">
        <f>IF(E725="","",IFERROR(_xludf.MAXIFS(PAYMENTS!A:A,PAYMENTS!C:C,E725),""))</f>
        <v/>
      </c>
    </row>
    <row r="726" spans="1:15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t="str">
        <f>IF(E726="","",SUMIF(PAYMENTS!C:C,E726,PAYMENTS!E:E))</f>
        <v/>
      </c>
      <c r="M726" t="str">
        <f t="shared" si="22"/>
        <v/>
      </c>
      <c r="N726" t="str">
        <f t="shared" si="23"/>
        <v/>
      </c>
      <c r="O726" t="str">
        <f>IF(E726="","",IFERROR(_xludf.MAXIFS(PAYMENTS!A:A,PAYMENTS!C:C,E726),""))</f>
        <v/>
      </c>
    </row>
    <row r="727" spans="1:15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t="str">
        <f>IF(E727="","",SUMIF(PAYMENTS!C:C,E727,PAYMENTS!E:E))</f>
        <v/>
      </c>
      <c r="M727" t="str">
        <f t="shared" si="22"/>
        <v/>
      </c>
      <c r="N727" t="str">
        <f t="shared" si="23"/>
        <v/>
      </c>
      <c r="O727" t="str">
        <f>IF(E727="","",IFERROR(_xludf.MAXIFS(PAYMENTS!A:A,PAYMENTS!C:C,E727),""))</f>
        <v/>
      </c>
    </row>
    <row r="728" spans="1:15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t="str">
        <f>IF(E728="","",SUMIF(PAYMENTS!C:C,E728,PAYMENTS!E:E))</f>
        <v/>
      </c>
      <c r="M728" t="str">
        <f t="shared" si="22"/>
        <v/>
      </c>
      <c r="N728" t="str">
        <f t="shared" si="23"/>
        <v/>
      </c>
      <c r="O728" t="str">
        <f>IF(E728="","",IFERROR(_xludf.MAXIFS(PAYMENTS!A:A,PAYMENTS!C:C,E728),""))</f>
        <v/>
      </c>
    </row>
    <row r="729" spans="1:15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t="str">
        <f>IF(E729="","",SUMIF(PAYMENTS!C:C,E729,PAYMENTS!E:E))</f>
        <v/>
      </c>
      <c r="M729" t="str">
        <f t="shared" si="22"/>
        <v/>
      </c>
      <c r="N729" t="str">
        <f t="shared" si="23"/>
        <v/>
      </c>
      <c r="O729" t="str">
        <f>IF(E729="","",IFERROR(_xludf.MAXIFS(PAYMENTS!A:A,PAYMENTS!C:C,E729),""))</f>
        <v/>
      </c>
    </row>
    <row r="730" spans="1:15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t="str">
        <f>IF(E730="","",SUMIF(PAYMENTS!C:C,E730,PAYMENTS!E:E))</f>
        <v/>
      </c>
      <c r="M730" t="str">
        <f t="shared" si="22"/>
        <v/>
      </c>
      <c r="N730" t="str">
        <f t="shared" si="23"/>
        <v/>
      </c>
      <c r="O730" t="str">
        <f>IF(E730="","",IFERROR(_xludf.MAXIFS(PAYMENTS!A:A,PAYMENTS!C:C,E730),""))</f>
        <v/>
      </c>
    </row>
    <row r="731" spans="1:15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t="str">
        <f>IF(E731="","",SUMIF(PAYMENTS!C:C,E731,PAYMENTS!E:E))</f>
        <v/>
      </c>
      <c r="M731" t="str">
        <f t="shared" si="22"/>
        <v/>
      </c>
      <c r="N731" t="str">
        <f t="shared" si="23"/>
        <v/>
      </c>
      <c r="O731" t="str">
        <f>IF(E731="","",IFERROR(_xludf.MAXIFS(PAYMENTS!A:A,PAYMENTS!C:C,E731),""))</f>
        <v/>
      </c>
    </row>
    <row r="732" spans="1:15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t="str">
        <f>IF(E732="","",SUMIF(PAYMENTS!C:C,E732,PAYMENTS!E:E))</f>
        <v/>
      </c>
      <c r="M732" t="str">
        <f t="shared" si="22"/>
        <v/>
      </c>
      <c r="N732" t="str">
        <f t="shared" si="23"/>
        <v/>
      </c>
      <c r="O732" t="str">
        <f>IF(E732="","",IFERROR(_xludf.MAXIFS(PAYMENTS!A:A,PAYMENTS!C:C,E732),""))</f>
        <v/>
      </c>
    </row>
    <row r="733" spans="1:15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t="str">
        <f>IF(E733="","",SUMIF(PAYMENTS!C:C,E733,PAYMENTS!E:E))</f>
        <v/>
      </c>
      <c r="M733" t="str">
        <f t="shared" si="22"/>
        <v/>
      </c>
      <c r="N733" t="str">
        <f t="shared" si="23"/>
        <v/>
      </c>
      <c r="O733" t="str">
        <f>IF(E733="","",IFERROR(_xludf.MAXIFS(PAYMENTS!A:A,PAYMENTS!C:C,E733),""))</f>
        <v/>
      </c>
    </row>
    <row r="734" spans="1:15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t="str">
        <f>IF(E734="","",SUMIF(PAYMENTS!C:C,E734,PAYMENTS!E:E))</f>
        <v/>
      </c>
      <c r="M734" t="str">
        <f t="shared" si="22"/>
        <v/>
      </c>
      <c r="N734" t="str">
        <f t="shared" si="23"/>
        <v/>
      </c>
      <c r="O734" t="str">
        <f>IF(E734="","",IFERROR(_xludf.MAXIFS(PAYMENTS!A:A,PAYMENTS!C:C,E734),""))</f>
        <v/>
      </c>
    </row>
    <row r="735" spans="1:15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t="str">
        <f>IF(E735="","",SUMIF(PAYMENTS!C:C,E735,PAYMENTS!E:E))</f>
        <v/>
      </c>
      <c r="M735" t="str">
        <f t="shared" si="22"/>
        <v/>
      </c>
      <c r="N735" t="str">
        <f t="shared" si="23"/>
        <v/>
      </c>
      <c r="O735" t="str">
        <f>IF(E735="","",IFERROR(_xludf.MAXIFS(PAYMENTS!A:A,PAYMENTS!C:C,E735),""))</f>
        <v/>
      </c>
    </row>
    <row r="736" spans="1:15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t="str">
        <f>IF(E736="","",SUMIF(PAYMENTS!C:C,E736,PAYMENTS!E:E))</f>
        <v/>
      </c>
      <c r="M736" t="str">
        <f t="shared" si="22"/>
        <v/>
      </c>
      <c r="N736" t="str">
        <f t="shared" si="23"/>
        <v/>
      </c>
      <c r="O736" t="str">
        <f>IF(E736="","",IFERROR(_xludf.MAXIFS(PAYMENTS!A:A,PAYMENTS!C:C,E736),""))</f>
        <v/>
      </c>
    </row>
    <row r="737" spans="1:15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t="str">
        <f>IF(E737="","",SUMIF(PAYMENTS!C:C,E737,PAYMENTS!E:E))</f>
        <v/>
      </c>
      <c r="M737" t="str">
        <f t="shared" si="22"/>
        <v/>
      </c>
      <c r="N737" t="str">
        <f t="shared" si="23"/>
        <v/>
      </c>
      <c r="O737" t="str">
        <f>IF(E737="","",IFERROR(_xludf.MAXIFS(PAYMENTS!A:A,PAYMENTS!C:C,E737),""))</f>
        <v/>
      </c>
    </row>
    <row r="738" spans="1:15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t="str">
        <f>IF(E738="","",SUMIF(PAYMENTS!C:C,E738,PAYMENTS!E:E))</f>
        <v/>
      </c>
      <c r="M738" t="str">
        <f t="shared" si="22"/>
        <v/>
      </c>
      <c r="N738" t="str">
        <f t="shared" si="23"/>
        <v/>
      </c>
      <c r="O738" t="str">
        <f>IF(E738="","",IFERROR(_xludf.MAXIFS(PAYMENTS!A:A,PAYMENTS!C:C,E738),""))</f>
        <v/>
      </c>
    </row>
    <row r="739" spans="1:15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t="str">
        <f>IF(E739="","",SUMIF(PAYMENTS!C:C,E739,PAYMENTS!E:E))</f>
        <v/>
      </c>
      <c r="M739" t="str">
        <f t="shared" si="22"/>
        <v/>
      </c>
      <c r="N739" t="str">
        <f t="shared" si="23"/>
        <v/>
      </c>
      <c r="O739" t="str">
        <f>IF(E739="","",IFERROR(_xludf.MAXIFS(PAYMENTS!A:A,PAYMENTS!C:C,E739),""))</f>
        <v/>
      </c>
    </row>
    <row r="740" spans="1:15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t="str">
        <f>IF(E740="","",SUMIF(PAYMENTS!C:C,E740,PAYMENTS!E:E))</f>
        <v/>
      </c>
      <c r="M740" t="str">
        <f t="shared" si="22"/>
        <v/>
      </c>
      <c r="N740" t="str">
        <f t="shared" si="23"/>
        <v/>
      </c>
      <c r="O740" t="str">
        <f>IF(E740="","",IFERROR(_xludf.MAXIFS(PAYMENTS!A:A,PAYMENTS!C:C,E740),""))</f>
        <v/>
      </c>
    </row>
    <row r="741" spans="1:15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t="str">
        <f>IF(E741="","",SUMIF(PAYMENTS!C:C,E741,PAYMENTS!E:E))</f>
        <v/>
      </c>
      <c r="M741" t="str">
        <f t="shared" si="22"/>
        <v/>
      </c>
      <c r="N741" t="str">
        <f t="shared" si="23"/>
        <v/>
      </c>
      <c r="O741" t="str">
        <f>IF(E741="","",IFERROR(_xludf.MAXIFS(PAYMENTS!A:A,PAYMENTS!C:C,E741),""))</f>
        <v/>
      </c>
    </row>
    <row r="742" spans="1:15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t="str">
        <f>IF(E742="","",SUMIF(PAYMENTS!C:C,E742,PAYMENTS!E:E))</f>
        <v/>
      </c>
      <c r="M742" t="str">
        <f t="shared" si="22"/>
        <v/>
      </c>
      <c r="N742" t="str">
        <f t="shared" si="23"/>
        <v/>
      </c>
      <c r="O742" t="str">
        <f>IF(E742="","",IFERROR(_xludf.MAXIFS(PAYMENTS!A:A,PAYMENTS!C:C,E742),""))</f>
        <v/>
      </c>
    </row>
    <row r="743" spans="1:15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t="str">
        <f>IF(E743="","",SUMIF(PAYMENTS!C:C,E743,PAYMENTS!E:E))</f>
        <v/>
      </c>
      <c r="M743" t="str">
        <f t="shared" si="22"/>
        <v/>
      </c>
      <c r="N743" t="str">
        <f t="shared" si="23"/>
        <v/>
      </c>
      <c r="O743" t="str">
        <f>IF(E743="","",IFERROR(_xludf.MAXIFS(PAYMENTS!A:A,PAYMENTS!C:C,E743),""))</f>
        <v/>
      </c>
    </row>
    <row r="744" spans="1:15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t="str">
        <f>IF(E744="","",SUMIF(PAYMENTS!C:C,E744,PAYMENTS!E:E))</f>
        <v/>
      </c>
      <c r="M744" t="str">
        <f t="shared" si="22"/>
        <v/>
      </c>
      <c r="N744" t="str">
        <f t="shared" si="23"/>
        <v/>
      </c>
      <c r="O744" t="str">
        <f>IF(E744="","",IFERROR(_xludf.MAXIFS(PAYMENTS!A:A,PAYMENTS!C:C,E744),""))</f>
        <v/>
      </c>
    </row>
    <row r="745" spans="1:15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t="str">
        <f>IF(E745="","",SUMIF(PAYMENTS!C:C,E745,PAYMENTS!E:E))</f>
        <v/>
      </c>
      <c r="M745" t="str">
        <f t="shared" si="22"/>
        <v/>
      </c>
      <c r="N745" t="str">
        <f t="shared" si="23"/>
        <v/>
      </c>
      <c r="O745" t="str">
        <f>IF(E745="","",IFERROR(_xludf.MAXIFS(PAYMENTS!A:A,PAYMENTS!C:C,E745),""))</f>
        <v/>
      </c>
    </row>
    <row r="746" spans="1:15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t="str">
        <f>IF(E746="","",SUMIF(PAYMENTS!C:C,E746,PAYMENTS!E:E))</f>
        <v/>
      </c>
      <c r="M746" t="str">
        <f t="shared" si="22"/>
        <v/>
      </c>
      <c r="N746" t="str">
        <f t="shared" si="23"/>
        <v/>
      </c>
      <c r="O746" t="str">
        <f>IF(E746="","",IFERROR(_xludf.MAXIFS(PAYMENTS!A:A,PAYMENTS!C:C,E746),""))</f>
        <v/>
      </c>
    </row>
    <row r="747" spans="1:15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t="str">
        <f>IF(E747="","",SUMIF(PAYMENTS!C:C,E747,PAYMENTS!E:E))</f>
        <v/>
      </c>
      <c r="M747" t="str">
        <f t="shared" si="22"/>
        <v/>
      </c>
      <c r="N747" t="str">
        <f t="shared" si="23"/>
        <v/>
      </c>
      <c r="O747" t="str">
        <f>IF(E747="","",IFERROR(_xludf.MAXIFS(PAYMENTS!A:A,PAYMENTS!C:C,E747),""))</f>
        <v/>
      </c>
    </row>
    <row r="748" spans="1:15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t="str">
        <f>IF(E748="","",SUMIF(PAYMENTS!C:C,E748,PAYMENTS!E:E))</f>
        <v/>
      </c>
      <c r="M748" t="str">
        <f t="shared" si="22"/>
        <v/>
      </c>
      <c r="N748" t="str">
        <f t="shared" si="23"/>
        <v/>
      </c>
      <c r="O748" t="str">
        <f>IF(E748="","",IFERROR(_xludf.MAXIFS(PAYMENTS!A:A,PAYMENTS!C:C,E748),""))</f>
        <v/>
      </c>
    </row>
    <row r="749" spans="1:15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t="str">
        <f>IF(E749="","",SUMIF(PAYMENTS!C:C,E749,PAYMENTS!E:E))</f>
        <v/>
      </c>
      <c r="M749" t="str">
        <f t="shared" si="22"/>
        <v/>
      </c>
      <c r="N749" t="str">
        <f t="shared" si="23"/>
        <v/>
      </c>
      <c r="O749" t="str">
        <f>IF(E749="","",IFERROR(_xludf.MAXIFS(PAYMENTS!A:A,PAYMENTS!C:C,E749),""))</f>
        <v/>
      </c>
    </row>
    <row r="750" spans="1:15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t="str">
        <f>IF(E750="","",SUMIF(PAYMENTS!C:C,E750,PAYMENTS!E:E))</f>
        <v/>
      </c>
      <c r="M750" t="str">
        <f t="shared" si="22"/>
        <v/>
      </c>
      <c r="N750" t="str">
        <f t="shared" si="23"/>
        <v/>
      </c>
      <c r="O750" t="str">
        <f>IF(E750="","",IFERROR(_xludf.MAXIFS(PAYMENTS!A:A,PAYMENTS!C:C,E750),""))</f>
        <v/>
      </c>
    </row>
    <row r="751" spans="1:15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t="str">
        <f>IF(E751="","",SUMIF(PAYMENTS!C:C,E751,PAYMENTS!E:E))</f>
        <v/>
      </c>
      <c r="M751" t="str">
        <f t="shared" si="22"/>
        <v/>
      </c>
      <c r="N751" t="str">
        <f t="shared" si="23"/>
        <v/>
      </c>
      <c r="O751" t="str">
        <f>IF(E751="","",IFERROR(_xludf.MAXIFS(PAYMENTS!A:A,PAYMENTS!C:C,E751),""))</f>
        <v/>
      </c>
    </row>
    <row r="752" spans="1:15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t="str">
        <f>IF(E752="","",SUMIF(PAYMENTS!C:C,E752,PAYMENTS!E:E))</f>
        <v/>
      </c>
      <c r="M752" t="str">
        <f t="shared" si="22"/>
        <v/>
      </c>
      <c r="N752" t="str">
        <f t="shared" si="23"/>
        <v/>
      </c>
      <c r="O752" t="str">
        <f>IF(E752="","",IFERROR(_xludf.MAXIFS(PAYMENTS!A:A,PAYMENTS!C:C,E752),""))</f>
        <v/>
      </c>
    </row>
    <row r="753" spans="1:15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t="str">
        <f>IF(E753="","",SUMIF(PAYMENTS!C:C,E753,PAYMENTS!E:E))</f>
        <v/>
      </c>
      <c r="M753" t="str">
        <f t="shared" si="22"/>
        <v/>
      </c>
      <c r="N753" t="str">
        <f t="shared" si="23"/>
        <v/>
      </c>
      <c r="O753" t="str">
        <f>IF(E753="","",IFERROR(_xludf.MAXIFS(PAYMENTS!A:A,PAYMENTS!C:C,E753),""))</f>
        <v/>
      </c>
    </row>
    <row r="754" spans="1:15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t="str">
        <f>IF(E754="","",SUMIF(PAYMENTS!C:C,E754,PAYMENTS!E:E))</f>
        <v/>
      </c>
      <c r="M754" t="str">
        <f t="shared" si="22"/>
        <v/>
      </c>
      <c r="N754" t="str">
        <f t="shared" si="23"/>
        <v/>
      </c>
      <c r="O754" t="str">
        <f>IF(E754="","",IFERROR(_xludf.MAXIFS(PAYMENTS!A:A,PAYMENTS!C:C,E754),""))</f>
        <v/>
      </c>
    </row>
    <row r="755" spans="1:15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t="str">
        <f>IF(E755="","",SUMIF(PAYMENTS!C:C,E755,PAYMENTS!E:E))</f>
        <v/>
      </c>
      <c r="M755" t="str">
        <f t="shared" si="22"/>
        <v/>
      </c>
      <c r="N755" t="str">
        <f t="shared" si="23"/>
        <v/>
      </c>
      <c r="O755" t="str">
        <f>IF(E755="","",IFERROR(_xludf.MAXIFS(PAYMENTS!A:A,PAYMENTS!C:C,E755),""))</f>
        <v/>
      </c>
    </row>
    <row r="756" spans="1:15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t="str">
        <f>IF(E756="","",SUMIF(PAYMENTS!C:C,E756,PAYMENTS!E:E))</f>
        <v/>
      </c>
      <c r="M756" t="str">
        <f t="shared" si="22"/>
        <v/>
      </c>
      <c r="N756" t="str">
        <f t="shared" si="23"/>
        <v/>
      </c>
      <c r="O756" t="str">
        <f>IF(E756="","",IFERROR(_xludf.MAXIFS(PAYMENTS!A:A,PAYMENTS!C:C,E756),""))</f>
        <v/>
      </c>
    </row>
    <row r="757" spans="1:15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t="str">
        <f>IF(E757="","",SUMIF(PAYMENTS!C:C,E757,PAYMENTS!E:E))</f>
        <v/>
      </c>
      <c r="M757" t="str">
        <f t="shared" si="22"/>
        <v/>
      </c>
      <c r="N757" t="str">
        <f t="shared" si="23"/>
        <v/>
      </c>
      <c r="O757" t="str">
        <f>IF(E757="","",IFERROR(_xludf.MAXIFS(PAYMENTS!A:A,PAYMENTS!C:C,E757),""))</f>
        <v/>
      </c>
    </row>
    <row r="758" spans="1:15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t="str">
        <f>IF(E758="","",SUMIF(PAYMENTS!C:C,E758,PAYMENTS!E:E))</f>
        <v/>
      </c>
      <c r="M758" t="str">
        <f t="shared" si="22"/>
        <v/>
      </c>
      <c r="N758" t="str">
        <f t="shared" si="23"/>
        <v/>
      </c>
      <c r="O758" t="str">
        <f>IF(E758="","",IFERROR(_xludf.MAXIFS(PAYMENTS!A:A,PAYMENTS!C:C,E758),""))</f>
        <v/>
      </c>
    </row>
    <row r="759" spans="1:15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t="str">
        <f>IF(E759="","",SUMIF(PAYMENTS!C:C,E759,PAYMENTS!E:E))</f>
        <v/>
      </c>
      <c r="M759" t="str">
        <f t="shared" si="22"/>
        <v/>
      </c>
      <c r="N759" t="str">
        <f t="shared" si="23"/>
        <v/>
      </c>
      <c r="O759" t="str">
        <f>IF(E759="","",IFERROR(_xludf.MAXIFS(PAYMENTS!A:A,PAYMENTS!C:C,E759),""))</f>
        <v/>
      </c>
    </row>
    <row r="760" spans="1:15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t="str">
        <f>IF(E760="","",SUMIF(PAYMENTS!C:C,E760,PAYMENTS!E:E))</f>
        <v/>
      </c>
      <c r="M760" t="str">
        <f t="shared" si="22"/>
        <v/>
      </c>
      <c r="N760" t="str">
        <f t="shared" si="23"/>
        <v/>
      </c>
      <c r="O760" t="str">
        <f>IF(E760="","",IFERROR(_xludf.MAXIFS(PAYMENTS!A:A,PAYMENTS!C:C,E760),""))</f>
        <v/>
      </c>
    </row>
    <row r="761" spans="1:15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t="str">
        <f>IF(E761="","",SUMIF(PAYMENTS!C:C,E761,PAYMENTS!E:E))</f>
        <v/>
      </c>
      <c r="M761" t="str">
        <f t="shared" si="22"/>
        <v/>
      </c>
      <c r="N761" t="str">
        <f t="shared" si="23"/>
        <v/>
      </c>
      <c r="O761" t="str">
        <f>IF(E761="","",IFERROR(_xludf.MAXIFS(PAYMENTS!A:A,PAYMENTS!C:C,E761),""))</f>
        <v/>
      </c>
    </row>
    <row r="762" spans="1:15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t="str">
        <f>IF(E762="","",SUMIF(PAYMENTS!C:C,E762,PAYMENTS!E:E))</f>
        <v/>
      </c>
      <c r="M762" t="str">
        <f t="shared" si="22"/>
        <v/>
      </c>
      <c r="N762" t="str">
        <f t="shared" si="23"/>
        <v/>
      </c>
      <c r="O762" t="str">
        <f>IF(E762="","",IFERROR(_xludf.MAXIFS(PAYMENTS!A:A,PAYMENTS!C:C,E762),""))</f>
        <v/>
      </c>
    </row>
    <row r="763" spans="1:15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t="str">
        <f>IF(E763="","",SUMIF(PAYMENTS!C:C,E763,PAYMENTS!E:E))</f>
        <v/>
      </c>
      <c r="M763" t="str">
        <f t="shared" si="22"/>
        <v/>
      </c>
      <c r="N763" t="str">
        <f t="shared" si="23"/>
        <v/>
      </c>
      <c r="O763" t="str">
        <f>IF(E763="","",IFERROR(_xludf.MAXIFS(PAYMENTS!A:A,PAYMENTS!C:C,E763),""))</f>
        <v/>
      </c>
    </row>
    <row r="764" spans="1:15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t="str">
        <f>IF(E764="","",SUMIF(PAYMENTS!C:C,E764,PAYMENTS!E:E))</f>
        <v/>
      </c>
      <c r="M764" t="str">
        <f t="shared" si="22"/>
        <v/>
      </c>
      <c r="N764" t="str">
        <f t="shared" si="23"/>
        <v/>
      </c>
      <c r="O764" t="str">
        <f>IF(E764="","",IFERROR(_xludf.MAXIFS(PAYMENTS!A:A,PAYMENTS!C:C,E764),""))</f>
        <v/>
      </c>
    </row>
    <row r="765" spans="1:15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t="str">
        <f>IF(E765="","",SUMIF(PAYMENTS!C:C,E765,PAYMENTS!E:E))</f>
        <v/>
      </c>
      <c r="M765" t="str">
        <f t="shared" si="22"/>
        <v/>
      </c>
      <c r="N765" t="str">
        <f t="shared" si="23"/>
        <v/>
      </c>
      <c r="O765" t="str">
        <f>IF(E765="","",IFERROR(_xludf.MAXIFS(PAYMENTS!A:A,PAYMENTS!C:C,E765),""))</f>
        <v/>
      </c>
    </row>
    <row r="766" spans="1:15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t="str">
        <f>IF(E766="","",SUMIF(PAYMENTS!C:C,E766,PAYMENTS!E:E))</f>
        <v/>
      </c>
      <c r="M766" t="str">
        <f t="shared" si="22"/>
        <v/>
      </c>
      <c r="N766" t="str">
        <f t="shared" si="23"/>
        <v/>
      </c>
      <c r="O766" t="str">
        <f>IF(E766="","",IFERROR(_xludf.MAXIFS(PAYMENTS!A:A,PAYMENTS!C:C,E766),""))</f>
        <v/>
      </c>
    </row>
    <row r="767" spans="1:15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t="str">
        <f>IF(E767="","",SUMIF(PAYMENTS!C:C,E767,PAYMENTS!E:E))</f>
        <v/>
      </c>
      <c r="M767" t="str">
        <f t="shared" si="22"/>
        <v/>
      </c>
      <c r="N767" t="str">
        <f t="shared" si="23"/>
        <v/>
      </c>
      <c r="O767" t="str">
        <f>IF(E767="","",IFERROR(_xludf.MAXIFS(PAYMENTS!A:A,PAYMENTS!C:C,E767),""))</f>
        <v/>
      </c>
    </row>
    <row r="768" spans="1:15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t="str">
        <f>IF(E768="","",SUMIF(PAYMENTS!C:C,E768,PAYMENTS!E:E))</f>
        <v/>
      </c>
      <c r="M768" t="str">
        <f t="shared" si="22"/>
        <v/>
      </c>
      <c r="N768" t="str">
        <f t="shared" si="23"/>
        <v/>
      </c>
      <c r="O768" t="str">
        <f>IF(E768="","",IFERROR(_xludf.MAXIFS(PAYMENTS!A:A,PAYMENTS!C:C,E768),""))</f>
        <v/>
      </c>
    </row>
    <row r="769" spans="1:15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t="str">
        <f>IF(E769="","",SUMIF(PAYMENTS!C:C,E769,PAYMENTS!E:E))</f>
        <v/>
      </c>
      <c r="M769" t="str">
        <f t="shared" si="22"/>
        <v/>
      </c>
      <c r="N769" t="str">
        <f t="shared" si="23"/>
        <v/>
      </c>
      <c r="O769" t="str">
        <f>IF(E769="","",IFERROR(_xludf.MAXIFS(PAYMENTS!A:A,PAYMENTS!C:C,E769),""))</f>
        <v/>
      </c>
    </row>
    <row r="770" spans="1:15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t="str">
        <f>IF(E770="","",SUMIF(PAYMENTS!C:C,E770,PAYMENTS!E:E))</f>
        <v/>
      </c>
      <c r="M770" t="str">
        <f t="shared" ref="M770:M833" si="24">IF(E770="","",J770-L770)</f>
        <v/>
      </c>
      <c r="N770" t="str">
        <f t="shared" ref="N770:N833" si="25">IF(E770="","",IF(M770&lt;=0,"Paid",IF(L770&gt;0,"Part Paid","Unpaid")))</f>
        <v/>
      </c>
      <c r="O770" t="str">
        <f>IF(E770="","",IFERROR(_xludf.MAXIFS(PAYMENTS!A:A,PAYMENTS!C:C,E770),""))</f>
        <v/>
      </c>
    </row>
    <row r="771" spans="1:15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t="str">
        <f>IF(E771="","",SUMIF(PAYMENTS!C:C,E771,PAYMENTS!E:E))</f>
        <v/>
      </c>
      <c r="M771" t="str">
        <f t="shared" si="24"/>
        <v/>
      </c>
      <c r="N771" t="str">
        <f t="shared" si="25"/>
        <v/>
      </c>
      <c r="O771" t="str">
        <f>IF(E771="","",IFERROR(_xludf.MAXIFS(PAYMENTS!A:A,PAYMENTS!C:C,E771),""))</f>
        <v/>
      </c>
    </row>
    <row r="772" spans="1:15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t="str">
        <f>IF(E772="","",SUMIF(PAYMENTS!C:C,E772,PAYMENTS!E:E))</f>
        <v/>
      </c>
      <c r="M772" t="str">
        <f t="shared" si="24"/>
        <v/>
      </c>
      <c r="N772" t="str">
        <f t="shared" si="25"/>
        <v/>
      </c>
      <c r="O772" t="str">
        <f>IF(E772="","",IFERROR(_xludf.MAXIFS(PAYMENTS!A:A,PAYMENTS!C:C,E772),""))</f>
        <v/>
      </c>
    </row>
    <row r="773" spans="1:15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t="str">
        <f>IF(E773="","",SUMIF(PAYMENTS!C:C,E773,PAYMENTS!E:E))</f>
        <v/>
      </c>
      <c r="M773" t="str">
        <f t="shared" si="24"/>
        <v/>
      </c>
      <c r="N773" t="str">
        <f t="shared" si="25"/>
        <v/>
      </c>
      <c r="O773" t="str">
        <f>IF(E773="","",IFERROR(_xludf.MAXIFS(PAYMENTS!A:A,PAYMENTS!C:C,E773),""))</f>
        <v/>
      </c>
    </row>
    <row r="774" spans="1:15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t="str">
        <f>IF(E774="","",SUMIF(PAYMENTS!C:C,E774,PAYMENTS!E:E))</f>
        <v/>
      </c>
      <c r="M774" t="str">
        <f t="shared" si="24"/>
        <v/>
      </c>
      <c r="N774" t="str">
        <f t="shared" si="25"/>
        <v/>
      </c>
      <c r="O774" t="str">
        <f>IF(E774="","",IFERROR(_xludf.MAXIFS(PAYMENTS!A:A,PAYMENTS!C:C,E774),""))</f>
        <v/>
      </c>
    </row>
    <row r="775" spans="1:15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t="str">
        <f>IF(E775="","",SUMIF(PAYMENTS!C:C,E775,PAYMENTS!E:E))</f>
        <v/>
      </c>
      <c r="M775" t="str">
        <f t="shared" si="24"/>
        <v/>
      </c>
      <c r="N775" t="str">
        <f t="shared" si="25"/>
        <v/>
      </c>
      <c r="O775" t="str">
        <f>IF(E775="","",IFERROR(_xludf.MAXIFS(PAYMENTS!A:A,PAYMENTS!C:C,E775),""))</f>
        <v/>
      </c>
    </row>
    <row r="776" spans="1:15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t="str">
        <f>IF(E776="","",SUMIF(PAYMENTS!C:C,E776,PAYMENTS!E:E))</f>
        <v/>
      </c>
      <c r="M776" t="str">
        <f t="shared" si="24"/>
        <v/>
      </c>
      <c r="N776" t="str">
        <f t="shared" si="25"/>
        <v/>
      </c>
      <c r="O776" t="str">
        <f>IF(E776="","",IFERROR(_xludf.MAXIFS(PAYMENTS!A:A,PAYMENTS!C:C,E776),""))</f>
        <v/>
      </c>
    </row>
    <row r="777" spans="1:15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t="str">
        <f>IF(E777="","",SUMIF(PAYMENTS!C:C,E777,PAYMENTS!E:E))</f>
        <v/>
      </c>
      <c r="M777" t="str">
        <f t="shared" si="24"/>
        <v/>
      </c>
      <c r="N777" t="str">
        <f t="shared" si="25"/>
        <v/>
      </c>
      <c r="O777" t="str">
        <f>IF(E777="","",IFERROR(_xludf.MAXIFS(PAYMENTS!A:A,PAYMENTS!C:C,E777),""))</f>
        <v/>
      </c>
    </row>
    <row r="778" spans="1:15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t="str">
        <f>IF(E778="","",SUMIF(PAYMENTS!C:C,E778,PAYMENTS!E:E))</f>
        <v/>
      </c>
      <c r="M778" t="str">
        <f t="shared" si="24"/>
        <v/>
      </c>
      <c r="N778" t="str">
        <f t="shared" si="25"/>
        <v/>
      </c>
      <c r="O778" t="str">
        <f>IF(E778="","",IFERROR(_xludf.MAXIFS(PAYMENTS!A:A,PAYMENTS!C:C,E778),""))</f>
        <v/>
      </c>
    </row>
    <row r="779" spans="1:15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t="str">
        <f>IF(E779="","",SUMIF(PAYMENTS!C:C,E779,PAYMENTS!E:E))</f>
        <v/>
      </c>
      <c r="M779" t="str">
        <f t="shared" si="24"/>
        <v/>
      </c>
      <c r="N779" t="str">
        <f t="shared" si="25"/>
        <v/>
      </c>
      <c r="O779" t="str">
        <f>IF(E779="","",IFERROR(_xludf.MAXIFS(PAYMENTS!A:A,PAYMENTS!C:C,E779),""))</f>
        <v/>
      </c>
    </row>
    <row r="780" spans="1:15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t="str">
        <f>IF(E780="","",SUMIF(PAYMENTS!C:C,E780,PAYMENTS!E:E))</f>
        <v/>
      </c>
      <c r="M780" t="str">
        <f t="shared" si="24"/>
        <v/>
      </c>
      <c r="N780" t="str">
        <f t="shared" si="25"/>
        <v/>
      </c>
      <c r="O780" t="str">
        <f>IF(E780="","",IFERROR(_xludf.MAXIFS(PAYMENTS!A:A,PAYMENTS!C:C,E780),""))</f>
        <v/>
      </c>
    </row>
    <row r="781" spans="1:15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t="str">
        <f>IF(E781="","",SUMIF(PAYMENTS!C:C,E781,PAYMENTS!E:E))</f>
        <v/>
      </c>
      <c r="M781" t="str">
        <f t="shared" si="24"/>
        <v/>
      </c>
      <c r="N781" t="str">
        <f t="shared" si="25"/>
        <v/>
      </c>
      <c r="O781" t="str">
        <f>IF(E781="","",IFERROR(_xludf.MAXIFS(PAYMENTS!A:A,PAYMENTS!C:C,E781),""))</f>
        <v/>
      </c>
    </row>
    <row r="782" spans="1:15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t="str">
        <f>IF(E782="","",SUMIF(PAYMENTS!C:C,E782,PAYMENTS!E:E))</f>
        <v/>
      </c>
      <c r="M782" t="str">
        <f t="shared" si="24"/>
        <v/>
      </c>
      <c r="N782" t="str">
        <f t="shared" si="25"/>
        <v/>
      </c>
      <c r="O782" t="str">
        <f>IF(E782="","",IFERROR(_xludf.MAXIFS(PAYMENTS!A:A,PAYMENTS!C:C,E782),""))</f>
        <v/>
      </c>
    </row>
    <row r="783" spans="1:15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t="str">
        <f>IF(E783="","",SUMIF(PAYMENTS!C:C,E783,PAYMENTS!E:E))</f>
        <v/>
      </c>
      <c r="M783" t="str">
        <f t="shared" si="24"/>
        <v/>
      </c>
      <c r="N783" t="str">
        <f t="shared" si="25"/>
        <v/>
      </c>
      <c r="O783" t="str">
        <f>IF(E783="","",IFERROR(_xludf.MAXIFS(PAYMENTS!A:A,PAYMENTS!C:C,E783),""))</f>
        <v/>
      </c>
    </row>
    <row r="784" spans="1:15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t="str">
        <f>IF(E784="","",SUMIF(PAYMENTS!C:C,E784,PAYMENTS!E:E))</f>
        <v/>
      </c>
      <c r="M784" t="str">
        <f t="shared" si="24"/>
        <v/>
      </c>
      <c r="N784" t="str">
        <f t="shared" si="25"/>
        <v/>
      </c>
      <c r="O784" t="str">
        <f>IF(E784="","",IFERROR(_xludf.MAXIFS(PAYMENTS!A:A,PAYMENTS!C:C,E784),""))</f>
        <v/>
      </c>
    </row>
    <row r="785" spans="1:15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t="str">
        <f>IF(E785="","",SUMIF(PAYMENTS!C:C,E785,PAYMENTS!E:E))</f>
        <v/>
      </c>
      <c r="M785" t="str">
        <f t="shared" si="24"/>
        <v/>
      </c>
      <c r="N785" t="str">
        <f t="shared" si="25"/>
        <v/>
      </c>
      <c r="O785" t="str">
        <f>IF(E785="","",IFERROR(_xludf.MAXIFS(PAYMENTS!A:A,PAYMENTS!C:C,E785),""))</f>
        <v/>
      </c>
    </row>
    <row r="786" spans="1:15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t="str">
        <f>IF(E786="","",SUMIF(PAYMENTS!C:C,E786,PAYMENTS!E:E))</f>
        <v/>
      </c>
      <c r="M786" t="str">
        <f t="shared" si="24"/>
        <v/>
      </c>
      <c r="N786" t="str">
        <f t="shared" si="25"/>
        <v/>
      </c>
      <c r="O786" t="str">
        <f>IF(E786="","",IFERROR(_xludf.MAXIFS(PAYMENTS!A:A,PAYMENTS!C:C,E786),""))</f>
        <v/>
      </c>
    </row>
    <row r="787" spans="1:15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t="str">
        <f>IF(E787="","",SUMIF(PAYMENTS!C:C,E787,PAYMENTS!E:E))</f>
        <v/>
      </c>
      <c r="M787" t="str">
        <f t="shared" si="24"/>
        <v/>
      </c>
      <c r="N787" t="str">
        <f t="shared" si="25"/>
        <v/>
      </c>
      <c r="O787" t="str">
        <f>IF(E787="","",IFERROR(_xludf.MAXIFS(PAYMENTS!A:A,PAYMENTS!C:C,E787),""))</f>
        <v/>
      </c>
    </row>
    <row r="788" spans="1:15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t="str">
        <f>IF(E788="","",SUMIF(PAYMENTS!C:C,E788,PAYMENTS!E:E))</f>
        <v/>
      </c>
      <c r="M788" t="str">
        <f t="shared" si="24"/>
        <v/>
      </c>
      <c r="N788" t="str">
        <f t="shared" si="25"/>
        <v/>
      </c>
      <c r="O788" t="str">
        <f>IF(E788="","",IFERROR(_xludf.MAXIFS(PAYMENTS!A:A,PAYMENTS!C:C,E788),""))</f>
        <v/>
      </c>
    </row>
    <row r="789" spans="1:15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t="str">
        <f>IF(E789="","",SUMIF(PAYMENTS!C:C,E789,PAYMENTS!E:E))</f>
        <v/>
      </c>
      <c r="M789" t="str">
        <f t="shared" si="24"/>
        <v/>
      </c>
      <c r="N789" t="str">
        <f t="shared" si="25"/>
        <v/>
      </c>
      <c r="O789" t="str">
        <f>IF(E789="","",IFERROR(_xludf.MAXIFS(PAYMENTS!A:A,PAYMENTS!C:C,E789),""))</f>
        <v/>
      </c>
    </row>
    <row r="790" spans="1:15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t="str">
        <f>IF(E790="","",SUMIF(PAYMENTS!C:C,E790,PAYMENTS!E:E))</f>
        <v/>
      </c>
      <c r="M790" t="str">
        <f t="shared" si="24"/>
        <v/>
      </c>
      <c r="N790" t="str">
        <f t="shared" si="25"/>
        <v/>
      </c>
      <c r="O790" t="str">
        <f>IF(E790="","",IFERROR(_xludf.MAXIFS(PAYMENTS!A:A,PAYMENTS!C:C,E790),""))</f>
        <v/>
      </c>
    </row>
    <row r="791" spans="1:15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t="str">
        <f>IF(E791="","",SUMIF(PAYMENTS!C:C,E791,PAYMENTS!E:E))</f>
        <v/>
      </c>
      <c r="M791" t="str">
        <f t="shared" si="24"/>
        <v/>
      </c>
      <c r="N791" t="str">
        <f t="shared" si="25"/>
        <v/>
      </c>
      <c r="O791" t="str">
        <f>IF(E791="","",IFERROR(_xludf.MAXIFS(PAYMENTS!A:A,PAYMENTS!C:C,E791),""))</f>
        <v/>
      </c>
    </row>
    <row r="792" spans="1:15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t="str">
        <f>IF(E792="","",SUMIF(PAYMENTS!C:C,E792,PAYMENTS!E:E))</f>
        <v/>
      </c>
      <c r="M792" t="str">
        <f t="shared" si="24"/>
        <v/>
      </c>
      <c r="N792" t="str">
        <f t="shared" si="25"/>
        <v/>
      </c>
      <c r="O792" t="str">
        <f>IF(E792="","",IFERROR(_xludf.MAXIFS(PAYMENTS!A:A,PAYMENTS!C:C,E792),""))</f>
        <v/>
      </c>
    </row>
    <row r="793" spans="1:15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t="str">
        <f>IF(E793="","",SUMIF(PAYMENTS!C:C,E793,PAYMENTS!E:E))</f>
        <v/>
      </c>
      <c r="M793" t="str">
        <f t="shared" si="24"/>
        <v/>
      </c>
      <c r="N793" t="str">
        <f t="shared" si="25"/>
        <v/>
      </c>
      <c r="O793" t="str">
        <f>IF(E793="","",IFERROR(_xludf.MAXIFS(PAYMENTS!A:A,PAYMENTS!C:C,E793),""))</f>
        <v/>
      </c>
    </row>
    <row r="794" spans="1:15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t="str">
        <f>IF(E794="","",SUMIF(PAYMENTS!C:C,E794,PAYMENTS!E:E))</f>
        <v/>
      </c>
      <c r="M794" t="str">
        <f t="shared" si="24"/>
        <v/>
      </c>
      <c r="N794" t="str">
        <f t="shared" si="25"/>
        <v/>
      </c>
      <c r="O794" t="str">
        <f>IF(E794="","",IFERROR(_xludf.MAXIFS(PAYMENTS!A:A,PAYMENTS!C:C,E794),""))</f>
        <v/>
      </c>
    </row>
    <row r="795" spans="1:15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t="str">
        <f>IF(E795="","",SUMIF(PAYMENTS!C:C,E795,PAYMENTS!E:E))</f>
        <v/>
      </c>
      <c r="M795" t="str">
        <f t="shared" si="24"/>
        <v/>
      </c>
      <c r="N795" t="str">
        <f t="shared" si="25"/>
        <v/>
      </c>
      <c r="O795" t="str">
        <f>IF(E795="","",IFERROR(_xludf.MAXIFS(PAYMENTS!A:A,PAYMENTS!C:C,E795),""))</f>
        <v/>
      </c>
    </row>
    <row r="796" spans="1:15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t="str">
        <f>IF(E796="","",SUMIF(PAYMENTS!C:C,E796,PAYMENTS!E:E))</f>
        <v/>
      </c>
      <c r="M796" t="str">
        <f t="shared" si="24"/>
        <v/>
      </c>
      <c r="N796" t="str">
        <f t="shared" si="25"/>
        <v/>
      </c>
      <c r="O796" t="str">
        <f>IF(E796="","",IFERROR(_xludf.MAXIFS(PAYMENTS!A:A,PAYMENTS!C:C,E796),""))</f>
        <v/>
      </c>
    </row>
    <row r="797" spans="1:15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t="str">
        <f>IF(E797="","",SUMIF(PAYMENTS!C:C,E797,PAYMENTS!E:E))</f>
        <v/>
      </c>
      <c r="M797" t="str">
        <f t="shared" si="24"/>
        <v/>
      </c>
      <c r="N797" t="str">
        <f t="shared" si="25"/>
        <v/>
      </c>
      <c r="O797" t="str">
        <f>IF(E797="","",IFERROR(_xludf.MAXIFS(PAYMENTS!A:A,PAYMENTS!C:C,E797),""))</f>
        <v/>
      </c>
    </row>
    <row r="798" spans="1:15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t="str">
        <f>IF(E798="","",SUMIF(PAYMENTS!C:C,E798,PAYMENTS!E:E))</f>
        <v/>
      </c>
      <c r="M798" t="str">
        <f t="shared" si="24"/>
        <v/>
      </c>
      <c r="N798" t="str">
        <f t="shared" si="25"/>
        <v/>
      </c>
      <c r="O798" t="str">
        <f>IF(E798="","",IFERROR(_xludf.MAXIFS(PAYMENTS!A:A,PAYMENTS!C:C,E798),""))</f>
        <v/>
      </c>
    </row>
    <row r="799" spans="1:15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t="str">
        <f>IF(E799="","",SUMIF(PAYMENTS!C:C,E799,PAYMENTS!E:E))</f>
        <v/>
      </c>
      <c r="M799" t="str">
        <f t="shared" si="24"/>
        <v/>
      </c>
      <c r="N799" t="str">
        <f t="shared" si="25"/>
        <v/>
      </c>
      <c r="O799" t="str">
        <f>IF(E799="","",IFERROR(_xludf.MAXIFS(PAYMENTS!A:A,PAYMENTS!C:C,E799),""))</f>
        <v/>
      </c>
    </row>
    <row r="800" spans="1:15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t="str">
        <f>IF(E800="","",SUMIF(PAYMENTS!C:C,E800,PAYMENTS!E:E))</f>
        <v/>
      </c>
      <c r="M800" t="str">
        <f t="shared" si="24"/>
        <v/>
      </c>
      <c r="N800" t="str">
        <f t="shared" si="25"/>
        <v/>
      </c>
      <c r="O800" t="str">
        <f>IF(E800="","",IFERROR(_xludf.MAXIFS(PAYMENTS!A:A,PAYMENTS!C:C,E800),""))</f>
        <v/>
      </c>
    </row>
    <row r="801" spans="1:15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t="str">
        <f>IF(E801="","",SUMIF(PAYMENTS!C:C,E801,PAYMENTS!E:E))</f>
        <v/>
      </c>
      <c r="M801" t="str">
        <f t="shared" si="24"/>
        <v/>
      </c>
      <c r="N801" t="str">
        <f t="shared" si="25"/>
        <v/>
      </c>
      <c r="O801" t="str">
        <f>IF(E801="","",IFERROR(_xludf.MAXIFS(PAYMENTS!A:A,PAYMENTS!C:C,E801),""))</f>
        <v/>
      </c>
    </row>
    <row r="802" spans="1:15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t="str">
        <f>IF(E802="","",SUMIF(PAYMENTS!C:C,E802,PAYMENTS!E:E))</f>
        <v/>
      </c>
      <c r="M802" t="str">
        <f t="shared" si="24"/>
        <v/>
      </c>
      <c r="N802" t="str">
        <f t="shared" si="25"/>
        <v/>
      </c>
      <c r="O802" t="str">
        <f>IF(E802="","",IFERROR(_xludf.MAXIFS(PAYMENTS!A:A,PAYMENTS!C:C,E802),""))</f>
        <v/>
      </c>
    </row>
    <row r="803" spans="1:15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t="str">
        <f>IF(E803="","",SUMIF(PAYMENTS!C:C,E803,PAYMENTS!E:E))</f>
        <v/>
      </c>
      <c r="M803" t="str">
        <f t="shared" si="24"/>
        <v/>
      </c>
      <c r="N803" t="str">
        <f t="shared" si="25"/>
        <v/>
      </c>
      <c r="O803" t="str">
        <f>IF(E803="","",IFERROR(_xludf.MAXIFS(PAYMENTS!A:A,PAYMENTS!C:C,E803),""))</f>
        <v/>
      </c>
    </row>
    <row r="804" spans="1:15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t="str">
        <f>IF(E804="","",SUMIF(PAYMENTS!C:C,E804,PAYMENTS!E:E))</f>
        <v/>
      </c>
      <c r="M804" t="str">
        <f t="shared" si="24"/>
        <v/>
      </c>
      <c r="N804" t="str">
        <f t="shared" si="25"/>
        <v/>
      </c>
      <c r="O804" t="str">
        <f>IF(E804="","",IFERROR(_xludf.MAXIFS(PAYMENTS!A:A,PAYMENTS!C:C,E804),""))</f>
        <v/>
      </c>
    </row>
    <row r="805" spans="1:15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t="str">
        <f>IF(E805="","",SUMIF(PAYMENTS!C:C,E805,PAYMENTS!E:E))</f>
        <v/>
      </c>
      <c r="M805" t="str">
        <f t="shared" si="24"/>
        <v/>
      </c>
      <c r="N805" t="str">
        <f t="shared" si="25"/>
        <v/>
      </c>
      <c r="O805" t="str">
        <f>IF(E805="","",IFERROR(_xludf.MAXIFS(PAYMENTS!A:A,PAYMENTS!C:C,E805),""))</f>
        <v/>
      </c>
    </row>
    <row r="806" spans="1:15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t="str">
        <f>IF(E806="","",SUMIF(PAYMENTS!C:C,E806,PAYMENTS!E:E))</f>
        <v/>
      </c>
      <c r="M806" t="str">
        <f t="shared" si="24"/>
        <v/>
      </c>
      <c r="N806" t="str">
        <f t="shared" si="25"/>
        <v/>
      </c>
      <c r="O806" t="str">
        <f>IF(E806="","",IFERROR(_xludf.MAXIFS(PAYMENTS!A:A,PAYMENTS!C:C,E806),""))</f>
        <v/>
      </c>
    </row>
    <row r="807" spans="1:15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t="str">
        <f>IF(E807="","",SUMIF(PAYMENTS!C:C,E807,PAYMENTS!E:E))</f>
        <v/>
      </c>
      <c r="M807" t="str">
        <f t="shared" si="24"/>
        <v/>
      </c>
      <c r="N807" t="str">
        <f t="shared" si="25"/>
        <v/>
      </c>
      <c r="O807" t="str">
        <f>IF(E807="","",IFERROR(_xludf.MAXIFS(PAYMENTS!A:A,PAYMENTS!C:C,E807),""))</f>
        <v/>
      </c>
    </row>
    <row r="808" spans="1:15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t="str">
        <f>IF(E808="","",SUMIF(PAYMENTS!C:C,E808,PAYMENTS!E:E))</f>
        <v/>
      </c>
      <c r="M808" t="str">
        <f t="shared" si="24"/>
        <v/>
      </c>
      <c r="N808" t="str">
        <f t="shared" si="25"/>
        <v/>
      </c>
      <c r="O808" t="str">
        <f>IF(E808="","",IFERROR(_xludf.MAXIFS(PAYMENTS!A:A,PAYMENTS!C:C,E808),""))</f>
        <v/>
      </c>
    </row>
    <row r="809" spans="1:15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t="str">
        <f>IF(E809="","",SUMIF(PAYMENTS!C:C,E809,PAYMENTS!E:E))</f>
        <v/>
      </c>
      <c r="M809" t="str">
        <f t="shared" si="24"/>
        <v/>
      </c>
      <c r="N809" t="str">
        <f t="shared" si="25"/>
        <v/>
      </c>
      <c r="O809" t="str">
        <f>IF(E809="","",IFERROR(_xludf.MAXIFS(PAYMENTS!A:A,PAYMENTS!C:C,E809),""))</f>
        <v/>
      </c>
    </row>
    <row r="810" spans="1:15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t="str">
        <f>IF(E810="","",SUMIF(PAYMENTS!C:C,E810,PAYMENTS!E:E))</f>
        <v/>
      </c>
      <c r="M810" t="str">
        <f t="shared" si="24"/>
        <v/>
      </c>
      <c r="N810" t="str">
        <f t="shared" si="25"/>
        <v/>
      </c>
      <c r="O810" t="str">
        <f>IF(E810="","",IFERROR(_xludf.MAXIFS(PAYMENTS!A:A,PAYMENTS!C:C,E810),""))</f>
        <v/>
      </c>
    </row>
    <row r="811" spans="1:15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t="str">
        <f>IF(E811="","",SUMIF(PAYMENTS!C:C,E811,PAYMENTS!E:E))</f>
        <v/>
      </c>
      <c r="M811" t="str">
        <f t="shared" si="24"/>
        <v/>
      </c>
      <c r="N811" t="str">
        <f t="shared" si="25"/>
        <v/>
      </c>
      <c r="O811" t="str">
        <f>IF(E811="","",IFERROR(_xludf.MAXIFS(PAYMENTS!A:A,PAYMENTS!C:C,E811),""))</f>
        <v/>
      </c>
    </row>
    <row r="812" spans="1:15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t="str">
        <f>IF(E812="","",SUMIF(PAYMENTS!C:C,E812,PAYMENTS!E:E))</f>
        <v/>
      </c>
      <c r="M812" t="str">
        <f t="shared" si="24"/>
        <v/>
      </c>
      <c r="N812" t="str">
        <f t="shared" si="25"/>
        <v/>
      </c>
      <c r="O812" t="str">
        <f>IF(E812="","",IFERROR(_xludf.MAXIFS(PAYMENTS!A:A,PAYMENTS!C:C,E812),""))</f>
        <v/>
      </c>
    </row>
    <row r="813" spans="1:15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t="str">
        <f>IF(E813="","",SUMIF(PAYMENTS!C:C,E813,PAYMENTS!E:E))</f>
        <v/>
      </c>
      <c r="M813" t="str">
        <f t="shared" si="24"/>
        <v/>
      </c>
      <c r="N813" t="str">
        <f t="shared" si="25"/>
        <v/>
      </c>
      <c r="O813" t="str">
        <f>IF(E813="","",IFERROR(_xludf.MAXIFS(PAYMENTS!A:A,PAYMENTS!C:C,E813),""))</f>
        <v/>
      </c>
    </row>
    <row r="814" spans="1:15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t="str">
        <f>IF(E814="","",SUMIF(PAYMENTS!C:C,E814,PAYMENTS!E:E))</f>
        <v/>
      </c>
      <c r="M814" t="str">
        <f t="shared" si="24"/>
        <v/>
      </c>
      <c r="N814" t="str">
        <f t="shared" si="25"/>
        <v/>
      </c>
      <c r="O814" t="str">
        <f>IF(E814="","",IFERROR(_xludf.MAXIFS(PAYMENTS!A:A,PAYMENTS!C:C,E814),""))</f>
        <v/>
      </c>
    </row>
    <row r="815" spans="1:15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t="str">
        <f>IF(E815="","",SUMIF(PAYMENTS!C:C,E815,PAYMENTS!E:E))</f>
        <v/>
      </c>
      <c r="M815" t="str">
        <f t="shared" si="24"/>
        <v/>
      </c>
      <c r="N815" t="str">
        <f t="shared" si="25"/>
        <v/>
      </c>
      <c r="O815" t="str">
        <f>IF(E815="","",IFERROR(_xludf.MAXIFS(PAYMENTS!A:A,PAYMENTS!C:C,E815),""))</f>
        <v/>
      </c>
    </row>
    <row r="816" spans="1:15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t="str">
        <f>IF(E816="","",SUMIF(PAYMENTS!C:C,E816,PAYMENTS!E:E))</f>
        <v/>
      </c>
      <c r="M816" t="str">
        <f t="shared" si="24"/>
        <v/>
      </c>
      <c r="N816" t="str">
        <f t="shared" si="25"/>
        <v/>
      </c>
      <c r="O816" t="str">
        <f>IF(E816="","",IFERROR(_xludf.MAXIFS(PAYMENTS!A:A,PAYMENTS!C:C,E816),""))</f>
        <v/>
      </c>
    </row>
    <row r="817" spans="1:15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t="str">
        <f>IF(E817="","",SUMIF(PAYMENTS!C:C,E817,PAYMENTS!E:E))</f>
        <v/>
      </c>
      <c r="M817" t="str">
        <f t="shared" si="24"/>
        <v/>
      </c>
      <c r="N817" t="str">
        <f t="shared" si="25"/>
        <v/>
      </c>
      <c r="O817" t="str">
        <f>IF(E817="","",IFERROR(_xludf.MAXIFS(PAYMENTS!A:A,PAYMENTS!C:C,E817),""))</f>
        <v/>
      </c>
    </row>
    <row r="818" spans="1:15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t="str">
        <f>IF(E818="","",SUMIF(PAYMENTS!C:C,E818,PAYMENTS!E:E))</f>
        <v/>
      </c>
      <c r="M818" t="str">
        <f t="shared" si="24"/>
        <v/>
      </c>
      <c r="N818" t="str">
        <f t="shared" si="25"/>
        <v/>
      </c>
      <c r="O818" t="str">
        <f>IF(E818="","",IFERROR(_xludf.MAXIFS(PAYMENTS!A:A,PAYMENTS!C:C,E818),""))</f>
        <v/>
      </c>
    </row>
    <row r="819" spans="1:15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t="str">
        <f>IF(E819="","",SUMIF(PAYMENTS!C:C,E819,PAYMENTS!E:E))</f>
        <v/>
      </c>
      <c r="M819" t="str">
        <f t="shared" si="24"/>
        <v/>
      </c>
      <c r="N819" t="str">
        <f t="shared" si="25"/>
        <v/>
      </c>
      <c r="O819" t="str">
        <f>IF(E819="","",IFERROR(_xludf.MAXIFS(PAYMENTS!A:A,PAYMENTS!C:C,E819),""))</f>
        <v/>
      </c>
    </row>
    <row r="820" spans="1:15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t="str">
        <f>IF(E820="","",SUMIF(PAYMENTS!C:C,E820,PAYMENTS!E:E))</f>
        <v/>
      </c>
      <c r="M820" t="str">
        <f t="shared" si="24"/>
        <v/>
      </c>
      <c r="N820" t="str">
        <f t="shared" si="25"/>
        <v/>
      </c>
      <c r="O820" t="str">
        <f>IF(E820="","",IFERROR(_xludf.MAXIFS(PAYMENTS!A:A,PAYMENTS!C:C,E820),""))</f>
        <v/>
      </c>
    </row>
    <row r="821" spans="1:15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t="str">
        <f>IF(E821="","",SUMIF(PAYMENTS!C:C,E821,PAYMENTS!E:E))</f>
        <v/>
      </c>
      <c r="M821" t="str">
        <f t="shared" si="24"/>
        <v/>
      </c>
      <c r="N821" t="str">
        <f t="shared" si="25"/>
        <v/>
      </c>
      <c r="O821" t="str">
        <f>IF(E821="","",IFERROR(_xludf.MAXIFS(PAYMENTS!A:A,PAYMENTS!C:C,E821),""))</f>
        <v/>
      </c>
    </row>
    <row r="822" spans="1:15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t="str">
        <f>IF(E822="","",SUMIF(PAYMENTS!C:C,E822,PAYMENTS!E:E))</f>
        <v/>
      </c>
      <c r="M822" t="str">
        <f t="shared" si="24"/>
        <v/>
      </c>
      <c r="N822" t="str">
        <f t="shared" si="25"/>
        <v/>
      </c>
      <c r="O822" t="str">
        <f>IF(E822="","",IFERROR(_xludf.MAXIFS(PAYMENTS!A:A,PAYMENTS!C:C,E822),""))</f>
        <v/>
      </c>
    </row>
    <row r="823" spans="1:15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t="str">
        <f>IF(E823="","",SUMIF(PAYMENTS!C:C,E823,PAYMENTS!E:E))</f>
        <v/>
      </c>
      <c r="M823" t="str">
        <f t="shared" si="24"/>
        <v/>
      </c>
      <c r="N823" t="str">
        <f t="shared" si="25"/>
        <v/>
      </c>
      <c r="O823" t="str">
        <f>IF(E823="","",IFERROR(_xludf.MAXIFS(PAYMENTS!A:A,PAYMENTS!C:C,E823),""))</f>
        <v/>
      </c>
    </row>
    <row r="824" spans="1:15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t="str">
        <f>IF(E824="","",SUMIF(PAYMENTS!C:C,E824,PAYMENTS!E:E))</f>
        <v/>
      </c>
      <c r="M824" t="str">
        <f t="shared" si="24"/>
        <v/>
      </c>
      <c r="N824" t="str">
        <f t="shared" si="25"/>
        <v/>
      </c>
      <c r="O824" t="str">
        <f>IF(E824="","",IFERROR(_xludf.MAXIFS(PAYMENTS!A:A,PAYMENTS!C:C,E824),""))</f>
        <v/>
      </c>
    </row>
    <row r="825" spans="1:15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t="str">
        <f>IF(E825="","",SUMIF(PAYMENTS!C:C,E825,PAYMENTS!E:E))</f>
        <v/>
      </c>
      <c r="M825" t="str">
        <f t="shared" si="24"/>
        <v/>
      </c>
      <c r="N825" t="str">
        <f t="shared" si="25"/>
        <v/>
      </c>
      <c r="O825" t="str">
        <f>IF(E825="","",IFERROR(_xludf.MAXIFS(PAYMENTS!A:A,PAYMENTS!C:C,E825),""))</f>
        <v/>
      </c>
    </row>
    <row r="826" spans="1:15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t="str">
        <f>IF(E826="","",SUMIF(PAYMENTS!C:C,E826,PAYMENTS!E:E))</f>
        <v/>
      </c>
      <c r="M826" t="str">
        <f t="shared" si="24"/>
        <v/>
      </c>
      <c r="N826" t="str">
        <f t="shared" si="25"/>
        <v/>
      </c>
      <c r="O826" t="str">
        <f>IF(E826="","",IFERROR(_xludf.MAXIFS(PAYMENTS!A:A,PAYMENTS!C:C,E826),""))</f>
        <v/>
      </c>
    </row>
    <row r="827" spans="1:15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t="str">
        <f>IF(E827="","",SUMIF(PAYMENTS!C:C,E827,PAYMENTS!E:E))</f>
        <v/>
      </c>
      <c r="M827" t="str">
        <f t="shared" si="24"/>
        <v/>
      </c>
      <c r="N827" t="str">
        <f t="shared" si="25"/>
        <v/>
      </c>
      <c r="O827" t="str">
        <f>IF(E827="","",IFERROR(_xludf.MAXIFS(PAYMENTS!A:A,PAYMENTS!C:C,E827),""))</f>
        <v/>
      </c>
    </row>
    <row r="828" spans="1:15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t="str">
        <f>IF(E828="","",SUMIF(PAYMENTS!C:C,E828,PAYMENTS!E:E))</f>
        <v/>
      </c>
      <c r="M828" t="str">
        <f t="shared" si="24"/>
        <v/>
      </c>
      <c r="N828" t="str">
        <f t="shared" si="25"/>
        <v/>
      </c>
      <c r="O828" t="str">
        <f>IF(E828="","",IFERROR(_xludf.MAXIFS(PAYMENTS!A:A,PAYMENTS!C:C,E828),""))</f>
        <v/>
      </c>
    </row>
    <row r="829" spans="1:15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t="str">
        <f>IF(E829="","",SUMIF(PAYMENTS!C:C,E829,PAYMENTS!E:E))</f>
        <v/>
      </c>
      <c r="M829" t="str">
        <f t="shared" si="24"/>
        <v/>
      </c>
      <c r="N829" t="str">
        <f t="shared" si="25"/>
        <v/>
      </c>
      <c r="O829" t="str">
        <f>IF(E829="","",IFERROR(_xludf.MAXIFS(PAYMENTS!A:A,PAYMENTS!C:C,E829),""))</f>
        <v/>
      </c>
    </row>
    <row r="830" spans="1:15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t="str">
        <f>IF(E830="","",SUMIF(PAYMENTS!C:C,E830,PAYMENTS!E:E))</f>
        <v/>
      </c>
      <c r="M830" t="str">
        <f t="shared" si="24"/>
        <v/>
      </c>
      <c r="N830" t="str">
        <f t="shared" si="25"/>
        <v/>
      </c>
      <c r="O830" t="str">
        <f>IF(E830="","",IFERROR(_xludf.MAXIFS(PAYMENTS!A:A,PAYMENTS!C:C,E830),""))</f>
        <v/>
      </c>
    </row>
    <row r="831" spans="1:15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t="str">
        <f>IF(E831="","",SUMIF(PAYMENTS!C:C,E831,PAYMENTS!E:E))</f>
        <v/>
      </c>
      <c r="M831" t="str">
        <f t="shared" si="24"/>
        <v/>
      </c>
      <c r="N831" t="str">
        <f t="shared" si="25"/>
        <v/>
      </c>
      <c r="O831" t="str">
        <f>IF(E831="","",IFERROR(_xludf.MAXIFS(PAYMENTS!A:A,PAYMENTS!C:C,E831),""))</f>
        <v/>
      </c>
    </row>
    <row r="832" spans="1:15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t="str">
        <f>IF(E832="","",SUMIF(PAYMENTS!C:C,E832,PAYMENTS!E:E))</f>
        <v/>
      </c>
      <c r="M832" t="str">
        <f t="shared" si="24"/>
        <v/>
      </c>
      <c r="N832" t="str">
        <f t="shared" si="25"/>
        <v/>
      </c>
      <c r="O832" t="str">
        <f>IF(E832="","",IFERROR(_xludf.MAXIFS(PAYMENTS!A:A,PAYMENTS!C:C,E832),""))</f>
        <v/>
      </c>
    </row>
    <row r="833" spans="1:15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t="str">
        <f>IF(E833="","",SUMIF(PAYMENTS!C:C,E833,PAYMENTS!E:E))</f>
        <v/>
      </c>
      <c r="M833" t="str">
        <f t="shared" si="24"/>
        <v/>
      </c>
      <c r="N833" t="str">
        <f t="shared" si="25"/>
        <v/>
      </c>
      <c r="O833" t="str">
        <f>IF(E833="","",IFERROR(_xludf.MAXIFS(PAYMENTS!A:A,PAYMENTS!C:C,E833),""))</f>
        <v/>
      </c>
    </row>
    <row r="834" spans="1:15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t="str">
        <f>IF(E834="","",SUMIF(PAYMENTS!C:C,E834,PAYMENTS!E:E))</f>
        <v/>
      </c>
      <c r="M834" t="str">
        <f t="shared" ref="M834:M897" si="26">IF(E834="","",J834-L834)</f>
        <v/>
      </c>
      <c r="N834" t="str">
        <f t="shared" ref="N834:N897" si="27">IF(E834="","",IF(M834&lt;=0,"Paid",IF(L834&gt;0,"Part Paid","Unpaid")))</f>
        <v/>
      </c>
      <c r="O834" t="str">
        <f>IF(E834="","",IFERROR(_xludf.MAXIFS(PAYMENTS!A:A,PAYMENTS!C:C,E834),""))</f>
        <v/>
      </c>
    </row>
    <row r="835" spans="1:15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t="str">
        <f>IF(E835="","",SUMIF(PAYMENTS!C:C,E835,PAYMENTS!E:E))</f>
        <v/>
      </c>
      <c r="M835" t="str">
        <f t="shared" si="26"/>
        <v/>
      </c>
      <c r="N835" t="str">
        <f t="shared" si="27"/>
        <v/>
      </c>
      <c r="O835" t="str">
        <f>IF(E835="","",IFERROR(_xludf.MAXIFS(PAYMENTS!A:A,PAYMENTS!C:C,E835),""))</f>
        <v/>
      </c>
    </row>
    <row r="836" spans="1:15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t="str">
        <f>IF(E836="","",SUMIF(PAYMENTS!C:C,E836,PAYMENTS!E:E))</f>
        <v/>
      </c>
      <c r="M836" t="str">
        <f t="shared" si="26"/>
        <v/>
      </c>
      <c r="N836" t="str">
        <f t="shared" si="27"/>
        <v/>
      </c>
      <c r="O836" t="str">
        <f>IF(E836="","",IFERROR(_xludf.MAXIFS(PAYMENTS!A:A,PAYMENTS!C:C,E836),""))</f>
        <v/>
      </c>
    </row>
    <row r="837" spans="1:15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t="str">
        <f>IF(E837="","",SUMIF(PAYMENTS!C:C,E837,PAYMENTS!E:E))</f>
        <v/>
      </c>
      <c r="M837" t="str">
        <f t="shared" si="26"/>
        <v/>
      </c>
      <c r="N837" t="str">
        <f t="shared" si="27"/>
        <v/>
      </c>
      <c r="O837" t="str">
        <f>IF(E837="","",IFERROR(_xludf.MAXIFS(PAYMENTS!A:A,PAYMENTS!C:C,E837),""))</f>
        <v/>
      </c>
    </row>
    <row r="838" spans="1:15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t="str">
        <f>IF(E838="","",SUMIF(PAYMENTS!C:C,E838,PAYMENTS!E:E))</f>
        <v/>
      </c>
      <c r="M838" t="str">
        <f t="shared" si="26"/>
        <v/>
      </c>
      <c r="N838" t="str">
        <f t="shared" si="27"/>
        <v/>
      </c>
      <c r="O838" t="str">
        <f>IF(E838="","",IFERROR(_xludf.MAXIFS(PAYMENTS!A:A,PAYMENTS!C:C,E838),""))</f>
        <v/>
      </c>
    </row>
    <row r="839" spans="1:15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t="str">
        <f>IF(E839="","",SUMIF(PAYMENTS!C:C,E839,PAYMENTS!E:E))</f>
        <v/>
      </c>
      <c r="M839" t="str">
        <f t="shared" si="26"/>
        <v/>
      </c>
      <c r="N839" t="str">
        <f t="shared" si="27"/>
        <v/>
      </c>
      <c r="O839" t="str">
        <f>IF(E839="","",IFERROR(_xludf.MAXIFS(PAYMENTS!A:A,PAYMENTS!C:C,E839),""))</f>
        <v/>
      </c>
    </row>
    <row r="840" spans="1:15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t="str">
        <f>IF(E840="","",SUMIF(PAYMENTS!C:C,E840,PAYMENTS!E:E))</f>
        <v/>
      </c>
      <c r="M840" t="str">
        <f t="shared" si="26"/>
        <v/>
      </c>
      <c r="N840" t="str">
        <f t="shared" si="27"/>
        <v/>
      </c>
      <c r="O840" t="str">
        <f>IF(E840="","",IFERROR(_xludf.MAXIFS(PAYMENTS!A:A,PAYMENTS!C:C,E840),""))</f>
        <v/>
      </c>
    </row>
    <row r="841" spans="1:15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t="str">
        <f>IF(E841="","",SUMIF(PAYMENTS!C:C,E841,PAYMENTS!E:E))</f>
        <v/>
      </c>
      <c r="M841" t="str">
        <f t="shared" si="26"/>
        <v/>
      </c>
      <c r="N841" t="str">
        <f t="shared" si="27"/>
        <v/>
      </c>
      <c r="O841" t="str">
        <f>IF(E841="","",IFERROR(_xludf.MAXIFS(PAYMENTS!A:A,PAYMENTS!C:C,E841),""))</f>
        <v/>
      </c>
    </row>
    <row r="842" spans="1:15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t="str">
        <f>IF(E842="","",SUMIF(PAYMENTS!C:C,E842,PAYMENTS!E:E))</f>
        <v/>
      </c>
      <c r="M842" t="str">
        <f t="shared" si="26"/>
        <v/>
      </c>
      <c r="N842" t="str">
        <f t="shared" si="27"/>
        <v/>
      </c>
      <c r="O842" t="str">
        <f>IF(E842="","",IFERROR(_xludf.MAXIFS(PAYMENTS!A:A,PAYMENTS!C:C,E842),""))</f>
        <v/>
      </c>
    </row>
    <row r="843" spans="1:15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t="str">
        <f>IF(E843="","",SUMIF(PAYMENTS!C:C,E843,PAYMENTS!E:E))</f>
        <v/>
      </c>
      <c r="M843" t="str">
        <f t="shared" si="26"/>
        <v/>
      </c>
      <c r="N843" t="str">
        <f t="shared" si="27"/>
        <v/>
      </c>
      <c r="O843" t="str">
        <f>IF(E843="","",IFERROR(_xludf.MAXIFS(PAYMENTS!A:A,PAYMENTS!C:C,E843),""))</f>
        <v/>
      </c>
    </row>
    <row r="844" spans="1:15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t="str">
        <f>IF(E844="","",SUMIF(PAYMENTS!C:C,E844,PAYMENTS!E:E))</f>
        <v/>
      </c>
      <c r="M844" t="str">
        <f t="shared" si="26"/>
        <v/>
      </c>
      <c r="N844" t="str">
        <f t="shared" si="27"/>
        <v/>
      </c>
      <c r="O844" t="str">
        <f>IF(E844="","",IFERROR(_xludf.MAXIFS(PAYMENTS!A:A,PAYMENTS!C:C,E844),""))</f>
        <v/>
      </c>
    </row>
    <row r="845" spans="1:15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t="str">
        <f>IF(E845="","",SUMIF(PAYMENTS!C:C,E845,PAYMENTS!E:E))</f>
        <v/>
      </c>
      <c r="M845" t="str">
        <f t="shared" si="26"/>
        <v/>
      </c>
      <c r="N845" t="str">
        <f t="shared" si="27"/>
        <v/>
      </c>
      <c r="O845" t="str">
        <f>IF(E845="","",IFERROR(_xludf.MAXIFS(PAYMENTS!A:A,PAYMENTS!C:C,E845),""))</f>
        <v/>
      </c>
    </row>
    <row r="846" spans="1:15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t="str">
        <f>IF(E846="","",SUMIF(PAYMENTS!C:C,E846,PAYMENTS!E:E))</f>
        <v/>
      </c>
      <c r="M846" t="str">
        <f t="shared" si="26"/>
        <v/>
      </c>
      <c r="N846" t="str">
        <f t="shared" si="27"/>
        <v/>
      </c>
      <c r="O846" t="str">
        <f>IF(E846="","",IFERROR(_xludf.MAXIFS(PAYMENTS!A:A,PAYMENTS!C:C,E846),""))</f>
        <v/>
      </c>
    </row>
    <row r="847" spans="1:15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t="str">
        <f>IF(E847="","",SUMIF(PAYMENTS!C:C,E847,PAYMENTS!E:E))</f>
        <v/>
      </c>
      <c r="M847" t="str">
        <f t="shared" si="26"/>
        <v/>
      </c>
      <c r="N847" t="str">
        <f t="shared" si="27"/>
        <v/>
      </c>
      <c r="O847" t="str">
        <f>IF(E847="","",IFERROR(_xludf.MAXIFS(PAYMENTS!A:A,PAYMENTS!C:C,E847),""))</f>
        <v/>
      </c>
    </row>
    <row r="848" spans="1:15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t="str">
        <f>IF(E848="","",SUMIF(PAYMENTS!C:C,E848,PAYMENTS!E:E))</f>
        <v/>
      </c>
      <c r="M848" t="str">
        <f t="shared" si="26"/>
        <v/>
      </c>
      <c r="N848" t="str">
        <f t="shared" si="27"/>
        <v/>
      </c>
      <c r="O848" t="str">
        <f>IF(E848="","",IFERROR(_xludf.MAXIFS(PAYMENTS!A:A,PAYMENTS!C:C,E848),""))</f>
        <v/>
      </c>
    </row>
    <row r="849" spans="1:15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t="str">
        <f>IF(E849="","",SUMIF(PAYMENTS!C:C,E849,PAYMENTS!E:E))</f>
        <v/>
      </c>
      <c r="M849" t="str">
        <f t="shared" si="26"/>
        <v/>
      </c>
      <c r="N849" t="str">
        <f t="shared" si="27"/>
        <v/>
      </c>
      <c r="O849" t="str">
        <f>IF(E849="","",IFERROR(_xludf.MAXIFS(PAYMENTS!A:A,PAYMENTS!C:C,E849),""))</f>
        <v/>
      </c>
    </row>
    <row r="850" spans="1:15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t="str">
        <f>IF(E850="","",SUMIF(PAYMENTS!C:C,E850,PAYMENTS!E:E))</f>
        <v/>
      </c>
      <c r="M850" t="str">
        <f t="shared" si="26"/>
        <v/>
      </c>
      <c r="N850" t="str">
        <f t="shared" si="27"/>
        <v/>
      </c>
      <c r="O850" t="str">
        <f>IF(E850="","",IFERROR(_xludf.MAXIFS(PAYMENTS!A:A,PAYMENTS!C:C,E850),""))</f>
        <v/>
      </c>
    </row>
    <row r="851" spans="1:15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t="str">
        <f>IF(E851="","",SUMIF(PAYMENTS!C:C,E851,PAYMENTS!E:E))</f>
        <v/>
      </c>
      <c r="M851" t="str">
        <f t="shared" si="26"/>
        <v/>
      </c>
      <c r="N851" t="str">
        <f t="shared" si="27"/>
        <v/>
      </c>
      <c r="O851" t="str">
        <f>IF(E851="","",IFERROR(_xludf.MAXIFS(PAYMENTS!A:A,PAYMENTS!C:C,E851),""))</f>
        <v/>
      </c>
    </row>
    <row r="852" spans="1:15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t="str">
        <f>IF(E852="","",SUMIF(PAYMENTS!C:C,E852,PAYMENTS!E:E))</f>
        <v/>
      </c>
      <c r="M852" t="str">
        <f t="shared" si="26"/>
        <v/>
      </c>
      <c r="N852" t="str">
        <f t="shared" si="27"/>
        <v/>
      </c>
      <c r="O852" t="str">
        <f>IF(E852="","",IFERROR(_xludf.MAXIFS(PAYMENTS!A:A,PAYMENTS!C:C,E852),""))</f>
        <v/>
      </c>
    </row>
    <row r="853" spans="1:15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t="str">
        <f>IF(E853="","",SUMIF(PAYMENTS!C:C,E853,PAYMENTS!E:E))</f>
        <v/>
      </c>
      <c r="M853" t="str">
        <f t="shared" si="26"/>
        <v/>
      </c>
      <c r="N853" t="str">
        <f t="shared" si="27"/>
        <v/>
      </c>
      <c r="O853" t="str">
        <f>IF(E853="","",IFERROR(_xludf.MAXIFS(PAYMENTS!A:A,PAYMENTS!C:C,E853),""))</f>
        <v/>
      </c>
    </row>
    <row r="854" spans="1:15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t="str">
        <f>IF(E854="","",SUMIF(PAYMENTS!C:C,E854,PAYMENTS!E:E))</f>
        <v/>
      </c>
      <c r="M854" t="str">
        <f t="shared" si="26"/>
        <v/>
      </c>
      <c r="N854" t="str">
        <f t="shared" si="27"/>
        <v/>
      </c>
      <c r="O854" t="str">
        <f>IF(E854="","",IFERROR(_xludf.MAXIFS(PAYMENTS!A:A,PAYMENTS!C:C,E854),""))</f>
        <v/>
      </c>
    </row>
    <row r="855" spans="1:15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t="str">
        <f>IF(E855="","",SUMIF(PAYMENTS!C:C,E855,PAYMENTS!E:E))</f>
        <v/>
      </c>
      <c r="M855" t="str">
        <f t="shared" si="26"/>
        <v/>
      </c>
      <c r="N855" t="str">
        <f t="shared" si="27"/>
        <v/>
      </c>
      <c r="O855" t="str">
        <f>IF(E855="","",IFERROR(_xludf.MAXIFS(PAYMENTS!A:A,PAYMENTS!C:C,E855),""))</f>
        <v/>
      </c>
    </row>
    <row r="856" spans="1:15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t="str">
        <f>IF(E856="","",SUMIF(PAYMENTS!C:C,E856,PAYMENTS!E:E))</f>
        <v/>
      </c>
      <c r="M856" t="str">
        <f t="shared" si="26"/>
        <v/>
      </c>
      <c r="N856" t="str">
        <f t="shared" si="27"/>
        <v/>
      </c>
      <c r="O856" t="str">
        <f>IF(E856="","",IFERROR(_xludf.MAXIFS(PAYMENTS!A:A,PAYMENTS!C:C,E856),""))</f>
        <v/>
      </c>
    </row>
    <row r="857" spans="1:15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t="str">
        <f>IF(E857="","",SUMIF(PAYMENTS!C:C,E857,PAYMENTS!E:E))</f>
        <v/>
      </c>
      <c r="M857" t="str">
        <f t="shared" si="26"/>
        <v/>
      </c>
      <c r="N857" t="str">
        <f t="shared" si="27"/>
        <v/>
      </c>
      <c r="O857" t="str">
        <f>IF(E857="","",IFERROR(_xludf.MAXIFS(PAYMENTS!A:A,PAYMENTS!C:C,E857),""))</f>
        <v/>
      </c>
    </row>
    <row r="858" spans="1:15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t="str">
        <f>IF(E858="","",SUMIF(PAYMENTS!C:C,E858,PAYMENTS!E:E))</f>
        <v/>
      </c>
      <c r="M858" t="str">
        <f t="shared" si="26"/>
        <v/>
      </c>
      <c r="N858" t="str">
        <f t="shared" si="27"/>
        <v/>
      </c>
      <c r="O858" t="str">
        <f>IF(E858="","",IFERROR(_xludf.MAXIFS(PAYMENTS!A:A,PAYMENTS!C:C,E858),""))</f>
        <v/>
      </c>
    </row>
    <row r="859" spans="1:15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t="str">
        <f>IF(E859="","",SUMIF(PAYMENTS!C:C,E859,PAYMENTS!E:E))</f>
        <v/>
      </c>
      <c r="M859" t="str">
        <f t="shared" si="26"/>
        <v/>
      </c>
      <c r="N859" t="str">
        <f t="shared" si="27"/>
        <v/>
      </c>
      <c r="O859" t="str">
        <f>IF(E859="","",IFERROR(_xludf.MAXIFS(PAYMENTS!A:A,PAYMENTS!C:C,E859),""))</f>
        <v/>
      </c>
    </row>
    <row r="860" spans="1:15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t="str">
        <f>IF(E860="","",SUMIF(PAYMENTS!C:C,E860,PAYMENTS!E:E))</f>
        <v/>
      </c>
      <c r="M860" t="str">
        <f t="shared" si="26"/>
        <v/>
      </c>
      <c r="N860" t="str">
        <f t="shared" si="27"/>
        <v/>
      </c>
      <c r="O860" t="str">
        <f>IF(E860="","",IFERROR(_xludf.MAXIFS(PAYMENTS!A:A,PAYMENTS!C:C,E860),""))</f>
        <v/>
      </c>
    </row>
    <row r="861" spans="1:15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t="str">
        <f>IF(E861="","",SUMIF(PAYMENTS!C:C,E861,PAYMENTS!E:E))</f>
        <v/>
      </c>
      <c r="M861" t="str">
        <f t="shared" si="26"/>
        <v/>
      </c>
      <c r="N861" t="str">
        <f t="shared" si="27"/>
        <v/>
      </c>
      <c r="O861" t="str">
        <f>IF(E861="","",IFERROR(_xludf.MAXIFS(PAYMENTS!A:A,PAYMENTS!C:C,E861),""))</f>
        <v/>
      </c>
    </row>
    <row r="862" spans="1:15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t="str">
        <f>IF(E862="","",SUMIF(PAYMENTS!C:C,E862,PAYMENTS!E:E))</f>
        <v/>
      </c>
      <c r="M862" t="str">
        <f t="shared" si="26"/>
        <v/>
      </c>
      <c r="N862" t="str">
        <f t="shared" si="27"/>
        <v/>
      </c>
      <c r="O862" t="str">
        <f>IF(E862="","",IFERROR(_xludf.MAXIFS(PAYMENTS!A:A,PAYMENTS!C:C,E862),""))</f>
        <v/>
      </c>
    </row>
    <row r="863" spans="1:15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t="str">
        <f>IF(E863="","",SUMIF(PAYMENTS!C:C,E863,PAYMENTS!E:E))</f>
        <v/>
      </c>
      <c r="M863" t="str">
        <f t="shared" si="26"/>
        <v/>
      </c>
      <c r="N863" t="str">
        <f t="shared" si="27"/>
        <v/>
      </c>
      <c r="O863" t="str">
        <f>IF(E863="","",IFERROR(_xludf.MAXIFS(PAYMENTS!A:A,PAYMENTS!C:C,E863),""))</f>
        <v/>
      </c>
    </row>
    <row r="864" spans="1:15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t="str">
        <f>IF(E864="","",SUMIF(PAYMENTS!C:C,E864,PAYMENTS!E:E))</f>
        <v/>
      </c>
      <c r="M864" t="str">
        <f t="shared" si="26"/>
        <v/>
      </c>
      <c r="N864" t="str">
        <f t="shared" si="27"/>
        <v/>
      </c>
      <c r="O864" t="str">
        <f>IF(E864="","",IFERROR(_xludf.MAXIFS(PAYMENTS!A:A,PAYMENTS!C:C,E864),""))</f>
        <v/>
      </c>
    </row>
    <row r="865" spans="1:15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t="str">
        <f>IF(E865="","",SUMIF(PAYMENTS!C:C,E865,PAYMENTS!E:E))</f>
        <v/>
      </c>
      <c r="M865" t="str">
        <f t="shared" si="26"/>
        <v/>
      </c>
      <c r="N865" t="str">
        <f t="shared" si="27"/>
        <v/>
      </c>
      <c r="O865" t="str">
        <f>IF(E865="","",IFERROR(_xludf.MAXIFS(PAYMENTS!A:A,PAYMENTS!C:C,E865),""))</f>
        <v/>
      </c>
    </row>
    <row r="866" spans="1:15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t="str">
        <f>IF(E866="","",SUMIF(PAYMENTS!C:C,E866,PAYMENTS!E:E))</f>
        <v/>
      </c>
      <c r="M866" t="str">
        <f t="shared" si="26"/>
        <v/>
      </c>
      <c r="N866" t="str">
        <f t="shared" si="27"/>
        <v/>
      </c>
      <c r="O866" t="str">
        <f>IF(E866="","",IFERROR(_xludf.MAXIFS(PAYMENTS!A:A,PAYMENTS!C:C,E866),""))</f>
        <v/>
      </c>
    </row>
    <row r="867" spans="1:15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t="str">
        <f>IF(E867="","",SUMIF(PAYMENTS!C:C,E867,PAYMENTS!E:E))</f>
        <v/>
      </c>
      <c r="M867" t="str">
        <f t="shared" si="26"/>
        <v/>
      </c>
      <c r="N867" t="str">
        <f t="shared" si="27"/>
        <v/>
      </c>
      <c r="O867" t="str">
        <f>IF(E867="","",IFERROR(_xludf.MAXIFS(PAYMENTS!A:A,PAYMENTS!C:C,E867),""))</f>
        <v/>
      </c>
    </row>
    <row r="868" spans="1:15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t="str">
        <f>IF(E868="","",SUMIF(PAYMENTS!C:C,E868,PAYMENTS!E:E))</f>
        <v/>
      </c>
      <c r="M868" t="str">
        <f t="shared" si="26"/>
        <v/>
      </c>
      <c r="N868" t="str">
        <f t="shared" si="27"/>
        <v/>
      </c>
      <c r="O868" t="str">
        <f>IF(E868="","",IFERROR(_xludf.MAXIFS(PAYMENTS!A:A,PAYMENTS!C:C,E868),""))</f>
        <v/>
      </c>
    </row>
    <row r="869" spans="1:15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t="str">
        <f>IF(E869="","",SUMIF(PAYMENTS!C:C,E869,PAYMENTS!E:E))</f>
        <v/>
      </c>
      <c r="M869" t="str">
        <f t="shared" si="26"/>
        <v/>
      </c>
      <c r="N869" t="str">
        <f t="shared" si="27"/>
        <v/>
      </c>
      <c r="O869" t="str">
        <f>IF(E869="","",IFERROR(_xludf.MAXIFS(PAYMENTS!A:A,PAYMENTS!C:C,E869),""))</f>
        <v/>
      </c>
    </row>
    <row r="870" spans="1:15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t="str">
        <f>IF(E870="","",SUMIF(PAYMENTS!C:C,E870,PAYMENTS!E:E))</f>
        <v/>
      </c>
      <c r="M870" t="str">
        <f t="shared" si="26"/>
        <v/>
      </c>
      <c r="N870" t="str">
        <f t="shared" si="27"/>
        <v/>
      </c>
      <c r="O870" t="str">
        <f>IF(E870="","",IFERROR(_xludf.MAXIFS(PAYMENTS!A:A,PAYMENTS!C:C,E870),""))</f>
        <v/>
      </c>
    </row>
    <row r="871" spans="1:15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t="str">
        <f>IF(E871="","",SUMIF(PAYMENTS!C:C,E871,PAYMENTS!E:E))</f>
        <v/>
      </c>
      <c r="M871" t="str">
        <f t="shared" si="26"/>
        <v/>
      </c>
      <c r="N871" t="str">
        <f t="shared" si="27"/>
        <v/>
      </c>
      <c r="O871" t="str">
        <f>IF(E871="","",IFERROR(_xludf.MAXIFS(PAYMENTS!A:A,PAYMENTS!C:C,E871),""))</f>
        <v/>
      </c>
    </row>
    <row r="872" spans="1:15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t="str">
        <f>IF(E872="","",SUMIF(PAYMENTS!C:C,E872,PAYMENTS!E:E))</f>
        <v/>
      </c>
      <c r="M872" t="str">
        <f t="shared" si="26"/>
        <v/>
      </c>
      <c r="N872" t="str">
        <f t="shared" si="27"/>
        <v/>
      </c>
      <c r="O872" t="str">
        <f>IF(E872="","",IFERROR(_xludf.MAXIFS(PAYMENTS!A:A,PAYMENTS!C:C,E872),""))</f>
        <v/>
      </c>
    </row>
    <row r="873" spans="1:15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t="str">
        <f>IF(E873="","",SUMIF(PAYMENTS!C:C,E873,PAYMENTS!E:E))</f>
        <v/>
      </c>
      <c r="M873" t="str">
        <f t="shared" si="26"/>
        <v/>
      </c>
      <c r="N873" t="str">
        <f t="shared" si="27"/>
        <v/>
      </c>
      <c r="O873" t="str">
        <f>IF(E873="","",IFERROR(_xludf.MAXIFS(PAYMENTS!A:A,PAYMENTS!C:C,E873),""))</f>
        <v/>
      </c>
    </row>
    <row r="874" spans="1:15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t="str">
        <f>IF(E874="","",SUMIF(PAYMENTS!C:C,E874,PAYMENTS!E:E))</f>
        <v/>
      </c>
      <c r="M874" t="str">
        <f t="shared" si="26"/>
        <v/>
      </c>
      <c r="N874" t="str">
        <f t="shared" si="27"/>
        <v/>
      </c>
      <c r="O874" t="str">
        <f>IF(E874="","",IFERROR(_xludf.MAXIFS(PAYMENTS!A:A,PAYMENTS!C:C,E874),""))</f>
        <v/>
      </c>
    </row>
    <row r="875" spans="1:15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t="str">
        <f>IF(E875="","",SUMIF(PAYMENTS!C:C,E875,PAYMENTS!E:E))</f>
        <v/>
      </c>
      <c r="M875" t="str">
        <f t="shared" si="26"/>
        <v/>
      </c>
      <c r="N875" t="str">
        <f t="shared" si="27"/>
        <v/>
      </c>
      <c r="O875" t="str">
        <f>IF(E875="","",IFERROR(_xludf.MAXIFS(PAYMENTS!A:A,PAYMENTS!C:C,E875),""))</f>
        <v/>
      </c>
    </row>
    <row r="876" spans="1:15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t="str">
        <f>IF(E876="","",SUMIF(PAYMENTS!C:C,E876,PAYMENTS!E:E))</f>
        <v/>
      </c>
      <c r="M876" t="str">
        <f t="shared" si="26"/>
        <v/>
      </c>
      <c r="N876" t="str">
        <f t="shared" si="27"/>
        <v/>
      </c>
      <c r="O876" t="str">
        <f>IF(E876="","",IFERROR(_xludf.MAXIFS(PAYMENTS!A:A,PAYMENTS!C:C,E876),""))</f>
        <v/>
      </c>
    </row>
    <row r="877" spans="1:15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t="str">
        <f>IF(E877="","",SUMIF(PAYMENTS!C:C,E877,PAYMENTS!E:E))</f>
        <v/>
      </c>
      <c r="M877" t="str">
        <f t="shared" si="26"/>
        <v/>
      </c>
      <c r="N877" t="str">
        <f t="shared" si="27"/>
        <v/>
      </c>
      <c r="O877" t="str">
        <f>IF(E877="","",IFERROR(_xludf.MAXIFS(PAYMENTS!A:A,PAYMENTS!C:C,E877),""))</f>
        <v/>
      </c>
    </row>
    <row r="878" spans="1:15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t="str">
        <f>IF(E878="","",SUMIF(PAYMENTS!C:C,E878,PAYMENTS!E:E))</f>
        <v/>
      </c>
      <c r="M878" t="str">
        <f t="shared" si="26"/>
        <v/>
      </c>
      <c r="N878" t="str">
        <f t="shared" si="27"/>
        <v/>
      </c>
      <c r="O878" t="str">
        <f>IF(E878="","",IFERROR(_xludf.MAXIFS(PAYMENTS!A:A,PAYMENTS!C:C,E878),""))</f>
        <v/>
      </c>
    </row>
    <row r="879" spans="1:15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t="str">
        <f>IF(E879="","",SUMIF(PAYMENTS!C:C,E879,PAYMENTS!E:E))</f>
        <v/>
      </c>
      <c r="M879" t="str">
        <f t="shared" si="26"/>
        <v/>
      </c>
      <c r="N879" t="str">
        <f t="shared" si="27"/>
        <v/>
      </c>
      <c r="O879" t="str">
        <f>IF(E879="","",IFERROR(_xludf.MAXIFS(PAYMENTS!A:A,PAYMENTS!C:C,E879),""))</f>
        <v/>
      </c>
    </row>
    <row r="880" spans="1:15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t="str">
        <f>IF(E880="","",SUMIF(PAYMENTS!C:C,E880,PAYMENTS!E:E))</f>
        <v/>
      </c>
      <c r="M880" t="str">
        <f t="shared" si="26"/>
        <v/>
      </c>
      <c r="N880" t="str">
        <f t="shared" si="27"/>
        <v/>
      </c>
      <c r="O880" t="str">
        <f>IF(E880="","",IFERROR(_xludf.MAXIFS(PAYMENTS!A:A,PAYMENTS!C:C,E880),""))</f>
        <v/>
      </c>
    </row>
    <row r="881" spans="1:15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t="str">
        <f>IF(E881="","",SUMIF(PAYMENTS!C:C,E881,PAYMENTS!E:E))</f>
        <v/>
      </c>
      <c r="M881" t="str">
        <f t="shared" si="26"/>
        <v/>
      </c>
      <c r="N881" t="str">
        <f t="shared" si="27"/>
        <v/>
      </c>
      <c r="O881" t="str">
        <f>IF(E881="","",IFERROR(_xludf.MAXIFS(PAYMENTS!A:A,PAYMENTS!C:C,E881),""))</f>
        <v/>
      </c>
    </row>
    <row r="882" spans="1:15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t="str">
        <f>IF(E882="","",SUMIF(PAYMENTS!C:C,E882,PAYMENTS!E:E))</f>
        <v/>
      </c>
      <c r="M882" t="str">
        <f t="shared" si="26"/>
        <v/>
      </c>
      <c r="N882" t="str">
        <f t="shared" si="27"/>
        <v/>
      </c>
      <c r="O882" t="str">
        <f>IF(E882="","",IFERROR(_xludf.MAXIFS(PAYMENTS!A:A,PAYMENTS!C:C,E882),""))</f>
        <v/>
      </c>
    </row>
    <row r="883" spans="1:15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t="str">
        <f>IF(E883="","",SUMIF(PAYMENTS!C:C,E883,PAYMENTS!E:E))</f>
        <v/>
      </c>
      <c r="M883" t="str">
        <f t="shared" si="26"/>
        <v/>
      </c>
      <c r="N883" t="str">
        <f t="shared" si="27"/>
        <v/>
      </c>
      <c r="O883" t="str">
        <f>IF(E883="","",IFERROR(_xludf.MAXIFS(PAYMENTS!A:A,PAYMENTS!C:C,E883),""))</f>
        <v/>
      </c>
    </row>
    <row r="884" spans="1:15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t="str">
        <f>IF(E884="","",SUMIF(PAYMENTS!C:C,E884,PAYMENTS!E:E))</f>
        <v/>
      </c>
      <c r="M884" t="str">
        <f t="shared" si="26"/>
        <v/>
      </c>
      <c r="N884" t="str">
        <f t="shared" si="27"/>
        <v/>
      </c>
      <c r="O884" t="str">
        <f>IF(E884="","",IFERROR(_xludf.MAXIFS(PAYMENTS!A:A,PAYMENTS!C:C,E884),""))</f>
        <v/>
      </c>
    </row>
    <row r="885" spans="1:15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t="str">
        <f>IF(E885="","",SUMIF(PAYMENTS!C:C,E885,PAYMENTS!E:E))</f>
        <v/>
      </c>
      <c r="M885" t="str">
        <f t="shared" si="26"/>
        <v/>
      </c>
      <c r="N885" t="str">
        <f t="shared" si="27"/>
        <v/>
      </c>
      <c r="O885" t="str">
        <f>IF(E885="","",IFERROR(_xludf.MAXIFS(PAYMENTS!A:A,PAYMENTS!C:C,E885),""))</f>
        <v/>
      </c>
    </row>
    <row r="886" spans="1:15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t="str">
        <f>IF(E886="","",SUMIF(PAYMENTS!C:C,E886,PAYMENTS!E:E))</f>
        <v/>
      </c>
      <c r="M886" t="str">
        <f t="shared" si="26"/>
        <v/>
      </c>
      <c r="N886" t="str">
        <f t="shared" si="27"/>
        <v/>
      </c>
      <c r="O886" t="str">
        <f>IF(E886="","",IFERROR(_xludf.MAXIFS(PAYMENTS!A:A,PAYMENTS!C:C,E886),""))</f>
        <v/>
      </c>
    </row>
    <row r="887" spans="1:15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t="str">
        <f>IF(E887="","",SUMIF(PAYMENTS!C:C,E887,PAYMENTS!E:E))</f>
        <v/>
      </c>
      <c r="M887" t="str">
        <f t="shared" si="26"/>
        <v/>
      </c>
      <c r="N887" t="str">
        <f t="shared" si="27"/>
        <v/>
      </c>
      <c r="O887" t="str">
        <f>IF(E887="","",IFERROR(_xludf.MAXIFS(PAYMENTS!A:A,PAYMENTS!C:C,E887),""))</f>
        <v/>
      </c>
    </row>
    <row r="888" spans="1:15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t="str">
        <f>IF(E888="","",SUMIF(PAYMENTS!C:C,E888,PAYMENTS!E:E))</f>
        <v/>
      </c>
      <c r="M888" t="str">
        <f t="shared" si="26"/>
        <v/>
      </c>
      <c r="N888" t="str">
        <f t="shared" si="27"/>
        <v/>
      </c>
      <c r="O888" t="str">
        <f>IF(E888="","",IFERROR(_xludf.MAXIFS(PAYMENTS!A:A,PAYMENTS!C:C,E888),""))</f>
        <v/>
      </c>
    </row>
    <row r="889" spans="1:15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t="str">
        <f>IF(E889="","",SUMIF(PAYMENTS!C:C,E889,PAYMENTS!E:E))</f>
        <v/>
      </c>
      <c r="M889" t="str">
        <f t="shared" si="26"/>
        <v/>
      </c>
      <c r="N889" t="str">
        <f t="shared" si="27"/>
        <v/>
      </c>
      <c r="O889" t="str">
        <f>IF(E889="","",IFERROR(_xludf.MAXIFS(PAYMENTS!A:A,PAYMENTS!C:C,E889),""))</f>
        <v/>
      </c>
    </row>
    <row r="890" spans="1:15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t="str">
        <f>IF(E890="","",SUMIF(PAYMENTS!C:C,E890,PAYMENTS!E:E))</f>
        <v/>
      </c>
      <c r="M890" t="str">
        <f t="shared" si="26"/>
        <v/>
      </c>
      <c r="N890" t="str">
        <f t="shared" si="27"/>
        <v/>
      </c>
      <c r="O890" t="str">
        <f>IF(E890="","",IFERROR(_xludf.MAXIFS(PAYMENTS!A:A,PAYMENTS!C:C,E890),""))</f>
        <v/>
      </c>
    </row>
    <row r="891" spans="1:15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t="str">
        <f>IF(E891="","",SUMIF(PAYMENTS!C:C,E891,PAYMENTS!E:E))</f>
        <v/>
      </c>
      <c r="M891" t="str">
        <f t="shared" si="26"/>
        <v/>
      </c>
      <c r="N891" t="str">
        <f t="shared" si="27"/>
        <v/>
      </c>
      <c r="O891" t="str">
        <f>IF(E891="","",IFERROR(_xludf.MAXIFS(PAYMENTS!A:A,PAYMENTS!C:C,E891),""))</f>
        <v/>
      </c>
    </row>
    <row r="892" spans="1:15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t="str">
        <f>IF(E892="","",SUMIF(PAYMENTS!C:C,E892,PAYMENTS!E:E))</f>
        <v/>
      </c>
      <c r="M892" t="str">
        <f t="shared" si="26"/>
        <v/>
      </c>
      <c r="N892" t="str">
        <f t="shared" si="27"/>
        <v/>
      </c>
      <c r="O892" t="str">
        <f>IF(E892="","",IFERROR(_xludf.MAXIFS(PAYMENTS!A:A,PAYMENTS!C:C,E892),""))</f>
        <v/>
      </c>
    </row>
    <row r="893" spans="1:15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t="str">
        <f>IF(E893="","",SUMIF(PAYMENTS!C:C,E893,PAYMENTS!E:E))</f>
        <v/>
      </c>
      <c r="M893" t="str">
        <f t="shared" si="26"/>
        <v/>
      </c>
      <c r="N893" t="str">
        <f t="shared" si="27"/>
        <v/>
      </c>
      <c r="O893" t="str">
        <f>IF(E893="","",IFERROR(_xludf.MAXIFS(PAYMENTS!A:A,PAYMENTS!C:C,E893),""))</f>
        <v/>
      </c>
    </row>
    <row r="894" spans="1:15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t="str">
        <f>IF(E894="","",SUMIF(PAYMENTS!C:C,E894,PAYMENTS!E:E))</f>
        <v/>
      </c>
      <c r="M894" t="str">
        <f t="shared" si="26"/>
        <v/>
      </c>
      <c r="N894" t="str">
        <f t="shared" si="27"/>
        <v/>
      </c>
      <c r="O894" t="str">
        <f>IF(E894="","",IFERROR(_xludf.MAXIFS(PAYMENTS!A:A,PAYMENTS!C:C,E894),""))</f>
        <v/>
      </c>
    </row>
    <row r="895" spans="1:15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t="str">
        <f>IF(E895="","",SUMIF(PAYMENTS!C:C,E895,PAYMENTS!E:E))</f>
        <v/>
      </c>
      <c r="M895" t="str">
        <f t="shared" si="26"/>
        <v/>
      </c>
      <c r="N895" t="str">
        <f t="shared" si="27"/>
        <v/>
      </c>
      <c r="O895" t="str">
        <f>IF(E895="","",IFERROR(_xludf.MAXIFS(PAYMENTS!A:A,PAYMENTS!C:C,E895),""))</f>
        <v/>
      </c>
    </row>
    <row r="896" spans="1:15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t="str">
        <f>IF(E896="","",SUMIF(PAYMENTS!C:C,E896,PAYMENTS!E:E))</f>
        <v/>
      </c>
      <c r="M896" t="str">
        <f t="shared" si="26"/>
        <v/>
      </c>
      <c r="N896" t="str">
        <f t="shared" si="27"/>
        <v/>
      </c>
      <c r="O896" t="str">
        <f>IF(E896="","",IFERROR(_xludf.MAXIFS(PAYMENTS!A:A,PAYMENTS!C:C,E896),""))</f>
        <v/>
      </c>
    </row>
    <row r="897" spans="1:15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t="str">
        <f>IF(E897="","",SUMIF(PAYMENTS!C:C,E897,PAYMENTS!E:E))</f>
        <v/>
      </c>
      <c r="M897" t="str">
        <f t="shared" si="26"/>
        <v/>
      </c>
      <c r="N897" t="str">
        <f t="shared" si="27"/>
        <v/>
      </c>
      <c r="O897" t="str">
        <f>IF(E897="","",IFERROR(_xludf.MAXIFS(PAYMENTS!A:A,PAYMENTS!C:C,E897),""))</f>
        <v/>
      </c>
    </row>
    <row r="898" spans="1:15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t="str">
        <f>IF(E898="","",SUMIF(PAYMENTS!C:C,E898,PAYMENTS!E:E))</f>
        <v/>
      </c>
      <c r="M898" t="str">
        <f t="shared" ref="M898:M961" si="28">IF(E898="","",J898-L898)</f>
        <v/>
      </c>
      <c r="N898" t="str">
        <f t="shared" ref="N898:N961" si="29">IF(E898="","",IF(M898&lt;=0,"Paid",IF(L898&gt;0,"Part Paid","Unpaid")))</f>
        <v/>
      </c>
      <c r="O898" t="str">
        <f>IF(E898="","",IFERROR(_xludf.MAXIFS(PAYMENTS!A:A,PAYMENTS!C:C,E898),""))</f>
        <v/>
      </c>
    </row>
    <row r="899" spans="1:15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t="str">
        <f>IF(E899="","",SUMIF(PAYMENTS!C:C,E899,PAYMENTS!E:E))</f>
        <v/>
      </c>
      <c r="M899" t="str">
        <f t="shared" si="28"/>
        <v/>
      </c>
      <c r="N899" t="str">
        <f t="shared" si="29"/>
        <v/>
      </c>
      <c r="O899" t="str">
        <f>IF(E899="","",IFERROR(_xludf.MAXIFS(PAYMENTS!A:A,PAYMENTS!C:C,E899),""))</f>
        <v/>
      </c>
    </row>
    <row r="900" spans="1:15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t="str">
        <f>IF(E900="","",SUMIF(PAYMENTS!C:C,E900,PAYMENTS!E:E))</f>
        <v/>
      </c>
      <c r="M900" t="str">
        <f t="shared" si="28"/>
        <v/>
      </c>
      <c r="N900" t="str">
        <f t="shared" si="29"/>
        <v/>
      </c>
      <c r="O900" t="str">
        <f>IF(E900="","",IFERROR(_xludf.MAXIFS(PAYMENTS!A:A,PAYMENTS!C:C,E900),""))</f>
        <v/>
      </c>
    </row>
    <row r="901" spans="1:15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t="str">
        <f>IF(E901="","",SUMIF(PAYMENTS!C:C,E901,PAYMENTS!E:E))</f>
        <v/>
      </c>
      <c r="M901" t="str">
        <f t="shared" si="28"/>
        <v/>
      </c>
      <c r="N901" t="str">
        <f t="shared" si="29"/>
        <v/>
      </c>
      <c r="O901" t="str">
        <f>IF(E901="","",IFERROR(_xludf.MAXIFS(PAYMENTS!A:A,PAYMENTS!C:C,E901),""))</f>
        <v/>
      </c>
    </row>
    <row r="902" spans="1:15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t="str">
        <f>IF(E902="","",SUMIF(PAYMENTS!C:C,E902,PAYMENTS!E:E))</f>
        <v/>
      </c>
      <c r="M902" t="str">
        <f t="shared" si="28"/>
        <v/>
      </c>
      <c r="N902" t="str">
        <f t="shared" si="29"/>
        <v/>
      </c>
      <c r="O902" t="str">
        <f>IF(E902="","",IFERROR(_xludf.MAXIFS(PAYMENTS!A:A,PAYMENTS!C:C,E902),""))</f>
        <v/>
      </c>
    </row>
    <row r="903" spans="1:15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t="str">
        <f>IF(E903="","",SUMIF(PAYMENTS!C:C,E903,PAYMENTS!E:E))</f>
        <v/>
      </c>
      <c r="M903" t="str">
        <f t="shared" si="28"/>
        <v/>
      </c>
      <c r="N903" t="str">
        <f t="shared" si="29"/>
        <v/>
      </c>
      <c r="O903" t="str">
        <f>IF(E903="","",IFERROR(_xludf.MAXIFS(PAYMENTS!A:A,PAYMENTS!C:C,E903),""))</f>
        <v/>
      </c>
    </row>
    <row r="904" spans="1:15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t="str">
        <f>IF(E904="","",SUMIF(PAYMENTS!C:C,E904,PAYMENTS!E:E))</f>
        <v/>
      </c>
      <c r="M904" t="str">
        <f t="shared" si="28"/>
        <v/>
      </c>
      <c r="N904" t="str">
        <f t="shared" si="29"/>
        <v/>
      </c>
      <c r="O904" t="str">
        <f>IF(E904="","",IFERROR(_xludf.MAXIFS(PAYMENTS!A:A,PAYMENTS!C:C,E904),""))</f>
        <v/>
      </c>
    </row>
    <row r="905" spans="1:15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t="str">
        <f>IF(E905="","",SUMIF(PAYMENTS!C:C,E905,PAYMENTS!E:E))</f>
        <v/>
      </c>
      <c r="M905" t="str">
        <f t="shared" si="28"/>
        <v/>
      </c>
      <c r="N905" t="str">
        <f t="shared" si="29"/>
        <v/>
      </c>
      <c r="O905" t="str">
        <f>IF(E905="","",IFERROR(_xludf.MAXIFS(PAYMENTS!A:A,PAYMENTS!C:C,E905),""))</f>
        <v/>
      </c>
    </row>
    <row r="906" spans="1:15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t="str">
        <f>IF(E906="","",SUMIF(PAYMENTS!C:C,E906,PAYMENTS!E:E))</f>
        <v/>
      </c>
      <c r="M906" t="str">
        <f t="shared" si="28"/>
        <v/>
      </c>
      <c r="N906" t="str">
        <f t="shared" si="29"/>
        <v/>
      </c>
      <c r="O906" t="str">
        <f>IF(E906="","",IFERROR(_xludf.MAXIFS(PAYMENTS!A:A,PAYMENTS!C:C,E906),""))</f>
        <v/>
      </c>
    </row>
    <row r="907" spans="1:15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t="str">
        <f>IF(E907="","",SUMIF(PAYMENTS!C:C,E907,PAYMENTS!E:E))</f>
        <v/>
      </c>
      <c r="M907" t="str">
        <f t="shared" si="28"/>
        <v/>
      </c>
      <c r="N907" t="str">
        <f t="shared" si="29"/>
        <v/>
      </c>
      <c r="O907" t="str">
        <f>IF(E907="","",IFERROR(_xludf.MAXIFS(PAYMENTS!A:A,PAYMENTS!C:C,E907),""))</f>
        <v/>
      </c>
    </row>
    <row r="908" spans="1:15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t="str">
        <f>IF(E908="","",SUMIF(PAYMENTS!C:C,E908,PAYMENTS!E:E))</f>
        <v/>
      </c>
      <c r="M908" t="str">
        <f t="shared" si="28"/>
        <v/>
      </c>
      <c r="N908" t="str">
        <f t="shared" si="29"/>
        <v/>
      </c>
      <c r="O908" t="str">
        <f>IF(E908="","",IFERROR(_xludf.MAXIFS(PAYMENTS!A:A,PAYMENTS!C:C,E908),""))</f>
        <v/>
      </c>
    </row>
    <row r="909" spans="1:15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t="str">
        <f>IF(E909="","",SUMIF(PAYMENTS!C:C,E909,PAYMENTS!E:E))</f>
        <v/>
      </c>
      <c r="M909" t="str">
        <f t="shared" si="28"/>
        <v/>
      </c>
      <c r="N909" t="str">
        <f t="shared" si="29"/>
        <v/>
      </c>
      <c r="O909" t="str">
        <f>IF(E909="","",IFERROR(_xludf.MAXIFS(PAYMENTS!A:A,PAYMENTS!C:C,E909),""))</f>
        <v/>
      </c>
    </row>
    <row r="910" spans="1:15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t="str">
        <f>IF(E910="","",SUMIF(PAYMENTS!C:C,E910,PAYMENTS!E:E))</f>
        <v/>
      </c>
      <c r="M910" t="str">
        <f t="shared" si="28"/>
        <v/>
      </c>
      <c r="N910" t="str">
        <f t="shared" si="29"/>
        <v/>
      </c>
      <c r="O910" t="str">
        <f>IF(E910="","",IFERROR(_xludf.MAXIFS(PAYMENTS!A:A,PAYMENTS!C:C,E910),""))</f>
        <v/>
      </c>
    </row>
    <row r="911" spans="1:15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t="str">
        <f>IF(E911="","",SUMIF(PAYMENTS!C:C,E911,PAYMENTS!E:E))</f>
        <v/>
      </c>
      <c r="M911" t="str">
        <f t="shared" si="28"/>
        <v/>
      </c>
      <c r="N911" t="str">
        <f t="shared" si="29"/>
        <v/>
      </c>
      <c r="O911" t="str">
        <f>IF(E911="","",IFERROR(_xludf.MAXIFS(PAYMENTS!A:A,PAYMENTS!C:C,E911),""))</f>
        <v/>
      </c>
    </row>
    <row r="912" spans="1:15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t="str">
        <f>IF(E912="","",SUMIF(PAYMENTS!C:C,E912,PAYMENTS!E:E))</f>
        <v/>
      </c>
      <c r="M912" t="str">
        <f t="shared" si="28"/>
        <v/>
      </c>
      <c r="N912" t="str">
        <f t="shared" si="29"/>
        <v/>
      </c>
      <c r="O912" t="str">
        <f>IF(E912="","",IFERROR(_xludf.MAXIFS(PAYMENTS!A:A,PAYMENTS!C:C,E912),""))</f>
        <v/>
      </c>
    </row>
    <row r="913" spans="1:15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t="str">
        <f>IF(E913="","",SUMIF(PAYMENTS!C:C,E913,PAYMENTS!E:E))</f>
        <v/>
      </c>
      <c r="M913" t="str">
        <f t="shared" si="28"/>
        <v/>
      </c>
      <c r="N913" t="str">
        <f t="shared" si="29"/>
        <v/>
      </c>
      <c r="O913" t="str">
        <f>IF(E913="","",IFERROR(_xludf.MAXIFS(PAYMENTS!A:A,PAYMENTS!C:C,E913),""))</f>
        <v/>
      </c>
    </row>
    <row r="914" spans="1:15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t="str">
        <f>IF(E914="","",SUMIF(PAYMENTS!C:C,E914,PAYMENTS!E:E))</f>
        <v/>
      </c>
      <c r="M914" t="str">
        <f t="shared" si="28"/>
        <v/>
      </c>
      <c r="N914" t="str">
        <f t="shared" si="29"/>
        <v/>
      </c>
      <c r="O914" t="str">
        <f>IF(E914="","",IFERROR(_xludf.MAXIFS(PAYMENTS!A:A,PAYMENTS!C:C,E914),""))</f>
        <v/>
      </c>
    </row>
    <row r="915" spans="1:15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t="str">
        <f>IF(E915="","",SUMIF(PAYMENTS!C:C,E915,PAYMENTS!E:E))</f>
        <v/>
      </c>
      <c r="M915" t="str">
        <f t="shared" si="28"/>
        <v/>
      </c>
      <c r="N915" t="str">
        <f t="shared" si="29"/>
        <v/>
      </c>
      <c r="O915" t="str">
        <f>IF(E915="","",IFERROR(_xludf.MAXIFS(PAYMENTS!A:A,PAYMENTS!C:C,E915),""))</f>
        <v/>
      </c>
    </row>
    <row r="916" spans="1:15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t="str">
        <f>IF(E916="","",SUMIF(PAYMENTS!C:C,E916,PAYMENTS!E:E))</f>
        <v/>
      </c>
      <c r="M916" t="str">
        <f t="shared" si="28"/>
        <v/>
      </c>
      <c r="N916" t="str">
        <f t="shared" si="29"/>
        <v/>
      </c>
      <c r="O916" t="str">
        <f>IF(E916="","",IFERROR(_xludf.MAXIFS(PAYMENTS!A:A,PAYMENTS!C:C,E916),""))</f>
        <v/>
      </c>
    </row>
    <row r="917" spans="1:15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t="str">
        <f>IF(E917="","",SUMIF(PAYMENTS!C:C,E917,PAYMENTS!E:E))</f>
        <v/>
      </c>
      <c r="M917" t="str">
        <f t="shared" si="28"/>
        <v/>
      </c>
      <c r="N917" t="str">
        <f t="shared" si="29"/>
        <v/>
      </c>
      <c r="O917" t="str">
        <f>IF(E917="","",IFERROR(_xludf.MAXIFS(PAYMENTS!A:A,PAYMENTS!C:C,E917),""))</f>
        <v/>
      </c>
    </row>
    <row r="918" spans="1:15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t="str">
        <f>IF(E918="","",SUMIF(PAYMENTS!C:C,E918,PAYMENTS!E:E))</f>
        <v/>
      </c>
      <c r="M918" t="str">
        <f t="shared" si="28"/>
        <v/>
      </c>
      <c r="N918" t="str">
        <f t="shared" si="29"/>
        <v/>
      </c>
      <c r="O918" t="str">
        <f>IF(E918="","",IFERROR(_xludf.MAXIFS(PAYMENTS!A:A,PAYMENTS!C:C,E918),""))</f>
        <v/>
      </c>
    </row>
    <row r="919" spans="1:15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t="str">
        <f>IF(E919="","",SUMIF(PAYMENTS!C:C,E919,PAYMENTS!E:E))</f>
        <v/>
      </c>
      <c r="M919" t="str">
        <f t="shared" si="28"/>
        <v/>
      </c>
      <c r="N919" t="str">
        <f t="shared" si="29"/>
        <v/>
      </c>
      <c r="O919" t="str">
        <f>IF(E919="","",IFERROR(_xludf.MAXIFS(PAYMENTS!A:A,PAYMENTS!C:C,E919),""))</f>
        <v/>
      </c>
    </row>
    <row r="920" spans="1:15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t="str">
        <f>IF(E920="","",SUMIF(PAYMENTS!C:C,E920,PAYMENTS!E:E))</f>
        <v/>
      </c>
      <c r="M920" t="str">
        <f t="shared" si="28"/>
        <v/>
      </c>
      <c r="N920" t="str">
        <f t="shared" si="29"/>
        <v/>
      </c>
      <c r="O920" t="str">
        <f>IF(E920="","",IFERROR(_xludf.MAXIFS(PAYMENTS!A:A,PAYMENTS!C:C,E920),""))</f>
        <v/>
      </c>
    </row>
    <row r="921" spans="1:15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t="str">
        <f>IF(E921="","",SUMIF(PAYMENTS!C:C,E921,PAYMENTS!E:E))</f>
        <v/>
      </c>
      <c r="M921" t="str">
        <f t="shared" si="28"/>
        <v/>
      </c>
      <c r="N921" t="str">
        <f t="shared" si="29"/>
        <v/>
      </c>
      <c r="O921" t="str">
        <f>IF(E921="","",IFERROR(_xludf.MAXIFS(PAYMENTS!A:A,PAYMENTS!C:C,E921),""))</f>
        <v/>
      </c>
    </row>
    <row r="922" spans="1:15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t="str">
        <f>IF(E922="","",SUMIF(PAYMENTS!C:C,E922,PAYMENTS!E:E))</f>
        <v/>
      </c>
      <c r="M922" t="str">
        <f t="shared" si="28"/>
        <v/>
      </c>
      <c r="N922" t="str">
        <f t="shared" si="29"/>
        <v/>
      </c>
      <c r="O922" t="str">
        <f>IF(E922="","",IFERROR(_xludf.MAXIFS(PAYMENTS!A:A,PAYMENTS!C:C,E922),""))</f>
        <v/>
      </c>
    </row>
    <row r="923" spans="1:15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t="str">
        <f>IF(E923="","",SUMIF(PAYMENTS!C:C,E923,PAYMENTS!E:E))</f>
        <v/>
      </c>
      <c r="M923" t="str">
        <f t="shared" si="28"/>
        <v/>
      </c>
      <c r="N923" t="str">
        <f t="shared" si="29"/>
        <v/>
      </c>
      <c r="O923" t="str">
        <f>IF(E923="","",IFERROR(_xludf.MAXIFS(PAYMENTS!A:A,PAYMENTS!C:C,E923),""))</f>
        <v/>
      </c>
    </row>
    <row r="924" spans="1:15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t="str">
        <f>IF(E924="","",SUMIF(PAYMENTS!C:C,E924,PAYMENTS!E:E))</f>
        <v/>
      </c>
      <c r="M924" t="str">
        <f t="shared" si="28"/>
        <v/>
      </c>
      <c r="N924" t="str">
        <f t="shared" si="29"/>
        <v/>
      </c>
      <c r="O924" t="str">
        <f>IF(E924="","",IFERROR(_xludf.MAXIFS(PAYMENTS!A:A,PAYMENTS!C:C,E924),""))</f>
        <v/>
      </c>
    </row>
    <row r="925" spans="1:15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t="str">
        <f>IF(E925="","",SUMIF(PAYMENTS!C:C,E925,PAYMENTS!E:E))</f>
        <v/>
      </c>
      <c r="M925" t="str">
        <f t="shared" si="28"/>
        <v/>
      </c>
      <c r="N925" t="str">
        <f t="shared" si="29"/>
        <v/>
      </c>
      <c r="O925" t="str">
        <f>IF(E925="","",IFERROR(_xludf.MAXIFS(PAYMENTS!A:A,PAYMENTS!C:C,E925),""))</f>
        <v/>
      </c>
    </row>
    <row r="926" spans="1:15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t="str">
        <f>IF(E926="","",SUMIF(PAYMENTS!C:C,E926,PAYMENTS!E:E))</f>
        <v/>
      </c>
      <c r="M926" t="str">
        <f t="shared" si="28"/>
        <v/>
      </c>
      <c r="N926" t="str">
        <f t="shared" si="29"/>
        <v/>
      </c>
      <c r="O926" t="str">
        <f>IF(E926="","",IFERROR(_xludf.MAXIFS(PAYMENTS!A:A,PAYMENTS!C:C,E926),""))</f>
        <v/>
      </c>
    </row>
    <row r="927" spans="1:15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t="str">
        <f>IF(E927="","",SUMIF(PAYMENTS!C:C,E927,PAYMENTS!E:E))</f>
        <v/>
      </c>
      <c r="M927" t="str">
        <f t="shared" si="28"/>
        <v/>
      </c>
      <c r="N927" t="str">
        <f t="shared" si="29"/>
        <v/>
      </c>
      <c r="O927" t="str">
        <f>IF(E927="","",IFERROR(_xludf.MAXIFS(PAYMENTS!A:A,PAYMENTS!C:C,E927),""))</f>
        <v/>
      </c>
    </row>
    <row r="928" spans="1:15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t="str">
        <f>IF(E928="","",SUMIF(PAYMENTS!C:C,E928,PAYMENTS!E:E))</f>
        <v/>
      </c>
      <c r="M928" t="str">
        <f t="shared" si="28"/>
        <v/>
      </c>
      <c r="N928" t="str">
        <f t="shared" si="29"/>
        <v/>
      </c>
      <c r="O928" t="str">
        <f>IF(E928="","",IFERROR(_xludf.MAXIFS(PAYMENTS!A:A,PAYMENTS!C:C,E928),""))</f>
        <v/>
      </c>
    </row>
    <row r="929" spans="1:15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t="str">
        <f>IF(E929="","",SUMIF(PAYMENTS!C:C,E929,PAYMENTS!E:E))</f>
        <v/>
      </c>
      <c r="M929" t="str">
        <f t="shared" si="28"/>
        <v/>
      </c>
      <c r="N929" t="str">
        <f t="shared" si="29"/>
        <v/>
      </c>
      <c r="O929" t="str">
        <f>IF(E929="","",IFERROR(_xludf.MAXIFS(PAYMENTS!A:A,PAYMENTS!C:C,E929),""))</f>
        <v/>
      </c>
    </row>
    <row r="930" spans="1:15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t="str">
        <f>IF(E930="","",SUMIF(PAYMENTS!C:C,E930,PAYMENTS!E:E))</f>
        <v/>
      </c>
      <c r="M930" t="str">
        <f t="shared" si="28"/>
        <v/>
      </c>
      <c r="N930" t="str">
        <f t="shared" si="29"/>
        <v/>
      </c>
      <c r="O930" t="str">
        <f>IF(E930="","",IFERROR(_xludf.MAXIFS(PAYMENTS!A:A,PAYMENTS!C:C,E930),""))</f>
        <v/>
      </c>
    </row>
    <row r="931" spans="1:15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t="str">
        <f>IF(E931="","",SUMIF(PAYMENTS!C:C,E931,PAYMENTS!E:E))</f>
        <v/>
      </c>
      <c r="M931" t="str">
        <f t="shared" si="28"/>
        <v/>
      </c>
      <c r="N931" t="str">
        <f t="shared" si="29"/>
        <v/>
      </c>
      <c r="O931" t="str">
        <f>IF(E931="","",IFERROR(_xludf.MAXIFS(PAYMENTS!A:A,PAYMENTS!C:C,E931),""))</f>
        <v/>
      </c>
    </row>
    <row r="932" spans="1:15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t="str">
        <f>IF(E932="","",SUMIF(PAYMENTS!C:C,E932,PAYMENTS!E:E))</f>
        <v/>
      </c>
      <c r="M932" t="str">
        <f t="shared" si="28"/>
        <v/>
      </c>
      <c r="N932" t="str">
        <f t="shared" si="29"/>
        <v/>
      </c>
      <c r="O932" t="str">
        <f>IF(E932="","",IFERROR(_xludf.MAXIFS(PAYMENTS!A:A,PAYMENTS!C:C,E932),""))</f>
        <v/>
      </c>
    </row>
    <row r="933" spans="1:15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t="str">
        <f>IF(E933="","",SUMIF(PAYMENTS!C:C,E933,PAYMENTS!E:E))</f>
        <v/>
      </c>
      <c r="M933" t="str">
        <f t="shared" si="28"/>
        <v/>
      </c>
      <c r="N933" t="str">
        <f t="shared" si="29"/>
        <v/>
      </c>
      <c r="O933" t="str">
        <f>IF(E933="","",IFERROR(_xludf.MAXIFS(PAYMENTS!A:A,PAYMENTS!C:C,E933),""))</f>
        <v/>
      </c>
    </row>
    <row r="934" spans="1:15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t="str">
        <f>IF(E934="","",SUMIF(PAYMENTS!C:C,E934,PAYMENTS!E:E))</f>
        <v/>
      </c>
      <c r="M934" t="str">
        <f t="shared" si="28"/>
        <v/>
      </c>
      <c r="N934" t="str">
        <f t="shared" si="29"/>
        <v/>
      </c>
      <c r="O934" t="str">
        <f>IF(E934="","",IFERROR(_xludf.MAXIFS(PAYMENTS!A:A,PAYMENTS!C:C,E934),""))</f>
        <v/>
      </c>
    </row>
    <row r="935" spans="1:15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t="str">
        <f>IF(E935="","",SUMIF(PAYMENTS!C:C,E935,PAYMENTS!E:E))</f>
        <v/>
      </c>
      <c r="M935" t="str">
        <f t="shared" si="28"/>
        <v/>
      </c>
      <c r="N935" t="str">
        <f t="shared" si="29"/>
        <v/>
      </c>
      <c r="O935" t="str">
        <f>IF(E935="","",IFERROR(_xludf.MAXIFS(PAYMENTS!A:A,PAYMENTS!C:C,E935),""))</f>
        <v/>
      </c>
    </row>
    <row r="936" spans="1:15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t="str">
        <f>IF(E936="","",SUMIF(PAYMENTS!C:C,E936,PAYMENTS!E:E))</f>
        <v/>
      </c>
      <c r="M936" t="str">
        <f t="shared" si="28"/>
        <v/>
      </c>
      <c r="N936" t="str">
        <f t="shared" si="29"/>
        <v/>
      </c>
      <c r="O936" t="str">
        <f>IF(E936="","",IFERROR(_xludf.MAXIFS(PAYMENTS!A:A,PAYMENTS!C:C,E936),""))</f>
        <v/>
      </c>
    </row>
    <row r="937" spans="1:15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t="str">
        <f>IF(E937="","",SUMIF(PAYMENTS!C:C,E937,PAYMENTS!E:E))</f>
        <v/>
      </c>
      <c r="M937" t="str">
        <f t="shared" si="28"/>
        <v/>
      </c>
      <c r="N937" t="str">
        <f t="shared" si="29"/>
        <v/>
      </c>
      <c r="O937" t="str">
        <f>IF(E937="","",IFERROR(_xludf.MAXIFS(PAYMENTS!A:A,PAYMENTS!C:C,E937),""))</f>
        <v/>
      </c>
    </row>
    <row r="938" spans="1:15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t="str">
        <f>IF(E938="","",SUMIF(PAYMENTS!C:C,E938,PAYMENTS!E:E))</f>
        <v/>
      </c>
      <c r="M938" t="str">
        <f t="shared" si="28"/>
        <v/>
      </c>
      <c r="N938" t="str">
        <f t="shared" si="29"/>
        <v/>
      </c>
      <c r="O938" t="str">
        <f>IF(E938="","",IFERROR(_xludf.MAXIFS(PAYMENTS!A:A,PAYMENTS!C:C,E938),""))</f>
        <v/>
      </c>
    </row>
    <row r="939" spans="1:15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t="str">
        <f>IF(E939="","",SUMIF(PAYMENTS!C:C,E939,PAYMENTS!E:E))</f>
        <v/>
      </c>
      <c r="M939" t="str">
        <f t="shared" si="28"/>
        <v/>
      </c>
      <c r="N939" t="str">
        <f t="shared" si="29"/>
        <v/>
      </c>
      <c r="O939" t="str">
        <f>IF(E939="","",IFERROR(_xludf.MAXIFS(PAYMENTS!A:A,PAYMENTS!C:C,E939),""))</f>
        <v/>
      </c>
    </row>
    <row r="940" spans="1:15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t="str">
        <f>IF(E940="","",SUMIF(PAYMENTS!C:C,E940,PAYMENTS!E:E))</f>
        <v/>
      </c>
      <c r="M940" t="str">
        <f t="shared" si="28"/>
        <v/>
      </c>
      <c r="N940" t="str">
        <f t="shared" si="29"/>
        <v/>
      </c>
      <c r="O940" t="str">
        <f>IF(E940="","",IFERROR(_xludf.MAXIFS(PAYMENTS!A:A,PAYMENTS!C:C,E940),""))</f>
        <v/>
      </c>
    </row>
    <row r="941" spans="1:15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t="str">
        <f>IF(E941="","",SUMIF(PAYMENTS!C:C,E941,PAYMENTS!E:E))</f>
        <v/>
      </c>
      <c r="M941" t="str">
        <f t="shared" si="28"/>
        <v/>
      </c>
      <c r="N941" t="str">
        <f t="shared" si="29"/>
        <v/>
      </c>
      <c r="O941" t="str">
        <f>IF(E941="","",IFERROR(_xludf.MAXIFS(PAYMENTS!A:A,PAYMENTS!C:C,E941),""))</f>
        <v/>
      </c>
    </row>
    <row r="942" spans="1:15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t="str">
        <f>IF(E942="","",SUMIF(PAYMENTS!C:C,E942,PAYMENTS!E:E))</f>
        <v/>
      </c>
      <c r="M942" t="str">
        <f t="shared" si="28"/>
        <v/>
      </c>
      <c r="N942" t="str">
        <f t="shared" si="29"/>
        <v/>
      </c>
      <c r="O942" t="str">
        <f>IF(E942="","",IFERROR(_xludf.MAXIFS(PAYMENTS!A:A,PAYMENTS!C:C,E942),""))</f>
        <v/>
      </c>
    </row>
    <row r="943" spans="1:15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t="str">
        <f>IF(E943="","",SUMIF(PAYMENTS!C:C,E943,PAYMENTS!E:E))</f>
        <v/>
      </c>
      <c r="M943" t="str">
        <f t="shared" si="28"/>
        <v/>
      </c>
      <c r="N943" t="str">
        <f t="shared" si="29"/>
        <v/>
      </c>
      <c r="O943" t="str">
        <f>IF(E943="","",IFERROR(_xludf.MAXIFS(PAYMENTS!A:A,PAYMENTS!C:C,E943),""))</f>
        <v/>
      </c>
    </row>
    <row r="944" spans="1:15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t="str">
        <f>IF(E944="","",SUMIF(PAYMENTS!C:C,E944,PAYMENTS!E:E))</f>
        <v/>
      </c>
      <c r="M944" t="str">
        <f t="shared" si="28"/>
        <v/>
      </c>
      <c r="N944" t="str">
        <f t="shared" si="29"/>
        <v/>
      </c>
      <c r="O944" t="str">
        <f>IF(E944="","",IFERROR(_xludf.MAXIFS(PAYMENTS!A:A,PAYMENTS!C:C,E944),""))</f>
        <v/>
      </c>
    </row>
    <row r="945" spans="1:15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t="str">
        <f>IF(E945="","",SUMIF(PAYMENTS!C:C,E945,PAYMENTS!E:E))</f>
        <v/>
      </c>
      <c r="M945" t="str">
        <f t="shared" si="28"/>
        <v/>
      </c>
      <c r="N945" t="str">
        <f t="shared" si="29"/>
        <v/>
      </c>
      <c r="O945" t="str">
        <f>IF(E945="","",IFERROR(_xludf.MAXIFS(PAYMENTS!A:A,PAYMENTS!C:C,E945),""))</f>
        <v/>
      </c>
    </row>
    <row r="946" spans="1:15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t="str">
        <f>IF(E946="","",SUMIF(PAYMENTS!C:C,E946,PAYMENTS!E:E))</f>
        <v/>
      </c>
      <c r="M946" t="str">
        <f t="shared" si="28"/>
        <v/>
      </c>
      <c r="N946" t="str">
        <f t="shared" si="29"/>
        <v/>
      </c>
      <c r="O946" t="str">
        <f>IF(E946="","",IFERROR(_xludf.MAXIFS(PAYMENTS!A:A,PAYMENTS!C:C,E946),""))</f>
        <v/>
      </c>
    </row>
    <row r="947" spans="1:15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t="str">
        <f>IF(E947="","",SUMIF(PAYMENTS!C:C,E947,PAYMENTS!E:E))</f>
        <v/>
      </c>
      <c r="M947" t="str">
        <f t="shared" si="28"/>
        <v/>
      </c>
      <c r="N947" t="str">
        <f t="shared" si="29"/>
        <v/>
      </c>
      <c r="O947" t="str">
        <f>IF(E947="","",IFERROR(_xludf.MAXIFS(PAYMENTS!A:A,PAYMENTS!C:C,E947),""))</f>
        <v/>
      </c>
    </row>
    <row r="948" spans="1:15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t="str">
        <f>IF(E948="","",SUMIF(PAYMENTS!C:C,E948,PAYMENTS!E:E))</f>
        <v/>
      </c>
      <c r="M948" t="str">
        <f t="shared" si="28"/>
        <v/>
      </c>
      <c r="N948" t="str">
        <f t="shared" si="29"/>
        <v/>
      </c>
      <c r="O948" t="str">
        <f>IF(E948="","",IFERROR(_xludf.MAXIFS(PAYMENTS!A:A,PAYMENTS!C:C,E948),""))</f>
        <v/>
      </c>
    </row>
    <row r="949" spans="1:15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t="str">
        <f>IF(E949="","",SUMIF(PAYMENTS!C:C,E949,PAYMENTS!E:E))</f>
        <v/>
      </c>
      <c r="M949" t="str">
        <f t="shared" si="28"/>
        <v/>
      </c>
      <c r="N949" t="str">
        <f t="shared" si="29"/>
        <v/>
      </c>
      <c r="O949" t="str">
        <f>IF(E949="","",IFERROR(_xludf.MAXIFS(PAYMENTS!A:A,PAYMENTS!C:C,E949),""))</f>
        <v/>
      </c>
    </row>
    <row r="950" spans="1:15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t="str">
        <f>IF(E950="","",SUMIF(PAYMENTS!C:C,E950,PAYMENTS!E:E))</f>
        <v/>
      </c>
      <c r="M950" t="str">
        <f t="shared" si="28"/>
        <v/>
      </c>
      <c r="N950" t="str">
        <f t="shared" si="29"/>
        <v/>
      </c>
      <c r="O950" t="str">
        <f>IF(E950="","",IFERROR(_xludf.MAXIFS(PAYMENTS!A:A,PAYMENTS!C:C,E950),""))</f>
        <v/>
      </c>
    </row>
    <row r="951" spans="1:15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t="str">
        <f>IF(E951="","",SUMIF(PAYMENTS!C:C,E951,PAYMENTS!E:E))</f>
        <v/>
      </c>
      <c r="M951" t="str">
        <f t="shared" si="28"/>
        <v/>
      </c>
      <c r="N951" t="str">
        <f t="shared" si="29"/>
        <v/>
      </c>
      <c r="O951" t="str">
        <f>IF(E951="","",IFERROR(_xludf.MAXIFS(PAYMENTS!A:A,PAYMENTS!C:C,E951),""))</f>
        <v/>
      </c>
    </row>
    <row r="952" spans="1:15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t="str">
        <f>IF(E952="","",SUMIF(PAYMENTS!C:C,E952,PAYMENTS!E:E))</f>
        <v/>
      </c>
      <c r="M952" t="str">
        <f t="shared" si="28"/>
        <v/>
      </c>
      <c r="N952" t="str">
        <f t="shared" si="29"/>
        <v/>
      </c>
      <c r="O952" t="str">
        <f>IF(E952="","",IFERROR(_xludf.MAXIFS(PAYMENTS!A:A,PAYMENTS!C:C,E952),""))</f>
        <v/>
      </c>
    </row>
    <row r="953" spans="1:15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t="str">
        <f>IF(E953="","",SUMIF(PAYMENTS!C:C,E953,PAYMENTS!E:E))</f>
        <v/>
      </c>
      <c r="M953" t="str">
        <f t="shared" si="28"/>
        <v/>
      </c>
      <c r="N953" t="str">
        <f t="shared" si="29"/>
        <v/>
      </c>
      <c r="O953" t="str">
        <f>IF(E953="","",IFERROR(_xludf.MAXIFS(PAYMENTS!A:A,PAYMENTS!C:C,E953),""))</f>
        <v/>
      </c>
    </row>
    <row r="954" spans="1:15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t="str">
        <f>IF(E954="","",SUMIF(PAYMENTS!C:C,E954,PAYMENTS!E:E))</f>
        <v/>
      </c>
      <c r="M954" t="str">
        <f t="shared" si="28"/>
        <v/>
      </c>
      <c r="N954" t="str">
        <f t="shared" si="29"/>
        <v/>
      </c>
      <c r="O954" t="str">
        <f>IF(E954="","",IFERROR(_xludf.MAXIFS(PAYMENTS!A:A,PAYMENTS!C:C,E954),""))</f>
        <v/>
      </c>
    </row>
    <row r="955" spans="1:15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t="str">
        <f>IF(E955="","",SUMIF(PAYMENTS!C:C,E955,PAYMENTS!E:E))</f>
        <v/>
      </c>
      <c r="M955" t="str">
        <f t="shared" si="28"/>
        <v/>
      </c>
      <c r="N955" t="str">
        <f t="shared" si="29"/>
        <v/>
      </c>
      <c r="O955" t="str">
        <f>IF(E955="","",IFERROR(_xludf.MAXIFS(PAYMENTS!A:A,PAYMENTS!C:C,E955),""))</f>
        <v/>
      </c>
    </row>
    <row r="956" spans="1:15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t="str">
        <f>IF(E956="","",SUMIF(PAYMENTS!C:C,E956,PAYMENTS!E:E))</f>
        <v/>
      </c>
      <c r="M956" t="str">
        <f t="shared" si="28"/>
        <v/>
      </c>
      <c r="N956" t="str">
        <f t="shared" si="29"/>
        <v/>
      </c>
      <c r="O956" t="str">
        <f>IF(E956="","",IFERROR(_xludf.MAXIFS(PAYMENTS!A:A,PAYMENTS!C:C,E956),""))</f>
        <v/>
      </c>
    </row>
    <row r="957" spans="1:15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t="str">
        <f>IF(E957="","",SUMIF(PAYMENTS!C:C,E957,PAYMENTS!E:E))</f>
        <v/>
      </c>
      <c r="M957" t="str">
        <f t="shared" si="28"/>
        <v/>
      </c>
      <c r="N957" t="str">
        <f t="shared" si="29"/>
        <v/>
      </c>
      <c r="O957" t="str">
        <f>IF(E957="","",IFERROR(_xludf.MAXIFS(PAYMENTS!A:A,PAYMENTS!C:C,E957),""))</f>
        <v/>
      </c>
    </row>
    <row r="958" spans="1:15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t="str">
        <f>IF(E958="","",SUMIF(PAYMENTS!C:C,E958,PAYMENTS!E:E))</f>
        <v/>
      </c>
      <c r="M958" t="str">
        <f t="shared" si="28"/>
        <v/>
      </c>
      <c r="N958" t="str">
        <f t="shared" si="29"/>
        <v/>
      </c>
      <c r="O958" t="str">
        <f>IF(E958="","",IFERROR(_xludf.MAXIFS(PAYMENTS!A:A,PAYMENTS!C:C,E958),""))</f>
        <v/>
      </c>
    </row>
    <row r="959" spans="1:15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t="str">
        <f>IF(E959="","",SUMIF(PAYMENTS!C:C,E959,PAYMENTS!E:E))</f>
        <v/>
      </c>
      <c r="M959" t="str">
        <f t="shared" si="28"/>
        <v/>
      </c>
      <c r="N959" t="str">
        <f t="shared" si="29"/>
        <v/>
      </c>
      <c r="O959" t="str">
        <f>IF(E959="","",IFERROR(_xludf.MAXIFS(PAYMENTS!A:A,PAYMENTS!C:C,E959),""))</f>
        <v/>
      </c>
    </row>
    <row r="960" spans="1:15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t="str">
        <f>IF(E960="","",SUMIF(PAYMENTS!C:C,E960,PAYMENTS!E:E))</f>
        <v/>
      </c>
      <c r="M960" t="str">
        <f t="shared" si="28"/>
        <v/>
      </c>
      <c r="N960" t="str">
        <f t="shared" si="29"/>
        <v/>
      </c>
      <c r="O960" t="str">
        <f>IF(E960="","",IFERROR(_xludf.MAXIFS(PAYMENTS!A:A,PAYMENTS!C:C,E960),""))</f>
        <v/>
      </c>
    </row>
    <row r="961" spans="1:15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t="str">
        <f>IF(E961="","",SUMIF(PAYMENTS!C:C,E961,PAYMENTS!E:E))</f>
        <v/>
      </c>
      <c r="M961" t="str">
        <f t="shared" si="28"/>
        <v/>
      </c>
      <c r="N961" t="str">
        <f t="shared" si="29"/>
        <v/>
      </c>
      <c r="O961" t="str">
        <f>IF(E961="","",IFERROR(_xludf.MAXIFS(PAYMENTS!A:A,PAYMENTS!C:C,E961),""))</f>
        <v/>
      </c>
    </row>
    <row r="962" spans="1:15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t="str">
        <f>IF(E962="","",SUMIF(PAYMENTS!C:C,E962,PAYMENTS!E:E))</f>
        <v/>
      </c>
      <c r="M962" t="str">
        <f t="shared" ref="M962:M1025" si="30">IF(E962="","",J962-L962)</f>
        <v/>
      </c>
      <c r="N962" t="str">
        <f t="shared" ref="N962:N1025" si="31">IF(E962="","",IF(M962&lt;=0,"Paid",IF(L962&gt;0,"Part Paid","Unpaid")))</f>
        <v/>
      </c>
      <c r="O962" t="str">
        <f>IF(E962="","",IFERROR(_xludf.MAXIFS(PAYMENTS!A:A,PAYMENTS!C:C,E962),""))</f>
        <v/>
      </c>
    </row>
    <row r="963" spans="1:15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t="str">
        <f>IF(E963="","",SUMIF(PAYMENTS!C:C,E963,PAYMENTS!E:E))</f>
        <v/>
      </c>
      <c r="M963" t="str">
        <f t="shared" si="30"/>
        <v/>
      </c>
      <c r="N963" t="str">
        <f t="shared" si="31"/>
        <v/>
      </c>
      <c r="O963" t="str">
        <f>IF(E963="","",IFERROR(_xludf.MAXIFS(PAYMENTS!A:A,PAYMENTS!C:C,E963),""))</f>
        <v/>
      </c>
    </row>
    <row r="964" spans="1:15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t="str">
        <f>IF(E964="","",SUMIF(PAYMENTS!C:C,E964,PAYMENTS!E:E))</f>
        <v/>
      </c>
      <c r="M964" t="str">
        <f t="shared" si="30"/>
        <v/>
      </c>
      <c r="N964" t="str">
        <f t="shared" si="31"/>
        <v/>
      </c>
      <c r="O964" t="str">
        <f>IF(E964="","",IFERROR(_xludf.MAXIFS(PAYMENTS!A:A,PAYMENTS!C:C,E964),""))</f>
        <v/>
      </c>
    </row>
    <row r="965" spans="1:15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t="str">
        <f>IF(E965="","",SUMIF(PAYMENTS!C:C,E965,PAYMENTS!E:E))</f>
        <v/>
      </c>
      <c r="M965" t="str">
        <f t="shared" si="30"/>
        <v/>
      </c>
      <c r="N965" t="str">
        <f t="shared" si="31"/>
        <v/>
      </c>
      <c r="O965" t="str">
        <f>IF(E965="","",IFERROR(_xludf.MAXIFS(PAYMENTS!A:A,PAYMENTS!C:C,E965),""))</f>
        <v/>
      </c>
    </row>
    <row r="966" spans="1:15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t="str">
        <f>IF(E966="","",SUMIF(PAYMENTS!C:C,E966,PAYMENTS!E:E))</f>
        <v/>
      </c>
      <c r="M966" t="str">
        <f t="shared" si="30"/>
        <v/>
      </c>
      <c r="N966" t="str">
        <f t="shared" si="31"/>
        <v/>
      </c>
      <c r="O966" t="str">
        <f>IF(E966="","",IFERROR(_xludf.MAXIFS(PAYMENTS!A:A,PAYMENTS!C:C,E966),""))</f>
        <v/>
      </c>
    </row>
    <row r="967" spans="1:15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t="str">
        <f>IF(E967="","",SUMIF(PAYMENTS!C:C,E967,PAYMENTS!E:E))</f>
        <v/>
      </c>
      <c r="M967" t="str">
        <f t="shared" si="30"/>
        <v/>
      </c>
      <c r="N967" t="str">
        <f t="shared" si="31"/>
        <v/>
      </c>
      <c r="O967" t="str">
        <f>IF(E967="","",IFERROR(_xludf.MAXIFS(PAYMENTS!A:A,PAYMENTS!C:C,E967),""))</f>
        <v/>
      </c>
    </row>
    <row r="968" spans="1:15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t="str">
        <f>IF(E968="","",SUMIF(PAYMENTS!C:C,E968,PAYMENTS!E:E))</f>
        <v/>
      </c>
      <c r="M968" t="str">
        <f t="shared" si="30"/>
        <v/>
      </c>
      <c r="N968" t="str">
        <f t="shared" si="31"/>
        <v/>
      </c>
      <c r="O968" t="str">
        <f>IF(E968="","",IFERROR(_xludf.MAXIFS(PAYMENTS!A:A,PAYMENTS!C:C,E968),""))</f>
        <v/>
      </c>
    </row>
    <row r="969" spans="1:15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t="str">
        <f>IF(E969="","",SUMIF(PAYMENTS!C:C,E969,PAYMENTS!E:E))</f>
        <v/>
      </c>
      <c r="M969" t="str">
        <f t="shared" si="30"/>
        <v/>
      </c>
      <c r="N969" t="str">
        <f t="shared" si="31"/>
        <v/>
      </c>
      <c r="O969" t="str">
        <f>IF(E969="","",IFERROR(_xludf.MAXIFS(PAYMENTS!A:A,PAYMENTS!C:C,E969),""))</f>
        <v/>
      </c>
    </row>
    <row r="970" spans="1:15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t="str">
        <f>IF(E970="","",SUMIF(PAYMENTS!C:C,E970,PAYMENTS!E:E))</f>
        <v/>
      </c>
      <c r="M970" t="str">
        <f t="shared" si="30"/>
        <v/>
      </c>
      <c r="N970" t="str">
        <f t="shared" si="31"/>
        <v/>
      </c>
      <c r="O970" t="str">
        <f>IF(E970="","",IFERROR(_xludf.MAXIFS(PAYMENTS!A:A,PAYMENTS!C:C,E970),""))</f>
        <v/>
      </c>
    </row>
    <row r="971" spans="1:15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t="str">
        <f>IF(E971="","",SUMIF(PAYMENTS!C:C,E971,PAYMENTS!E:E))</f>
        <v/>
      </c>
      <c r="M971" t="str">
        <f t="shared" si="30"/>
        <v/>
      </c>
      <c r="N971" t="str">
        <f t="shared" si="31"/>
        <v/>
      </c>
      <c r="O971" t="str">
        <f>IF(E971="","",IFERROR(_xludf.MAXIFS(PAYMENTS!A:A,PAYMENTS!C:C,E971),""))</f>
        <v/>
      </c>
    </row>
    <row r="972" spans="1:15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t="str">
        <f>IF(E972="","",SUMIF(PAYMENTS!C:C,E972,PAYMENTS!E:E))</f>
        <v/>
      </c>
      <c r="M972" t="str">
        <f t="shared" si="30"/>
        <v/>
      </c>
      <c r="N972" t="str">
        <f t="shared" si="31"/>
        <v/>
      </c>
      <c r="O972" t="str">
        <f>IF(E972="","",IFERROR(_xludf.MAXIFS(PAYMENTS!A:A,PAYMENTS!C:C,E972),""))</f>
        <v/>
      </c>
    </row>
    <row r="973" spans="1:15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t="str">
        <f>IF(E973="","",SUMIF(PAYMENTS!C:C,E973,PAYMENTS!E:E))</f>
        <v/>
      </c>
      <c r="M973" t="str">
        <f t="shared" si="30"/>
        <v/>
      </c>
      <c r="N973" t="str">
        <f t="shared" si="31"/>
        <v/>
      </c>
      <c r="O973" t="str">
        <f>IF(E973="","",IFERROR(_xludf.MAXIFS(PAYMENTS!A:A,PAYMENTS!C:C,E973),""))</f>
        <v/>
      </c>
    </row>
    <row r="974" spans="1:15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t="str">
        <f>IF(E974="","",SUMIF(PAYMENTS!C:C,E974,PAYMENTS!E:E))</f>
        <v/>
      </c>
      <c r="M974" t="str">
        <f t="shared" si="30"/>
        <v/>
      </c>
      <c r="N974" t="str">
        <f t="shared" si="31"/>
        <v/>
      </c>
      <c r="O974" t="str">
        <f>IF(E974="","",IFERROR(_xludf.MAXIFS(PAYMENTS!A:A,PAYMENTS!C:C,E974),""))</f>
        <v/>
      </c>
    </row>
    <row r="975" spans="1:15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t="str">
        <f>IF(E975="","",SUMIF(PAYMENTS!C:C,E975,PAYMENTS!E:E))</f>
        <v/>
      </c>
      <c r="M975" t="str">
        <f t="shared" si="30"/>
        <v/>
      </c>
      <c r="N975" t="str">
        <f t="shared" si="31"/>
        <v/>
      </c>
      <c r="O975" t="str">
        <f>IF(E975="","",IFERROR(_xludf.MAXIFS(PAYMENTS!A:A,PAYMENTS!C:C,E975),""))</f>
        <v/>
      </c>
    </row>
    <row r="976" spans="1:15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t="str">
        <f>IF(E976="","",SUMIF(PAYMENTS!C:C,E976,PAYMENTS!E:E))</f>
        <v/>
      </c>
      <c r="M976" t="str">
        <f t="shared" si="30"/>
        <v/>
      </c>
      <c r="N976" t="str">
        <f t="shared" si="31"/>
        <v/>
      </c>
      <c r="O976" t="str">
        <f>IF(E976="","",IFERROR(_xludf.MAXIFS(PAYMENTS!A:A,PAYMENTS!C:C,E976),""))</f>
        <v/>
      </c>
    </row>
    <row r="977" spans="1:15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t="str">
        <f>IF(E977="","",SUMIF(PAYMENTS!C:C,E977,PAYMENTS!E:E))</f>
        <v/>
      </c>
      <c r="M977" t="str">
        <f t="shared" si="30"/>
        <v/>
      </c>
      <c r="N977" t="str">
        <f t="shared" si="31"/>
        <v/>
      </c>
      <c r="O977" t="str">
        <f>IF(E977="","",IFERROR(_xludf.MAXIFS(PAYMENTS!A:A,PAYMENTS!C:C,E977),""))</f>
        <v/>
      </c>
    </row>
    <row r="978" spans="1:15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t="str">
        <f>IF(E978="","",SUMIF(PAYMENTS!C:C,E978,PAYMENTS!E:E))</f>
        <v/>
      </c>
      <c r="M978" t="str">
        <f t="shared" si="30"/>
        <v/>
      </c>
      <c r="N978" t="str">
        <f t="shared" si="31"/>
        <v/>
      </c>
      <c r="O978" t="str">
        <f>IF(E978="","",IFERROR(_xludf.MAXIFS(PAYMENTS!A:A,PAYMENTS!C:C,E978),""))</f>
        <v/>
      </c>
    </row>
    <row r="979" spans="1:15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t="str">
        <f>IF(E979="","",SUMIF(PAYMENTS!C:C,E979,PAYMENTS!E:E))</f>
        <v/>
      </c>
      <c r="M979" t="str">
        <f t="shared" si="30"/>
        <v/>
      </c>
      <c r="N979" t="str">
        <f t="shared" si="31"/>
        <v/>
      </c>
      <c r="O979" t="str">
        <f>IF(E979="","",IFERROR(_xludf.MAXIFS(PAYMENTS!A:A,PAYMENTS!C:C,E979),""))</f>
        <v/>
      </c>
    </row>
    <row r="980" spans="1:15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t="str">
        <f>IF(E980="","",SUMIF(PAYMENTS!C:C,E980,PAYMENTS!E:E))</f>
        <v/>
      </c>
      <c r="M980" t="str">
        <f t="shared" si="30"/>
        <v/>
      </c>
      <c r="N980" t="str">
        <f t="shared" si="31"/>
        <v/>
      </c>
      <c r="O980" t="str">
        <f>IF(E980="","",IFERROR(_xludf.MAXIFS(PAYMENTS!A:A,PAYMENTS!C:C,E980),""))</f>
        <v/>
      </c>
    </row>
    <row r="981" spans="1:15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t="str">
        <f>IF(E981="","",SUMIF(PAYMENTS!C:C,E981,PAYMENTS!E:E))</f>
        <v/>
      </c>
      <c r="M981" t="str">
        <f t="shared" si="30"/>
        <v/>
      </c>
      <c r="N981" t="str">
        <f t="shared" si="31"/>
        <v/>
      </c>
      <c r="O981" t="str">
        <f>IF(E981="","",IFERROR(_xludf.MAXIFS(PAYMENTS!A:A,PAYMENTS!C:C,E981),""))</f>
        <v/>
      </c>
    </row>
    <row r="982" spans="1:15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t="str">
        <f>IF(E982="","",SUMIF(PAYMENTS!C:C,E982,PAYMENTS!E:E))</f>
        <v/>
      </c>
      <c r="M982" t="str">
        <f t="shared" si="30"/>
        <v/>
      </c>
      <c r="N982" t="str">
        <f t="shared" si="31"/>
        <v/>
      </c>
      <c r="O982" t="str">
        <f>IF(E982="","",IFERROR(_xludf.MAXIFS(PAYMENTS!A:A,PAYMENTS!C:C,E982),""))</f>
        <v/>
      </c>
    </row>
    <row r="983" spans="1:15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t="str">
        <f>IF(E983="","",SUMIF(PAYMENTS!C:C,E983,PAYMENTS!E:E))</f>
        <v/>
      </c>
      <c r="M983" t="str">
        <f t="shared" si="30"/>
        <v/>
      </c>
      <c r="N983" t="str">
        <f t="shared" si="31"/>
        <v/>
      </c>
      <c r="O983" t="str">
        <f>IF(E983="","",IFERROR(_xludf.MAXIFS(PAYMENTS!A:A,PAYMENTS!C:C,E983),""))</f>
        <v/>
      </c>
    </row>
    <row r="984" spans="1:15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t="str">
        <f>IF(E984="","",SUMIF(PAYMENTS!C:C,E984,PAYMENTS!E:E))</f>
        <v/>
      </c>
      <c r="M984" t="str">
        <f t="shared" si="30"/>
        <v/>
      </c>
      <c r="N984" t="str">
        <f t="shared" si="31"/>
        <v/>
      </c>
      <c r="O984" t="str">
        <f>IF(E984="","",IFERROR(_xludf.MAXIFS(PAYMENTS!A:A,PAYMENTS!C:C,E984),""))</f>
        <v/>
      </c>
    </row>
    <row r="985" spans="1:15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t="str">
        <f>IF(E985="","",SUMIF(PAYMENTS!C:C,E985,PAYMENTS!E:E))</f>
        <v/>
      </c>
      <c r="M985" t="str">
        <f t="shared" si="30"/>
        <v/>
      </c>
      <c r="N985" t="str">
        <f t="shared" si="31"/>
        <v/>
      </c>
      <c r="O985" t="str">
        <f>IF(E985="","",IFERROR(_xludf.MAXIFS(PAYMENTS!A:A,PAYMENTS!C:C,E985),""))</f>
        <v/>
      </c>
    </row>
    <row r="986" spans="1:15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t="str">
        <f>IF(E986="","",SUMIF(PAYMENTS!C:C,E986,PAYMENTS!E:E))</f>
        <v/>
      </c>
      <c r="M986" t="str">
        <f t="shared" si="30"/>
        <v/>
      </c>
      <c r="N986" t="str">
        <f t="shared" si="31"/>
        <v/>
      </c>
      <c r="O986" t="str">
        <f>IF(E986="","",IFERROR(_xludf.MAXIFS(PAYMENTS!A:A,PAYMENTS!C:C,E986),""))</f>
        <v/>
      </c>
    </row>
    <row r="987" spans="1:15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t="str">
        <f>IF(E987="","",SUMIF(PAYMENTS!C:C,E987,PAYMENTS!E:E))</f>
        <v/>
      </c>
      <c r="M987" t="str">
        <f t="shared" si="30"/>
        <v/>
      </c>
      <c r="N987" t="str">
        <f t="shared" si="31"/>
        <v/>
      </c>
      <c r="O987" t="str">
        <f>IF(E987="","",IFERROR(_xludf.MAXIFS(PAYMENTS!A:A,PAYMENTS!C:C,E987),""))</f>
        <v/>
      </c>
    </row>
    <row r="988" spans="1:15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t="str">
        <f>IF(E988="","",SUMIF(PAYMENTS!C:C,E988,PAYMENTS!E:E))</f>
        <v/>
      </c>
      <c r="M988" t="str">
        <f t="shared" si="30"/>
        <v/>
      </c>
      <c r="N988" t="str">
        <f t="shared" si="31"/>
        <v/>
      </c>
      <c r="O988" t="str">
        <f>IF(E988="","",IFERROR(_xludf.MAXIFS(PAYMENTS!A:A,PAYMENTS!C:C,E988),""))</f>
        <v/>
      </c>
    </row>
    <row r="989" spans="1:15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t="str">
        <f>IF(E989="","",SUMIF(PAYMENTS!C:C,E989,PAYMENTS!E:E))</f>
        <v/>
      </c>
      <c r="M989" t="str">
        <f t="shared" si="30"/>
        <v/>
      </c>
      <c r="N989" t="str">
        <f t="shared" si="31"/>
        <v/>
      </c>
      <c r="O989" t="str">
        <f>IF(E989="","",IFERROR(_xludf.MAXIFS(PAYMENTS!A:A,PAYMENTS!C:C,E989),""))</f>
        <v/>
      </c>
    </row>
    <row r="990" spans="1:15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t="str">
        <f>IF(E990="","",SUMIF(PAYMENTS!C:C,E990,PAYMENTS!E:E))</f>
        <v/>
      </c>
      <c r="M990" t="str">
        <f t="shared" si="30"/>
        <v/>
      </c>
      <c r="N990" t="str">
        <f t="shared" si="31"/>
        <v/>
      </c>
      <c r="O990" t="str">
        <f>IF(E990="","",IFERROR(_xludf.MAXIFS(PAYMENTS!A:A,PAYMENTS!C:C,E990),""))</f>
        <v/>
      </c>
    </row>
    <row r="991" spans="1:15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t="str">
        <f>IF(E991="","",SUMIF(PAYMENTS!C:C,E991,PAYMENTS!E:E))</f>
        <v/>
      </c>
      <c r="M991" t="str">
        <f t="shared" si="30"/>
        <v/>
      </c>
      <c r="N991" t="str">
        <f t="shared" si="31"/>
        <v/>
      </c>
      <c r="O991" t="str">
        <f>IF(E991="","",IFERROR(_xludf.MAXIFS(PAYMENTS!A:A,PAYMENTS!C:C,E991),""))</f>
        <v/>
      </c>
    </row>
    <row r="992" spans="1:15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t="str">
        <f>IF(E992="","",SUMIF(PAYMENTS!C:C,E992,PAYMENTS!E:E))</f>
        <v/>
      </c>
      <c r="M992" t="str">
        <f t="shared" si="30"/>
        <v/>
      </c>
      <c r="N992" t="str">
        <f t="shared" si="31"/>
        <v/>
      </c>
      <c r="O992" t="str">
        <f>IF(E992="","",IFERROR(_xludf.MAXIFS(PAYMENTS!A:A,PAYMENTS!C:C,E992),""))</f>
        <v/>
      </c>
    </row>
    <row r="993" spans="1:15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t="str">
        <f>IF(E993="","",SUMIF(PAYMENTS!C:C,E993,PAYMENTS!E:E))</f>
        <v/>
      </c>
      <c r="M993" t="str">
        <f t="shared" si="30"/>
        <v/>
      </c>
      <c r="N993" t="str">
        <f t="shared" si="31"/>
        <v/>
      </c>
      <c r="O993" t="str">
        <f>IF(E993="","",IFERROR(_xludf.MAXIFS(PAYMENTS!A:A,PAYMENTS!C:C,E993),""))</f>
        <v/>
      </c>
    </row>
    <row r="994" spans="1:15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t="str">
        <f>IF(E994="","",SUMIF(PAYMENTS!C:C,E994,PAYMENTS!E:E))</f>
        <v/>
      </c>
      <c r="M994" t="str">
        <f t="shared" si="30"/>
        <v/>
      </c>
      <c r="N994" t="str">
        <f t="shared" si="31"/>
        <v/>
      </c>
      <c r="O994" t="str">
        <f>IF(E994="","",IFERROR(_xludf.MAXIFS(PAYMENTS!A:A,PAYMENTS!C:C,E994),""))</f>
        <v/>
      </c>
    </row>
    <row r="995" spans="1:15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t="str">
        <f>IF(E995="","",SUMIF(PAYMENTS!C:C,E995,PAYMENTS!E:E))</f>
        <v/>
      </c>
      <c r="M995" t="str">
        <f t="shared" si="30"/>
        <v/>
      </c>
      <c r="N995" t="str">
        <f t="shared" si="31"/>
        <v/>
      </c>
      <c r="O995" t="str">
        <f>IF(E995="","",IFERROR(_xludf.MAXIFS(PAYMENTS!A:A,PAYMENTS!C:C,E995),""))</f>
        <v/>
      </c>
    </row>
    <row r="996" spans="1:15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t="str">
        <f>IF(E996="","",SUMIF(PAYMENTS!C:C,E996,PAYMENTS!E:E))</f>
        <v/>
      </c>
      <c r="M996" t="str">
        <f t="shared" si="30"/>
        <v/>
      </c>
      <c r="N996" t="str">
        <f t="shared" si="31"/>
        <v/>
      </c>
      <c r="O996" t="str">
        <f>IF(E996="","",IFERROR(_xludf.MAXIFS(PAYMENTS!A:A,PAYMENTS!C:C,E996),""))</f>
        <v/>
      </c>
    </row>
    <row r="997" spans="1:15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t="str">
        <f>IF(E997="","",SUMIF(PAYMENTS!C:C,E997,PAYMENTS!E:E))</f>
        <v/>
      </c>
      <c r="M997" t="str">
        <f t="shared" si="30"/>
        <v/>
      </c>
      <c r="N997" t="str">
        <f t="shared" si="31"/>
        <v/>
      </c>
      <c r="O997" t="str">
        <f>IF(E997="","",IFERROR(_xludf.MAXIFS(PAYMENTS!A:A,PAYMENTS!C:C,E997),""))</f>
        <v/>
      </c>
    </row>
    <row r="998" spans="1:15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t="str">
        <f>IF(E998="","",SUMIF(PAYMENTS!C:C,E998,PAYMENTS!E:E))</f>
        <v/>
      </c>
      <c r="M998" t="str">
        <f t="shared" si="30"/>
        <v/>
      </c>
      <c r="N998" t="str">
        <f t="shared" si="31"/>
        <v/>
      </c>
      <c r="O998" t="str">
        <f>IF(E998="","",IFERROR(_xludf.MAXIFS(PAYMENTS!A:A,PAYMENTS!C:C,E998),""))</f>
        <v/>
      </c>
    </row>
    <row r="999" spans="1:15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t="str">
        <f>IF(E999="","",SUMIF(PAYMENTS!C:C,E999,PAYMENTS!E:E))</f>
        <v/>
      </c>
      <c r="M999" t="str">
        <f t="shared" si="30"/>
        <v/>
      </c>
      <c r="N999" t="str">
        <f t="shared" si="31"/>
        <v/>
      </c>
      <c r="O999" t="str">
        <f>IF(E999="","",IFERROR(_xludf.MAXIFS(PAYMENTS!A:A,PAYMENTS!C:C,E999),""))</f>
        <v/>
      </c>
    </row>
    <row r="1000" spans="1:15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t="str">
        <f>IF(E1000="","",SUMIF(PAYMENTS!C:C,E1000,PAYMENTS!E:E))</f>
        <v/>
      </c>
      <c r="M1000" t="str">
        <f t="shared" si="30"/>
        <v/>
      </c>
      <c r="N1000" t="str">
        <f t="shared" si="31"/>
        <v/>
      </c>
      <c r="O1000" t="str">
        <f>IF(E1000="","",IFERROR(_xludf.MAXIFS(PAYMENTS!A:A,PAYMENTS!C:C,E1000),""))</f>
        <v/>
      </c>
    </row>
  </sheetData>
  <conditionalFormatting sqref="N2:N1000">
    <cfRule type="cellIs" dxfId="6" priority="1" operator="equal">
      <formula>"Unpaid"</formula>
    </cfRule>
    <cfRule type="cellIs" dxfId="5" priority="2" operator="equal">
      <formula>"Part Paid"</formula>
    </cfRule>
    <cfRule type="cellIs" dxfId="4" priority="3" operator="equal">
      <formula>"Paid"</formula>
    </cfRule>
  </conditionalFormatting>
  <dataValidations count="1">
    <dataValidation type="list" sqref="K2:K1000" xr:uid="{00000000-0002-0000-0300-000000000000}">
      <formula1>"Pending,Approved,Rejected"</formula1>
    </dataValidation>
  </dataValidations>
  <pageMargins left="0.75" right="0.75" top="1" bottom="1" header="0.5" footer="0.5"/>
  <pageSetup scale="52" fitToWidth="0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6"/>
  <sheetViews>
    <sheetView tabSelected="1" workbookViewId="0"/>
  </sheetViews>
  <sheetFormatPr defaultRowHeight="14.4" x14ac:dyDescent="0.3"/>
  <sheetData>
    <row r="1" spans="1:10" x14ac:dyDescent="0.3">
      <c r="A1" s="1" t="s">
        <v>41</v>
      </c>
      <c r="B1" s="1" t="s">
        <v>42</v>
      </c>
      <c r="C1" s="1" t="s">
        <v>26</v>
      </c>
      <c r="D1" s="1" t="s">
        <v>43</v>
      </c>
      <c r="E1" s="1" t="s">
        <v>24</v>
      </c>
      <c r="F1" s="1" t="s">
        <v>25</v>
      </c>
      <c r="G1" s="1" t="s">
        <v>28</v>
      </c>
      <c r="H1" s="1" t="s">
        <v>27</v>
      </c>
      <c r="I1" s="1" t="s">
        <v>44</v>
      </c>
      <c r="J1" s="1" t="s">
        <v>30</v>
      </c>
    </row>
    <row r="2" spans="1:10" x14ac:dyDescent="0.3">
      <c r="A2" t="s">
        <v>48</v>
      </c>
      <c r="B2">
        <v>2026</v>
      </c>
      <c r="C2">
        <v>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>
        <v>2400</v>
      </c>
    </row>
    <row r="3" spans="1:10" x14ac:dyDescent="0.3">
      <c r="A3" t="s">
        <v>56</v>
      </c>
      <c r="B3">
        <v>2026</v>
      </c>
      <c r="C3">
        <v>8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54</v>
      </c>
      <c r="J3">
        <v>2400</v>
      </c>
    </row>
    <row r="4" spans="1:10" x14ac:dyDescent="0.3">
      <c r="A4" t="s">
        <v>62</v>
      </c>
      <c r="B4">
        <v>2026</v>
      </c>
      <c r="C4">
        <v>8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I4" t="s">
        <v>54</v>
      </c>
      <c r="J4">
        <v>2400</v>
      </c>
    </row>
    <row r="5" spans="1:10" x14ac:dyDescent="0.3">
      <c r="A5" t="s">
        <v>68</v>
      </c>
      <c r="B5">
        <v>2026</v>
      </c>
      <c r="C5">
        <v>8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54</v>
      </c>
      <c r="J5">
        <v>2400</v>
      </c>
    </row>
    <row r="6" spans="1:10" x14ac:dyDescent="0.3">
      <c r="A6" t="s">
        <v>74</v>
      </c>
      <c r="B6">
        <v>2026</v>
      </c>
      <c r="C6">
        <v>8</v>
      </c>
      <c r="D6" t="s">
        <v>75</v>
      </c>
      <c r="E6" t="s">
        <v>76</v>
      </c>
      <c r="F6" t="s">
        <v>77</v>
      </c>
      <c r="G6" t="s">
        <v>78</v>
      </c>
      <c r="H6" t="s">
        <v>79</v>
      </c>
      <c r="I6" t="s">
        <v>54</v>
      </c>
      <c r="J6">
        <v>3400</v>
      </c>
    </row>
    <row r="7" spans="1:10" x14ac:dyDescent="0.3">
      <c r="A7" t="s">
        <v>80</v>
      </c>
      <c r="B7">
        <v>2026</v>
      </c>
      <c r="C7">
        <v>8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54</v>
      </c>
      <c r="J7">
        <v>2400</v>
      </c>
    </row>
    <row r="8" spans="1:10" x14ac:dyDescent="0.3">
      <c r="A8" t="s">
        <v>86</v>
      </c>
      <c r="B8">
        <v>2026</v>
      </c>
      <c r="C8">
        <v>8</v>
      </c>
      <c r="D8" t="s">
        <v>87</v>
      </c>
      <c r="E8" t="s">
        <v>88</v>
      </c>
      <c r="F8" t="s">
        <v>89</v>
      </c>
      <c r="G8" t="s">
        <v>90</v>
      </c>
      <c r="H8" t="s">
        <v>91</v>
      </c>
      <c r="I8" t="s">
        <v>54</v>
      </c>
      <c r="J8">
        <v>2400</v>
      </c>
    </row>
    <row r="9" spans="1:10" x14ac:dyDescent="0.3">
      <c r="A9" t="s">
        <v>92</v>
      </c>
      <c r="B9">
        <v>2026</v>
      </c>
      <c r="C9">
        <v>8</v>
      </c>
      <c r="D9" t="s">
        <v>93</v>
      </c>
      <c r="E9" t="s">
        <v>94</v>
      </c>
      <c r="F9" t="s">
        <v>95</v>
      </c>
      <c r="G9" t="s">
        <v>96</v>
      </c>
      <c r="H9" t="s">
        <v>97</v>
      </c>
      <c r="I9" t="s">
        <v>54</v>
      </c>
      <c r="J9">
        <v>3400</v>
      </c>
    </row>
    <row r="10" spans="1:10" x14ac:dyDescent="0.3">
      <c r="A10" t="s">
        <v>98</v>
      </c>
      <c r="B10">
        <v>2026</v>
      </c>
      <c r="C10">
        <v>8</v>
      </c>
      <c r="D10" t="s">
        <v>99</v>
      </c>
      <c r="E10" t="s">
        <v>100</v>
      </c>
      <c r="F10" t="s">
        <v>101</v>
      </c>
      <c r="G10" t="s">
        <v>102</v>
      </c>
      <c r="H10" t="s">
        <v>103</v>
      </c>
      <c r="I10" t="s">
        <v>54</v>
      </c>
      <c r="J10">
        <v>3400</v>
      </c>
    </row>
    <row r="11" spans="1:10" x14ac:dyDescent="0.3">
      <c r="A11" t="s">
        <v>104</v>
      </c>
      <c r="B11">
        <v>2026</v>
      </c>
      <c r="C11">
        <v>8</v>
      </c>
      <c r="D11" t="s">
        <v>105</v>
      </c>
      <c r="E11" t="s">
        <v>106</v>
      </c>
      <c r="F11" t="s">
        <v>107</v>
      </c>
      <c r="G11" t="s">
        <v>108</v>
      </c>
      <c r="H11" t="s">
        <v>109</v>
      </c>
      <c r="I11" t="s">
        <v>54</v>
      </c>
      <c r="J11">
        <v>3400</v>
      </c>
    </row>
    <row r="12" spans="1:10" x14ac:dyDescent="0.3">
      <c r="A12" t="s">
        <v>110</v>
      </c>
      <c r="B12">
        <v>2026</v>
      </c>
      <c r="C12">
        <v>8</v>
      </c>
      <c r="D12" t="s">
        <v>111</v>
      </c>
      <c r="E12" t="s">
        <v>112</v>
      </c>
      <c r="F12" t="s">
        <v>113</v>
      </c>
      <c r="G12" t="s">
        <v>114</v>
      </c>
      <c r="H12" t="s">
        <v>115</v>
      </c>
      <c r="I12" t="s">
        <v>54</v>
      </c>
      <c r="J12">
        <v>3400</v>
      </c>
    </row>
    <row r="13" spans="1:10" x14ac:dyDescent="0.3">
      <c r="A13" t="s">
        <v>116</v>
      </c>
      <c r="B13">
        <v>2026</v>
      </c>
      <c r="C13">
        <v>8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54</v>
      </c>
      <c r="J13">
        <v>2400</v>
      </c>
    </row>
    <row r="14" spans="1:10" x14ac:dyDescent="0.3">
      <c r="A14" t="s">
        <v>122</v>
      </c>
      <c r="B14">
        <v>2026</v>
      </c>
      <c r="C14">
        <v>9</v>
      </c>
      <c r="D14" t="s">
        <v>49</v>
      </c>
      <c r="E14" t="s">
        <v>123</v>
      </c>
      <c r="F14" t="s">
        <v>124</v>
      </c>
      <c r="G14" t="s">
        <v>125</v>
      </c>
      <c r="H14" t="s">
        <v>126</v>
      </c>
      <c r="I14" t="s">
        <v>54</v>
      </c>
      <c r="J14">
        <v>2400</v>
      </c>
    </row>
    <row r="15" spans="1:10" x14ac:dyDescent="0.3">
      <c r="A15" t="s">
        <v>127</v>
      </c>
      <c r="B15">
        <v>2026</v>
      </c>
      <c r="C15">
        <v>9</v>
      </c>
      <c r="D15" t="s">
        <v>57</v>
      </c>
      <c r="E15" t="s">
        <v>128</v>
      </c>
      <c r="F15" t="s">
        <v>129</v>
      </c>
      <c r="G15" t="s">
        <v>130</v>
      </c>
      <c r="H15" t="s">
        <v>131</v>
      </c>
      <c r="I15" t="s">
        <v>54</v>
      </c>
      <c r="J15">
        <v>3400</v>
      </c>
    </row>
    <row r="16" spans="1:10" x14ac:dyDescent="0.3">
      <c r="A16" t="s">
        <v>132</v>
      </c>
      <c r="B16">
        <v>2026</v>
      </c>
      <c r="C16">
        <v>9</v>
      </c>
      <c r="D16" t="s">
        <v>63</v>
      </c>
      <c r="E16" t="s">
        <v>133</v>
      </c>
      <c r="F16" t="s">
        <v>134</v>
      </c>
      <c r="G16" t="s">
        <v>135</v>
      </c>
      <c r="H16" t="s">
        <v>136</v>
      </c>
      <c r="I16" t="s">
        <v>54</v>
      </c>
      <c r="J16">
        <v>3400</v>
      </c>
    </row>
    <row r="17" spans="1:10" x14ac:dyDescent="0.3">
      <c r="A17" t="s">
        <v>137</v>
      </c>
      <c r="B17">
        <v>2026</v>
      </c>
      <c r="C17">
        <v>9</v>
      </c>
      <c r="D17" t="s">
        <v>69</v>
      </c>
      <c r="E17" t="s">
        <v>138</v>
      </c>
      <c r="F17" t="s">
        <v>139</v>
      </c>
      <c r="G17" t="s">
        <v>140</v>
      </c>
      <c r="H17" t="s">
        <v>141</v>
      </c>
      <c r="I17" t="s">
        <v>54</v>
      </c>
      <c r="J17">
        <v>2400</v>
      </c>
    </row>
    <row r="18" spans="1:10" x14ac:dyDescent="0.3">
      <c r="A18" t="s">
        <v>142</v>
      </c>
      <c r="B18">
        <v>2026</v>
      </c>
      <c r="C18">
        <v>9</v>
      </c>
      <c r="D18" t="s">
        <v>75</v>
      </c>
      <c r="E18" t="s">
        <v>143</v>
      </c>
      <c r="F18" t="s">
        <v>144</v>
      </c>
      <c r="G18" t="s">
        <v>145</v>
      </c>
      <c r="H18" t="s">
        <v>146</v>
      </c>
      <c r="I18" t="s">
        <v>54</v>
      </c>
      <c r="J18">
        <v>2400</v>
      </c>
    </row>
    <row r="19" spans="1:10" x14ac:dyDescent="0.3">
      <c r="A19" t="s">
        <v>147</v>
      </c>
      <c r="B19">
        <v>2026</v>
      </c>
      <c r="C19">
        <v>9</v>
      </c>
      <c r="D19" t="s">
        <v>81</v>
      </c>
      <c r="E19" t="s">
        <v>148</v>
      </c>
      <c r="F19" t="s">
        <v>149</v>
      </c>
      <c r="G19" t="s">
        <v>150</v>
      </c>
      <c r="H19" t="s">
        <v>151</v>
      </c>
      <c r="I19" t="s">
        <v>54</v>
      </c>
      <c r="J19">
        <v>2400</v>
      </c>
    </row>
    <row r="20" spans="1:10" x14ac:dyDescent="0.3">
      <c r="A20" t="s">
        <v>152</v>
      </c>
      <c r="B20">
        <v>2026</v>
      </c>
      <c r="C20">
        <v>9</v>
      </c>
      <c r="D20" t="s">
        <v>87</v>
      </c>
      <c r="E20" t="s">
        <v>153</v>
      </c>
      <c r="F20" t="s">
        <v>154</v>
      </c>
      <c r="G20" t="s">
        <v>155</v>
      </c>
      <c r="H20" t="s">
        <v>156</v>
      </c>
      <c r="I20" t="s">
        <v>54</v>
      </c>
      <c r="J20">
        <v>2400</v>
      </c>
    </row>
    <row r="21" spans="1:10" x14ac:dyDescent="0.3">
      <c r="A21" t="s">
        <v>157</v>
      </c>
      <c r="B21">
        <v>2026</v>
      </c>
      <c r="C21">
        <v>9</v>
      </c>
      <c r="D21" t="s">
        <v>93</v>
      </c>
      <c r="E21" t="s">
        <v>158</v>
      </c>
      <c r="F21" t="s">
        <v>159</v>
      </c>
      <c r="G21" t="s">
        <v>160</v>
      </c>
      <c r="H21" t="s">
        <v>161</v>
      </c>
      <c r="I21" t="s">
        <v>54</v>
      </c>
      <c r="J21">
        <v>3400</v>
      </c>
    </row>
    <row r="22" spans="1:10" x14ac:dyDescent="0.3">
      <c r="A22" t="s">
        <v>162</v>
      </c>
      <c r="B22">
        <v>2026</v>
      </c>
      <c r="C22">
        <v>9</v>
      </c>
      <c r="D22" t="s">
        <v>99</v>
      </c>
      <c r="E22" t="s">
        <v>163</v>
      </c>
      <c r="F22" t="s">
        <v>164</v>
      </c>
      <c r="G22" t="s">
        <v>165</v>
      </c>
      <c r="H22" t="s">
        <v>166</v>
      </c>
      <c r="I22" t="s">
        <v>54</v>
      </c>
      <c r="J22">
        <v>2400</v>
      </c>
    </row>
    <row r="23" spans="1:10" x14ac:dyDescent="0.3">
      <c r="A23" t="s">
        <v>167</v>
      </c>
      <c r="B23">
        <v>2026</v>
      </c>
      <c r="C23">
        <v>9</v>
      </c>
      <c r="D23" t="s">
        <v>105</v>
      </c>
      <c r="E23" t="s">
        <v>168</v>
      </c>
      <c r="F23" t="s">
        <v>169</v>
      </c>
      <c r="G23" t="s">
        <v>170</v>
      </c>
      <c r="H23" t="s">
        <v>171</v>
      </c>
      <c r="I23" t="s">
        <v>54</v>
      </c>
      <c r="J23">
        <v>3400</v>
      </c>
    </row>
    <row r="24" spans="1:10" x14ac:dyDescent="0.3">
      <c r="A24" t="s">
        <v>172</v>
      </c>
      <c r="B24">
        <v>2026</v>
      </c>
      <c r="C24">
        <v>9</v>
      </c>
      <c r="D24" t="s">
        <v>111</v>
      </c>
      <c r="E24" t="s">
        <v>173</v>
      </c>
      <c r="F24" t="s">
        <v>174</v>
      </c>
      <c r="G24" t="s">
        <v>175</v>
      </c>
      <c r="H24" t="s">
        <v>176</v>
      </c>
      <c r="I24" t="s">
        <v>54</v>
      </c>
      <c r="J24">
        <v>2400</v>
      </c>
    </row>
    <row r="25" spans="1:10" x14ac:dyDescent="0.3">
      <c r="A25" t="s">
        <v>177</v>
      </c>
      <c r="B25">
        <v>2026</v>
      </c>
      <c r="C25">
        <v>9</v>
      </c>
      <c r="D25" t="s">
        <v>117</v>
      </c>
      <c r="E25" t="s">
        <v>178</v>
      </c>
      <c r="F25" t="s">
        <v>179</v>
      </c>
      <c r="G25" t="s">
        <v>180</v>
      </c>
      <c r="H25" t="s">
        <v>181</v>
      </c>
      <c r="I25" t="s">
        <v>54</v>
      </c>
      <c r="J25">
        <v>2400</v>
      </c>
    </row>
    <row r="26" spans="1:10" x14ac:dyDescent="0.3">
      <c r="A26" t="s">
        <v>182</v>
      </c>
      <c r="B26">
        <v>2026</v>
      </c>
      <c r="C26">
        <v>10</v>
      </c>
      <c r="D26" t="s">
        <v>49</v>
      </c>
      <c r="E26" t="s">
        <v>183</v>
      </c>
      <c r="F26" t="s">
        <v>184</v>
      </c>
      <c r="G26" t="s">
        <v>185</v>
      </c>
      <c r="H26" t="s">
        <v>186</v>
      </c>
      <c r="I26" t="s">
        <v>187</v>
      </c>
      <c r="J26">
        <v>3200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8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2" customWidth="1"/>
    <col min="3" max="3" width="18" customWidth="1"/>
    <col min="4" max="4" width="28" customWidth="1"/>
    <col min="5" max="5" width="10" customWidth="1"/>
    <col min="6" max="6" width="12" customWidth="1"/>
    <col min="7" max="7" width="14" customWidth="1"/>
    <col min="8" max="8" width="22" customWidth="1"/>
    <col min="9" max="9" width="26" customWidth="1"/>
  </cols>
  <sheetData>
    <row r="1" spans="1:9" ht="28.8" customHeight="1" x14ac:dyDescent="0.3">
      <c r="A1" s="3" t="s">
        <v>327</v>
      </c>
      <c r="B1" s="3" t="s">
        <v>328</v>
      </c>
      <c r="C1" s="3" t="s">
        <v>24</v>
      </c>
      <c r="D1" s="3" t="s">
        <v>329</v>
      </c>
      <c r="E1" s="3" t="s">
        <v>330</v>
      </c>
      <c r="F1" s="3" t="s">
        <v>331</v>
      </c>
      <c r="G1" s="3" t="s">
        <v>332</v>
      </c>
      <c r="H1" s="3" t="s">
        <v>333</v>
      </c>
      <c r="I1" s="3" t="s">
        <v>40</v>
      </c>
    </row>
    <row r="2" spans="1:9" x14ac:dyDescent="0.3">
      <c r="A2" t="s">
        <v>334</v>
      </c>
      <c r="B2" s="4">
        <f>IFERROR(INDEX(MASTER_REGISTER!C:C,MATCH(C2,MASTER_REGISTER!E:E,0)),"")</f>
        <v>8</v>
      </c>
      <c r="C2" s="4" t="s">
        <v>50</v>
      </c>
      <c r="D2" t="str">
        <f>IFERROR(INDEX(MASTER_REGISTER!F:F,MATCH(C2,MASTER_REGISTER!E:E,0)),"")</f>
        <v>Lerato Nkosi</v>
      </c>
      <c r="E2" s="4" t="s">
        <v>335</v>
      </c>
      <c r="H2" t="s">
        <v>336</v>
      </c>
    </row>
    <row r="3" spans="1:9" x14ac:dyDescent="0.3">
      <c r="A3" t="s">
        <v>334</v>
      </c>
      <c r="B3" s="4">
        <f>IFERROR(INDEX(MASTER_REGISTER!C:C,MATCH(C3,MASTER_REGISTER!E:E,0)),"")</f>
        <v>8</v>
      </c>
      <c r="C3" s="4" t="s">
        <v>58</v>
      </c>
      <c r="D3" t="str">
        <f>IFERROR(INDEX(MASTER_REGISTER!F:F,MATCH(C3,MASTER_REGISTER!E:E,0)),"")</f>
        <v>Karabo Maseko</v>
      </c>
      <c r="E3" s="4" t="s">
        <v>337</v>
      </c>
      <c r="F3" t="s">
        <v>338</v>
      </c>
      <c r="G3" t="s">
        <v>339</v>
      </c>
    </row>
    <row r="4" spans="1:9" x14ac:dyDescent="0.3">
      <c r="A4" t="s">
        <v>334</v>
      </c>
      <c r="B4" s="4">
        <f>IFERROR(INDEX(MASTER_REGISTER!C:C,MATCH(C4,MASTER_REGISTER!E:E,0)),"")</f>
        <v>8</v>
      </c>
      <c r="C4" s="4" t="s">
        <v>64</v>
      </c>
      <c r="D4" t="str">
        <f>IFERROR(INDEX(MASTER_REGISTER!F:F,MATCH(C4,MASTER_REGISTER!E:E,0)),"")</f>
        <v>Sifiso Sithole</v>
      </c>
      <c r="E4" s="4" t="s">
        <v>337</v>
      </c>
      <c r="F4" t="s">
        <v>338</v>
      </c>
      <c r="G4" t="s">
        <v>339</v>
      </c>
    </row>
    <row r="5" spans="1:9" x14ac:dyDescent="0.3">
      <c r="A5" t="s">
        <v>334</v>
      </c>
      <c r="B5" s="4">
        <f>IFERROR(INDEX(MASTER_REGISTER!C:C,MATCH(C5,MASTER_REGISTER!E:E,0)),"")</f>
        <v>8</v>
      </c>
      <c r="C5" s="4" t="s">
        <v>70</v>
      </c>
      <c r="D5" t="str">
        <f>IFERROR(INDEX(MASTER_REGISTER!F:F,MATCH(C5,MASTER_REGISTER!E:E,0)),"")</f>
        <v>Tshepo Ndlovu</v>
      </c>
      <c r="E5" s="4" t="s">
        <v>337</v>
      </c>
      <c r="F5" t="s">
        <v>338</v>
      </c>
      <c r="G5" t="s">
        <v>339</v>
      </c>
    </row>
    <row r="6" spans="1:9" x14ac:dyDescent="0.3">
      <c r="A6" t="s">
        <v>334</v>
      </c>
      <c r="B6" s="4">
        <f>IFERROR(INDEX(MASTER_REGISTER!C:C,MATCH(C6,MASTER_REGISTER!E:E,0)),"")</f>
        <v>8</v>
      </c>
      <c r="C6" s="4" t="s">
        <v>76</v>
      </c>
      <c r="D6" t="str">
        <f>IFERROR(INDEX(MASTER_REGISTER!F:F,MATCH(C6,MASTER_REGISTER!E:E,0)),"")</f>
        <v>Lwazi Mthembu</v>
      </c>
      <c r="E6" s="4" t="s">
        <v>335</v>
      </c>
      <c r="H6" t="s">
        <v>340</v>
      </c>
    </row>
    <row r="7" spans="1:9" x14ac:dyDescent="0.3">
      <c r="A7" t="s">
        <v>334</v>
      </c>
      <c r="B7" s="4">
        <f>IFERROR(INDEX(MASTER_REGISTER!C:C,MATCH(C7,MASTER_REGISTER!E:E,0)),"")</f>
        <v>8</v>
      </c>
      <c r="C7" s="4" t="s">
        <v>82</v>
      </c>
      <c r="D7" t="str">
        <f>IFERROR(INDEX(MASTER_REGISTER!F:F,MATCH(C7,MASTER_REGISTER!E:E,0)),"")</f>
        <v>Karabo Ngobeni</v>
      </c>
      <c r="E7" s="4" t="s">
        <v>337</v>
      </c>
      <c r="F7" t="s">
        <v>338</v>
      </c>
      <c r="G7" t="s">
        <v>339</v>
      </c>
    </row>
    <row r="8" spans="1:9" x14ac:dyDescent="0.3">
      <c r="A8" t="s">
        <v>334</v>
      </c>
      <c r="B8" s="4">
        <f>IFERROR(INDEX(MASTER_REGISTER!C:C,MATCH(C8,MASTER_REGISTER!E:E,0)),"")</f>
        <v>8</v>
      </c>
      <c r="C8" s="4" t="s">
        <v>88</v>
      </c>
      <c r="D8" t="str">
        <f>IFERROR(INDEX(MASTER_REGISTER!F:F,MATCH(C8,MASTER_REGISTER!E:E,0)),"")</f>
        <v>Mpho Sithole</v>
      </c>
      <c r="E8" s="4" t="s">
        <v>337</v>
      </c>
      <c r="F8" t="s">
        <v>338</v>
      </c>
      <c r="G8" t="s">
        <v>339</v>
      </c>
    </row>
    <row r="9" spans="1:9" x14ac:dyDescent="0.3">
      <c r="A9" t="s">
        <v>334</v>
      </c>
      <c r="B9" s="4">
        <f>IFERROR(INDEX(MASTER_REGISTER!C:C,MATCH(C9,MASTER_REGISTER!E:E,0)),"")</f>
        <v>8</v>
      </c>
      <c r="C9" s="4" t="s">
        <v>94</v>
      </c>
      <c r="D9" t="str">
        <f>IFERROR(INDEX(MASTER_REGISTER!F:F,MATCH(C9,MASTER_REGISTER!E:E,0)),"")</f>
        <v>Tshepo Ramushu</v>
      </c>
      <c r="E9" s="4" t="s">
        <v>337</v>
      </c>
      <c r="F9" t="s">
        <v>338</v>
      </c>
      <c r="G9" t="s">
        <v>339</v>
      </c>
    </row>
    <row r="10" spans="1:9" x14ac:dyDescent="0.3">
      <c r="A10" t="s">
        <v>334</v>
      </c>
      <c r="B10" s="4">
        <f>IFERROR(INDEX(MASTER_REGISTER!C:C,MATCH(C10,MASTER_REGISTER!E:E,0)),"")</f>
        <v>8</v>
      </c>
      <c r="C10" s="4" t="s">
        <v>100</v>
      </c>
      <c r="D10" t="str">
        <f>IFERROR(INDEX(MASTER_REGISTER!F:F,MATCH(C10,MASTER_REGISTER!E:E,0)),"")</f>
        <v>Lerato Kekana</v>
      </c>
      <c r="E10" s="4" t="s">
        <v>337</v>
      </c>
      <c r="F10" t="s">
        <v>338</v>
      </c>
      <c r="G10" t="s">
        <v>339</v>
      </c>
    </row>
    <row r="11" spans="1:9" x14ac:dyDescent="0.3">
      <c r="A11" t="s">
        <v>334</v>
      </c>
      <c r="B11" s="4">
        <f>IFERROR(INDEX(MASTER_REGISTER!C:C,MATCH(C11,MASTER_REGISTER!E:E,0)),"")</f>
        <v>8</v>
      </c>
      <c r="C11" s="4" t="s">
        <v>106</v>
      </c>
      <c r="D11" t="str">
        <f>IFERROR(INDEX(MASTER_REGISTER!F:F,MATCH(C11,MASTER_REGISTER!E:E,0)),"")</f>
        <v>Neo Ngobeni</v>
      </c>
      <c r="E11" s="4" t="s">
        <v>337</v>
      </c>
      <c r="F11" t="s">
        <v>338</v>
      </c>
      <c r="G11" t="s">
        <v>339</v>
      </c>
    </row>
    <row r="12" spans="1:9" x14ac:dyDescent="0.3">
      <c r="A12" t="s">
        <v>334</v>
      </c>
      <c r="B12" s="4">
        <f>IFERROR(INDEX(MASTER_REGISTER!C:C,MATCH(C12,MASTER_REGISTER!E:E,0)),"")</f>
        <v>8</v>
      </c>
      <c r="C12" s="4" t="s">
        <v>112</v>
      </c>
      <c r="D12" t="str">
        <f>IFERROR(INDEX(MASTER_REGISTER!F:F,MATCH(C12,MASTER_REGISTER!E:E,0)),"")</f>
        <v>Thabo Mokgadi</v>
      </c>
      <c r="E12" s="4" t="s">
        <v>337</v>
      </c>
      <c r="F12" t="s">
        <v>338</v>
      </c>
      <c r="G12" t="s">
        <v>339</v>
      </c>
    </row>
    <row r="13" spans="1:9" x14ac:dyDescent="0.3">
      <c r="A13" t="s">
        <v>334</v>
      </c>
      <c r="B13" s="4">
        <f>IFERROR(INDEX(MASTER_REGISTER!C:C,MATCH(C13,MASTER_REGISTER!E:E,0)),"")</f>
        <v>8</v>
      </c>
      <c r="C13" s="4" t="s">
        <v>118</v>
      </c>
      <c r="D13" t="str">
        <f>IFERROR(INDEX(MASTER_REGISTER!F:F,MATCH(C13,MASTER_REGISTER!E:E,0)),"")</f>
        <v>Sifiso Mthembu</v>
      </c>
      <c r="E13" s="4" t="s">
        <v>337</v>
      </c>
      <c r="F13" t="s">
        <v>338</v>
      </c>
      <c r="G13" t="s">
        <v>339</v>
      </c>
    </row>
    <row r="14" spans="1:9" x14ac:dyDescent="0.3">
      <c r="A14" t="s">
        <v>334</v>
      </c>
      <c r="B14" s="4">
        <f>IFERROR(INDEX(MASTER_REGISTER!C:C,MATCH(C14,MASTER_REGISTER!E:E,0)),"")</f>
        <v>9</v>
      </c>
      <c r="C14" s="4" t="s">
        <v>123</v>
      </c>
      <c r="D14" t="str">
        <f>IFERROR(INDEX(MASTER_REGISTER!F:F,MATCH(C14,MASTER_REGISTER!E:E,0)),"")</f>
        <v>Karabo Phiri</v>
      </c>
      <c r="E14" s="4" t="s">
        <v>335</v>
      </c>
      <c r="H14" t="s">
        <v>336</v>
      </c>
    </row>
    <row r="15" spans="1:9" x14ac:dyDescent="0.3">
      <c r="A15" t="s">
        <v>334</v>
      </c>
      <c r="B15" s="4">
        <f>IFERROR(INDEX(MASTER_REGISTER!C:C,MATCH(C15,MASTER_REGISTER!E:E,0)),"")</f>
        <v>9</v>
      </c>
      <c r="C15" s="4" t="s">
        <v>128</v>
      </c>
      <c r="D15" t="str">
        <f>IFERROR(INDEX(MASTER_REGISTER!F:F,MATCH(C15,MASTER_REGISTER!E:E,0)),"")</f>
        <v>Lerato Mahlangu</v>
      </c>
      <c r="E15" s="4" t="s">
        <v>337</v>
      </c>
      <c r="F15" t="s">
        <v>338</v>
      </c>
      <c r="G15" t="s">
        <v>339</v>
      </c>
    </row>
    <row r="16" spans="1:9" x14ac:dyDescent="0.3">
      <c r="A16" t="s">
        <v>334</v>
      </c>
      <c r="B16" s="4">
        <f>IFERROR(INDEX(MASTER_REGISTER!C:C,MATCH(C16,MASTER_REGISTER!E:E,0)),"")</f>
        <v>9</v>
      </c>
      <c r="C16" s="4" t="s">
        <v>133</v>
      </c>
      <c r="D16" t="str">
        <f>IFERROR(INDEX(MASTER_REGISTER!F:F,MATCH(C16,MASTER_REGISTER!E:E,0)),"")</f>
        <v>Mpho Kekana</v>
      </c>
      <c r="E16" s="4" t="s">
        <v>337</v>
      </c>
      <c r="F16" t="s">
        <v>338</v>
      </c>
      <c r="G16" t="s">
        <v>339</v>
      </c>
    </row>
    <row r="17" spans="1:7" x14ac:dyDescent="0.3">
      <c r="A17" t="s">
        <v>334</v>
      </c>
      <c r="B17" s="4">
        <f>IFERROR(INDEX(MASTER_REGISTER!C:C,MATCH(C17,MASTER_REGISTER!E:E,0)),"")</f>
        <v>9</v>
      </c>
      <c r="C17" s="4" t="s">
        <v>138</v>
      </c>
      <c r="D17" t="str">
        <f>IFERROR(INDEX(MASTER_REGISTER!F:F,MATCH(C17,MASTER_REGISTER!E:E,0)),"")</f>
        <v>Thabo Molefe</v>
      </c>
      <c r="E17" s="4" t="s">
        <v>337</v>
      </c>
      <c r="F17" t="s">
        <v>338</v>
      </c>
      <c r="G17" t="s">
        <v>339</v>
      </c>
    </row>
    <row r="18" spans="1:7" x14ac:dyDescent="0.3">
      <c r="A18" t="s">
        <v>334</v>
      </c>
      <c r="B18" s="4">
        <f>IFERROR(INDEX(MASTER_REGISTER!C:C,MATCH(C18,MASTER_REGISTER!E:E,0)),"")</f>
        <v>9</v>
      </c>
      <c r="C18" s="4" t="s">
        <v>143</v>
      </c>
      <c r="D18" t="str">
        <f>IFERROR(INDEX(MASTER_REGISTER!F:F,MATCH(C18,MASTER_REGISTER!E:E,0)),"")</f>
        <v>Mpho Ngobeni</v>
      </c>
      <c r="E18" s="4" t="s">
        <v>337</v>
      </c>
      <c r="F18" t="s">
        <v>338</v>
      </c>
      <c r="G18" t="s">
        <v>339</v>
      </c>
    </row>
    <row r="19" spans="1:7" x14ac:dyDescent="0.3">
      <c r="A19" t="s">
        <v>334</v>
      </c>
      <c r="B19" s="4">
        <f>IFERROR(INDEX(MASTER_REGISTER!C:C,MATCH(C19,MASTER_REGISTER!E:E,0)),"")</f>
        <v>9</v>
      </c>
      <c r="C19" s="4" t="s">
        <v>148</v>
      </c>
      <c r="D19" t="str">
        <f>IFERROR(INDEX(MASTER_REGISTER!F:F,MATCH(C19,MASTER_REGISTER!E:E,0)),"")</f>
        <v>Siyanda Mhlongo</v>
      </c>
      <c r="E19" s="4" t="s">
        <v>337</v>
      </c>
      <c r="F19" t="s">
        <v>338</v>
      </c>
      <c r="G19" t="s">
        <v>339</v>
      </c>
    </row>
    <row r="20" spans="1:7" x14ac:dyDescent="0.3">
      <c r="A20" t="s">
        <v>334</v>
      </c>
      <c r="B20" s="4">
        <f>IFERROR(INDEX(MASTER_REGISTER!C:C,MATCH(C20,MASTER_REGISTER!E:E,0)),"")</f>
        <v>9</v>
      </c>
      <c r="C20" s="4" t="s">
        <v>153</v>
      </c>
      <c r="D20" t="str">
        <f>IFERROR(INDEX(MASTER_REGISTER!F:F,MATCH(C20,MASTER_REGISTER!E:E,0)),"")</f>
        <v>Siyanda Mahlangu</v>
      </c>
      <c r="E20" s="4" t="s">
        <v>337</v>
      </c>
      <c r="F20" t="s">
        <v>338</v>
      </c>
      <c r="G20" t="s">
        <v>339</v>
      </c>
    </row>
    <row r="21" spans="1:7" x14ac:dyDescent="0.3">
      <c r="A21" t="s">
        <v>334</v>
      </c>
      <c r="B21" s="4">
        <f>IFERROR(INDEX(MASTER_REGISTER!C:C,MATCH(C21,MASTER_REGISTER!E:E,0)),"")</f>
        <v>9</v>
      </c>
      <c r="C21" s="4" t="s">
        <v>158</v>
      </c>
      <c r="D21" t="str">
        <f>IFERROR(INDEX(MASTER_REGISTER!F:F,MATCH(C21,MASTER_REGISTER!E:E,0)),"")</f>
        <v>Sifiso Ramushu</v>
      </c>
      <c r="E21" s="4" t="s">
        <v>337</v>
      </c>
      <c r="F21" t="s">
        <v>338</v>
      </c>
      <c r="G21" t="s">
        <v>339</v>
      </c>
    </row>
    <row r="22" spans="1:7" x14ac:dyDescent="0.3">
      <c r="A22" t="s">
        <v>334</v>
      </c>
      <c r="B22" s="4">
        <f>IFERROR(INDEX(MASTER_REGISTER!C:C,MATCH(C22,MASTER_REGISTER!E:E,0)),"")</f>
        <v>9</v>
      </c>
      <c r="C22" s="4" t="s">
        <v>163</v>
      </c>
      <c r="D22" t="str">
        <f>IFERROR(INDEX(MASTER_REGISTER!F:F,MATCH(C22,MASTER_REGISTER!E:E,0)),"")</f>
        <v>Nandi Ngobeni</v>
      </c>
      <c r="E22" s="4" t="s">
        <v>337</v>
      </c>
      <c r="F22" t="s">
        <v>338</v>
      </c>
      <c r="G22" t="s">
        <v>339</v>
      </c>
    </row>
    <row r="23" spans="1:7" x14ac:dyDescent="0.3">
      <c r="A23" t="s">
        <v>334</v>
      </c>
      <c r="B23" s="4">
        <f>IFERROR(INDEX(MASTER_REGISTER!C:C,MATCH(C23,MASTER_REGISTER!E:E,0)),"")</f>
        <v>9</v>
      </c>
      <c r="C23" s="4" t="s">
        <v>168</v>
      </c>
      <c r="D23" t="str">
        <f>IFERROR(INDEX(MASTER_REGISTER!F:F,MATCH(C23,MASTER_REGISTER!E:E,0)),"")</f>
        <v>Karabo Mokgadi</v>
      </c>
      <c r="E23" s="4" t="s">
        <v>337</v>
      </c>
      <c r="F23" t="s">
        <v>338</v>
      </c>
      <c r="G23" t="s">
        <v>339</v>
      </c>
    </row>
    <row r="24" spans="1:7" x14ac:dyDescent="0.3">
      <c r="A24" t="s">
        <v>334</v>
      </c>
      <c r="B24" s="4">
        <f>IFERROR(INDEX(MASTER_REGISTER!C:C,MATCH(C24,MASTER_REGISTER!E:E,0)),"")</f>
        <v>9</v>
      </c>
      <c r="C24" s="4" t="s">
        <v>173</v>
      </c>
      <c r="D24" t="str">
        <f>IFERROR(INDEX(MASTER_REGISTER!F:F,MATCH(C24,MASTER_REGISTER!E:E,0)),"")</f>
        <v>Sifiso Mahlangu</v>
      </c>
      <c r="E24" s="4" t="s">
        <v>337</v>
      </c>
      <c r="F24" t="s">
        <v>338</v>
      </c>
      <c r="G24" t="s">
        <v>339</v>
      </c>
    </row>
    <row r="25" spans="1:7" x14ac:dyDescent="0.3">
      <c r="A25" t="s">
        <v>334</v>
      </c>
      <c r="B25" s="4">
        <f>IFERROR(INDEX(MASTER_REGISTER!C:C,MATCH(C25,MASTER_REGISTER!E:E,0)),"")</f>
        <v>9</v>
      </c>
      <c r="C25" s="4" t="s">
        <v>178</v>
      </c>
      <c r="D25" t="str">
        <f>IFERROR(INDEX(MASTER_REGISTER!F:F,MATCH(C25,MASTER_REGISTER!E:E,0)),"")</f>
        <v>Kgothatso Radebe</v>
      </c>
      <c r="E25" s="4" t="s">
        <v>337</v>
      </c>
      <c r="F25" t="s">
        <v>338</v>
      </c>
      <c r="G25" t="s">
        <v>339</v>
      </c>
    </row>
    <row r="26" spans="1:7" x14ac:dyDescent="0.3">
      <c r="A26" t="s">
        <v>334</v>
      </c>
      <c r="B26" s="4">
        <f>IFERROR(INDEX(MASTER_REGISTER!C:C,MATCH(C26,MASTER_REGISTER!E:E,0)),"")</f>
        <v>10</v>
      </c>
      <c r="C26" s="4" t="s">
        <v>183</v>
      </c>
      <c r="D26" t="str">
        <f>IFERROR(INDEX(MASTER_REGISTER!F:F,MATCH(C26,MASTER_REGISTER!E:E,0)),"")</f>
        <v>Lerato Maseko</v>
      </c>
      <c r="E26" s="4" t="s">
        <v>337</v>
      </c>
      <c r="F26" t="s">
        <v>338</v>
      </c>
      <c r="G26" t="s">
        <v>339</v>
      </c>
    </row>
    <row r="27" spans="1:7" x14ac:dyDescent="0.3">
      <c r="A27" t="s">
        <v>334</v>
      </c>
      <c r="B27" s="4">
        <f>IFERROR(INDEX(MASTER_REGISTER!C:C,MATCH(C27,MASTER_REGISTER!E:E,0)),"")</f>
        <v>10</v>
      </c>
      <c r="C27" s="4" t="s">
        <v>188</v>
      </c>
      <c r="D27" t="str">
        <f>IFERROR(INDEX(MASTER_REGISTER!F:F,MATCH(C27,MASTER_REGISTER!E:E,0)),"")</f>
        <v>Sibusiso Molefe</v>
      </c>
      <c r="E27" s="4" t="s">
        <v>337</v>
      </c>
      <c r="F27" t="s">
        <v>338</v>
      </c>
      <c r="G27" t="s">
        <v>339</v>
      </c>
    </row>
    <row r="28" spans="1:7" x14ac:dyDescent="0.3">
      <c r="A28" t="s">
        <v>334</v>
      </c>
      <c r="B28" s="4">
        <f>IFERROR(INDEX(MASTER_REGISTER!C:C,MATCH(C28,MASTER_REGISTER!E:E,0)),"")</f>
        <v>10</v>
      </c>
      <c r="C28" s="4" t="s">
        <v>193</v>
      </c>
      <c r="D28" t="str">
        <f>IFERROR(INDEX(MASTER_REGISTER!F:F,MATCH(C28,MASTER_REGISTER!E:E,0)),"")</f>
        <v>Nandi Molefe</v>
      </c>
      <c r="E28" s="4" t="s">
        <v>337</v>
      </c>
      <c r="F28" t="s">
        <v>338</v>
      </c>
      <c r="G28" t="s">
        <v>339</v>
      </c>
    </row>
    <row r="29" spans="1:7" x14ac:dyDescent="0.3">
      <c r="A29" t="s">
        <v>334</v>
      </c>
      <c r="B29" s="4">
        <f>IFERROR(INDEX(MASTER_REGISTER!C:C,MATCH(C29,MASTER_REGISTER!E:E,0)),"")</f>
        <v>10</v>
      </c>
      <c r="C29" s="4" t="s">
        <v>198</v>
      </c>
      <c r="D29" t="str">
        <f>IFERROR(INDEX(MASTER_REGISTER!F:F,MATCH(C29,MASTER_REGISTER!E:E,0)),"")</f>
        <v>Kgothatso Baloyi</v>
      </c>
      <c r="E29" s="4" t="s">
        <v>337</v>
      </c>
      <c r="F29" t="s">
        <v>338</v>
      </c>
      <c r="G29" t="s">
        <v>339</v>
      </c>
    </row>
    <row r="30" spans="1:7" x14ac:dyDescent="0.3">
      <c r="A30" t="s">
        <v>334</v>
      </c>
      <c r="B30" s="4">
        <f>IFERROR(INDEX(MASTER_REGISTER!C:C,MATCH(C30,MASTER_REGISTER!E:E,0)),"")</f>
        <v>10</v>
      </c>
      <c r="C30" s="4" t="s">
        <v>202</v>
      </c>
      <c r="D30" t="str">
        <f>IFERROR(INDEX(MASTER_REGISTER!F:F,MATCH(C30,MASTER_REGISTER!E:E,0)),"")</f>
        <v>Ayanda Mokoena</v>
      </c>
      <c r="E30" s="4" t="s">
        <v>337</v>
      </c>
      <c r="F30" t="s">
        <v>338</v>
      </c>
      <c r="G30" t="s">
        <v>339</v>
      </c>
    </row>
    <row r="31" spans="1:7" x14ac:dyDescent="0.3">
      <c r="A31" t="s">
        <v>334</v>
      </c>
      <c r="B31" s="4">
        <f>IFERROR(INDEX(MASTER_REGISTER!C:C,MATCH(C31,MASTER_REGISTER!E:E,0)),"")</f>
        <v>10</v>
      </c>
      <c r="C31" s="4" t="s">
        <v>206</v>
      </c>
      <c r="D31" t="str">
        <f>IFERROR(INDEX(MASTER_REGISTER!F:F,MATCH(C31,MASTER_REGISTER!E:E,0)),"")</f>
        <v>Lwazi Baloyi</v>
      </c>
      <c r="E31" s="4" t="s">
        <v>337</v>
      </c>
      <c r="F31" t="s">
        <v>338</v>
      </c>
      <c r="G31" t="s">
        <v>339</v>
      </c>
    </row>
    <row r="32" spans="1:7" x14ac:dyDescent="0.3">
      <c r="A32" t="s">
        <v>334</v>
      </c>
      <c r="B32" s="4">
        <f>IFERROR(INDEX(MASTER_REGISTER!C:C,MATCH(C32,MASTER_REGISTER!E:E,0)),"")</f>
        <v>10</v>
      </c>
      <c r="C32" s="4" t="s">
        <v>210</v>
      </c>
      <c r="D32" t="str">
        <f>IFERROR(INDEX(MASTER_REGISTER!F:F,MATCH(C32,MASTER_REGISTER!E:E,0)),"")</f>
        <v>Siyanda Mokoena</v>
      </c>
      <c r="E32" s="4" t="s">
        <v>337</v>
      </c>
      <c r="F32" t="s">
        <v>338</v>
      </c>
      <c r="G32" t="s">
        <v>339</v>
      </c>
    </row>
    <row r="33" spans="1:8" x14ac:dyDescent="0.3">
      <c r="A33" t="s">
        <v>334</v>
      </c>
      <c r="B33" s="4">
        <f>IFERROR(INDEX(MASTER_REGISTER!C:C,MATCH(C33,MASTER_REGISTER!E:E,0)),"")</f>
        <v>10</v>
      </c>
      <c r="C33" s="4" t="s">
        <v>214</v>
      </c>
      <c r="D33" t="str">
        <f>IFERROR(INDEX(MASTER_REGISTER!F:F,MATCH(C33,MASTER_REGISTER!E:E,0)),"")</f>
        <v>Mpho Ngobeni</v>
      </c>
      <c r="E33" s="4" t="s">
        <v>337</v>
      </c>
      <c r="F33" t="s">
        <v>338</v>
      </c>
      <c r="G33" t="s">
        <v>339</v>
      </c>
    </row>
    <row r="34" spans="1:8" x14ac:dyDescent="0.3">
      <c r="A34" t="s">
        <v>334</v>
      </c>
      <c r="B34" s="4">
        <f>IFERROR(INDEX(MASTER_REGISTER!C:C,MATCH(C34,MASTER_REGISTER!E:E,0)),"")</f>
        <v>10</v>
      </c>
      <c r="C34" s="4" t="s">
        <v>217</v>
      </c>
      <c r="D34" t="str">
        <f>IFERROR(INDEX(MASTER_REGISTER!F:F,MATCH(C34,MASTER_REGISTER!E:E,0)),"")</f>
        <v>Naledi Makhubela</v>
      </c>
      <c r="E34" s="4" t="s">
        <v>335</v>
      </c>
      <c r="H34" t="s">
        <v>341</v>
      </c>
    </row>
    <row r="35" spans="1:8" x14ac:dyDescent="0.3">
      <c r="A35" t="s">
        <v>334</v>
      </c>
      <c r="B35" s="4">
        <f>IFERROR(INDEX(MASTER_REGISTER!C:C,MATCH(C35,MASTER_REGISTER!E:E,0)),"")</f>
        <v>10</v>
      </c>
      <c r="C35" s="4" t="s">
        <v>221</v>
      </c>
      <c r="D35" t="str">
        <f>IFERROR(INDEX(MASTER_REGISTER!F:F,MATCH(C35,MASTER_REGISTER!E:E,0)),"")</f>
        <v>Kgothatso Mokoena</v>
      </c>
      <c r="E35" s="4" t="s">
        <v>337</v>
      </c>
      <c r="F35" t="s">
        <v>338</v>
      </c>
      <c r="G35" t="s">
        <v>339</v>
      </c>
    </row>
    <row r="36" spans="1:8" x14ac:dyDescent="0.3">
      <c r="A36" t="s">
        <v>334</v>
      </c>
      <c r="B36" s="4">
        <f>IFERROR(INDEX(MASTER_REGISTER!C:C,MATCH(C36,MASTER_REGISTER!E:E,0)),"")</f>
        <v>10</v>
      </c>
      <c r="C36" s="4" t="s">
        <v>225</v>
      </c>
      <c r="D36" t="str">
        <f>IFERROR(INDEX(MASTER_REGISTER!F:F,MATCH(C36,MASTER_REGISTER!E:E,0)),"")</f>
        <v>Bongani Makhubela</v>
      </c>
      <c r="E36" s="4" t="s">
        <v>337</v>
      </c>
      <c r="F36" t="s">
        <v>338</v>
      </c>
      <c r="G36" t="s">
        <v>339</v>
      </c>
    </row>
    <row r="37" spans="1:8" x14ac:dyDescent="0.3">
      <c r="A37" t="s">
        <v>334</v>
      </c>
      <c r="B37" s="4">
        <f>IFERROR(INDEX(MASTER_REGISTER!C:C,MATCH(C37,MASTER_REGISTER!E:E,0)),"")</f>
        <v>10</v>
      </c>
      <c r="C37" s="4" t="s">
        <v>229</v>
      </c>
      <c r="D37" t="str">
        <f>IFERROR(INDEX(MASTER_REGISTER!F:F,MATCH(C37,MASTER_REGISTER!E:E,0)),"")</f>
        <v>Kagiso Kekana</v>
      </c>
      <c r="E37" s="4" t="s">
        <v>337</v>
      </c>
      <c r="F37" t="s">
        <v>338</v>
      </c>
      <c r="G37" t="s">
        <v>339</v>
      </c>
    </row>
    <row r="38" spans="1:8" x14ac:dyDescent="0.3">
      <c r="A38" t="s">
        <v>334</v>
      </c>
      <c r="B38" s="4">
        <f>IFERROR(INDEX(MASTER_REGISTER!C:C,MATCH(C38,MASTER_REGISTER!E:E,0)),"")</f>
        <v>11</v>
      </c>
      <c r="C38" s="4" t="s">
        <v>233</v>
      </c>
      <c r="D38" t="str">
        <f>IFERROR(INDEX(MASTER_REGISTER!F:F,MATCH(C38,MASTER_REGISTER!E:E,0)),"")</f>
        <v>Lwazi Makhubela</v>
      </c>
      <c r="E38" s="4" t="s">
        <v>337</v>
      </c>
      <c r="F38" t="s">
        <v>338</v>
      </c>
      <c r="G38" t="s">
        <v>339</v>
      </c>
    </row>
    <row r="39" spans="1:8" x14ac:dyDescent="0.3">
      <c r="A39" t="s">
        <v>334</v>
      </c>
      <c r="B39" s="4">
        <f>IFERROR(INDEX(MASTER_REGISTER!C:C,MATCH(C39,MASTER_REGISTER!E:E,0)),"")</f>
        <v>11</v>
      </c>
      <c r="C39" s="4" t="s">
        <v>237</v>
      </c>
      <c r="D39" t="str">
        <f>IFERROR(INDEX(MASTER_REGISTER!F:F,MATCH(C39,MASTER_REGISTER!E:E,0)),"")</f>
        <v>Lebogang Ramushu</v>
      </c>
      <c r="E39" s="4" t="s">
        <v>337</v>
      </c>
      <c r="F39" t="s">
        <v>338</v>
      </c>
      <c r="G39" t="s">
        <v>339</v>
      </c>
    </row>
    <row r="40" spans="1:8" x14ac:dyDescent="0.3">
      <c r="A40" t="s">
        <v>334</v>
      </c>
      <c r="B40" s="4">
        <f>IFERROR(INDEX(MASTER_REGISTER!C:C,MATCH(C40,MASTER_REGISTER!E:E,0)),"")</f>
        <v>11</v>
      </c>
      <c r="C40" s="4" t="s">
        <v>241</v>
      </c>
      <c r="D40" t="str">
        <f>IFERROR(INDEX(MASTER_REGISTER!F:F,MATCH(C40,MASTER_REGISTER!E:E,0)),"")</f>
        <v>Lerato Kekana</v>
      </c>
      <c r="E40" s="4" t="s">
        <v>337</v>
      </c>
      <c r="F40" t="s">
        <v>338</v>
      </c>
      <c r="G40" t="s">
        <v>339</v>
      </c>
    </row>
    <row r="41" spans="1:8" x14ac:dyDescent="0.3">
      <c r="A41" t="s">
        <v>334</v>
      </c>
      <c r="B41" s="4">
        <f>IFERROR(INDEX(MASTER_REGISTER!C:C,MATCH(C41,MASTER_REGISTER!E:E,0)),"")</f>
        <v>11</v>
      </c>
      <c r="C41" s="4" t="s">
        <v>244</v>
      </c>
      <c r="D41" t="str">
        <f>IFERROR(INDEX(MASTER_REGISTER!F:F,MATCH(C41,MASTER_REGISTER!E:E,0)),"")</f>
        <v>Bongani Ndlovu</v>
      </c>
      <c r="E41" s="4" t="s">
        <v>337</v>
      </c>
      <c r="F41" t="s">
        <v>338</v>
      </c>
      <c r="G41" t="s">
        <v>339</v>
      </c>
    </row>
    <row r="42" spans="1:8" x14ac:dyDescent="0.3">
      <c r="A42" t="s">
        <v>334</v>
      </c>
      <c r="B42" s="4">
        <f>IFERROR(INDEX(MASTER_REGISTER!C:C,MATCH(C42,MASTER_REGISTER!E:E,0)),"")</f>
        <v>11</v>
      </c>
      <c r="C42" s="4" t="s">
        <v>248</v>
      </c>
      <c r="D42" t="str">
        <f>IFERROR(INDEX(MASTER_REGISTER!F:F,MATCH(C42,MASTER_REGISTER!E:E,0)),"")</f>
        <v>Sifiso Dlamini</v>
      </c>
      <c r="E42" s="4" t="s">
        <v>337</v>
      </c>
      <c r="F42" t="s">
        <v>338</v>
      </c>
      <c r="G42" t="s">
        <v>339</v>
      </c>
    </row>
    <row r="43" spans="1:8" x14ac:dyDescent="0.3">
      <c r="A43" t="s">
        <v>334</v>
      </c>
      <c r="B43" s="4">
        <f>IFERROR(INDEX(MASTER_REGISTER!C:C,MATCH(C43,MASTER_REGISTER!E:E,0)),"")</f>
        <v>11</v>
      </c>
      <c r="C43" s="4" t="s">
        <v>252</v>
      </c>
      <c r="D43" t="str">
        <f>IFERROR(INDEX(MASTER_REGISTER!F:F,MATCH(C43,MASTER_REGISTER!E:E,0)),"")</f>
        <v>Refilwe Dlamini</v>
      </c>
      <c r="E43" s="4" t="s">
        <v>337</v>
      </c>
      <c r="F43" t="s">
        <v>338</v>
      </c>
      <c r="G43" t="s">
        <v>339</v>
      </c>
    </row>
    <row r="44" spans="1:8" x14ac:dyDescent="0.3">
      <c r="A44" t="s">
        <v>334</v>
      </c>
      <c r="B44" s="4">
        <f>IFERROR(INDEX(MASTER_REGISTER!C:C,MATCH(C44,MASTER_REGISTER!E:E,0)),"")</f>
        <v>11</v>
      </c>
      <c r="C44" s="4" t="s">
        <v>256</v>
      </c>
      <c r="D44" t="str">
        <f>IFERROR(INDEX(MASTER_REGISTER!F:F,MATCH(C44,MASTER_REGISTER!E:E,0)),"")</f>
        <v>Lwazi Maseko</v>
      </c>
      <c r="E44" s="4" t="s">
        <v>337</v>
      </c>
      <c r="F44" t="s">
        <v>338</v>
      </c>
      <c r="G44" t="s">
        <v>339</v>
      </c>
    </row>
    <row r="45" spans="1:8" x14ac:dyDescent="0.3">
      <c r="A45" t="s">
        <v>334</v>
      </c>
      <c r="B45" s="4">
        <f>IFERROR(INDEX(MASTER_REGISTER!C:C,MATCH(C45,MASTER_REGISTER!E:E,0)),"")</f>
        <v>11</v>
      </c>
      <c r="C45" s="4" t="s">
        <v>260</v>
      </c>
      <c r="D45" t="str">
        <f>IFERROR(INDEX(MASTER_REGISTER!F:F,MATCH(C45,MASTER_REGISTER!E:E,0)),"")</f>
        <v>Refilwe Mokgadi</v>
      </c>
      <c r="E45" s="4" t="s">
        <v>337</v>
      </c>
      <c r="F45" t="s">
        <v>338</v>
      </c>
      <c r="G45" t="s">
        <v>339</v>
      </c>
    </row>
    <row r="46" spans="1:8" x14ac:dyDescent="0.3">
      <c r="A46" t="s">
        <v>334</v>
      </c>
      <c r="B46" s="4">
        <f>IFERROR(INDEX(MASTER_REGISTER!C:C,MATCH(C46,MASTER_REGISTER!E:E,0)),"")</f>
        <v>11</v>
      </c>
      <c r="C46" s="4" t="s">
        <v>264</v>
      </c>
      <c r="D46" t="str">
        <f>IFERROR(INDEX(MASTER_REGISTER!F:F,MATCH(C46,MASTER_REGISTER!E:E,0)),"")</f>
        <v>Kgothatso Molefe</v>
      </c>
      <c r="E46" s="4" t="s">
        <v>335</v>
      </c>
      <c r="H46" t="s">
        <v>341</v>
      </c>
    </row>
    <row r="47" spans="1:8" x14ac:dyDescent="0.3">
      <c r="A47" t="s">
        <v>334</v>
      </c>
      <c r="B47" s="4">
        <f>IFERROR(INDEX(MASTER_REGISTER!C:C,MATCH(C47,MASTER_REGISTER!E:E,0)),"")</f>
        <v>11</v>
      </c>
      <c r="C47" s="4" t="s">
        <v>268</v>
      </c>
      <c r="D47" t="str">
        <f>IFERROR(INDEX(MASTER_REGISTER!F:F,MATCH(C47,MASTER_REGISTER!E:E,0)),"")</f>
        <v>Tshepo Mokgadi</v>
      </c>
      <c r="E47" s="4" t="s">
        <v>337</v>
      </c>
      <c r="F47" t="s">
        <v>338</v>
      </c>
      <c r="G47" t="s">
        <v>339</v>
      </c>
    </row>
    <row r="48" spans="1:8" x14ac:dyDescent="0.3">
      <c r="A48" t="s">
        <v>334</v>
      </c>
      <c r="B48" s="4">
        <f>IFERROR(INDEX(MASTER_REGISTER!C:C,MATCH(C48,MASTER_REGISTER!E:E,0)),"")</f>
        <v>11</v>
      </c>
      <c r="C48" s="4" t="s">
        <v>272</v>
      </c>
      <c r="D48" t="str">
        <f>IFERROR(INDEX(MASTER_REGISTER!F:F,MATCH(C48,MASTER_REGISTER!E:E,0)),"")</f>
        <v>Tshepo Phiri</v>
      </c>
      <c r="E48" s="4" t="s">
        <v>337</v>
      </c>
      <c r="F48" t="s">
        <v>338</v>
      </c>
      <c r="G48" t="s">
        <v>339</v>
      </c>
    </row>
    <row r="49" spans="1:8" x14ac:dyDescent="0.3">
      <c r="A49" t="s">
        <v>334</v>
      </c>
      <c r="B49" s="4">
        <f>IFERROR(INDEX(MASTER_REGISTER!C:C,MATCH(C49,MASTER_REGISTER!E:E,0)),"")</f>
        <v>11</v>
      </c>
      <c r="C49" s="4" t="s">
        <v>276</v>
      </c>
      <c r="D49" t="str">
        <f>IFERROR(INDEX(MASTER_REGISTER!F:F,MATCH(C49,MASTER_REGISTER!E:E,0)),"")</f>
        <v>Zanele Ngobeni</v>
      </c>
      <c r="E49" s="4" t="s">
        <v>337</v>
      </c>
      <c r="F49" t="s">
        <v>338</v>
      </c>
      <c r="G49" t="s">
        <v>339</v>
      </c>
    </row>
    <row r="50" spans="1:8" x14ac:dyDescent="0.3">
      <c r="A50" t="s">
        <v>334</v>
      </c>
      <c r="B50" s="4">
        <f>IFERROR(INDEX(MASTER_REGISTER!C:C,MATCH(C50,MASTER_REGISTER!E:E,0)),"")</f>
        <v>12</v>
      </c>
      <c r="C50" s="4" t="s">
        <v>280</v>
      </c>
      <c r="D50" t="str">
        <f>IFERROR(INDEX(MASTER_REGISTER!F:F,MATCH(C50,MASTER_REGISTER!E:E,0)),"")</f>
        <v>Palesa Mokoena</v>
      </c>
      <c r="E50" s="4" t="s">
        <v>335</v>
      </c>
      <c r="H50" t="s">
        <v>340</v>
      </c>
    </row>
    <row r="51" spans="1:8" x14ac:dyDescent="0.3">
      <c r="A51" t="s">
        <v>334</v>
      </c>
      <c r="B51" s="4">
        <f>IFERROR(INDEX(MASTER_REGISTER!C:C,MATCH(C51,MASTER_REGISTER!E:E,0)),"")</f>
        <v>12</v>
      </c>
      <c r="C51" s="4" t="s">
        <v>284</v>
      </c>
      <c r="D51" t="str">
        <f>IFERROR(INDEX(MASTER_REGISTER!F:F,MATCH(C51,MASTER_REGISTER!E:E,0)),"")</f>
        <v>Thabo Ramushu</v>
      </c>
      <c r="E51" s="4" t="s">
        <v>337</v>
      </c>
      <c r="F51" t="s">
        <v>338</v>
      </c>
      <c r="G51" t="s">
        <v>339</v>
      </c>
    </row>
    <row r="52" spans="1:8" x14ac:dyDescent="0.3">
      <c r="A52" t="s">
        <v>334</v>
      </c>
      <c r="B52" s="4">
        <f>IFERROR(INDEX(MASTER_REGISTER!C:C,MATCH(C52,MASTER_REGISTER!E:E,0)),"")</f>
        <v>12</v>
      </c>
      <c r="C52" s="4" t="s">
        <v>288</v>
      </c>
      <c r="D52" t="str">
        <f>IFERROR(INDEX(MASTER_REGISTER!F:F,MATCH(C52,MASTER_REGISTER!E:E,0)),"")</f>
        <v>Lwazi Ndlovu</v>
      </c>
      <c r="E52" s="4" t="s">
        <v>337</v>
      </c>
      <c r="F52" t="s">
        <v>338</v>
      </c>
      <c r="G52" t="s">
        <v>339</v>
      </c>
    </row>
    <row r="53" spans="1:8" x14ac:dyDescent="0.3">
      <c r="A53" t="s">
        <v>334</v>
      </c>
      <c r="B53" s="4">
        <f>IFERROR(INDEX(MASTER_REGISTER!C:C,MATCH(C53,MASTER_REGISTER!E:E,0)),"")</f>
        <v>12</v>
      </c>
      <c r="C53" s="4" t="s">
        <v>292</v>
      </c>
      <c r="D53" t="str">
        <f>IFERROR(INDEX(MASTER_REGISTER!F:F,MATCH(C53,MASTER_REGISTER!E:E,0)),"")</f>
        <v>Ayanda Dlamini</v>
      </c>
      <c r="E53" s="4" t="s">
        <v>337</v>
      </c>
      <c r="F53" t="s">
        <v>338</v>
      </c>
      <c r="G53" t="s">
        <v>339</v>
      </c>
    </row>
    <row r="54" spans="1:8" x14ac:dyDescent="0.3">
      <c r="A54" t="s">
        <v>334</v>
      </c>
      <c r="B54" s="4">
        <f>IFERROR(INDEX(MASTER_REGISTER!C:C,MATCH(C54,MASTER_REGISTER!E:E,0)),"")</f>
        <v>12</v>
      </c>
      <c r="C54" s="4" t="s">
        <v>296</v>
      </c>
      <c r="D54" t="str">
        <f>IFERROR(INDEX(MASTER_REGISTER!F:F,MATCH(C54,MASTER_REGISTER!E:E,0)),"")</f>
        <v>Neo Ndlovu</v>
      </c>
      <c r="E54" s="4" t="s">
        <v>337</v>
      </c>
      <c r="F54" t="s">
        <v>338</v>
      </c>
      <c r="G54" t="s">
        <v>339</v>
      </c>
    </row>
    <row r="55" spans="1:8" x14ac:dyDescent="0.3">
      <c r="A55" t="s">
        <v>334</v>
      </c>
      <c r="B55" s="4">
        <f>IFERROR(INDEX(MASTER_REGISTER!C:C,MATCH(C55,MASTER_REGISTER!E:E,0)),"")</f>
        <v>12</v>
      </c>
      <c r="C55" s="4" t="s">
        <v>300</v>
      </c>
      <c r="D55" t="str">
        <f>IFERROR(INDEX(MASTER_REGISTER!F:F,MATCH(C55,MASTER_REGISTER!E:E,0)),"")</f>
        <v>Neo Ramushu</v>
      </c>
      <c r="E55" s="4" t="s">
        <v>337</v>
      </c>
      <c r="F55" t="s">
        <v>338</v>
      </c>
      <c r="G55" t="s">
        <v>339</v>
      </c>
    </row>
    <row r="56" spans="1:8" x14ac:dyDescent="0.3">
      <c r="A56" t="s">
        <v>334</v>
      </c>
      <c r="B56" s="4">
        <f>IFERROR(INDEX(MASTER_REGISTER!C:C,MATCH(C56,MASTER_REGISTER!E:E,0)),"")</f>
        <v>12</v>
      </c>
      <c r="C56" s="4" t="s">
        <v>304</v>
      </c>
      <c r="D56" t="str">
        <f>IFERROR(INDEX(MASTER_REGISTER!F:F,MATCH(C56,MASTER_REGISTER!E:E,0)),"")</f>
        <v>Karabo Baloyi</v>
      </c>
      <c r="E56" s="4" t="s">
        <v>337</v>
      </c>
      <c r="F56" t="s">
        <v>338</v>
      </c>
      <c r="G56" t="s">
        <v>339</v>
      </c>
    </row>
    <row r="57" spans="1:8" x14ac:dyDescent="0.3">
      <c r="A57" t="s">
        <v>334</v>
      </c>
      <c r="B57" s="4">
        <f>IFERROR(INDEX(MASTER_REGISTER!C:C,MATCH(C57,MASTER_REGISTER!E:E,0)),"")</f>
        <v>12</v>
      </c>
      <c r="C57" s="4" t="s">
        <v>308</v>
      </c>
      <c r="D57" t="str">
        <f>IFERROR(INDEX(MASTER_REGISTER!F:F,MATCH(C57,MASTER_REGISTER!E:E,0)),"")</f>
        <v>Tshepo Mokgadi</v>
      </c>
      <c r="E57" s="4" t="s">
        <v>337</v>
      </c>
      <c r="F57" t="s">
        <v>338</v>
      </c>
      <c r="G57" t="s">
        <v>339</v>
      </c>
    </row>
    <row r="58" spans="1:8" x14ac:dyDescent="0.3">
      <c r="A58" t="s">
        <v>334</v>
      </c>
      <c r="B58" s="4">
        <f>IFERROR(INDEX(MASTER_REGISTER!C:C,MATCH(C58,MASTER_REGISTER!E:E,0)),"")</f>
        <v>12</v>
      </c>
      <c r="C58" s="4" t="s">
        <v>311</v>
      </c>
      <c r="D58" t="str">
        <f>IFERROR(INDEX(MASTER_REGISTER!F:F,MATCH(C58,MASTER_REGISTER!E:E,0)),"")</f>
        <v>Sifiso Mavuso</v>
      </c>
      <c r="E58" s="4" t="s">
        <v>337</v>
      </c>
      <c r="F58" t="s">
        <v>338</v>
      </c>
      <c r="G58" t="s">
        <v>339</v>
      </c>
    </row>
    <row r="59" spans="1:8" x14ac:dyDescent="0.3">
      <c r="A59" t="s">
        <v>334</v>
      </c>
      <c r="B59" s="4">
        <f>IFERROR(INDEX(MASTER_REGISTER!C:C,MATCH(C59,MASTER_REGISTER!E:E,0)),"")</f>
        <v>12</v>
      </c>
      <c r="C59" s="4" t="s">
        <v>315</v>
      </c>
      <c r="D59" t="str">
        <f>IFERROR(INDEX(MASTER_REGISTER!F:F,MATCH(C59,MASTER_REGISTER!E:E,0)),"")</f>
        <v>Refilwe Sithole</v>
      </c>
      <c r="E59" s="4" t="s">
        <v>337</v>
      </c>
      <c r="F59" t="s">
        <v>338</v>
      </c>
      <c r="G59" t="s">
        <v>339</v>
      </c>
    </row>
    <row r="60" spans="1:8" x14ac:dyDescent="0.3">
      <c r="A60" t="s">
        <v>334</v>
      </c>
      <c r="B60" s="4">
        <f>IFERROR(INDEX(MASTER_REGISTER!C:C,MATCH(C60,MASTER_REGISTER!E:E,0)),"")</f>
        <v>12</v>
      </c>
      <c r="C60" s="4" t="s">
        <v>319</v>
      </c>
      <c r="D60" t="str">
        <f>IFERROR(INDEX(MASTER_REGISTER!F:F,MATCH(C60,MASTER_REGISTER!E:E,0)),"")</f>
        <v>Lerato Sithole</v>
      </c>
      <c r="E60" s="4" t="s">
        <v>337</v>
      </c>
      <c r="F60" t="s">
        <v>338</v>
      </c>
      <c r="G60" t="s">
        <v>339</v>
      </c>
    </row>
    <row r="61" spans="1:8" x14ac:dyDescent="0.3">
      <c r="A61" t="s">
        <v>334</v>
      </c>
      <c r="B61" s="4">
        <f>IFERROR(INDEX(MASTER_REGISTER!C:C,MATCH(C61,MASTER_REGISTER!E:E,0)),"")</f>
        <v>12</v>
      </c>
      <c r="C61" s="4" t="s">
        <v>323</v>
      </c>
      <c r="D61" t="str">
        <f>IFERROR(INDEX(MASTER_REGISTER!F:F,MATCH(C61,MASTER_REGISTER!E:E,0)),"")</f>
        <v>Sibusiso Ngobeni</v>
      </c>
      <c r="E61" s="4" t="s">
        <v>337</v>
      </c>
      <c r="F61" t="s">
        <v>338</v>
      </c>
      <c r="G61" t="s">
        <v>339</v>
      </c>
    </row>
    <row r="62" spans="1:8" x14ac:dyDescent="0.3">
      <c r="A62" t="s">
        <v>62</v>
      </c>
      <c r="B62" s="4">
        <f>IFERROR(INDEX(MASTER_REGISTER!C:C,MATCH(C62,MASTER_REGISTER!E:E,0)),"")</f>
        <v>8</v>
      </c>
      <c r="C62" s="4" t="s">
        <v>50</v>
      </c>
      <c r="D62" t="str">
        <f>IFERROR(INDEX(MASTER_REGISTER!F:F,MATCH(C62,MASTER_REGISTER!E:E,0)),"")</f>
        <v>Lerato Nkosi</v>
      </c>
      <c r="E62" s="4" t="s">
        <v>337</v>
      </c>
      <c r="F62" t="s">
        <v>338</v>
      </c>
      <c r="G62" t="s">
        <v>339</v>
      </c>
    </row>
    <row r="63" spans="1:8" x14ac:dyDescent="0.3">
      <c r="A63" t="s">
        <v>62</v>
      </c>
      <c r="B63" s="4">
        <f>IFERROR(INDEX(MASTER_REGISTER!C:C,MATCH(C63,MASTER_REGISTER!E:E,0)),"")</f>
        <v>8</v>
      </c>
      <c r="C63" s="4" t="s">
        <v>58</v>
      </c>
      <c r="D63" t="str">
        <f>IFERROR(INDEX(MASTER_REGISTER!F:F,MATCH(C63,MASTER_REGISTER!E:E,0)),"")</f>
        <v>Karabo Maseko</v>
      </c>
      <c r="E63" s="4" t="s">
        <v>337</v>
      </c>
      <c r="F63" t="s">
        <v>338</v>
      </c>
      <c r="G63" t="s">
        <v>339</v>
      </c>
    </row>
    <row r="64" spans="1:8" x14ac:dyDescent="0.3">
      <c r="A64" t="s">
        <v>62</v>
      </c>
      <c r="B64" s="4">
        <f>IFERROR(INDEX(MASTER_REGISTER!C:C,MATCH(C64,MASTER_REGISTER!E:E,0)),"")</f>
        <v>8</v>
      </c>
      <c r="C64" s="4" t="s">
        <v>64</v>
      </c>
      <c r="D64" t="str">
        <f>IFERROR(INDEX(MASTER_REGISTER!F:F,MATCH(C64,MASTER_REGISTER!E:E,0)),"")</f>
        <v>Sifiso Sithole</v>
      </c>
      <c r="E64" s="4" t="s">
        <v>337</v>
      </c>
      <c r="F64" t="s">
        <v>338</v>
      </c>
      <c r="G64" t="s">
        <v>339</v>
      </c>
    </row>
    <row r="65" spans="1:8" x14ac:dyDescent="0.3">
      <c r="A65" t="s">
        <v>62</v>
      </c>
      <c r="B65" s="4">
        <f>IFERROR(INDEX(MASTER_REGISTER!C:C,MATCH(C65,MASTER_REGISTER!E:E,0)),"")</f>
        <v>8</v>
      </c>
      <c r="C65" s="4" t="s">
        <v>70</v>
      </c>
      <c r="D65" t="str">
        <f>IFERROR(INDEX(MASTER_REGISTER!F:F,MATCH(C65,MASTER_REGISTER!E:E,0)),"")</f>
        <v>Tshepo Ndlovu</v>
      </c>
      <c r="E65" s="4" t="s">
        <v>335</v>
      </c>
      <c r="H65" t="s">
        <v>336</v>
      </c>
    </row>
    <row r="66" spans="1:8" x14ac:dyDescent="0.3">
      <c r="A66" t="s">
        <v>62</v>
      </c>
      <c r="B66" s="4">
        <f>IFERROR(INDEX(MASTER_REGISTER!C:C,MATCH(C66,MASTER_REGISTER!E:E,0)),"")</f>
        <v>8</v>
      </c>
      <c r="C66" s="4" t="s">
        <v>76</v>
      </c>
      <c r="D66" t="str">
        <f>IFERROR(INDEX(MASTER_REGISTER!F:F,MATCH(C66,MASTER_REGISTER!E:E,0)),"")</f>
        <v>Lwazi Mthembu</v>
      </c>
      <c r="E66" s="4" t="s">
        <v>337</v>
      </c>
      <c r="F66" t="s">
        <v>338</v>
      </c>
      <c r="G66" t="s">
        <v>339</v>
      </c>
    </row>
    <row r="67" spans="1:8" x14ac:dyDescent="0.3">
      <c r="A67" t="s">
        <v>62</v>
      </c>
      <c r="B67" s="4">
        <f>IFERROR(INDEX(MASTER_REGISTER!C:C,MATCH(C67,MASTER_REGISTER!E:E,0)),"")</f>
        <v>8</v>
      </c>
      <c r="C67" s="4" t="s">
        <v>82</v>
      </c>
      <c r="D67" t="str">
        <f>IFERROR(INDEX(MASTER_REGISTER!F:F,MATCH(C67,MASTER_REGISTER!E:E,0)),"")</f>
        <v>Karabo Ngobeni</v>
      </c>
      <c r="E67" s="4" t="s">
        <v>337</v>
      </c>
      <c r="F67" t="s">
        <v>338</v>
      </c>
      <c r="G67" t="s">
        <v>339</v>
      </c>
    </row>
    <row r="68" spans="1:8" x14ac:dyDescent="0.3">
      <c r="A68" t="s">
        <v>62</v>
      </c>
      <c r="B68" s="4">
        <f>IFERROR(INDEX(MASTER_REGISTER!C:C,MATCH(C68,MASTER_REGISTER!E:E,0)),"")</f>
        <v>8</v>
      </c>
      <c r="C68" s="4" t="s">
        <v>88</v>
      </c>
      <c r="D68" t="str">
        <f>IFERROR(INDEX(MASTER_REGISTER!F:F,MATCH(C68,MASTER_REGISTER!E:E,0)),"")</f>
        <v>Mpho Sithole</v>
      </c>
      <c r="E68" s="4" t="s">
        <v>337</v>
      </c>
      <c r="F68" t="s">
        <v>338</v>
      </c>
      <c r="G68" t="s">
        <v>339</v>
      </c>
    </row>
    <row r="69" spans="1:8" x14ac:dyDescent="0.3">
      <c r="A69" t="s">
        <v>62</v>
      </c>
      <c r="B69" s="4">
        <f>IFERROR(INDEX(MASTER_REGISTER!C:C,MATCH(C69,MASTER_REGISTER!E:E,0)),"")</f>
        <v>8</v>
      </c>
      <c r="C69" s="4" t="s">
        <v>94</v>
      </c>
      <c r="D69" t="str">
        <f>IFERROR(INDEX(MASTER_REGISTER!F:F,MATCH(C69,MASTER_REGISTER!E:E,0)),"")</f>
        <v>Tshepo Ramushu</v>
      </c>
      <c r="E69" s="4" t="s">
        <v>337</v>
      </c>
      <c r="F69" t="s">
        <v>338</v>
      </c>
      <c r="G69" t="s">
        <v>339</v>
      </c>
    </row>
    <row r="70" spans="1:8" x14ac:dyDescent="0.3">
      <c r="A70" t="s">
        <v>62</v>
      </c>
      <c r="B70" s="4">
        <f>IFERROR(INDEX(MASTER_REGISTER!C:C,MATCH(C70,MASTER_REGISTER!E:E,0)),"")</f>
        <v>8</v>
      </c>
      <c r="C70" s="4" t="s">
        <v>100</v>
      </c>
      <c r="D70" t="str">
        <f>IFERROR(INDEX(MASTER_REGISTER!F:F,MATCH(C70,MASTER_REGISTER!E:E,0)),"")</f>
        <v>Lerato Kekana</v>
      </c>
      <c r="E70" s="4" t="s">
        <v>337</v>
      </c>
      <c r="F70" t="s">
        <v>338</v>
      </c>
      <c r="G70" t="s">
        <v>339</v>
      </c>
    </row>
    <row r="71" spans="1:8" x14ac:dyDescent="0.3">
      <c r="A71" t="s">
        <v>62</v>
      </c>
      <c r="B71" s="4">
        <f>IFERROR(INDEX(MASTER_REGISTER!C:C,MATCH(C71,MASTER_REGISTER!E:E,0)),"")</f>
        <v>8</v>
      </c>
      <c r="C71" s="4" t="s">
        <v>106</v>
      </c>
      <c r="D71" t="str">
        <f>IFERROR(INDEX(MASTER_REGISTER!F:F,MATCH(C71,MASTER_REGISTER!E:E,0)),"")</f>
        <v>Neo Ngobeni</v>
      </c>
      <c r="E71" s="4" t="s">
        <v>337</v>
      </c>
      <c r="F71" t="s">
        <v>338</v>
      </c>
      <c r="G71" t="s">
        <v>339</v>
      </c>
    </row>
    <row r="72" spans="1:8" x14ac:dyDescent="0.3">
      <c r="A72" t="s">
        <v>62</v>
      </c>
      <c r="B72" s="4">
        <f>IFERROR(INDEX(MASTER_REGISTER!C:C,MATCH(C72,MASTER_REGISTER!E:E,0)),"")</f>
        <v>8</v>
      </c>
      <c r="C72" s="4" t="s">
        <v>112</v>
      </c>
      <c r="D72" t="str">
        <f>IFERROR(INDEX(MASTER_REGISTER!F:F,MATCH(C72,MASTER_REGISTER!E:E,0)),"")</f>
        <v>Thabo Mokgadi</v>
      </c>
      <c r="E72" s="4" t="s">
        <v>337</v>
      </c>
      <c r="F72" t="s">
        <v>338</v>
      </c>
      <c r="G72" t="s">
        <v>339</v>
      </c>
    </row>
    <row r="73" spans="1:8" x14ac:dyDescent="0.3">
      <c r="A73" t="s">
        <v>62</v>
      </c>
      <c r="B73" s="4">
        <f>IFERROR(INDEX(MASTER_REGISTER!C:C,MATCH(C73,MASTER_REGISTER!E:E,0)),"")</f>
        <v>8</v>
      </c>
      <c r="C73" s="4" t="s">
        <v>118</v>
      </c>
      <c r="D73" t="str">
        <f>IFERROR(INDEX(MASTER_REGISTER!F:F,MATCH(C73,MASTER_REGISTER!E:E,0)),"")</f>
        <v>Sifiso Mthembu</v>
      </c>
      <c r="E73" s="4" t="s">
        <v>337</v>
      </c>
      <c r="F73" t="s">
        <v>338</v>
      </c>
      <c r="G73" t="s">
        <v>339</v>
      </c>
    </row>
    <row r="74" spans="1:8" x14ac:dyDescent="0.3">
      <c r="A74" t="s">
        <v>62</v>
      </c>
      <c r="B74" s="4">
        <f>IFERROR(INDEX(MASTER_REGISTER!C:C,MATCH(C74,MASTER_REGISTER!E:E,0)),"")</f>
        <v>9</v>
      </c>
      <c r="C74" s="4" t="s">
        <v>123</v>
      </c>
      <c r="D74" t="str">
        <f>IFERROR(INDEX(MASTER_REGISTER!F:F,MATCH(C74,MASTER_REGISTER!E:E,0)),"")</f>
        <v>Karabo Phiri</v>
      </c>
      <c r="E74" s="4" t="s">
        <v>337</v>
      </c>
      <c r="F74" t="s">
        <v>338</v>
      </c>
      <c r="G74" t="s">
        <v>339</v>
      </c>
    </row>
    <row r="75" spans="1:8" x14ac:dyDescent="0.3">
      <c r="A75" t="s">
        <v>62</v>
      </c>
      <c r="B75" s="4">
        <f>IFERROR(INDEX(MASTER_REGISTER!C:C,MATCH(C75,MASTER_REGISTER!E:E,0)),"")</f>
        <v>9</v>
      </c>
      <c r="C75" s="4" t="s">
        <v>128</v>
      </c>
      <c r="D75" t="str">
        <f>IFERROR(INDEX(MASTER_REGISTER!F:F,MATCH(C75,MASTER_REGISTER!E:E,0)),"")</f>
        <v>Lerato Mahlangu</v>
      </c>
      <c r="E75" s="4" t="s">
        <v>335</v>
      </c>
      <c r="H75" t="s">
        <v>336</v>
      </c>
    </row>
    <row r="76" spans="1:8" x14ac:dyDescent="0.3">
      <c r="A76" t="s">
        <v>62</v>
      </c>
      <c r="B76" s="4">
        <f>IFERROR(INDEX(MASTER_REGISTER!C:C,MATCH(C76,MASTER_REGISTER!E:E,0)),"")</f>
        <v>9</v>
      </c>
      <c r="C76" s="4" t="s">
        <v>133</v>
      </c>
      <c r="D76" t="str">
        <f>IFERROR(INDEX(MASTER_REGISTER!F:F,MATCH(C76,MASTER_REGISTER!E:E,0)),"")</f>
        <v>Mpho Kekana</v>
      </c>
      <c r="E76" s="4" t="s">
        <v>335</v>
      </c>
      <c r="H76" t="s">
        <v>336</v>
      </c>
    </row>
    <row r="77" spans="1:8" x14ac:dyDescent="0.3">
      <c r="A77" t="s">
        <v>62</v>
      </c>
      <c r="B77" s="4">
        <f>IFERROR(INDEX(MASTER_REGISTER!C:C,MATCH(C77,MASTER_REGISTER!E:E,0)),"")</f>
        <v>9</v>
      </c>
      <c r="C77" s="4" t="s">
        <v>138</v>
      </c>
      <c r="D77" t="str">
        <f>IFERROR(INDEX(MASTER_REGISTER!F:F,MATCH(C77,MASTER_REGISTER!E:E,0)),"")</f>
        <v>Thabo Molefe</v>
      </c>
      <c r="E77" s="4" t="s">
        <v>337</v>
      </c>
      <c r="F77" t="s">
        <v>338</v>
      </c>
      <c r="G77" t="s">
        <v>339</v>
      </c>
    </row>
    <row r="78" spans="1:8" x14ac:dyDescent="0.3">
      <c r="A78" t="s">
        <v>62</v>
      </c>
      <c r="B78" s="4">
        <f>IFERROR(INDEX(MASTER_REGISTER!C:C,MATCH(C78,MASTER_REGISTER!E:E,0)),"")</f>
        <v>9</v>
      </c>
      <c r="C78" s="4" t="s">
        <v>143</v>
      </c>
      <c r="D78" t="str">
        <f>IFERROR(INDEX(MASTER_REGISTER!F:F,MATCH(C78,MASTER_REGISTER!E:E,0)),"")</f>
        <v>Mpho Ngobeni</v>
      </c>
      <c r="E78" s="4" t="s">
        <v>337</v>
      </c>
      <c r="F78" t="s">
        <v>338</v>
      </c>
      <c r="G78" t="s">
        <v>339</v>
      </c>
    </row>
    <row r="79" spans="1:8" x14ac:dyDescent="0.3">
      <c r="A79" t="s">
        <v>62</v>
      </c>
      <c r="B79" s="4">
        <f>IFERROR(INDEX(MASTER_REGISTER!C:C,MATCH(C79,MASTER_REGISTER!E:E,0)),"")</f>
        <v>9</v>
      </c>
      <c r="C79" s="4" t="s">
        <v>148</v>
      </c>
      <c r="D79" t="str">
        <f>IFERROR(INDEX(MASTER_REGISTER!F:F,MATCH(C79,MASTER_REGISTER!E:E,0)),"")</f>
        <v>Siyanda Mhlongo</v>
      </c>
      <c r="E79" s="4" t="s">
        <v>337</v>
      </c>
      <c r="F79" t="s">
        <v>338</v>
      </c>
      <c r="G79" t="s">
        <v>339</v>
      </c>
    </row>
    <row r="80" spans="1:8" x14ac:dyDescent="0.3">
      <c r="A80" t="s">
        <v>62</v>
      </c>
      <c r="B80" s="4">
        <f>IFERROR(INDEX(MASTER_REGISTER!C:C,MATCH(C80,MASTER_REGISTER!E:E,0)),"")</f>
        <v>9</v>
      </c>
      <c r="C80" s="4" t="s">
        <v>153</v>
      </c>
      <c r="D80" t="str">
        <f>IFERROR(INDEX(MASTER_REGISTER!F:F,MATCH(C80,MASTER_REGISTER!E:E,0)),"")</f>
        <v>Siyanda Mahlangu</v>
      </c>
      <c r="E80" s="4" t="s">
        <v>337</v>
      </c>
      <c r="F80" t="s">
        <v>338</v>
      </c>
      <c r="G80" t="s">
        <v>339</v>
      </c>
    </row>
    <row r="81" spans="1:8" x14ac:dyDescent="0.3">
      <c r="A81" t="s">
        <v>62</v>
      </c>
      <c r="B81" s="4">
        <f>IFERROR(INDEX(MASTER_REGISTER!C:C,MATCH(C81,MASTER_REGISTER!E:E,0)),"")</f>
        <v>9</v>
      </c>
      <c r="C81" s="4" t="s">
        <v>158</v>
      </c>
      <c r="D81" t="str">
        <f>IFERROR(INDEX(MASTER_REGISTER!F:F,MATCH(C81,MASTER_REGISTER!E:E,0)),"")</f>
        <v>Sifiso Ramushu</v>
      </c>
      <c r="E81" s="4" t="s">
        <v>337</v>
      </c>
      <c r="F81" t="s">
        <v>338</v>
      </c>
      <c r="G81" t="s">
        <v>339</v>
      </c>
    </row>
    <row r="82" spans="1:8" x14ac:dyDescent="0.3">
      <c r="A82" t="s">
        <v>62</v>
      </c>
      <c r="B82" s="4">
        <f>IFERROR(INDEX(MASTER_REGISTER!C:C,MATCH(C82,MASTER_REGISTER!E:E,0)),"")</f>
        <v>9</v>
      </c>
      <c r="C82" s="4" t="s">
        <v>163</v>
      </c>
      <c r="D82" t="str">
        <f>IFERROR(INDEX(MASTER_REGISTER!F:F,MATCH(C82,MASTER_REGISTER!E:E,0)),"")</f>
        <v>Nandi Ngobeni</v>
      </c>
      <c r="E82" s="4" t="s">
        <v>335</v>
      </c>
      <c r="H82" t="s">
        <v>340</v>
      </c>
    </row>
    <row r="83" spans="1:8" x14ac:dyDescent="0.3">
      <c r="A83" t="s">
        <v>62</v>
      </c>
      <c r="B83" s="4">
        <f>IFERROR(INDEX(MASTER_REGISTER!C:C,MATCH(C83,MASTER_REGISTER!E:E,0)),"")</f>
        <v>9</v>
      </c>
      <c r="C83" s="4" t="s">
        <v>168</v>
      </c>
      <c r="D83" t="str">
        <f>IFERROR(INDEX(MASTER_REGISTER!F:F,MATCH(C83,MASTER_REGISTER!E:E,0)),"")</f>
        <v>Karabo Mokgadi</v>
      </c>
      <c r="E83" s="4" t="s">
        <v>337</v>
      </c>
      <c r="F83" t="s">
        <v>338</v>
      </c>
      <c r="G83" t="s">
        <v>339</v>
      </c>
    </row>
    <row r="84" spans="1:8" x14ac:dyDescent="0.3">
      <c r="A84" t="s">
        <v>62</v>
      </c>
      <c r="B84" s="4">
        <f>IFERROR(INDEX(MASTER_REGISTER!C:C,MATCH(C84,MASTER_REGISTER!E:E,0)),"")</f>
        <v>9</v>
      </c>
      <c r="C84" s="4" t="s">
        <v>173</v>
      </c>
      <c r="D84" t="str">
        <f>IFERROR(INDEX(MASTER_REGISTER!F:F,MATCH(C84,MASTER_REGISTER!E:E,0)),"")</f>
        <v>Sifiso Mahlangu</v>
      </c>
      <c r="E84" s="4" t="s">
        <v>337</v>
      </c>
      <c r="F84" t="s">
        <v>338</v>
      </c>
      <c r="G84" t="s">
        <v>339</v>
      </c>
    </row>
    <row r="85" spans="1:8" x14ac:dyDescent="0.3">
      <c r="A85" t="s">
        <v>62</v>
      </c>
      <c r="B85" s="4">
        <f>IFERROR(INDEX(MASTER_REGISTER!C:C,MATCH(C85,MASTER_REGISTER!E:E,0)),"")</f>
        <v>9</v>
      </c>
      <c r="C85" s="4" t="s">
        <v>178</v>
      </c>
      <c r="D85" t="str">
        <f>IFERROR(INDEX(MASTER_REGISTER!F:F,MATCH(C85,MASTER_REGISTER!E:E,0)),"")</f>
        <v>Kgothatso Radebe</v>
      </c>
      <c r="E85" s="4" t="s">
        <v>337</v>
      </c>
      <c r="F85" t="s">
        <v>338</v>
      </c>
      <c r="G85" t="s">
        <v>339</v>
      </c>
    </row>
    <row r="86" spans="1:8" x14ac:dyDescent="0.3">
      <c r="A86" t="s">
        <v>62</v>
      </c>
      <c r="B86" s="4">
        <f>IFERROR(INDEX(MASTER_REGISTER!C:C,MATCH(C86,MASTER_REGISTER!E:E,0)),"")</f>
        <v>10</v>
      </c>
      <c r="C86" s="4" t="s">
        <v>183</v>
      </c>
      <c r="D86" t="str">
        <f>IFERROR(INDEX(MASTER_REGISTER!F:F,MATCH(C86,MASTER_REGISTER!E:E,0)),"")</f>
        <v>Lerato Maseko</v>
      </c>
      <c r="E86" s="4" t="s">
        <v>337</v>
      </c>
      <c r="F86" t="s">
        <v>338</v>
      </c>
      <c r="G86" t="s">
        <v>339</v>
      </c>
    </row>
    <row r="87" spans="1:8" x14ac:dyDescent="0.3">
      <c r="A87" t="s">
        <v>62</v>
      </c>
      <c r="B87" s="4">
        <f>IFERROR(INDEX(MASTER_REGISTER!C:C,MATCH(C87,MASTER_REGISTER!E:E,0)),"")</f>
        <v>10</v>
      </c>
      <c r="C87" s="4" t="s">
        <v>188</v>
      </c>
      <c r="D87" t="str">
        <f>IFERROR(INDEX(MASTER_REGISTER!F:F,MATCH(C87,MASTER_REGISTER!E:E,0)),"")</f>
        <v>Sibusiso Molefe</v>
      </c>
      <c r="E87" s="4" t="s">
        <v>337</v>
      </c>
      <c r="F87" t="s">
        <v>338</v>
      </c>
      <c r="G87" t="s">
        <v>339</v>
      </c>
    </row>
    <row r="88" spans="1:8" x14ac:dyDescent="0.3">
      <c r="A88" t="s">
        <v>62</v>
      </c>
      <c r="B88" s="4">
        <f>IFERROR(INDEX(MASTER_REGISTER!C:C,MATCH(C88,MASTER_REGISTER!E:E,0)),"")</f>
        <v>10</v>
      </c>
      <c r="C88" s="4" t="s">
        <v>193</v>
      </c>
      <c r="D88" t="str">
        <f>IFERROR(INDEX(MASTER_REGISTER!F:F,MATCH(C88,MASTER_REGISTER!E:E,0)),"")</f>
        <v>Nandi Molefe</v>
      </c>
      <c r="E88" s="4" t="s">
        <v>335</v>
      </c>
      <c r="H88" t="s">
        <v>340</v>
      </c>
    </row>
    <row r="89" spans="1:8" x14ac:dyDescent="0.3">
      <c r="A89" t="s">
        <v>62</v>
      </c>
      <c r="B89" s="4">
        <f>IFERROR(INDEX(MASTER_REGISTER!C:C,MATCH(C89,MASTER_REGISTER!E:E,0)),"")</f>
        <v>10</v>
      </c>
      <c r="C89" s="4" t="s">
        <v>198</v>
      </c>
      <c r="D89" t="str">
        <f>IFERROR(INDEX(MASTER_REGISTER!F:F,MATCH(C89,MASTER_REGISTER!E:E,0)),"")</f>
        <v>Kgothatso Baloyi</v>
      </c>
      <c r="E89" s="4" t="s">
        <v>335</v>
      </c>
      <c r="H89" t="s">
        <v>336</v>
      </c>
    </row>
    <row r="90" spans="1:8" x14ac:dyDescent="0.3">
      <c r="A90" t="s">
        <v>62</v>
      </c>
      <c r="B90" s="4">
        <f>IFERROR(INDEX(MASTER_REGISTER!C:C,MATCH(C90,MASTER_REGISTER!E:E,0)),"")</f>
        <v>10</v>
      </c>
      <c r="C90" s="4" t="s">
        <v>202</v>
      </c>
      <c r="D90" t="str">
        <f>IFERROR(INDEX(MASTER_REGISTER!F:F,MATCH(C90,MASTER_REGISTER!E:E,0)),"")</f>
        <v>Ayanda Mokoena</v>
      </c>
      <c r="E90" s="4" t="s">
        <v>337</v>
      </c>
      <c r="F90" t="s">
        <v>338</v>
      </c>
      <c r="G90" t="s">
        <v>339</v>
      </c>
    </row>
    <row r="91" spans="1:8" x14ac:dyDescent="0.3">
      <c r="A91" t="s">
        <v>62</v>
      </c>
      <c r="B91" s="4">
        <f>IFERROR(INDEX(MASTER_REGISTER!C:C,MATCH(C91,MASTER_REGISTER!E:E,0)),"")</f>
        <v>10</v>
      </c>
      <c r="C91" s="4" t="s">
        <v>206</v>
      </c>
      <c r="D91" t="str">
        <f>IFERROR(INDEX(MASTER_REGISTER!F:F,MATCH(C91,MASTER_REGISTER!E:E,0)),"")</f>
        <v>Lwazi Baloyi</v>
      </c>
      <c r="E91" s="4" t="s">
        <v>337</v>
      </c>
      <c r="F91" t="s">
        <v>338</v>
      </c>
      <c r="G91" t="s">
        <v>339</v>
      </c>
    </row>
    <row r="92" spans="1:8" x14ac:dyDescent="0.3">
      <c r="A92" t="s">
        <v>62</v>
      </c>
      <c r="B92" s="4">
        <f>IFERROR(INDEX(MASTER_REGISTER!C:C,MATCH(C92,MASTER_REGISTER!E:E,0)),"")</f>
        <v>10</v>
      </c>
      <c r="C92" s="4" t="s">
        <v>210</v>
      </c>
      <c r="D92" t="str">
        <f>IFERROR(INDEX(MASTER_REGISTER!F:F,MATCH(C92,MASTER_REGISTER!E:E,0)),"")</f>
        <v>Siyanda Mokoena</v>
      </c>
      <c r="E92" s="4" t="s">
        <v>337</v>
      </c>
      <c r="F92" t="s">
        <v>338</v>
      </c>
      <c r="G92" t="s">
        <v>339</v>
      </c>
    </row>
    <row r="93" spans="1:8" x14ac:dyDescent="0.3">
      <c r="A93" t="s">
        <v>62</v>
      </c>
      <c r="B93" s="4">
        <f>IFERROR(INDEX(MASTER_REGISTER!C:C,MATCH(C93,MASTER_REGISTER!E:E,0)),"")</f>
        <v>10</v>
      </c>
      <c r="C93" s="4" t="s">
        <v>214</v>
      </c>
      <c r="D93" t="str">
        <f>IFERROR(INDEX(MASTER_REGISTER!F:F,MATCH(C93,MASTER_REGISTER!E:E,0)),"")</f>
        <v>Mpho Ngobeni</v>
      </c>
      <c r="E93" s="4" t="s">
        <v>337</v>
      </c>
      <c r="F93" t="s">
        <v>338</v>
      </c>
      <c r="G93" t="s">
        <v>339</v>
      </c>
    </row>
    <row r="94" spans="1:8" x14ac:dyDescent="0.3">
      <c r="A94" t="s">
        <v>62</v>
      </c>
      <c r="B94" s="4">
        <f>IFERROR(INDEX(MASTER_REGISTER!C:C,MATCH(C94,MASTER_REGISTER!E:E,0)),"")</f>
        <v>10</v>
      </c>
      <c r="C94" s="4" t="s">
        <v>217</v>
      </c>
      <c r="D94" t="str">
        <f>IFERROR(INDEX(MASTER_REGISTER!F:F,MATCH(C94,MASTER_REGISTER!E:E,0)),"")</f>
        <v>Naledi Makhubela</v>
      </c>
      <c r="E94" s="4" t="s">
        <v>337</v>
      </c>
      <c r="F94" t="s">
        <v>338</v>
      </c>
      <c r="G94" t="s">
        <v>339</v>
      </c>
    </row>
    <row r="95" spans="1:8" x14ac:dyDescent="0.3">
      <c r="A95" t="s">
        <v>62</v>
      </c>
      <c r="B95" s="4">
        <f>IFERROR(INDEX(MASTER_REGISTER!C:C,MATCH(C95,MASTER_REGISTER!E:E,0)),"")</f>
        <v>10</v>
      </c>
      <c r="C95" s="4" t="s">
        <v>221</v>
      </c>
      <c r="D95" t="str">
        <f>IFERROR(INDEX(MASTER_REGISTER!F:F,MATCH(C95,MASTER_REGISTER!E:E,0)),"")</f>
        <v>Kgothatso Mokoena</v>
      </c>
      <c r="E95" s="4" t="s">
        <v>337</v>
      </c>
      <c r="F95" t="s">
        <v>338</v>
      </c>
      <c r="G95" t="s">
        <v>339</v>
      </c>
    </row>
    <row r="96" spans="1:8" x14ac:dyDescent="0.3">
      <c r="A96" t="s">
        <v>62</v>
      </c>
      <c r="B96" s="4">
        <f>IFERROR(INDEX(MASTER_REGISTER!C:C,MATCH(C96,MASTER_REGISTER!E:E,0)),"")</f>
        <v>10</v>
      </c>
      <c r="C96" s="4" t="s">
        <v>225</v>
      </c>
      <c r="D96" t="str">
        <f>IFERROR(INDEX(MASTER_REGISTER!F:F,MATCH(C96,MASTER_REGISTER!E:E,0)),"")</f>
        <v>Bongani Makhubela</v>
      </c>
      <c r="E96" s="4" t="s">
        <v>337</v>
      </c>
      <c r="F96" t="s">
        <v>338</v>
      </c>
      <c r="G96" t="s">
        <v>339</v>
      </c>
    </row>
    <row r="97" spans="1:8" x14ac:dyDescent="0.3">
      <c r="A97" t="s">
        <v>62</v>
      </c>
      <c r="B97" s="4">
        <f>IFERROR(INDEX(MASTER_REGISTER!C:C,MATCH(C97,MASTER_REGISTER!E:E,0)),"")</f>
        <v>10</v>
      </c>
      <c r="C97" s="4" t="s">
        <v>229</v>
      </c>
      <c r="D97" t="str">
        <f>IFERROR(INDEX(MASTER_REGISTER!F:F,MATCH(C97,MASTER_REGISTER!E:E,0)),"")</f>
        <v>Kagiso Kekana</v>
      </c>
      <c r="E97" s="4" t="s">
        <v>335</v>
      </c>
      <c r="H97" t="s">
        <v>342</v>
      </c>
    </row>
    <row r="98" spans="1:8" x14ac:dyDescent="0.3">
      <c r="A98" t="s">
        <v>62</v>
      </c>
      <c r="B98" s="4">
        <f>IFERROR(INDEX(MASTER_REGISTER!C:C,MATCH(C98,MASTER_REGISTER!E:E,0)),"")</f>
        <v>11</v>
      </c>
      <c r="C98" s="4" t="s">
        <v>233</v>
      </c>
      <c r="D98" t="str">
        <f>IFERROR(INDEX(MASTER_REGISTER!F:F,MATCH(C98,MASTER_REGISTER!E:E,0)),"")</f>
        <v>Lwazi Makhubela</v>
      </c>
      <c r="E98" s="4" t="s">
        <v>337</v>
      </c>
      <c r="F98" t="s">
        <v>338</v>
      </c>
      <c r="G98" t="s">
        <v>339</v>
      </c>
    </row>
    <row r="99" spans="1:8" x14ac:dyDescent="0.3">
      <c r="A99" t="s">
        <v>62</v>
      </c>
      <c r="B99" s="4">
        <f>IFERROR(INDEX(MASTER_REGISTER!C:C,MATCH(C99,MASTER_REGISTER!E:E,0)),"")</f>
        <v>11</v>
      </c>
      <c r="C99" s="4" t="s">
        <v>237</v>
      </c>
      <c r="D99" t="str">
        <f>IFERROR(INDEX(MASTER_REGISTER!F:F,MATCH(C99,MASTER_REGISTER!E:E,0)),"")</f>
        <v>Lebogang Ramushu</v>
      </c>
      <c r="E99" s="4" t="s">
        <v>337</v>
      </c>
      <c r="F99" t="s">
        <v>338</v>
      </c>
      <c r="G99" t="s">
        <v>339</v>
      </c>
    </row>
    <row r="100" spans="1:8" x14ac:dyDescent="0.3">
      <c r="A100" t="s">
        <v>62</v>
      </c>
      <c r="B100" s="4">
        <f>IFERROR(INDEX(MASTER_REGISTER!C:C,MATCH(C100,MASTER_REGISTER!E:E,0)),"")</f>
        <v>11</v>
      </c>
      <c r="C100" s="4" t="s">
        <v>241</v>
      </c>
      <c r="D100" t="str">
        <f>IFERROR(INDEX(MASTER_REGISTER!F:F,MATCH(C100,MASTER_REGISTER!E:E,0)),"")</f>
        <v>Lerato Kekana</v>
      </c>
      <c r="E100" s="4" t="s">
        <v>337</v>
      </c>
      <c r="F100" t="s">
        <v>338</v>
      </c>
      <c r="G100" t="s">
        <v>339</v>
      </c>
    </row>
    <row r="101" spans="1:8" x14ac:dyDescent="0.3">
      <c r="A101" t="s">
        <v>62</v>
      </c>
      <c r="B101" s="4">
        <f>IFERROR(INDEX(MASTER_REGISTER!C:C,MATCH(C101,MASTER_REGISTER!E:E,0)),"")</f>
        <v>11</v>
      </c>
      <c r="C101" s="4" t="s">
        <v>244</v>
      </c>
      <c r="D101" t="str">
        <f>IFERROR(INDEX(MASTER_REGISTER!F:F,MATCH(C101,MASTER_REGISTER!E:E,0)),"")</f>
        <v>Bongani Ndlovu</v>
      </c>
      <c r="E101" s="4" t="s">
        <v>337</v>
      </c>
      <c r="F101" t="s">
        <v>338</v>
      </c>
      <c r="G101" t="s">
        <v>339</v>
      </c>
    </row>
    <row r="102" spans="1:8" x14ac:dyDescent="0.3">
      <c r="A102" t="s">
        <v>62</v>
      </c>
      <c r="B102" s="4">
        <f>IFERROR(INDEX(MASTER_REGISTER!C:C,MATCH(C102,MASTER_REGISTER!E:E,0)),"")</f>
        <v>11</v>
      </c>
      <c r="C102" s="4" t="s">
        <v>248</v>
      </c>
      <c r="D102" t="str">
        <f>IFERROR(INDEX(MASTER_REGISTER!F:F,MATCH(C102,MASTER_REGISTER!E:E,0)),"")</f>
        <v>Sifiso Dlamini</v>
      </c>
      <c r="E102" s="4" t="s">
        <v>337</v>
      </c>
      <c r="F102" t="s">
        <v>338</v>
      </c>
      <c r="G102" t="s">
        <v>339</v>
      </c>
    </row>
    <row r="103" spans="1:8" x14ac:dyDescent="0.3">
      <c r="A103" t="s">
        <v>62</v>
      </c>
      <c r="B103" s="4">
        <f>IFERROR(INDEX(MASTER_REGISTER!C:C,MATCH(C103,MASTER_REGISTER!E:E,0)),"")</f>
        <v>11</v>
      </c>
      <c r="C103" s="4" t="s">
        <v>252</v>
      </c>
      <c r="D103" t="str">
        <f>IFERROR(INDEX(MASTER_REGISTER!F:F,MATCH(C103,MASTER_REGISTER!E:E,0)),"")</f>
        <v>Refilwe Dlamini</v>
      </c>
      <c r="E103" s="4" t="s">
        <v>337</v>
      </c>
      <c r="F103" t="s">
        <v>338</v>
      </c>
      <c r="G103" t="s">
        <v>339</v>
      </c>
    </row>
    <row r="104" spans="1:8" x14ac:dyDescent="0.3">
      <c r="A104" t="s">
        <v>62</v>
      </c>
      <c r="B104" s="4">
        <f>IFERROR(INDEX(MASTER_REGISTER!C:C,MATCH(C104,MASTER_REGISTER!E:E,0)),"")</f>
        <v>11</v>
      </c>
      <c r="C104" s="4" t="s">
        <v>256</v>
      </c>
      <c r="D104" t="str">
        <f>IFERROR(INDEX(MASTER_REGISTER!F:F,MATCH(C104,MASTER_REGISTER!E:E,0)),"")</f>
        <v>Lwazi Maseko</v>
      </c>
      <c r="E104" s="4" t="s">
        <v>337</v>
      </c>
      <c r="F104" t="s">
        <v>338</v>
      </c>
      <c r="G104" t="s">
        <v>339</v>
      </c>
    </row>
    <row r="105" spans="1:8" x14ac:dyDescent="0.3">
      <c r="A105" t="s">
        <v>62</v>
      </c>
      <c r="B105" s="4">
        <f>IFERROR(INDEX(MASTER_REGISTER!C:C,MATCH(C105,MASTER_REGISTER!E:E,0)),"")</f>
        <v>11</v>
      </c>
      <c r="C105" s="4" t="s">
        <v>260</v>
      </c>
      <c r="D105" t="str">
        <f>IFERROR(INDEX(MASTER_REGISTER!F:F,MATCH(C105,MASTER_REGISTER!E:E,0)),"")</f>
        <v>Refilwe Mokgadi</v>
      </c>
      <c r="E105" s="4" t="s">
        <v>337</v>
      </c>
      <c r="F105" t="s">
        <v>338</v>
      </c>
      <c r="G105" t="s">
        <v>339</v>
      </c>
    </row>
    <row r="106" spans="1:8" x14ac:dyDescent="0.3">
      <c r="A106" t="s">
        <v>62</v>
      </c>
      <c r="B106" s="4">
        <f>IFERROR(INDEX(MASTER_REGISTER!C:C,MATCH(C106,MASTER_REGISTER!E:E,0)),"")</f>
        <v>11</v>
      </c>
      <c r="C106" s="4" t="s">
        <v>264</v>
      </c>
      <c r="D106" t="str">
        <f>IFERROR(INDEX(MASTER_REGISTER!F:F,MATCH(C106,MASTER_REGISTER!E:E,0)),"")</f>
        <v>Kgothatso Molefe</v>
      </c>
      <c r="E106" s="4" t="s">
        <v>337</v>
      </c>
      <c r="F106" t="s">
        <v>338</v>
      </c>
      <c r="G106" t="s">
        <v>339</v>
      </c>
    </row>
    <row r="107" spans="1:8" x14ac:dyDescent="0.3">
      <c r="A107" t="s">
        <v>62</v>
      </c>
      <c r="B107" s="4">
        <f>IFERROR(INDEX(MASTER_REGISTER!C:C,MATCH(C107,MASTER_REGISTER!E:E,0)),"")</f>
        <v>11</v>
      </c>
      <c r="C107" s="4" t="s">
        <v>268</v>
      </c>
      <c r="D107" t="str">
        <f>IFERROR(INDEX(MASTER_REGISTER!F:F,MATCH(C107,MASTER_REGISTER!E:E,0)),"")</f>
        <v>Tshepo Mokgadi</v>
      </c>
      <c r="E107" s="4" t="s">
        <v>337</v>
      </c>
      <c r="F107" t="s">
        <v>338</v>
      </c>
      <c r="G107" t="s">
        <v>339</v>
      </c>
    </row>
    <row r="108" spans="1:8" x14ac:dyDescent="0.3">
      <c r="A108" t="s">
        <v>62</v>
      </c>
      <c r="B108" s="4">
        <f>IFERROR(INDEX(MASTER_REGISTER!C:C,MATCH(C108,MASTER_REGISTER!E:E,0)),"")</f>
        <v>11</v>
      </c>
      <c r="C108" s="4" t="s">
        <v>272</v>
      </c>
      <c r="D108" t="str">
        <f>IFERROR(INDEX(MASTER_REGISTER!F:F,MATCH(C108,MASTER_REGISTER!E:E,0)),"")</f>
        <v>Tshepo Phiri</v>
      </c>
      <c r="E108" s="4" t="s">
        <v>335</v>
      </c>
      <c r="H108" t="s">
        <v>340</v>
      </c>
    </row>
    <row r="109" spans="1:8" x14ac:dyDescent="0.3">
      <c r="A109" t="s">
        <v>62</v>
      </c>
      <c r="B109" s="4">
        <f>IFERROR(INDEX(MASTER_REGISTER!C:C,MATCH(C109,MASTER_REGISTER!E:E,0)),"")</f>
        <v>11</v>
      </c>
      <c r="C109" s="4" t="s">
        <v>276</v>
      </c>
      <c r="D109" t="str">
        <f>IFERROR(INDEX(MASTER_REGISTER!F:F,MATCH(C109,MASTER_REGISTER!E:E,0)),"")</f>
        <v>Zanele Ngobeni</v>
      </c>
      <c r="E109" s="4" t="s">
        <v>337</v>
      </c>
      <c r="F109" t="s">
        <v>338</v>
      </c>
      <c r="G109" t="s">
        <v>339</v>
      </c>
    </row>
    <row r="110" spans="1:8" x14ac:dyDescent="0.3">
      <c r="A110" t="s">
        <v>62</v>
      </c>
      <c r="B110" s="4">
        <f>IFERROR(INDEX(MASTER_REGISTER!C:C,MATCH(C110,MASTER_REGISTER!E:E,0)),"")</f>
        <v>12</v>
      </c>
      <c r="C110" s="4" t="s">
        <v>280</v>
      </c>
      <c r="D110" t="str">
        <f>IFERROR(INDEX(MASTER_REGISTER!F:F,MATCH(C110,MASTER_REGISTER!E:E,0)),"")</f>
        <v>Palesa Mokoena</v>
      </c>
      <c r="E110" s="4" t="s">
        <v>337</v>
      </c>
      <c r="F110" t="s">
        <v>338</v>
      </c>
      <c r="G110" t="s">
        <v>339</v>
      </c>
    </row>
    <row r="111" spans="1:8" x14ac:dyDescent="0.3">
      <c r="A111" t="s">
        <v>62</v>
      </c>
      <c r="B111" s="4">
        <f>IFERROR(INDEX(MASTER_REGISTER!C:C,MATCH(C111,MASTER_REGISTER!E:E,0)),"")</f>
        <v>12</v>
      </c>
      <c r="C111" s="4" t="s">
        <v>284</v>
      </c>
      <c r="D111" t="str">
        <f>IFERROR(INDEX(MASTER_REGISTER!F:F,MATCH(C111,MASTER_REGISTER!E:E,0)),"")</f>
        <v>Thabo Ramushu</v>
      </c>
      <c r="E111" s="4" t="s">
        <v>337</v>
      </c>
      <c r="F111" t="s">
        <v>338</v>
      </c>
      <c r="G111" t="s">
        <v>339</v>
      </c>
    </row>
    <row r="112" spans="1:8" x14ac:dyDescent="0.3">
      <c r="A112" t="s">
        <v>62</v>
      </c>
      <c r="B112" s="4">
        <f>IFERROR(INDEX(MASTER_REGISTER!C:C,MATCH(C112,MASTER_REGISTER!E:E,0)),"")</f>
        <v>12</v>
      </c>
      <c r="C112" s="4" t="s">
        <v>288</v>
      </c>
      <c r="D112" t="str">
        <f>IFERROR(INDEX(MASTER_REGISTER!F:F,MATCH(C112,MASTER_REGISTER!E:E,0)),"")</f>
        <v>Lwazi Ndlovu</v>
      </c>
      <c r="E112" s="4" t="s">
        <v>337</v>
      </c>
      <c r="F112" t="s">
        <v>338</v>
      </c>
      <c r="G112" t="s">
        <v>339</v>
      </c>
    </row>
    <row r="113" spans="1:8" x14ac:dyDescent="0.3">
      <c r="A113" t="s">
        <v>62</v>
      </c>
      <c r="B113" s="4">
        <f>IFERROR(INDEX(MASTER_REGISTER!C:C,MATCH(C113,MASTER_REGISTER!E:E,0)),"")</f>
        <v>12</v>
      </c>
      <c r="C113" s="4" t="s">
        <v>292</v>
      </c>
      <c r="D113" t="str">
        <f>IFERROR(INDEX(MASTER_REGISTER!F:F,MATCH(C113,MASTER_REGISTER!E:E,0)),"")</f>
        <v>Ayanda Dlamini</v>
      </c>
      <c r="E113" s="4" t="s">
        <v>337</v>
      </c>
      <c r="F113" t="s">
        <v>338</v>
      </c>
      <c r="G113" t="s">
        <v>339</v>
      </c>
    </row>
    <row r="114" spans="1:8" x14ac:dyDescent="0.3">
      <c r="A114" t="s">
        <v>62</v>
      </c>
      <c r="B114" s="4">
        <f>IFERROR(INDEX(MASTER_REGISTER!C:C,MATCH(C114,MASTER_REGISTER!E:E,0)),"")</f>
        <v>12</v>
      </c>
      <c r="C114" s="4" t="s">
        <v>296</v>
      </c>
      <c r="D114" t="str">
        <f>IFERROR(INDEX(MASTER_REGISTER!F:F,MATCH(C114,MASTER_REGISTER!E:E,0)),"")</f>
        <v>Neo Ndlovu</v>
      </c>
      <c r="E114" s="4" t="s">
        <v>337</v>
      </c>
      <c r="F114" t="s">
        <v>338</v>
      </c>
      <c r="G114" t="s">
        <v>339</v>
      </c>
    </row>
    <row r="115" spans="1:8" x14ac:dyDescent="0.3">
      <c r="A115" t="s">
        <v>62</v>
      </c>
      <c r="B115" s="4">
        <f>IFERROR(INDEX(MASTER_REGISTER!C:C,MATCH(C115,MASTER_REGISTER!E:E,0)),"")</f>
        <v>12</v>
      </c>
      <c r="C115" s="4" t="s">
        <v>300</v>
      </c>
      <c r="D115" t="str">
        <f>IFERROR(INDEX(MASTER_REGISTER!F:F,MATCH(C115,MASTER_REGISTER!E:E,0)),"")</f>
        <v>Neo Ramushu</v>
      </c>
      <c r="E115" s="4" t="s">
        <v>337</v>
      </c>
      <c r="F115" t="s">
        <v>338</v>
      </c>
      <c r="G115" t="s">
        <v>339</v>
      </c>
    </row>
    <row r="116" spans="1:8" x14ac:dyDescent="0.3">
      <c r="A116" t="s">
        <v>62</v>
      </c>
      <c r="B116" s="4">
        <f>IFERROR(INDEX(MASTER_REGISTER!C:C,MATCH(C116,MASTER_REGISTER!E:E,0)),"")</f>
        <v>12</v>
      </c>
      <c r="C116" s="4" t="s">
        <v>304</v>
      </c>
      <c r="D116" t="str">
        <f>IFERROR(INDEX(MASTER_REGISTER!F:F,MATCH(C116,MASTER_REGISTER!E:E,0)),"")</f>
        <v>Karabo Baloyi</v>
      </c>
      <c r="E116" s="4" t="s">
        <v>337</v>
      </c>
      <c r="F116" t="s">
        <v>338</v>
      </c>
      <c r="G116" t="s">
        <v>339</v>
      </c>
    </row>
    <row r="117" spans="1:8" x14ac:dyDescent="0.3">
      <c r="A117" t="s">
        <v>62</v>
      </c>
      <c r="B117" s="4">
        <f>IFERROR(INDEX(MASTER_REGISTER!C:C,MATCH(C117,MASTER_REGISTER!E:E,0)),"")</f>
        <v>12</v>
      </c>
      <c r="C117" s="4" t="s">
        <v>308</v>
      </c>
      <c r="D117" t="str">
        <f>IFERROR(INDEX(MASTER_REGISTER!F:F,MATCH(C117,MASTER_REGISTER!E:E,0)),"")</f>
        <v>Tshepo Mokgadi</v>
      </c>
      <c r="E117" s="4" t="s">
        <v>337</v>
      </c>
      <c r="F117" t="s">
        <v>338</v>
      </c>
      <c r="G117" t="s">
        <v>339</v>
      </c>
    </row>
    <row r="118" spans="1:8" x14ac:dyDescent="0.3">
      <c r="A118" t="s">
        <v>62</v>
      </c>
      <c r="B118" s="4">
        <f>IFERROR(INDEX(MASTER_REGISTER!C:C,MATCH(C118,MASTER_REGISTER!E:E,0)),"")</f>
        <v>12</v>
      </c>
      <c r="C118" s="4" t="s">
        <v>311</v>
      </c>
      <c r="D118" t="str">
        <f>IFERROR(INDEX(MASTER_REGISTER!F:F,MATCH(C118,MASTER_REGISTER!E:E,0)),"")</f>
        <v>Sifiso Mavuso</v>
      </c>
      <c r="E118" s="4" t="s">
        <v>337</v>
      </c>
      <c r="F118" t="s">
        <v>338</v>
      </c>
      <c r="G118" t="s">
        <v>339</v>
      </c>
    </row>
    <row r="119" spans="1:8" x14ac:dyDescent="0.3">
      <c r="A119" t="s">
        <v>62</v>
      </c>
      <c r="B119" s="4">
        <f>IFERROR(INDEX(MASTER_REGISTER!C:C,MATCH(C119,MASTER_REGISTER!E:E,0)),"")</f>
        <v>12</v>
      </c>
      <c r="C119" s="4" t="s">
        <v>315</v>
      </c>
      <c r="D119" t="str">
        <f>IFERROR(INDEX(MASTER_REGISTER!F:F,MATCH(C119,MASTER_REGISTER!E:E,0)),"")</f>
        <v>Refilwe Sithole</v>
      </c>
      <c r="E119" s="4" t="s">
        <v>337</v>
      </c>
      <c r="F119" t="s">
        <v>338</v>
      </c>
      <c r="G119" t="s">
        <v>339</v>
      </c>
    </row>
    <row r="120" spans="1:8" x14ac:dyDescent="0.3">
      <c r="A120" t="s">
        <v>62</v>
      </c>
      <c r="B120" s="4">
        <f>IFERROR(INDEX(MASTER_REGISTER!C:C,MATCH(C120,MASTER_REGISTER!E:E,0)),"")</f>
        <v>12</v>
      </c>
      <c r="C120" s="4" t="s">
        <v>319</v>
      </c>
      <c r="D120" t="str">
        <f>IFERROR(INDEX(MASTER_REGISTER!F:F,MATCH(C120,MASTER_REGISTER!E:E,0)),"")</f>
        <v>Lerato Sithole</v>
      </c>
      <c r="E120" s="4" t="s">
        <v>337</v>
      </c>
      <c r="F120" t="s">
        <v>338</v>
      </c>
      <c r="G120" t="s">
        <v>339</v>
      </c>
    </row>
    <row r="121" spans="1:8" x14ac:dyDescent="0.3">
      <c r="A121" t="s">
        <v>62</v>
      </c>
      <c r="B121" s="4">
        <f>IFERROR(INDEX(MASTER_REGISTER!C:C,MATCH(C121,MASTER_REGISTER!E:E,0)),"")</f>
        <v>12</v>
      </c>
      <c r="C121" s="4" t="s">
        <v>323</v>
      </c>
      <c r="D121" t="str">
        <f>IFERROR(INDEX(MASTER_REGISTER!F:F,MATCH(C121,MASTER_REGISTER!E:E,0)),"")</f>
        <v>Sibusiso Ngobeni</v>
      </c>
      <c r="E121" s="4" t="s">
        <v>337</v>
      </c>
      <c r="F121" t="s">
        <v>338</v>
      </c>
      <c r="G121" t="s">
        <v>339</v>
      </c>
    </row>
    <row r="122" spans="1:8" x14ac:dyDescent="0.3">
      <c r="A122" t="s">
        <v>343</v>
      </c>
      <c r="B122" s="4">
        <f>IFERROR(INDEX(MASTER_REGISTER!C:C,MATCH(C122,MASTER_REGISTER!E:E,0)),"")</f>
        <v>8</v>
      </c>
      <c r="C122" s="4" t="s">
        <v>50</v>
      </c>
      <c r="D122" t="str">
        <f>IFERROR(INDEX(MASTER_REGISTER!F:F,MATCH(C122,MASTER_REGISTER!E:E,0)),"")</f>
        <v>Lerato Nkosi</v>
      </c>
      <c r="E122" s="4" t="s">
        <v>337</v>
      </c>
      <c r="F122" t="s">
        <v>338</v>
      </c>
      <c r="G122" t="s">
        <v>339</v>
      </c>
    </row>
    <row r="123" spans="1:8" x14ac:dyDescent="0.3">
      <c r="A123" t="s">
        <v>343</v>
      </c>
      <c r="B123" s="4">
        <f>IFERROR(INDEX(MASTER_REGISTER!C:C,MATCH(C123,MASTER_REGISTER!E:E,0)),"")</f>
        <v>8</v>
      </c>
      <c r="C123" s="4" t="s">
        <v>58</v>
      </c>
      <c r="D123" t="str">
        <f>IFERROR(INDEX(MASTER_REGISTER!F:F,MATCH(C123,MASTER_REGISTER!E:E,0)),"")</f>
        <v>Karabo Maseko</v>
      </c>
      <c r="E123" s="4" t="s">
        <v>337</v>
      </c>
      <c r="F123" t="s">
        <v>338</v>
      </c>
      <c r="G123" t="s">
        <v>339</v>
      </c>
    </row>
    <row r="124" spans="1:8" x14ac:dyDescent="0.3">
      <c r="A124" t="s">
        <v>343</v>
      </c>
      <c r="B124" s="4">
        <f>IFERROR(INDEX(MASTER_REGISTER!C:C,MATCH(C124,MASTER_REGISTER!E:E,0)),"")</f>
        <v>8</v>
      </c>
      <c r="C124" s="4" t="s">
        <v>64</v>
      </c>
      <c r="D124" t="str">
        <f>IFERROR(INDEX(MASTER_REGISTER!F:F,MATCH(C124,MASTER_REGISTER!E:E,0)),"")</f>
        <v>Sifiso Sithole</v>
      </c>
      <c r="E124" s="4" t="s">
        <v>337</v>
      </c>
      <c r="F124" t="s">
        <v>338</v>
      </c>
      <c r="G124" t="s">
        <v>339</v>
      </c>
    </row>
    <row r="125" spans="1:8" x14ac:dyDescent="0.3">
      <c r="A125" t="s">
        <v>343</v>
      </c>
      <c r="B125" s="4">
        <f>IFERROR(INDEX(MASTER_REGISTER!C:C,MATCH(C125,MASTER_REGISTER!E:E,0)),"")</f>
        <v>8</v>
      </c>
      <c r="C125" s="4" t="s">
        <v>70</v>
      </c>
      <c r="D125" t="str">
        <f>IFERROR(INDEX(MASTER_REGISTER!F:F,MATCH(C125,MASTER_REGISTER!E:E,0)),"")</f>
        <v>Tshepo Ndlovu</v>
      </c>
      <c r="E125" s="4" t="s">
        <v>337</v>
      </c>
      <c r="F125" t="s">
        <v>338</v>
      </c>
      <c r="G125" t="s">
        <v>339</v>
      </c>
    </row>
    <row r="126" spans="1:8" x14ac:dyDescent="0.3">
      <c r="A126" t="s">
        <v>343</v>
      </c>
      <c r="B126" s="4">
        <f>IFERROR(INDEX(MASTER_REGISTER!C:C,MATCH(C126,MASTER_REGISTER!E:E,0)),"")</f>
        <v>8</v>
      </c>
      <c r="C126" s="4" t="s">
        <v>76</v>
      </c>
      <c r="D126" t="str">
        <f>IFERROR(INDEX(MASTER_REGISTER!F:F,MATCH(C126,MASTER_REGISTER!E:E,0)),"")</f>
        <v>Lwazi Mthembu</v>
      </c>
      <c r="E126" s="4" t="s">
        <v>337</v>
      </c>
      <c r="F126" t="s">
        <v>338</v>
      </c>
      <c r="G126" t="s">
        <v>339</v>
      </c>
    </row>
    <row r="127" spans="1:8" x14ac:dyDescent="0.3">
      <c r="A127" t="s">
        <v>343</v>
      </c>
      <c r="B127" s="4">
        <f>IFERROR(INDEX(MASTER_REGISTER!C:C,MATCH(C127,MASTER_REGISTER!E:E,0)),"")</f>
        <v>8</v>
      </c>
      <c r="C127" s="4" t="s">
        <v>82</v>
      </c>
      <c r="D127" t="str">
        <f>IFERROR(INDEX(MASTER_REGISTER!F:F,MATCH(C127,MASTER_REGISTER!E:E,0)),"")</f>
        <v>Karabo Ngobeni</v>
      </c>
      <c r="E127" s="4" t="s">
        <v>335</v>
      </c>
      <c r="H127" t="s">
        <v>341</v>
      </c>
    </row>
    <row r="128" spans="1:8" x14ac:dyDescent="0.3">
      <c r="A128" t="s">
        <v>343</v>
      </c>
      <c r="B128" s="4">
        <f>IFERROR(INDEX(MASTER_REGISTER!C:C,MATCH(C128,MASTER_REGISTER!E:E,0)),"")</f>
        <v>8</v>
      </c>
      <c r="C128" s="4" t="s">
        <v>88</v>
      </c>
      <c r="D128" t="str">
        <f>IFERROR(INDEX(MASTER_REGISTER!F:F,MATCH(C128,MASTER_REGISTER!E:E,0)),"")</f>
        <v>Mpho Sithole</v>
      </c>
      <c r="E128" s="4" t="s">
        <v>337</v>
      </c>
      <c r="F128" t="s">
        <v>338</v>
      </c>
      <c r="G128" t="s">
        <v>339</v>
      </c>
    </row>
    <row r="129" spans="1:8" x14ac:dyDescent="0.3">
      <c r="A129" t="s">
        <v>343</v>
      </c>
      <c r="B129" s="4">
        <f>IFERROR(INDEX(MASTER_REGISTER!C:C,MATCH(C129,MASTER_REGISTER!E:E,0)),"")</f>
        <v>8</v>
      </c>
      <c r="C129" s="4" t="s">
        <v>94</v>
      </c>
      <c r="D129" t="str">
        <f>IFERROR(INDEX(MASTER_REGISTER!F:F,MATCH(C129,MASTER_REGISTER!E:E,0)),"")</f>
        <v>Tshepo Ramushu</v>
      </c>
      <c r="E129" s="4" t="s">
        <v>337</v>
      </c>
      <c r="F129" t="s">
        <v>338</v>
      </c>
      <c r="G129" t="s">
        <v>339</v>
      </c>
    </row>
    <row r="130" spans="1:8" x14ac:dyDescent="0.3">
      <c r="A130" t="s">
        <v>343</v>
      </c>
      <c r="B130" s="4">
        <f>IFERROR(INDEX(MASTER_REGISTER!C:C,MATCH(C130,MASTER_REGISTER!E:E,0)),"")</f>
        <v>8</v>
      </c>
      <c r="C130" s="4" t="s">
        <v>100</v>
      </c>
      <c r="D130" t="str">
        <f>IFERROR(INDEX(MASTER_REGISTER!F:F,MATCH(C130,MASTER_REGISTER!E:E,0)),"")</f>
        <v>Lerato Kekana</v>
      </c>
      <c r="E130" s="4" t="s">
        <v>335</v>
      </c>
      <c r="H130" t="s">
        <v>340</v>
      </c>
    </row>
    <row r="131" spans="1:8" x14ac:dyDescent="0.3">
      <c r="A131" t="s">
        <v>343</v>
      </c>
      <c r="B131" s="4">
        <f>IFERROR(INDEX(MASTER_REGISTER!C:C,MATCH(C131,MASTER_REGISTER!E:E,0)),"")</f>
        <v>8</v>
      </c>
      <c r="C131" s="4" t="s">
        <v>106</v>
      </c>
      <c r="D131" t="str">
        <f>IFERROR(INDEX(MASTER_REGISTER!F:F,MATCH(C131,MASTER_REGISTER!E:E,0)),"")</f>
        <v>Neo Ngobeni</v>
      </c>
      <c r="E131" s="4" t="s">
        <v>337</v>
      </c>
      <c r="F131" t="s">
        <v>338</v>
      </c>
      <c r="G131" t="s">
        <v>339</v>
      </c>
    </row>
    <row r="132" spans="1:8" x14ac:dyDescent="0.3">
      <c r="A132" t="s">
        <v>343</v>
      </c>
      <c r="B132" s="4">
        <f>IFERROR(INDEX(MASTER_REGISTER!C:C,MATCH(C132,MASTER_REGISTER!E:E,0)),"")</f>
        <v>8</v>
      </c>
      <c r="C132" s="4" t="s">
        <v>112</v>
      </c>
      <c r="D132" t="str">
        <f>IFERROR(INDEX(MASTER_REGISTER!F:F,MATCH(C132,MASTER_REGISTER!E:E,0)),"")</f>
        <v>Thabo Mokgadi</v>
      </c>
      <c r="E132" s="4" t="s">
        <v>337</v>
      </c>
      <c r="F132" t="s">
        <v>338</v>
      </c>
      <c r="G132" t="s">
        <v>339</v>
      </c>
    </row>
    <row r="133" spans="1:8" x14ac:dyDescent="0.3">
      <c r="A133" t="s">
        <v>343</v>
      </c>
      <c r="B133" s="4">
        <f>IFERROR(INDEX(MASTER_REGISTER!C:C,MATCH(C133,MASTER_REGISTER!E:E,0)),"")</f>
        <v>8</v>
      </c>
      <c r="C133" s="4" t="s">
        <v>118</v>
      </c>
      <c r="D133" t="str">
        <f>IFERROR(INDEX(MASTER_REGISTER!F:F,MATCH(C133,MASTER_REGISTER!E:E,0)),"")</f>
        <v>Sifiso Mthembu</v>
      </c>
      <c r="E133" s="4" t="s">
        <v>337</v>
      </c>
      <c r="F133" t="s">
        <v>338</v>
      </c>
      <c r="G133" t="s">
        <v>339</v>
      </c>
    </row>
    <row r="134" spans="1:8" x14ac:dyDescent="0.3">
      <c r="A134" t="s">
        <v>343</v>
      </c>
      <c r="B134" s="4">
        <f>IFERROR(INDEX(MASTER_REGISTER!C:C,MATCH(C134,MASTER_REGISTER!E:E,0)),"")</f>
        <v>9</v>
      </c>
      <c r="C134" s="4" t="s">
        <v>123</v>
      </c>
      <c r="D134" t="str">
        <f>IFERROR(INDEX(MASTER_REGISTER!F:F,MATCH(C134,MASTER_REGISTER!E:E,0)),"")</f>
        <v>Karabo Phiri</v>
      </c>
      <c r="E134" s="4" t="s">
        <v>337</v>
      </c>
      <c r="F134" t="s">
        <v>338</v>
      </c>
      <c r="G134" t="s">
        <v>339</v>
      </c>
    </row>
    <row r="135" spans="1:8" x14ac:dyDescent="0.3">
      <c r="A135" t="s">
        <v>343</v>
      </c>
      <c r="B135" s="4">
        <f>IFERROR(INDEX(MASTER_REGISTER!C:C,MATCH(C135,MASTER_REGISTER!E:E,0)),"")</f>
        <v>9</v>
      </c>
      <c r="C135" s="4" t="s">
        <v>128</v>
      </c>
      <c r="D135" t="str">
        <f>IFERROR(INDEX(MASTER_REGISTER!F:F,MATCH(C135,MASTER_REGISTER!E:E,0)),"")</f>
        <v>Lerato Mahlangu</v>
      </c>
      <c r="E135" s="4" t="s">
        <v>337</v>
      </c>
      <c r="F135" t="s">
        <v>338</v>
      </c>
      <c r="G135" t="s">
        <v>339</v>
      </c>
    </row>
    <row r="136" spans="1:8" x14ac:dyDescent="0.3">
      <c r="A136" t="s">
        <v>343</v>
      </c>
      <c r="B136" s="4">
        <f>IFERROR(INDEX(MASTER_REGISTER!C:C,MATCH(C136,MASTER_REGISTER!E:E,0)),"")</f>
        <v>9</v>
      </c>
      <c r="C136" s="4" t="s">
        <v>133</v>
      </c>
      <c r="D136" t="str">
        <f>IFERROR(INDEX(MASTER_REGISTER!F:F,MATCH(C136,MASTER_REGISTER!E:E,0)),"")</f>
        <v>Mpho Kekana</v>
      </c>
      <c r="E136" s="4" t="s">
        <v>337</v>
      </c>
      <c r="F136" t="s">
        <v>338</v>
      </c>
      <c r="G136" t="s">
        <v>339</v>
      </c>
    </row>
    <row r="137" spans="1:8" x14ac:dyDescent="0.3">
      <c r="A137" t="s">
        <v>343</v>
      </c>
      <c r="B137" s="4">
        <f>IFERROR(INDEX(MASTER_REGISTER!C:C,MATCH(C137,MASTER_REGISTER!E:E,0)),"")</f>
        <v>9</v>
      </c>
      <c r="C137" s="4" t="s">
        <v>138</v>
      </c>
      <c r="D137" t="str">
        <f>IFERROR(INDEX(MASTER_REGISTER!F:F,MATCH(C137,MASTER_REGISTER!E:E,0)),"")</f>
        <v>Thabo Molefe</v>
      </c>
      <c r="E137" s="4" t="s">
        <v>335</v>
      </c>
      <c r="H137" t="s">
        <v>341</v>
      </c>
    </row>
    <row r="138" spans="1:8" x14ac:dyDescent="0.3">
      <c r="A138" t="s">
        <v>343</v>
      </c>
      <c r="B138" s="4">
        <f>IFERROR(INDEX(MASTER_REGISTER!C:C,MATCH(C138,MASTER_REGISTER!E:E,0)),"")</f>
        <v>9</v>
      </c>
      <c r="C138" s="4" t="s">
        <v>143</v>
      </c>
      <c r="D138" t="str">
        <f>IFERROR(INDEX(MASTER_REGISTER!F:F,MATCH(C138,MASTER_REGISTER!E:E,0)),"")</f>
        <v>Mpho Ngobeni</v>
      </c>
      <c r="E138" s="4" t="s">
        <v>337</v>
      </c>
      <c r="F138" t="s">
        <v>338</v>
      </c>
      <c r="G138" t="s">
        <v>339</v>
      </c>
    </row>
    <row r="139" spans="1:8" x14ac:dyDescent="0.3">
      <c r="A139" t="s">
        <v>343</v>
      </c>
      <c r="B139" s="4">
        <f>IFERROR(INDEX(MASTER_REGISTER!C:C,MATCH(C139,MASTER_REGISTER!E:E,0)),"")</f>
        <v>9</v>
      </c>
      <c r="C139" s="4" t="s">
        <v>148</v>
      </c>
      <c r="D139" t="str">
        <f>IFERROR(INDEX(MASTER_REGISTER!F:F,MATCH(C139,MASTER_REGISTER!E:E,0)),"")</f>
        <v>Siyanda Mhlongo</v>
      </c>
      <c r="E139" s="4" t="s">
        <v>337</v>
      </c>
      <c r="F139" t="s">
        <v>338</v>
      </c>
      <c r="G139" t="s">
        <v>339</v>
      </c>
    </row>
    <row r="140" spans="1:8" x14ac:dyDescent="0.3">
      <c r="A140" t="s">
        <v>343</v>
      </c>
      <c r="B140" s="4">
        <f>IFERROR(INDEX(MASTER_REGISTER!C:C,MATCH(C140,MASTER_REGISTER!E:E,0)),"")</f>
        <v>9</v>
      </c>
      <c r="C140" s="4" t="s">
        <v>153</v>
      </c>
      <c r="D140" t="str">
        <f>IFERROR(INDEX(MASTER_REGISTER!F:F,MATCH(C140,MASTER_REGISTER!E:E,0)),"")</f>
        <v>Siyanda Mahlangu</v>
      </c>
      <c r="E140" s="4" t="s">
        <v>337</v>
      </c>
      <c r="F140" t="s">
        <v>338</v>
      </c>
      <c r="G140" t="s">
        <v>339</v>
      </c>
    </row>
    <row r="141" spans="1:8" x14ac:dyDescent="0.3">
      <c r="A141" t="s">
        <v>343</v>
      </c>
      <c r="B141" s="4">
        <f>IFERROR(INDEX(MASTER_REGISTER!C:C,MATCH(C141,MASTER_REGISTER!E:E,0)),"")</f>
        <v>9</v>
      </c>
      <c r="C141" s="4" t="s">
        <v>158</v>
      </c>
      <c r="D141" t="str">
        <f>IFERROR(INDEX(MASTER_REGISTER!F:F,MATCH(C141,MASTER_REGISTER!E:E,0)),"")</f>
        <v>Sifiso Ramushu</v>
      </c>
      <c r="E141" s="4" t="s">
        <v>337</v>
      </c>
      <c r="F141" t="s">
        <v>338</v>
      </c>
      <c r="G141" t="s">
        <v>339</v>
      </c>
    </row>
    <row r="142" spans="1:8" x14ac:dyDescent="0.3">
      <c r="A142" t="s">
        <v>343</v>
      </c>
      <c r="B142" s="4">
        <f>IFERROR(INDEX(MASTER_REGISTER!C:C,MATCH(C142,MASTER_REGISTER!E:E,0)),"")</f>
        <v>9</v>
      </c>
      <c r="C142" s="4" t="s">
        <v>163</v>
      </c>
      <c r="D142" t="str">
        <f>IFERROR(INDEX(MASTER_REGISTER!F:F,MATCH(C142,MASTER_REGISTER!E:E,0)),"")</f>
        <v>Nandi Ngobeni</v>
      </c>
      <c r="E142" s="4" t="s">
        <v>337</v>
      </c>
      <c r="F142" t="s">
        <v>338</v>
      </c>
      <c r="G142" t="s">
        <v>339</v>
      </c>
    </row>
    <row r="143" spans="1:8" x14ac:dyDescent="0.3">
      <c r="A143" t="s">
        <v>343</v>
      </c>
      <c r="B143" s="4">
        <f>IFERROR(INDEX(MASTER_REGISTER!C:C,MATCH(C143,MASTER_REGISTER!E:E,0)),"")</f>
        <v>9</v>
      </c>
      <c r="C143" s="4" t="s">
        <v>168</v>
      </c>
      <c r="D143" t="str">
        <f>IFERROR(INDEX(MASTER_REGISTER!F:F,MATCH(C143,MASTER_REGISTER!E:E,0)),"")</f>
        <v>Karabo Mokgadi</v>
      </c>
      <c r="E143" s="4" t="s">
        <v>337</v>
      </c>
      <c r="F143" t="s">
        <v>338</v>
      </c>
      <c r="G143" t="s">
        <v>339</v>
      </c>
    </row>
    <row r="144" spans="1:8" x14ac:dyDescent="0.3">
      <c r="A144" t="s">
        <v>343</v>
      </c>
      <c r="B144" s="4">
        <f>IFERROR(INDEX(MASTER_REGISTER!C:C,MATCH(C144,MASTER_REGISTER!E:E,0)),"")</f>
        <v>9</v>
      </c>
      <c r="C144" s="4" t="s">
        <v>173</v>
      </c>
      <c r="D144" t="str">
        <f>IFERROR(INDEX(MASTER_REGISTER!F:F,MATCH(C144,MASTER_REGISTER!E:E,0)),"")</f>
        <v>Sifiso Mahlangu</v>
      </c>
      <c r="E144" s="4" t="s">
        <v>337</v>
      </c>
      <c r="F144" t="s">
        <v>338</v>
      </c>
      <c r="G144" t="s">
        <v>339</v>
      </c>
    </row>
    <row r="145" spans="1:8" x14ac:dyDescent="0.3">
      <c r="A145" t="s">
        <v>343</v>
      </c>
      <c r="B145" s="4">
        <f>IFERROR(INDEX(MASTER_REGISTER!C:C,MATCH(C145,MASTER_REGISTER!E:E,0)),"")</f>
        <v>9</v>
      </c>
      <c r="C145" s="4" t="s">
        <v>178</v>
      </c>
      <c r="D145" t="str">
        <f>IFERROR(INDEX(MASTER_REGISTER!F:F,MATCH(C145,MASTER_REGISTER!E:E,0)),"")</f>
        <v>Kgothatso Radebe</v>
      </c>
      <c r="E145" s="4" t="s">
        <v>335</v>
      </c>
      <c r="H145" t="s">
        <v>340</v>
      </c>
    </row>
    <row r="146" spans="1:8" x14ac:dyDescent="0.3">
      <c r="A146" t="s">
        <v>343</v>
      </c>
      <c r="B146" s="4">
        <f>IFERROR(INDEX(MASTER_REGISTER!C:C,MATCH(C146,MASTER_REGISTER!E:E,0)),"")</f>
        <v>10</v>
      </c>
      <c r="C146" s="4" t="s">
        <v>183</v>
      </c>
      <c r="D146" t="str">
        <f>IFERROR(INDEX(MASTER_REGISTER!F:F,MATCH(C146,MASTER_REGISTER!E:E,0)),"")</f>
        <v>Lerato Maseko</v>
      </c>
      <c r="E146" s="4" t="s">
        <v>337</v>
      </c>
      <c r="F146" t="s">
        <v>338</v>
      </c>
      <c r="G146" t="s">
        <v>339</v>
      </c>
    </row>
    <row r="147" spans="1:8" x14ac:dyDescent="0.3">
      <c r="A147" t="s">
        <v>343</v>
      </c>
      <c r="B147" s="4">
        <f>IFERROR(INDEX(MASTER_REGISTER!C:C,MATCH(C147,MASTER_REGISTER!E:E,0)),"")</f>
        <v>10</v>
      </c>
      <c r="C147" s="4" t="s">
        <v>188</v>
      </c>
      <c r="D147" t="str">
        <f>IFERROR(INDEX(MASTER_REGISTER!F:F,MATCH(C147,MASTER_REGISTER!E:E,0)),"")</f>
        <v>Sibusiso Molefe</v>
      </c>
      <c r="E147" s="4" t="s">
        <v>335</v>
      </c>
      <c r="H147" t="s">
        <v>342</v>
      </c>
    </row>
    <row r="148" spans="1:8" x14ac:dyDescent="0.3">
      <c r="A148" t="s">
        <v>343</v>
      </c>
      <c r="B148" s="4">
        <f>IFERROR(INDEX(MASTER_REGISTER!C:C,MATCH(C148,MASTER_REGISTER!E:E,0)),"")</f>
        <v>10</v>
      </c>
      <c r="C148" s="4" t="s">
        <v>193</v>
      </c>
      <c r="D148" t="str">
        <f>IFERROR(INDEX(MASTER_REGISTER!F:F,MATCH(C148,MASTER_REGISTER!E:E,0)),"")</f>
        <v>Nandi Molefe</v>
      </c>
      <c r="E148" s="4" t="s">
        <v>337</v>
      </c>
      <c r="F148" t="s">
        <v>338</v>
      </c>
      <c r="G148" t="s">
        <v>339</v>
      </c>
    </row>
    <row r="149" spans="1:8" x14ac:dyDescent="0.3">
      <c r="A149" t="s">
        <v>343</v>
      </c>
      <c r="B149" s="4">
        <f>IFERROR(INDEX(MASTER_REGISTER!C:C,MATCH(C149,MASTER_REGISTER!E:E,0)),"")</f>
        <v>10</v>
      </c>
      <c r="C149" s="4" t="s">
        <v>198</v>
      </c>
      <c r="D149" t="str">
        <f>IFERROR(INDEX(MASTER_REGISTER!F:F,MATCH(C149,MASTER_REGISTER!E:E,0)),"")</f>
        <v>Kgothatso Baloyi</v>
      </c>
      <c r="E149" s="4" t="s">
        <v>337</v>
      </c>
      <c r="F149" t="s">
        <v>338</v>
      </c>
      <c r="G149" t="s">
        <v>339</v>
      </c>
    </row>
    <row r="150" spans="1:8" x14ac:dyDescent="0.3">
      <c r="A150" t="s">
        <v>343</v>
      </c>
      <c r="B150" s="4">
        <f>IFERROR(INDEX(MASTER_REGISTER!C:C,MATCH(C150,MASTER_REGISTER!E:E,0)),"")</f>
        <v>10</v>
      </c>
      <c r="C150" s="4" t="s">
        <v>202</v>
      </c>
      <c r="D150" t="str">
        <f>IFERROR(INDEX(MASTER_REGISTER!F:F,MATCH(C150,MASTER_REGISTER!E:E,0)),"")</f>
        <v>Ayanda Mokoena</v>
      </c>
      <c r="E150" s="4" t="s">
        <v>337</v>
      </c>
      <c r="F150" t="s">
        <v>338</v>
      </c>
      <c r="G150" t="s">
        <v>339</v>
      </c>
    </row>
    <row r="151" spans="1:8" x14ac:dyDescent="0.3">
      <c r="A151" t="s">
        <v>343</v>
      </c>
      <c r="B151" s="4">
        <f>IFERROR(INDEX(MASTER_REGISTER!C:C,MATCH(C151,MASTER_REGISTER!E:E,0)),"")</f>
        <v>10</v>
      </c>
      <c r="C151" s="4" t="s">
        <v>206</v>
      </c>
      <c r="D151" t="str">
        <f>IFERROR(INDEX(MASTER_REGISTER!F:F,MATCH(C151,MASTER_REGISTER!E:E,0)),"")</f>
        <v>Lwazi Baloyi</v>
      </c>
      <c r="E151" s="4" t="s">
        <v>335</v>
      </c>
      <c r="H151" t="s">
        <v>336</v>
      </c>
    </row>
    <row r="152" spans="1:8" x14ac:dyDescent="0.3">
      <c r="A152" t="s">
        <v>343</v>
      </c>
      <c r="B152" s="4">
        <f>IFERROR(INDEX(MASTER_REGISTER!C:C,MATCH(C152,MASTER_REGISTER!E:E,0)),"")</f>
        <v>10</v>
      </c>
      <c r="C152" s="4" t="s">
        <v>210</v>
      </c>
      <c r="D152" t="str">
        <f>IFERROR(INDEX(MASTER_REGISTER!F:F,MATCH(C152,MASTER_REGISTER!E:E,0)),"")</f>
        <v>Siyanda Mokoena</v>
      </c>
      <c r="E152" s="4" t="s">
        <v>335</v>
      </c>
      <c r="H152" t="s">
        <v>340</v>
      </c>
    </row>
    <row r="153" spans="1:8" x14ac:dyDescent="0.3">
      <c r="A153" t="s">
        <v>343</v>
      </c>
      <c r="B153" s="4">
        <f>IFERROR(INDEX(MASTER_REGISTER!C:C,MATCH(C153,MASTER_REGISTER!E:E,0)),"")</f>
        <v>10</v>
      </c>
      <c r="C153" s="4" t="s">
        <v>214</v>
      </c>
      <c r="D153" t="str">
        <f>IFERROR(INDEX(MASTER_REGISTER!F:F,MATCH(C153,MASTER_REGISTER!E:E,0)),"")</f>
        <v>Mpho Ngobeni</v>
      </c>
      <c r="E153" s="4" t="s">
        <v>337</v>
      </c>
      <c r="F153" t="s">
        <v>338</v>
      </c>
      <c r="G153" t="s">
        <v>339</v>
      </c>
    </row>
    <row r="154" spans="1:8" x14ac:dyDescent="0.3">
      <c r="A154" t="s">
        <v>343</v>
      </c>
      <c r="B154" s="4">
        <f>IFERROR(INDEX(MASTER_REGISTER!C:C,MATCH(C154,MASTER_REGISTER!E:E,0)),"")</f>
        <v>10</v>
      </c>
      <c r="C154" s="4" t="s">
        <v>217</v>
      </c>
      <c r="D154" t="str">
        <f>IFERROR(INDEX(MASTER_REGISTER!F:F,MATCH(C154,MASTER_REGISTER!E:E,0)),"")</f>
        <v>Naledi Makhubela</v>
      </c>
      <c r="E154" s="4" t="s">
        <v>337</v>
      </c>
      <c r="F154" t="s">
        <v>338</v>
      </c>
      <c r="G154" t="s">
        <v>339</v>
      </c>
    </row>
    <row r="155" spans="1:8" x14ac:dyDescent="0.3">
      <c r="A155" t="s">
        <v>343</v>
      </c>
      <c r="B155" s="4">
        <f>IFERROR(INDEX(MASTER_REGISTER!C:C,MATCH(C155,MASTER_REGISTER!E:E,0)),"")</f>
        <v>10</v>
      </c>
      <c r="C155" s="4" t="s">
        <v>221</v>
      </c>
      <c r="D155" t="str">
        <f>IFERROR(INDEX(MASTER_REGISTER!F:F,MATCH(C155,MASTER_REGISTER!E:E,0)),"")</f>
        <v>Kgothatso Mokoena</v>
      </c>
      <c r="E155" s="4" t="s">
        <v>337</v>
      </c>
      <c r="F155" t="s">
        <v>338</v>
      </c>
      <c r="G155" t="s">
        <v>339</v>
      </c>
    </row>
    <row r="156" spans="1:8" x14ac:dyDescent="0.3">
      <c r="A156" t="s">
        <v>343</v>
      </c>
      <c r="B156" s="4">
        <f>IFERROR(INDEX(MASTER_REGISTER!C:C,MATCH(C156,MASTER_REGISTER!E:E,0)),"")</f>
        <v>10</v>
      </c>
      <c r="C156" s="4" t="s">
        <v>225</v>
      </c>
      <c r="D156" t="str">
        <f>IFERROR(INDEX(MASTER_REGISTER!F:F,MATCH(C156,MASTER_REGISTER!E:E,0)),"")</f>
        <v>Bongani Makhubela</v>
      </c>
      <c r="E156" s="4" t="s">
        <v>337</v>
      </c>
      <c r="F156" t="s">
        <v>338</v>
      </c>
      <c r="G156" t="s">
        <v>339</v>
      </c>
    </row>
    <row r="157" spans="1:8" x14ac:dyDescent="0.3">
      <c r="A157" t="s">
        <v>343</v>
      </c>
      <c r="B157" s="4">
        <f>IFERROR(INDEX(MASTER_REGISTER!C:C,MATCH(C157,MASTER_REGISTER!E:E,0)),"")</f>
        <v>10</v>
      </c>
      <c r="C157" s="4" t="s">
        <v>229</v>
      </c>
      <c r="D157" t="str">
        <f>IFERROR(INDEX(MASTER_REGISTER!F:F,MATCH(C157,MASTER_REGISTER!E:E,0)),"")</f>
        <v>Kagiso Kekana</v>
      </c>
      <c r="E157" s="4" t="s">
        <v>337</v>
      </c>
      <c r="F157" t="s">
        <v>338</v>
      </c>
      <c r="G157" t="s">
        <v>339</v>
      </c>
    </row>
    <row r="158" spans="1:8" x14ac:dyDescent="0.3">
      <c r="A158" t="s">
        <v>343</v>
      </c>
      <c r="B158" s="4">
        <f>IFERROR(INDEX(MASTER_REGISTER!C:C,MATCH(C158,MASTER_REGISTER!E:E,0)),"")</f>
        <v>11</v>
      </c>
      <c r="C158" s="4" t="s">
        <v>233</v>
      </c>
      <c r="D158" t="str">
        <f>IFERROR(INDEX(MASTER_REGISTER!F:F,MATCH(C158,MASTER_REGISTER!E:E,0)),"")</f>
        <v>Lwazi Makhubela</v>
      </c>
      <c r="E158" s="4" t="s">
        <v>337</v>
      </c>
      <c r="F158" t="s">
        <v>338</v>
      </c>
      <c r="G158" t="s">
        <v>339</v>
      </c>
    </row>
    <row r="159" spans="1:8" x14ac:dyDescent="0.3">
      <c r="A159" t="s">
        <v>343</v>
      </c>
      <c r="B159" s="4">
        <f>IFERROR(INDEX(MASTER_REGISTER!C:C,MATCH(C159,MASTER_REGISTER!E:E,0)),"")</f>
        <v>11</v>
      </c>
      <c r="C159" s="4" t="s">
        <v>237</v>
      </c>
      <c r="D159" t="str">
        <f>IFERROR(INDEX(MASTER_REGISTER!F:F,MATCH(C159,MASTER_REGISTER!E:E,0)),"")</f>
        <v>Lebogang Ramushu</v>
      </c>
      <c r="E159" s="4" t="s">
        <v>337</v>
      </c>
      <c r="F159" t="s">
        <v>338</v>
      </c>
      <c r="G159" t="s">
        <v>339</v>
      </c>
    </row>
    <row r="160" spans="1:8" x14ac:dyDescent="0.3">
      <c r="A160" t="s">
        <v>343</v>
      </c>
      <c r="B160" s="4">
        <f>IFERROR(INDEX(MASTER_REGISTER!C:C,MATCH(C160,MASTER_REGISTER!E:E,0)),"")</f>
        <v>11</v>
      </c>
      <c r="C160" s="4" t="s">
        <v>241</v>
      </c>
      <c r="D160" t="str">
        <f>IFERROR(INDEX(MASTER_REGISTER!F:F,MATCH(C160,MASTER_REGISTER!E:E,0)),"")</f>
        <v>Lerato Kekana</v>
      </c>
      <c r="E160" s="4" t="s">
        <v>337</v>
      </c>
      <c r="F160" t="s">
        <v>338</v>
      </c>
      <c r="G160" t="s">
        <v>339</v>
      </c>
    </row>
    <row r="161" spans="1:8" x14ac:dyDescent="0.3">
      <c r="A161" t="s">
        <v>343</v>
      </c>
      <c r="B161" s="4">
        <f>IFERROR(INDEX(MASTER_REGISTER!C:C,MATCH(C161,MASTER_REGISTER!E:E,0)),"")</f>
        <v>11</v>
      </c>
      <c r="C161" s="4" t="s">
        <v>244</v>
      </c>
      <c r="D161" t="str">
        <f>IFERROR(INDEX(MASTER_REGISTER!F:F,MATCH(C161,MASTER_REGISTER!E:E,0)),"")</f>
        <v>Bongani Ndlovu</v>
      </c>
      <c r="E161" s="4" t="s">
        <v>337</v>
      </c>
      <c r="F161" t="s">
        <v>338</v>
      </c>
      <c r="G161" t="s">
        <v>339</v>
      </c>
    </row>
    <row r="162" spans="1:8" x14ac:dyDescent="0.3">
      <c r="A162" t="s">
        <v>343</v>
      </c>
      <c r="B162" s="4">
        <f>IFERROR(INDEX(MASTER_REGISTER!C:C,MATCH(C162,MASTER_REGISTER!E:E,0)),"")</f>
        <v>11</v>
      </c>
      <c r="C162" s="4" t="s">
        <v>248</v>
      </c>
      <c r="D162" t="str">
        <f>IFERROR(INDEX(MASTER_REGISTER!F:F,MATCH(C162,MASTER_REGISTER!E:E,0)),"")</f>
        <v>Sifiso Dlamini</v>
      </c>
      <c r="E162" s="4" t="s">
        <v>337</v>
      </c>
      <c r="F162" t="s">
        <v>338</v>
      </c>
      <c r="G162" t="s">
        <v>339</v>
      </c>
    </row>
    <row r="163" spans="1:8" x14ac:dyDescent="0.3">
      <c r="A163" t="s">
        <v>343</v>
      </c>
      <c r="B163" s="4">
        <f>IFERROR(INDEX(MASTER_REGISTER!C:C,MATCH(C163,MASTER_REGISTER!E:E,0)),"")</f>
        <v>11</v>
      </c>
      <c r="C163" s="4" t="s">
        <v>252</v>
      </c>
      <c r="D163" t="str">
        <f>IFERROR(INDEX(MASTER_REGISTER!F:F,MATCH(C163,MASTER_REGISTER!E:E,0)),"")</f>
        <v>Refilwe Dlamini</v>
      </c>
      <c r="E163" s="4" t="s">
        <v>337</v>
      </c>
      <c r="F163" t="s">
        <v>338</v>
      </c>
      <c r="G163" t="s">
        <v>339</v>
      </c>
    </row>
    <row r="164" spans="1:8" x14ac:dyDescent="0.3">
      <c r="A164" t="s">
        <v>343</v>
      </c>
      <c r="B164" s="4">
        <f>IFERROR(INDEX(MASTER_REGISTER!C:C,MATCH(C164,MASTER_REGISTER!E:E,0)),"")</f>
        <v>11</v>
      </c>
      <c r="C164" s="4" t="s">
        <v>256</v>
      </c>
      <c r="D164" t="str">
        <f>IFERROR(INDEX(MASTER_REGISTER!F:F,MATCH(C164,MASTER_REGISTER!E:E,0)),"")</f>
        <v>Lwazi Maseko</v>
      </c>
      <c r="E164" s="4" t="s">
        <v>335</v>
      </c>
      <c r="H164" t="s">
        <v>342</v>
      </c>
    </row>
    <row r="165" spans="1:8" x14ac:dyDescent="0.3">
      <c r="A165" t="s">
        <v>343</v>
      </c>
      <c r="B165" s="4">
        <f>IFERROR(INDEX(MASTER_REGISTER!C:C,MATCH(C165,MASTER_REGISTER!E:E,0)),"")</f>
        <v>11</v>
      </c>
      <c r="C165" s="4" t="s">
        <v>260</v>
      </c>
      <c r="D165" t="str">
        <f>IFERROR(INDEX(MASTER_REGISTER!F:F,MATCH(C165,MASTER_REGISTER!E:E,0)),"")</f>
        <v>Refilwe Mokgadi</v>
      </c>
      <c r="E165" s="4" t="s">
        <v>337</v>
      </c>
      <c r="F165" t="s">
        <v>338</v>
      </c>
      <c r="G165" t="s">
        <v>339</v>
      </c>
    </row>
    <row r="166" spans="1:8" x14ac:dyDescent="0.3">
      <c r="A166" t="s">
        <v>343</v>
      </c>
      <c r="B166" s="4">
        <f>IFERROR(INDEX(MASTER_REGISTER!C:C,MATCH(C166,MASTER_REGISTER!E:E,0)),"")</f>
        <v>11</v>
      </c>
      <c r="C166" s="4" t="s">
        <v>264</v>
      </c>
      <c r="D166" t="str">
        <f>IFERROR(INDEX(MASTER_REGISTER!F:F,MATCH(C166,MASTER_REGISTER!E:E,0)),"")</f>
        <v>Kgothatso Molefe</v>
      </c>
      <c r="E166" s="4" t="s">
        <v>337</v>
      </c>
      <c r="F166" t="s">
        <v>338</v>
      </c>
      <c r="G166" t="s">
        <v>339</v>
      </c>
    </row>
    <row r="167" spans="1:8" x14ac:dyDescent="0.3">
      <c r="A167" t="s">
        <v>343</v>
      </c>
      <c r="B167" s="4">
        <f>IFERROR(INDEX(MASTER_REGISTER!C:C,MATCH(C167,MASTER_REGISTER!E:E,0)),"")</f>
        <v>11</v>
      </c>
      <c r="C167" s="4" t="s">
        <v>268</v>
      </c>
      <c r="D167" t="str">
        <f>IFERROR(INDEX(MASTER_REGISTER!F:F,MATCH(C167,MASTER_REGISTER!E:E,0)),"")</f>
        <v>Tshepo Mokgadi</v>
      </c>
      <c r="E167" s="4" t="s">
        <v>337</v>
      </c>
      <c r="F167" t="s">
        <v>338</v>
      </c>
      <c r="G167" t="s">
        <v>339</v>
      </c>
    </row>
    <row r="168" spans="1:8" x14ac:dyDescent="0.3">
      <c r="A168" t="s">
        <v>343</v>
      </c>
      <c r="B168" s="4">
        <f>IFERROR(INDEX(MASTER_REGISTER!C:C,MATCH(C168,MASTER_REGISTER!E:E,0)),"")</f>
        <v>11</v>
      </c>
      <c r="C168" s="4" t="s">
        <v>272</v>
      </c>
      <c r="D168" t="str">
        <f>IFERROR(INDEX(MASTER_REGISTER!F:F,MATCH(C168,MASTER_REGISTER!E:E,0)),"")</f>
        <v>Tshepo Phiri</v>
      </c>
      <c r="E168" s="4" t="s">
        <v>337</v>
      </c>
      <c r="F168" t="s">
        <v>338</v>
      </c>
      <c r="G168" t="s">
        <v>339</v>
      </c>
    </row>
    <row r="169" spans="1:8" x14ac:dyDescent="0.3">
      <c r="A169" t="s">
        <v>343</v>
      </c>
      <c r="B169" s="4">
        <f>IFERROR(INDEX(MASTER_REGISTER!C:C,MATCH(C169,MASTER_REGISTER!E:E,0)),"")</f>
        <v>11</v>
      </c>
      <c r="C169" s="4" t="s">
        <v>276</v>
      </c>
      <c r="D169" t="str">
        <f>IFERROR(INDEX(MASTER_REGISTER!F:F,MATCH(C169,MASTER_REGISTER!E:E,0)),"")</f>
        <v>Zanele Ngobeni</v>
      </c>
      <c r="E169" s="4" t="s">
        <v>337</v>
      </c>
      <c r="F169" t="s">
        <v>338</v>
      </c>
      <c r="G169" t="s">
        <v>339</v>
      </c>
    </row>
    <row r="170" spans="1:8" x14ac:dyDescent="0.3">
      <c r="A170" t="s">
        <v>343</v>
      </c>
      <c r="B170" s="4">
        <f>IFERROR(INDEX(MASTER_REGISTER!C:C,MATCH(C170,MASTER_REGISTER!E:E,0)),"")</f>
        <v>12</v>
      </c>
      <c r="C170" s="4" t="s">
        <v>280</v>
      </c>
      <c r="D170" t="str">
        <f>IFERROR(INDEX(MASTER_REGISTER!F:F,MATCH(C170,MASTER_REGISTER!E:E,0)),"")</f>
        <v>Palesa Mokoena</v>
      </c>
      <c r="E170" s="4" t="s">
        <v>335</v>
      </c>
      <c r="H170" t="s">
        <v>342</v>
      </c>
    </row>
    <row r="171" spans="1:8" x14ac:dyDescent="0.3">
      <c r="A171" t="s">
        <v>343</v>
      </c>
      <c r="B171" s="4">
        <f>IFERROR(INDEX(MASTER_REGISTER!C:C,MATCH(C171,MASTER_REGISTER!E:E,0)),"")</f>
        <v>12</v>
      </c>
      <c r="C171" s="4" t="s">
        <v>284</v>
      </c>
      <c r="D171" t="str">
        <f>IFERROR(INDEX(MASTER_REGISTER!F:F,MATCH(C171,MASTER_REGISTER!E:E,0)),"")</f>
        <v>Thabo Ramushu</v>
      </c>
      <c r="E171" s="4" t="s">
        <v>337</v>
      </c>
      <c r="F171" t="s">
        <v>338</v>
      </c>
      <c r="G171" t="s">
        <v>339</v>
      </c>
    </row>
    <row r="172" spans="1:8" x14ac:dyDescent="0.3">
      <c r="A172" t="s">
        <v>343</v>
      </c>
      <c r="B172" s="4">
        <f>IFERROR(INDEX(MASTER_REGISTER!C:C,MATCH(C172,MASTER_REGISTER!E:E,0)),"")</f>
        <v>12</v>
      </c>
      <c r="C172" s="4" t="s">
        <v>288</v>
      </c>
      <c r="D172" t="str">
        <f>IFERROR(INDEX(MASTER_REGISTER!F:F,MATCH(C172,MASTER_REGISTER!E:E,0)),"")</f>
        <v>Lwazi Ndlovu</v>
      </c>
      <c r="E172" s="4" t="s">
        <v>337</v>
      </c>
      <c r="F172" t="s">
        <v>338</v>
      </c>
      <c r="G172" t="s">
        <v>339</v>
      </c>
    </row>
    <row r="173" spans="1:8" x14ac:dyDescent="0.3">
      <c r="A173" t="s">
        <v>343</v>
      </c>
      <c r="B173" s="4">
        <f>IFERROR(INDEX(MASTER_REGISTER!C:C,MATCH(C173,MASTER_REGISTER!E:E,0)),"")</f>
        <v>12</v>
      </c>
      <c r="C173" s="4" t="s">
        <v>292</v>
      </c>
      <c r="D173" t="str">
        <f>IFERROR(INDEX(MASTER_REGISTER!F:F,MATCH(C173,MASTER_REGISTER!E:E,0)),"")</f>
        <v>Ayanda Dlamini</v>
      </c>
      <c r="E173" s="4" t="s">
        <v>337</v>
      </c>
      <c r="F173" t="s">
        <v>338</v>
      </c>
      <c r="G173" t="s">
        <v>339</v>
      </c>
    </row>
    <row r="174" spans="1:8" x14ac:dyDescent="0.3">
      <c r="A174" t="s">
        <v>343</v>
      </c>
      <c r="B174" s="4">
        <f>IFERROR(INDEX(MASTER_REGISTER!C:C,MATCH(C174,MASTER_REGISTER!E:E,0)),"")</f>
        <v>12</v>
      </c>
      <c r="C174" s="4" t="s">
        <v>296</v>
      </c>
      <c r="D174" t="str">
        <f>IFERROR(INDEX(MASTER_REGISTER!F:F,MATCH(C174,MASTER_REGISTER!E:E,0)),"")</f>
        <v>Neo Ndlovu</v>
      </c>
      <c r="E174" s="4" t="s">
        <v>335</v>
      </c>
      <c r="H174" t="s">
        <v>336</v>
      </c>
    </row>
    <row r="175" spans="1:8" x14ac:dyDescent="0.3">
      <c r="A175" t="s">
        <v>343</v>
      </c>
      <c r="B175" s="4">
        <f>IFERROR(INDEX(MASTER_REGISTER!C:C,MATCH(C175,MASTER_REGISTER!E:E,0)),"")</f>
        <v>12</v>
      </c>
      <c r="C175" s="4" t="s">
        <v>300</v>
      </c>
      <c r="D175" t="str">
        <f>IFERROR(INDEX(MASTER_REGISTER!F:F,MATCH(C175,MASTER_REGISTER!E:E,0)),"")</f>
        <v>Neo Ramushu</v>
      </c>
      <c r="E175" s="4" t="s">
        <v>337</v>
      </c>
      <c r="F175" t="s">
        <v>338</v>
      </c>
      <c r="G175" t="s">
        <v>339</v>
      </c>
    </row>
    <row r="176" spans="1:8" x14ac:dyDescent="0.3">
      <c r="A176" t="s">
        <v>343</v>
      </c>
      <c r="B176" s="4">
        <f>IFERROR(INDEX(MASTER_REGISTER!C:C,MATCH(C176,MASTER_REGISTER!E:E,0)),"")</f>
        <v>12</v>
      </c>
      <c r="C176" s="4" t="s">
        <v>304</v>
      </c>
      <c r="D176" t="str">
        <f>IFERROR(INDEX(MASTER_REGISTER!F:F,MATCH(C176,MASTER_REGISTER!E:E,0)),"")</f>
        <v>Karabo Baloyi</v>
      </c>
      <c r="E176" s="4" t="s">
        <v>337</v>
      </c>
      <c r="F176" t="s">
        <v>338</v>
      </c>
      <c r="G176" t="s">
        <v>339</v>
      </c>
    </row>
    <row r="177" spans="1:8" x14ac:dyDescent="0.3">
      <c r="A177" t="s">
        <v>343</v>
      </c>
      <c r="B177" s="4">
        <f>IFERROR(INDEX(MASTER_REGISTER!C:C,MATCH(C177,MASTER_REGISTER!E:E,0)),"")</f>
        <v>12</v>
      </c>
      <c r="C177" s="4" t="s">
        <v>308</v>
      </c>
      <c r="D177" t="str">
        <f>IFERROR(INDEX(MASTER_REGISTER!F:F,MATCH(C177,MASTER_REGISTER!E:E,0)),"")</f>
        <v>Tshepo Mokgadi</v>
      </c>
      <c r="E177" s="4" t="s">
        <v>337</v>
      </c>
      <c r="F177" t="s">
        <v>338</v>
      </c>
      <c r="G177" t="s">
        <v>339</v>
      </c>
    </row>
    <row r="178" spans="1:8" x14ac:dyDescent="0.3">
      <c r="A178" t="s">
        <v>343</v>
      </c>
      <c r="B178" s="4">
        <f>IFERROR(INDEX(MASTER_REGISTER!C:C,MATCH(C178,MASTER_REGISTER!E:E,0)),"")</f>
        <v>12</v>
      </c>
      <c r="C178" s="4" t="s">
        <v>311</v>
      </c>
      <c r="D178" t="str">
        <f>IFERROR(INDEX(MASTER_REGISTER!F:F,MATCH(C178,MASTER_REGISTER!E:E,0)),"")</f>
        <v>Sifiso Mavuso</v>
      </c>
      <c r="E178" s="4" t="s">
        <v>337</v>
      </c>
      <c r="F178" t="s">
        <v>338</v>
      </c>
      <c r="G178" t="s">
        <v>339</v>
      </c>
    </row>
    <row r="179" spans="1:8" x14ac:dyDescent="0.3">
      <c r="A179" t="s">
        <v>343</v>
      </c>
      <c r="B179" s="4">
        <f>IFERROR(INDEX(MASTER_REGISTER!C:C,MATCH(C179,MASTER_REGISTER!E:E,0)),"")</f>
        <v>12</v>
      </c>
      <c r="C179" s="4" t="s">
        <v>315</v>
      </c>
      <c r="D179" t="str">
        <f>IFERROR(INDEX(MASTER_REGISTER!F:F,MATCH(C179,MASTER_REGISTER!E:E,0)),"")</f>
        <v>Refilwe Sithole</v>
      </c>
      <c r="E179" s="4" t="s">
        <v>335</v>
      </c>
      <c r="H179" t="s">
        <v>341</v>
      </c>
    </row>
    <row r="180" spans="1:8" x14ac:dyDescent="0.3">
      <c r="A180" t="s">
        <v>343</v>
      </c>
      <c r="B180" s="4">
        <f>IFERROR(INDEX(MASTER_REGISTER!C:C,MATCH(C180,MASTER_REGISTER!E:E,0)),"")</f>
        <v>12</v>
      </c>
      <c r="C180" s="4" t="s">
        <v>319</v>
      </c>
      <c r="D180" t="str">
        <f>IFERROR(INDEX(MASTER_REGISTER!F:F,MATCH(C180,MASTER_REGISTER!E:E,0)),"")</f>
        <v>Lerato Sithole</v>
      </c>
      <c r="E180" s="4" t="s">
        <v>337</v>
      </c>
      <c r="F180" t="s">
        <v>338</v>
      </c>
      <c r="G180" t="s">
        <v>339</v>
      </c>
    </row>
    <row r="181" spans="1:8" x14ac:dyDescent="0.3">
      <c r="A181" t="s">
        <v>343</v>
      </c>
      <c r="B181" s="4">
        <f>IFERROR(INDEX(MASTER_REGISTER!C:C,MATCH(C181,MASTER_REGISTER!E:E,0)),"")</f>
        <v>12</v>
      </c>
      <c r="C181" s="4" t="s">
        <v>323</v>
      </c>
      <c r="D181" t="str">
        <f>IFERROR(INDEX(MASTER_REGISTER!F:F,MATCH(C181,MASTER_REGISTER!E:E,0)),"")</f>
        <v>Sibusiso Ngobeni</v>
      </c>
      <c r="E181" s="4" t="s">
        <v>337</v>
      </c>
      <c r="F181" t="s">
        <v>338</v>
      </c>
      <c r="G181" t="s">
        <v>339</v>
      </c>
    </row>
    <row r="182" spans="1:8" x14ac:dyDescent="0.3">
      <c r="A182" t="s">
        <v>104</v>
      </c>
      <c r="B182" s="4">
        <f>IFERROR(INDEX(MASTER_REGISTER!C:C,MATCH(C182,MASTER_REGISTER!E:E,0)),"")</f>
        <v>8</v>
      </c>
      <c r="C182" s="4" t="s">
        <v>50</v>
      </c>
      <c r="D182" t="str">
        <f>IFERROR(INDEX(MASTER_REGISTER!F:F,MATCH(C182,MASTER_REGISTER!E:E,0)),"")</f>
        <v>Lerato Nkosi</v>
      </c>
      <c r="E182" s="4" t="s">
        <v>337</v>
      </c>
      <c r="F182" t="s">
        <v>338</v>
      </c>
      <c r="G182" t="s">
        <v>339</v>
      </c>
    </row>
    <row r="183" spans="1:8" x14ac:dyDescent="0.3">
      <c r="A183" t="s">
        <v>104</v>
      </c>
      <c r="B183" s="4">
        <f>IFERROR(INDEX(MASTER_REGISTER!C:C,MATCH(C183,MASTER_REGISTER!E:E,0)),"")</f>
        <v>8</v>
      </c>
      <c r="C183" s="4" t="s">
        <v>58</v>
      </c>
      <c r="D183" t="str">
        <f>IFERROR(INDEX(MASTER_REGISTER!F:F,MATCH(C183,MASTER_REGISTER!E:E,0)),"")</f>
        <v>Karabo Maseko</v>
      </c>
      <c r="E183" s="4" t="s">
        <v>335</v>
      </c>
      <c r="H183" t="s">
        <v>342</v>
      </c>
    </row>
    <row r="184" spans="1:8" x14ac:dyDescent="0.3">
      <c r="A184" t="s">
        <v>104</v>
      </c>
      <c r="B184" s="4">
        <f>IFERROR(INDEX(MASTER_REGISTER!C:C,MATCH(C184,MASTER_REGISTER!E:E,0)),"")</f>
        <v>8</v>
      </c>
      <c r="C184" s="4" t="s">
        <v>64</v>
      </c>
      <c r="D184" t="str">
        <f>IFERROR(INDEX(MASTER_REGISTER!F:F,MATCH(C184,MASTER_REGISTER!E:E,0)),"")</f>
        <v>Sifiso Sithole</v>
      </c>
      <c r="E184" s="4" t="s">
        <v>337</v>
      </c>
      <c r="F184" t="s">
        <v>338</v>
      </c>
      <c r="G184" t="s">
        <v>339</v>
      </c>
    </row>
    <row r="185" spans="1:8" x14ac:dyDescent="0.3">
      <c r="A185" t="s">
        <v>104</v>
      </c>
      <c r="B185" s="4">
        <f>IFERROR(INDEX(MASTER_REGISTER!C:C,MATCH(C185,MASTER_REGISTER!E:E,0)),"")</f>
        <v>8</v>
      </c>
      <c r="C185" s="4" t="s">
        <v>70</v>
      </c>
      <c r="D185" t="str">
        <f>IFERROR(INDEX(MASTER_REGISTER!F:F,MATCH(C185,MASTER_REGISTER!E:E,0)),"")</f>
        <v>Tshepo Ndlovu</v>
      </c>
      <c r="E185" s="4" t="s">
        <v>337</v>
      </c>
      <c r="F185" t="s">
        <v>338</v>
      </c>
      <c r="G185" t="s">
        <v>339</v>
      </c>
    </row>
    <row r="186" spans="1:8" x14ac:dyDescent="0.3">
      <c r="A186" t="s">
        <v>104</v>
      </c>
      <c r="B186" s="4">
        <f>IFERROR(INDEX(MASTER_REGISTER!C:C,MATCH(C186,MASTER_REGISTER!E:E,0)),"")</f>
        <v>8</v>
      </c>
      <c r="C186" s="4" t="s">
        <v>76</v>
      </c>
      <c r="D186" t="str">
        <f>IFERROR(INDEX(MASTER_REGISTER!F:F,MATCH(C186,MASTER_REGISTER!E:E,0)),"")</f>
        <v>Lwazi Mthembu</v>
      </c>
      <c r="E186" s="4" t="s">
        <v>337</v>
      </c>
      <c r="F186" t="s">
        <v>338</v>
      </c>
      <c r="G186" t="s">
        <v>339</v>
      </c>
    </row>
    <row r="187" spans="1:8" x14ac:dyDescent="0.3">
      <c r="A187" t="s">
        <v>104</v>
      </c>
      <c r="B187" s="4">
        <f>IFERROR(INDEX(MASTER_REGISTER!C:C,MATCH(C187,MASTER_REGISTER!E:E,0)),"")</f>
        <v>8</v>
      </c>
      <c r="C187" s="4" t="s">
        <v>82</v>
      </c>
      <c r="D187" t="str">
        <f>IFERROR(INDEX(MASTER_REGISTER!F:F,MATCH(C187,MASTER_REGISTER!E:E,0)),"")</f>
        <v>Karabo Ngobeni</v>
      </c>
      <c r="E187" s="4" t="s">
        <v>335</v>
      </c>
      <c r="H187" t="s">
        <v>341</v>
      </c>
    </row>
    <row r="188" spans="1:8" x14ac:dyDescent="0.3">
      <c r="A188" t="s">
        <v>104</v>
      </c>
      <c r="B188" s="4">
        <f>IFERROR(INDEX(MASTER_REGISTER!C:C,MATCH(C188,MASTER_REGISTER!E:E,0)),"")</f>
        <v>8</v>
      </c>
      <c r="C188" s="4" t="s">
        <v>88</v>
      </c>
      <c r="D188" t="str">
        <f>IFERROR(INDEX(MASTER_REGISTER!F:F,MATCH(C188,MASTER_REGISTER!E:E,0)),"")</f>
        <v>Mpho Sithole</v>
      </c>
      <c r="E188" s="4" t="s">
        <v>337</v>
      </c>
      <c r="F188" t="s">
        <v>338</v>
      </c>
      <c r="G188" t="s">
        <v>339</v>
      </c>
    </row>
    <row r="189" spans="1:8" x14ac:dyDescent="0.3">
      <c r="A189" t="s">
        <v>104</v>
      </c>
      <c r="B189" s="4">
        <f>IFERROR(INDEX(MASTER_REGISTER!C:C,MATCH(C189,MASTER_REGISTER!E:E,0)),"")</f>
        <v>8</v>
      </c>
      <c r="C189" s="4" t="s">
        <v>94</v>
      </c>
      <c r="D189" t="str">
        <f>IFERROR(INDEX(MASTER_REGISTER!F:F,MATCH(C189,MASTER_REGISTER!E:E,0)),"")</f>
        <v>Tshepo Ramushu</v>
      </c>
      <c r="E189" s="4" t="s">
        <v>337</v>
      </c>
      <c r="F189" t="s">
        <v>338</v>
      </c>
      <c r="G189" t="s">
        <v>339</v>
      </c>
    </row>
    <row r="190" spans="1:8" x14ac:dyDescent="0.3">
      <c r="A190" t="s">
        <v>104</v>
      </c>
      <c r="B190" s="4">
        <f>IFERROR(INDEX(MASTER_REGISTER!C:C,MATCH(C190,MASTER_REGISTER!E:E,0)),"")</f>
        <v>8</v>
      </c>
      <c r="C190" s="4" t="s">
        <v>100</v>
      </c>
      <c r="D190" t="str">
        <f>IFERROR(INDEX(MASTER_REGISTER!F:F,MATCH(C190,MASTER_REGISTER!E:E,0)),"")</f>
        <v>Lerato Kekana</v>
      </c>
      <c r="E190" s="4" t="s">
        <v>337</v>
      </c>
      <c r="F190" t="s">
        <v>338</v>
      </c>
      <c r="G190" t="s">
        <v>339</v>
      </c>
    </row>
    <row r="191" spans="1:8" x14ac:dyDescent="0.3">
      <c r="A191" t="s">
        <v>104</v>
      </c>
      <c r="B191" s="4">
        <f>IFERROR(INDEX(MASTER_REGISTER!C:C,MATCH(C191,MASTER_REGISTER!E:E,0)),"")</f>
        <v>8</v>
      </c>
      <c r="C191" s="4" t="s">
        <v>106</v>
      </c>
      <c r="D191" t="str">
        <f>IFERROR(INDEX(MASTER_REGISTER!F:F,MATCH(C191,MASTER_REGISTER!E:E,0)),"")</f>
        <v>Neo Ngobeni</v>
      </c>
      <c r="E191" s="4" t="s">
        <v>335</v>
      </c>
      <c r="H191" t="s">
        <v>342</v>
      </c>
    </row>
    <row r="192" spans="1:8" x14ac:dyDescent="0.3">
      <c r="A192" t="s">
        <v>104</v>
      </c>
      <c r="B192" s="4">
        <f>IFERROR(INDEX(MASTER_REGISTER!C:C,MATCH(C192,MASTER_REGISTER!E:E,0)),"")</f>
        <v>8</v>
      </c>
      <c r="C192" s="4" t="s">
        <v>112</v>
      </c>
      <c r="D192" t="str">
        <f>IFERROR(INDEX(MASTER_REGISTER!F:F,MATCH(C192,MASTER_REGISTER!E:E,0)),"")</f>
        <v>Thabo Mokgadi</v>
      </c>
      <c r="E192" s="4" t="s">
        <v>337</v>
      </c>
      <c r="F192" t="s">
        <v>338</v>
      </c>
      <c r="G192" t="s">
        <v>339</v>
      </c>
    </row>
    <row r="193" spans="1:8" x14ac:dyDescent="0.3">
      <c r="A193" t="s">
        <v>104</v>
      </c>
      <c r="B193" s="4">
        <f>IFERROR(INDEX(MASTER_REGISTER!C:C,MATCH(C193,MASTER_REGISTER!E:E,0)),"")</f>
        <v>8</v>
      </c>
      <c r="C193" s="4" t="s">
        <v>118</v>
      </c>
      <c r="D193" t="str">
        <f>IFERROR(INDEX(MASTER_REGISTER!F:F,MATCH(C193,MASTER_REGISTER!E:E,0)),"")</f>
        <v>Sifiso Mthembu</v>
      </c>
      <c r="E193" s="4" t="s">
        <v>335</v>
      </c>
      <c r="H193" t="s">
        <v>340</v>
      </c>
    </row>
    <row r="194" spans="1:8" x14ac:dyDescent="0.3">
      <c r="A194" t="s">
        <v>104</v>
      </c>
      <c r="B194" s="4">
        <f>IFERROR(INDEX(MASTER_REGISTER!C:C,MATCH(C194,MASTER_REGISTER!E:E,0)),"")</f>
        <v>9</v>
      </c>
      <c r="C194" s="4" t="s">
        <v>123</v>
      </c>
      <c r="D194" t="str">
        <f>IFERROR(INDEX(MASTER_REGISTER!F:F,MATCH(C194,MASTER_REGISTER!E:E,0)),"")</f>
        <v>Karabo Phiri</v>
      </c>
      <c r="E194" s="4" t="s">
        <v>337</v>
      </c>
      <c r="F194" t="s">
        <v>338</v>
      </c>
      <c r="G194" t="s">
        <v>339</v>
      </c>
    </row>
    <row r="195" spans="1:8" x14ac:dyDescent="0.3">
      <c r="A195" t="s">
        <v>104</v>
      </c>
      <c r="B195" s="4">
        <f>IFERROR(INDEX(MASTER_REGISTER!C:C,MATCH(C195,MASTER_REGISTER!E:E,0)),"")</f>
        <v>9</v>
      </c>
      <c r="C195" s="4" t="s">
        <v>128</v>
      </c>
      <c r="D195" t="str">
        <f>IFERROR(INDEX(MASTER_REGISTER!F:F,MATCH(C195,MASTER_REGISTER!E:E,0)),"")</f>
        <v>Lerato Mahlangu</v>
      </c>
      <c r="E195" s="4" t="s">
        <v>337</v>
      </c>
      <c r="F195" t="s">
        <v>338</v>
      </c>
      <c r="G195" t="s">
        <v>339</v>
      </c>
    </row>
    <row r="196" spans="1:8" x14ac:dyDescent="0.3">
      <c r="A196" t="s">
        <v>104</v>
      </c>
      <c r="B196" s="4">
        <f>IFERROR(INDEX(MASTER_REGISTER!C:C,MATCH(C196,MASTER_REGISTER!E:E,0)),"")</f>
        <v>9</v>
      </c>
      <c r="C196" s="4" t="s">
        <v>133</v>
      </c>
      <c r="D196" t="str">
        <f>IFERROR(INDEX(MASTER_REGISTER!F:F,MATCH(C196,MASTER_REGISTER!E:E,0)),"")</f>
        <v>Mpho Kekana</v>
      </c>
      <c r="E196" s="4" t="s">
        <v>337</v>
      </c>
      <c r="F196" t="s">
        <v>338</v>
      </c>
      <c r="G196" t="s">
        <v>339</v>
      </c>
    </row>
    <row r="197" spans="1:8" x14ac:dyDescent="0.3">
      <c r="A197" t="s">
        <v>104</v>
      </c>
      <c r="B197" s="4">
        <f>IFERROR(INDEX(MASTER_REGISTER!C:C,MATCH(C197,MASTER_REGISTER!E:E,0)),"")</f>
        <v>9</v>
      </c>
      <c r="C197" s="4" t="s">
        <v>138</v>
      </c>
      <c r="D197" t="str">
        <f>IFERROR(INDEX(MASTER_REGISTER!F:F,MATCH(C197,MASTER_REGISTER!E:E,0)),"")</f>
        <v>Thabo Molefe</v>
      </c>
      <c r="E197" s="4" t="s">
        <v>337</v>
      </c>
      <c r="F197" t="s">
        <v>338</v>
      </c>
      <c r="G197" t="s">
        <v>339</v>
      </c>
    </row>
    <row r="198" spans="1:8" x14ac:dyDescent="0.3">
      <c r="A198" t="s">
        <v>104</v>
      </c>
      <c r="B198" s="4">
        <f>IFERROR(INDEX(MASTER_REGISTER!C:C,MATCH(C198,MASTER_REGISTER!E:E,0)),"")</f>
        <v>9</v>
      </c>
      <c r="C198" s="4" t="s">
        <v>143</v>
      </c>
      <c r="D198" t="str">
        <f>IFERROR(INDEX(MASTER_REGISTER!F:F,MATCH(C198,MASTER_REGISTER!E:E,0)),"")</f>
        <v>Mpho Ngobeni</v>
      </c>
      <c r="E198" s="4" t="s">
        <v>337</v>
      </c>
      <c r="F198" t="s">
        <v>338</v>
      </c>
      <c r="G198" t="s">
        <v>339</v>
      </c>
    </row>
    <row r="199" spans="1:8" x14ac:dyDescent="0.3">
      <c r="A199" t="s">
        <v>104</v>
      </c>
      <c r="B199" s="4">
        <f>IFERROR(INDEX(MASTER_REGISTER!C:C,MATCH(C199,MASTER_REGISTER!E:E,0)),"")</f>
        <v>9</v>
      </c>
      <c r="C199" s="4" t="s">
        <v>148</v>
      </c>
      <c r="D199" t="str">
        <f>IFERROR(INDEX(MASTER_REGISTER!F:F,MATCH(C199,MASTER_REGISTER!E:E,0)),"")</f>
        <v>Siyanda Mhlongo</v>
      </c>
      <c r="E199" s="4" t="s">
        <v>337</v>
      </c>
      <c r="F199" t="s">
        <v>338</v>
      </c>
      <c r="G199" t="s">
        <v>339</v>
      </c>
    </row>
    <row r="200" spans="1:8" x14ac:dyDescent="0.3">
      <c r="A200" t="s">
        <v>104</v>
      </c>
      <c r="B200" s="4">
        <f>IFERROR(INDEX(MASTER_REGISTER!C:C,MATCH(C200,MASTER_REGISTER!E:E,0)),"")</f>
        <v>9</v>
      </c>
      <c r="C200" s="4" t="s">
        <v>153</v>
      </c>
      <c r="D200" t="str">
        <f>IFERROR(INDEX(MASTER_REGISTER!F:F,MATCH(C200,MASTER_REGISTER!E:E,0)),"")</f>
        <v>Siyanda Mahlangu</v>
      </c>
      <c r="E200" s="4" t="s">
        <v>337</v>
      </c>
      <c r="F200" t="s">
        <v>338</v>
      </c>
      <c r="G200" t="s">
        <v>339</v>
      </c>
    </row>
    <row r="201" spans="1:8" x14ac:dyDescent="0.3">
      <c r="A201" t="s">
        <v>104</v>
      </c>
      <c r="B201" s="4">
        <f>IFERROR(INDEX(MASTER_REGISTER!C:C,MATCH(C201,MASTER_REGISTER!E:E,0)),"")</f>
        <v>9</v>
      </c>
      <c r="C201" s="4" t="s">
        <v>158</v>
      </c>
      <c r="D201" t="str">
        <f>IFERROR(INDEX(MASTER_REGISTER!F:F,MATCH(C201,MASTER_REGISTER!E:E,0)),"")</f>
        <v>Sifiso Ramushu</v>
      </c>
      <c r="E201" s="4" t="s">
        <v>337</v>
      </c>
      <c r="F201" t="s">
        <v>338</v>
      </c>
      <c r="G201" t="s">
        <v>339</v>
      </c>
    </row>
    <row r="202" spans="1:8" x14ac:dyDescent="0.3">
      <c r="A202" t="s">
        <v>104</v>
      </c>
      <c r="B202" s="4">
        <f>IFERROR(INDEX(MASTER_REGISTER!C:C,MATCH(C202,MASTER_REGISTER!E:E,0)),"")</f>
        <v>9</v>
      </c>
      <c r="C202" s="4" t="s">
        <v>163</v>
      </c>
      <c r="D202" t="str">
        <f>IFERROR(INDEX(MASTER_REGISTER!F:F,MATCH(C202,MASTER_REGISTER!E:E,0)),"")</f>
        <v>Nandi Ngobeni</v>
      </c>
      <c r="E202" s="4" t="s">
        <v>337</v>
      </c>
      <c r="F202" t="s">
        <v>338</v>
      </c>
      <c r="G202" t="s">
        <v>339</v>
      </c>
    </row>
    <row r="203" spans="1:8" x14ac:dyDescent="0.3">
      <c r="A203" t="s">
        <v>104</v>
      </c>
      <c r="B203" s="4">
        <f>IFERROR(INDEX(MASTER_REGISTER!C:C,MATCH(C203,MASTER_REGISTER!E:E,0)),"")</f>
        <v>9</v>
      </c>
      <c r="C203" s="4" t="s">
        <v>168</v>
      </c>
      <c r="D203" t="str">
        <f>IFERROR(INDEX(MASTER_REGISTER!F:F,MATCH(C203,MASTER_REGISTER!E:E,0)),"")</f>
        <v>Karabo Mokgadi</v>
      </c>
      <c r="E203" s="4" t="s">
        <v>335</v>
      </c>
      <c r="H203" t="s">
        <v>342</v>
      </c>
    </row>
    <row r="204" spans="1:8" x14ac:dyDescent="0.3">
      <c r="A204" t="s">
        <v>104</v>
      </c>
      <c r="B204" s="4">
        <f>IFERROR(INDEX(MASTER_REGISTER!C:C,MATCH(C204,MASTER_REGISTER!E:E,0)),"")</f>
        <v>9</v>
      </c>
      <c r="C204" s="4" t="s">
        <v>173</v>
      </c>
      <c r="D204" t="str">
        <f>IFERROR(INDEX(MASTER_REGISTER!F:F,MATCH(C204,MASTER_REGISTER!E:E,0)),"")</f>
        <v>Sifiso Mahlangu</v>
      </c>
      <c r="E204" s="4" t="s">
        <v>337</v>
      </c>
      <c r="F204" t="s">
        <v>338</v>
      </c>
      <c r="G204" t="s">
        <v>339</v>
      </c>
    </row>
    <row r="205" spans="1:8" x14ac:dyDescent="0.3">
      <c r="A205" t="s">
        <v>104</v>
      </c>
      <c r="B205" s="4">
        <f>IFERROR(INDEX(MASTER_REGISTER!C:C,MATCH(C205,MASTER_REGISTER!E:E,0)),"")</f>
        <v>9</v>
      </c>
      <c r="C205" s="4" t="s">
        <v>178</v>
      </c>
      <c r="D205" t="str">
        <f>IFERROR(INDEX(MASTER_REGISTER!F:F,MATCH(C205,MASTER_REGISTER!E:E,0)),"")</f>
        <v>Kgothatso Radebe</v>
      </c>
      <c r="E205" s="4" t="s">
        <v>337</v>
      </c>
      <c r="F205" t="s">
        <v>338</v>
      </c>
      <c r="G205" t="s">
        <v>339</v>
      </c>
    </row>
    <row r="206" spans="1:8" x14ac:dyDescent="0.3">
      <c r="A206" t="s">
        <v>104</v>
      </c>
      <c r="B206" s="4">
        <f>IFERROR(INDEX(MASTER_REGISTER!C:C,MATCH(C206,MASTER_REGISTER!E:E,0)),"")</f>
        <v>10</v>
      </c>
      <c r="C206" s="4" t="s">
        <v>183</v>
      </c>
      <c r="D206" t="str">
        <f>IFERROR(INDEX(MASTER_REGISTER!F:F,MATCH(C206,MASTER_REGISTER!E:E,0)),"")</f>
        <v>Lerato Maseko</v>
      </c>
      <c r="E206" s="4" t="s">
        <v>335</v>
      </c>
      <c r="H206" t="s">
        <v>340</v>
      </c>
    </row>
    <row r="207" spans="1:8" x14ac:dyDescent="0.3">
      <c r="A207" t="s">
        <v>104</v>
      </c>
      <c r="B207" s="4">
        <f>IFERROR(INDEX(MASTER_REGISTER!C:C,MATCH(C207,MASTER_REGISTER!E:E,0)),"")</f>
        <v>10</v>
      </c>
      <c r="C207" s="4" t="s">
        <v>188</v>
      </c>
      <c r="D207" t="str">
        <f>IFERROR(INDEX(MASTER_REGISTER!F:F,MATCH(C207,MASTER_REGISTER!E:E,0)),"")</f>
        <v>Sibusiso Molefe</v>
      </c>
      <c r="E207" s="4" t="s">
        <v>337</v>
      </c>
      <c r="F207" t="s">
        <v>338</v>
      </c>
      <c r="G207" t="s">
        <v>339</v>
      </c>
    </row>
    <row r="208" spans="1:8" x14ac:dyDescent="0.3">
      <c r="A208" t="s">
        <v>104</v>
      </c>
      <c r="B208" s="4">
        <f>IFERROR(INDEX(MASTER_REGISTER!C:C,MATCH(C208,MASTER_REGISTER!E:E,0)),"")</f>
        <v>10</v>
      </c>
      <c r="C208" s="4" t="s">
        <v>193</v>
      </c>
      <c r="D208" t="str">
        <f>IFERROR(INDEX(MASTER_REGISTER!F:F,MATCH(C208,MASTER_REGISTER!E:E,0)),"")</f>
        <v>Nandi Molefe</v>
      </c>
      <c r="E208" s="4" t="s">
        <v>337</v>
      </c>
      <c r="F208" t="s">
        <v>338</v>
      </c>
      <c r="G208" t="s">
        <v>339</v>
      </c>
    </row>
    <row r="209" spans="1:8" x14ac:dyDescent="0.3">
      <c r="A209" t="s">
        <v>104</v>
      </c>
      <c r="B209" s="4">
        <f>IFERROR(INDEX(MASTER_REGISTER!C:C,MATCH(C209,MASTER_REGISTER!E:E,0)),"")</f>
        <v>10</v>
      </c>
      <c r="C209" s="4" t="s">
        <v>198</v>
      </c>
      <c r="D209" t="str">
        <f>IFERROR(INDEX(MASTER_REGISTER!F:F,MATCH(C209,MASTER_REGISTER!E:E,0)),"")</f>
        <v>Kgothatso Baloyi</v>
      </c>
      <c r="E209" s="4" t="s">
        <v>337</v>
      </c>
      <c r="F209" t="s">
        <v>338</v>
      </c>
      <c r="G209" t="s">
        <v>339</v>
      </c>
    </row>
    <row r="210" spans="1:8" x14ac:dyDescent="0.3">
      <c r="A210" t="s">
        <v>104</v>
      </c>
      <c r="B210" s="4">
        <f>IFERROR(INDEX(MASTER_REGISTER!C:C,MATCH(C210,MASTER_REGISTER!E:E,0)),"")</f>
        <v>10</v>
      </c>
      <c r="C210" s="4" t="s">
        <v>202</v>
      </c>
      <c r="D210" t="str">
        <f>IFERROR(INDEX(MASTER_REGISTER!F:F,MATCH(C210,MASTER_REGISTER!E:E,0)),"")</f>
        <v>Ayanda Mokoena</v>
      </c>
      <c r="E210" s="4" t="s">
        <v>337</v>
      </c>
      <c r="F210" t="s">
        <v>338</v>
      </c>
      <c r="G210" t="s">
        <v>339</v>
      </c>
    </row>
    <row r="211" spans="1:8" x14ac:dyDescent="0.3">
      <c r="A211" t="s">
        <v>104</v>
      </c>
      <c r="B211" s="4">
        <f>IFERROR(INDEX(MASTER_REGISTER!C:C,MATCH(C211,MASTER_REGISTER!E:E,0)),"")</f>
        <v>10</v>
      </c>
      <c r="C211" s="4" t="s">
        <v>206</v>
      </c>
      <c r="D211" t="str">
        <f>IFERROR(INDEX(MASTER_REGISTER!F:F,MATCH(C211,MASTER_REGISTER!E:E,0)),"")</f>
        <v>Lwazi Baloyi</v>
      </c>
      <c r="E211" s="4" t="s">
        <v>337</v>
      </c>
      <c r="F211" t="s">
        <v>338</v>
      </c>
      <c r="G211" t="s">
        <v>339</v>
      </c>
    </row>
    <row r="212" spans="1:8" x14ac:dyDescent="0.3">
      <c r="A212" t="s">
        <v>104</v>
      </c>
      <c r="B212" s="4">
        <f>IFERROR(INDEX(MASTER_REGISTER!C:C,MATCH(C212,MASTER_REGISTER!E:E,0)),"")</f>
        <v>10</v>
      </c>
      <c r="C212" s="4" t="s">
        <v>210</v>
      </c>
      <c r="D212" t="str">
        <f>IFERROR(INDEX(MASTER_REGISTER!F:F,MATCH(C212,MASTER_REGISTER!E:E,0)),"")</f>
        <v>Siyanda Mokoena</v>
      </c>
      <c r="E212" s="4" t="s">
        <v>337</v>
      </c>
      <c r="F212" t="s">
        <v>338</v>
      </c>
      <c r="G212" t="s">
        <v>339</v>
      </c>
    </row>
    <row r="213" spans="1:8" x14ac:dyDescent="0.3">
      <c r="A213" t="s">
        <v>104</v>
      </c>
      <c r="B213" s="4">
        <f>IFERROR(INDEX(MASTER_REGISTER!C:C,MATCH(C213,MASTER_REGISTER!E:E,0)),"")</f>
        <v>10</v>
      </c>
      <c r="C213" s="4" t="s">
        <v>214</v>
      </c>
      <c r="D213" t="str">
        <f>IFERROR(INDEX(MASTER_REGISTER!F:F,MATCH(C213,MASTER_REGISTER!E:E,0)),"")</f>
        <v>Mpho Ngobeni</v>
      </c>
      <c r="E213" s="4" t="s">
        <v>337</v>
      </c>
      <c r="F213" t="s">
        <v>338</v>
      </c>
      <c r="G213" t="s">
        <v>339</v>
      </c>
    </row>
    <row r="214" spans="1:8" x14ac:dyDescent="0.3">
      <c r="A214" t="s">
        <v>104</v>
      </c>
      <c r="B214" s="4">
        <f>IFERROR(INDEX(MASTER_REGISTER!C:C,MATCH(C214,MASTER_REGISTER!E:E,0)),"")</f>
        <v>10</v>
      </c>
      <c r="C214" s="4" t="s">
        <v>217</v>
      </c>
      <c r="D214" t="str">
        <f>IFERROR(INDEX(MASTER_REGISTER!F:F,MATCH(C214,MASTER_REGISTER!E:E,0)),"")</f>
        <v>Naledi Makhubela</v>
      </c>
      <c r="E214" s="4" t="s">
        <v>337</v>
      </c>
      <c r="F214" t="s">
        <v>338</v>
      </c>
      <c r="G214" t="s">
        <v>339</v>
      </c>
    </row>
    <row r="215" spans="1:8" x14ac:dyDescent="0.3">
      <c r="A215" t="s">
        <v>104</v>
      </c>
      <c r="B215" s="4">
        <f>IFERROR(INDEX(MASTER_REGISTER!C:C,MATCH(C215,MASTER_REGISTER!E:E,0)),"")</f>
        <v>10</v>
      </c>
      <c r="C215" s="4" t="s">
        <v>221</v>
      </c>
      <c r="D215" t="str">
        <f>IFERROR(INDEX(MASTER_REGISTER!F:F,MATCH(C215,MASTER_REGISTER!E:E,0)),"")</f>
        <v>Kgothatso Mokoena</v>
      </c>
      <c r="E215" s="4" t="s">
        <v>337</v>
      </c>
      <c r="F215" t="s">
        <v>338</v>
      </c>
      <c r="G215" t="s">
        <v>339</v>
      </c>
    </row>
    <row r="216" spans="1:8" x14ac:dyDescent="0.3">
      <c r="A216" t="s">
        <v>104</v>
      </c>
      <c r="B216" s="4">
        <f>IFERROR(INDEX(MASTER_REGISTER!C:C,MATCH(C216,MASTER_REGISTER!E:E,0)),"")</f>
        <v>10</v>
      </c>
      <c r="C216" s="4" t="s">
        <v>225</v>
      </c>
      <c r="D216" t="str">
        <f>IFERROR(INDEX(MASTER_REGISTER!F:F,MATCH(C216,MASTER_REGISTER!E:E,0)),"")</f>
        <v>Bongani Makhubela</v>
      </c>
      <c r="E216" s="4" t="s">
        <v>337</v>
      </c>
      <c r="F216" t="s">
        <v>338</v>
      </c>
      <c r="G216" t="s">
        <v>339</v>
      </c>
    </row>
    <row r="217" spans="1:8" x14ac:dyDescent="0.3">
      <c r="A217" t="s">
        <v>104</v>
      </c>
      <c r="B217" s="4">
        <f>IFERROR(INDEX(MASTER_REGISTER!C:C,MATCH(C217,MASTER_REGISTER!E:E,0)),"")</f>
        <v>10</v>
      </c>
      <c r="C217" s="4" t="s">
        <v>229</v>
      </c>
      <c r="D217" t="str">
        <f>IFERROR(INDEX(MASTER_REGISTER!F:F,MATCH(C217,MASTER_REGISTER!E:E,0)),"")</f>
        <v>Kagiso Kekana</v>
      </c>
      <c r="E217" s="4" t="s">
        <v>337</v>
      </c>
      <c r="F217" t="s">
        <v>338</v>
      </c>
      <c r="G217" t="s">
        <v>339</v>
      </c>
    </row>
    <row r="218" spans="1:8" x14ac:dyDescent="0.3">
      <c r="A218" t="s">
        <v>104</v>
      </c>
      <c r="B218" s="4">
        <f>IFERROR(INDEX(MASTER_REGISTER!C:C,MATCH(C218,MASTER_REGISTER!E:E,0)),"")</f>
        <v>11</v>
      </c>
      <c r="C218" s="4" t="s">
        <v>233</v>
      </c>
      <c r="D218" t="str">
        <f>IFERROR(INDEX(MASTER_REGISTER!F:F,MATCH(C218,MASTER_REGISTER!E:E,0)),"")</f>
        <v>Lwazi Makhubela</v>
      </c>
      <c r="E218" s="4" t="s">
        <v>337</v>
      </c>
      <c r="F218" t="s">
        <v>338</v>
      </c>
      <c r="G218" t="s">
        <v>339</v>
      </c>
    </row>
    <row r="219" spans="1:8" x14ac:dyDescent="0.3">
      <c r="A219" t="s">
        <v>104</v>
      </c>
      <c r="B219" s="4">
        <f>IFERROR(INDEX(MASTER_REGISTER!C:C,MATCH(C219,MASTER_REGISTER!E:E,0)),"")</f>
        <v>11</v>
      </c>
      <c r="C219" s="4" t="s">
        <v>237</v>
      </c>
      <c r="D219" t="str">
        <f>IFERROR(INDEX(MASTER_REGISTER!F:F,MATCH(C219,MASTER_REGISTER!E:E,0)),"")</f>
        <v>Lebogang Ramushu</v>
      </c>
      <c r="E219" s="4" t="s">
        <v>337</v>
      </c>
      <c r="F219" t="s">
        <v>338</v>
      </c>
      <c r="G219" t="s">
        <v>339</v>
      </c>
    </row>
    <row r="220" spans="1:8" x14ac:dyDescent="0.3">
      <c r="A220" t="s">
        <v>104</v>
      </c>
      <c r="B220" s="4">
        <f>IFERROR(INDEX(MASTER_REGISTER!C:C,MATCH(C220,MASTER_REGISTER!E:E,0)),"")</f>
        <v>11</v>
      </c>
      <c r="C220" s="4" t="s">
        <v>241</v>
      </c>
      <c r="D220" t="str">
        <f>IFERROR(INDEX(MASTER_REGISTER!F:F,MATCH(C220,MASTER_REGISTER!E:E,0)),"")</f>
        <v>Lerato Kekana</v>
      </c>
      <c r="E220" s="4" t="s">
        <v>337</v>
      </c>
      <c r="F220" t="s">
        <v>338</v>
      </c>
      <c r="G220" t="s">
        <v>339</v>
      </c>
    </row>
    <row r="221" spans="1:8" x14ac:dyDescent="0.3">
      <c r="A221" t="s">
        <v>104</v>
      </c>
      <c r="B221" s="4">
        <f>IFERROR(INDEX(MASTER_REGISTER!C:C,MATCH(C221,MASTER_REGISTER!E:E,0)),"")</f>
        <v>11</v>
      </c>
      <c r="C221" s="4" t="s">
        <v>244</v>
      </c>
      <c r="D221" t="str">
        <f>IFERROR(INDEX(MASTER_REGISTER!F:F,MATCH(C221,MASTER_REGISTER!E:E,0)),"")</f>
        <v>Bongani Ndlovu</v>
      </c>
      <c r="E221" s="4" t="s">
        <v>335</v>
      </c>
      <c r="H221" t="s">
        <v>336</v>
      </c>
    </row>
    <row r="222" spans="1:8" x14ac:dyDescent="0.3">
      <c r="A222" t="s">
        <v>104</v>
      </c>
      <c r="B222" s="4">
        <f>IFERROR(INDEX(MASTER_REGISTER!C:C,MATCH(C222,MASTER_REGISTER!E:E,0)),"")</f>
        <v>11</v>
      </c>
      <c r="C222" s="4" t="s">
        <v>248</v>
      </c>
      <c r="D222" t="str">
        <f>IFERROR(INDEX(MASTER_REGISTER!F:F,MATCH(C222,MASTER_REGISTER!E:E,0)),"")</f>
        <v>Sifiso Dlamini</v>
      </c>
      <c r="E222" s="4" t="s">
        <v>337</v>
      </c>
      <c r="F222" t="s">
        <v>338</v>
      </c>
      <c r="G222" t="s">
        <v>339</v>
      </c>
    </row>
    <row r="223" spans="1:8" x14ac:dyDescent="0.3">
      <c r="A223" t="s">
        <v>104</v>
      </c>
      <c r="B223" s="4">
        <f>IFERROR(INDEX(MASTER_REGISTER!C:C,MATCH(C223,MASTER_REGISTER!E:E,0)),"")</f>
        <v>11</v>
      </c>
      <c r="C223" s="4" t="s">
        <v>252</v>
      </c>
      <c r="D223" t="str">
        <f>IFERROR(INDEX(MASTER_REGISTER!F:F,MATCH(C223,MASTER_REGISTER!E:E,0)),"")</f>
        <v>Refilwe Dlamini</v>
      </c>
      <c r="E223" s="4" t="s">
        <v>337</v>
      </c>
      <c r="F223" t="s">
        <v>338</v>
      </c>
      <c r="G223" t="s">
        <v>339</v>
      </c>
    </row>
    <row r="224" spans="1:8" x14ac:dyDescent="0.3">
      <c r="A224" t="s">
        <v>104</v>
      </c>
      <c r="B224" s="4">
        <f>IFERROR(INDEX(MASTER_REGISTER!C:C,MATCH(C224,MASTER_REGISTER!E:E,0)),"")</f>
        <v>11</v>
      </c>
      <c r="C224" s="4" t="s">
        <v>256</v>
      </c>
      <c r="D224" t="str">
        <f>IFERROR(INDEX(MASTER_REGISTER!F:F,MATCH(C224,MASTER_REGISTER!E:E,0)),"")</f>
        <v>Lwazi Maseko</v>
      </c>
      <c r="E224" s="4" t="s">
        <v>337</v>
      </c>
      <c r="F224" t="s">
        <v>338</v>
      </c>
      <c r="G224" t="s">
        <v>339</v>
      </c>
    </row>
    <row r="225" spans="1:8" x14ac:dyDescent="0.3">
      <c r="A225" t="s">
        <v>104</v>
      </c>
      <c r="B225" s="4">
        <f>IFERROR(INDEX(MASTER_REGISTER!C:C,MATCH(C225,MASTER_REGISTER!E:E,0)),"")</f>
        <v>11</v>
      </c>
      <c r="C225" s="4" t="s">
        <v>260</v>
      </c>
      <c r="D225" t="str">
        <f>IFERROR(INDEX(MASTER_REGISTER!F:F,MATCH(C225,MASTER_REGISTER!E:E,0)),"")</f>
        <v>Refilwe Mokgadi</v>
      </c>
      <c r="E225" s="4" t="s">
        <v>337</v>
      </c>
      <c r="F225" t="s">
        <v>338</v>
      </c>
      <c r="G225" t="s">
        <v>339</v>
      </c>
    </row>
    <row r="226" spans="1:8" x14ac:dyDescent="0.3">
      <c r="A226" t="s">
        <v>104</v>
      </c>
      <c r="B226" s="4">
        <f>IFERROR(INDEX(MASTER_REGISTER!C:C,MATCH(C226,MASTER_REGISTER!E:E,0)),"")</f>
        <v>11</v>
      </c>
      <c r="C226" s="4" t="s">
        <v>264</v>
      </c>
      <c r="D226" t="str">
        <f>IFERROR(INDEX(MASTER_REGISTER!F:F,MATCH(C226,MASTER_REGISTER!E:E,0)),"")</f>
        <v>Kgothatso Molefe</v>
      </c>
      <c r="E226" s="4" t="s">
        <v>337</v>
      </c>
      <c r="F226" t="s">
        <v>338</v>
      </c>
      <c r="G226" t="s">
        <v>339</v>
      </c>
    </row>
    <row r="227" spans="1:8" x14ac:dyDescent="0.3">
      <c r="A227" t="s">
        <v>104</v>
      </c>
      <c r="B227" s="4">
        <f>IFERROR(INDEX(MASTER_REGISTER!C:C,MATCH(C227,MASTER_REGISTER!E:E,0)),"")</f>
        <v>11</v>
      </c>
      <c r="C227" s="4" t="s">
        <v>268</v>
      </c>
      <c r="D227" t="str">
        <f>IFERROR(INDEX(MASTER_REGISTER!F:F,MATCH(C227,MASTER_REGISTER!E:E,0)),"")</f>
        <v>Tshepo Mokgadi</v>
      </c>
      <c r="E227" s="4" t="s">
        <v>337</v>
      </c>
      <c r="F227" t="s">
        <v>338</v>
      </c>
      <c r="G227" t="s">
        <v>339</v>
      </c>
    </row>
    <row r="228" spans="1:8" x14ac:dyDescent="0.3">
      <c r="A228" t="s">
        <v>104</v>
      </c>
      <c r="B228" s="4">
        <f>IFERROR(INDEX(MASTER_REGISTER!C:C,MATCH(C228,MASTER_REGISTER!E:E,0)),"")</f>
        <v>11</v>
      </c>
      <c r="C228" s="4" t="s">
        <v>272</v>
      </c>
      <c r="D228" t="str">
        <f>IFERROR(INDEX(MASTER_REGISTER!F:F,MATCH(C228,MASTER_REGISTER!E:E,0)),"")</f>
        <v>Tshepo Phiri</v>
      </c>
      <c r="E228" s="4" t="s">
        <v>337</v>
      </c>
      <c r="F228" t="s">
        <v>338</v>
      </c>
      <c r="G228" t="s">
        <v>339</v>
      </c>
    </row>
    <row r="229" spans="1:8" x14ac:dyDescent="0.3">
      <c r="A229" t="s">
        <v>104</v>
      </c>
      <c r="B229" s="4">
        <f>IFERROR(INDEX(MASTER_REGISTER!C:C,MATCH(C229,MASTER_REGISTER!E:E,0)),"")</f>
        <v>11</v>
      </c>
      <c r="C229" s="4" t="s">
        <v>276</v>
      </c>
      <c r="D229" t="str">
        <f>IFERROR(INDEX(MASTER_REGISTER!F:F,MATCH(C229,MASTER_REGISTER!E:E,0)),"")</f>
        <v>Zanele Ngobeni</v>
      </c>
      <c r="E229" s="4" t="s">
        <v>337</v>
      </c>
      <c r="F229" t="s">
        <v>338</v>
      </c>
      <c r="G229" t="s">
        <v>339</v>
      </c>
    </row>
    <row r="230" spans="1:8" x14ac:dyDescent="0.3">
      <c r="A230" t="s">
        <v>104</v>
      </c>
      <c r="B230" s="4">
        <f>IFERROR(INDEX(MASTER_REGISTER!C:C,MATCH(C230,MASTER_REGISTER!E:E,0)),"")</f>
        <v>12</v>
      </c>
      <c r="C230" s="4" t="s">
        <v>280</v>
      </c>
      <c r="D230" t="str">
        <f>IFERROR(INDEX(MASTER_REGISTER!F:F,MATCH(C230,MASTER_REGISTER!E:E,0)),"")</f>
        <v>Palesa Mokoena</v>
      </c>
      <c r="E230" s="4" t="s">
        <v>337</v>
      </c>
      <c r="F230" t="s">
        <v>338</v>
      </c>
      <c r="G230" t="s">
        <v>339</v>
      </c>
    </row>
    <row r="231" spans="1:8" x14ac:dyDescent="0.3">
      <c r="A231" t="s">
        <v>104</v>
      </c>
      <c r="B231" s="4">
        <f>IFERROR(INDEX(MASTER_REGISTER!C:C,MATCH(C231,MASTER_REGISTER!E:E,0)),"")</f>
        <v>12</v>
      </c>
      <c r="C231" s="4" t="s">
        <v>284</v>
      </c>
      <c r="D231" t="str">
        <f>IFERROR(INDEX(MASTER_REGISTER!F:F,MATCH(C231,MASTER_REGISTER!E:E,0)),"")</f>
        <v>Thabo Ramushu</v>
      </c>
      <c r="E231" s="4" t="s">
        <v>337</v>
      </c>
      <c r="F231" t="s">
        <v>338</v>
      </c>
      <c r="G231" t="s">
        <v>339</v>
      </c>
    </row>
    <row r="232" spans="1:8" x14ac:dyDescent="0.3">
      <c r="A232" t="s">
        <v>104</v>
      </c>
      <c r="B232" s="4">
        <f>IFERROR(INDEX(MASTER_REGISTER!C:C,MATCH(C232,MASTER_REGISTER!E:E,0)),"")</f>
        <v>12</v>
      </c>
      <c r="C232" s="4" t="s">
        <v>288</v>
      </c>
      <c r="D232" t="str">
        <f>IFERROR(INDEX(MASTER_REGISTER!F:F,MATCH(C232,MASTER_REGISTER!E:E,0)),"")</f>
        <v>Lwazi Ndlovu</v>
      </c>
      <c r="E232" s="4" t="s">
        <v>335</v>
      </c>
      <c r="H232" t="s">
        <v>340</v>
      </c>
    </row>
    <row r="233" spans="1:8" x14ac:dyDescent="0.3">
      <c r="A233" t="s">
        <v>104</v>
      </c>
      <c r="B233" s="4">
        <f>IFERROR(INDEX(MASTER_REGISTER!C:C,MATCH(C233,MASTER_REGISTER!E:E,0)),"")</f>
        <v>12</v>
      </c>
      <c r="C233" s="4" t="s">
        <v>292</v>
      </c>
      <c r="D233" t="str">
        <f>IFERROR(INDEX(MASTER_REGISTER!F:F,MATCH(C233,MASTER_REGISTER!E:E,0)),"")</f>
        <v>Ayanda Dlamini</v>
      </c>
      <c r="E233" s="4" t="s">
        <v>337</v>
      </c>
      <c r="F233" t="s">
        <v>338</v>
      </c>
      <c r="G233" t="s">
        <v>339</v>
      </c>
    </row>
    <row r="234" spans="1:8" x14ac:dyDescent="0.3">
      <c r="A234" t="s">
        <v>104</v>
      </c>
      <c r="B234" s="4">
        <f>IFERROR(INDEX(MASTER_REGISTER!C:C,MATCH(C234,MASTER_REGISTER!E:E,0)),"")</f>
        <v>12</v>
      </c>
      <c r="C234" s="4" t="s">
        <v>296</v>
      </c>
      <c r="D234" t="str">
        <f>IFERROR(INDEX(MASTER_REGISTER!F:F,MATCH(C234,MASTER_REGISTER!E:E,0)),"")</f>
        <v>Neo Ndlovu</v>
      </c>
      <c r="E234" s="4" t="s">
        <v>335</v>
      </c>
      <c r="H234" t="s">
        <v>336</v>
      </c>
    </row>
    <row r="235" spans="1:8" x14ac:dyDescent="0.3">
      <c r="A235" t="s">
        <v>104</v>
      </c>
      <c r="B235" s="4">
        <f>IFERROR(INDEX(MASTER_REGISTER!C:C,MATCH(C235,MASTER_REGISTER!E:E,0)),"")</f>
        <v>12</v>
      </c>
      <c r="C235" s="4" t="s">
        <v>300</v>
      </c>
      <c r="D235" t="str">
        <f>IFERROR(INDEX(MASTER_REGISTER!F:F,MATCH(C235,MASTER_REGISTER!E:E,0)),"")</f>
        <v>Neo Ramushu</v>
      </c>
      <c r="E235" s="4" t="s">
        <v>337</v>
      </c>
      <c r="F235" t="s">
        <v>338</v>
      </c>
      <c r="G235" t="s">
        <v>339</v>
      </c>
    </row>
    <row r="236" spans="1:8" x14ac:dyDescent="0.3">
      <c r="A236" t="s">
        <v>104</v>
      </c>
      <c r="B236" s="4">
        <f>IFERROR(INDEX(MASTER_REGISTER!C:C,MATCH(C236,MASTER_REGISTER!E:E,0)),"")</f>
        <v>12</v>
      </c>
      <c r="C236" s="4" t="s">
        <v>304</v>
      </c>
      <c r="D236" t="str">
        <f>IFERROR(INDEX(MASTER_REGISTER!F:F,MATCH(C236,MASTER_REGISTER!E:E,0)),"")</f>
        <v>Karabo Baloyi</v>
      </c>
      <c r="E236" s="4" t="s">
        <v>337</v>
      </c>
      <c r="F236" t="s">
        <v>338</v>
      </c>
      <c r="G236" t="s">
        <v>339</v>
      </c>
    </row>
    <row r="237" spans="1:8" x14ac:dyDescent="0.3">
      <c r="A237" t="s">
        <v>104</v>
      </c>
      <c r="B237" s="4">
        <f>IFERROR(INDEX(MASTER_REGISTER!C:C,MATCH(C237,MASTER_REGISTER!E:E,0)),"")</f>
        <v>12</v>
      </c>
      <c r="C237" s="4" t="s">
        <v>308</v>
      </c>
      <c r="D237" t="str">
        <f>IFERROR(INDEX(MASTER_REGISTER!F:F,MATCH(C237,MASTER_REGISTER!E:E,0)),"")</f>
        <v>Tshepo Mokgadi</v>
      </c>
      <c r="E237" s="4" t="s">
        <v>337</v>
      </c>
      <c r="F237" t="s">
        <v>338</v>
      </c>
      <c r="G237" t="s">
        <v>339</v>
      </c>
    </row>
    <row r="238" spans="1:8" x14ac:dyDescent="0.3">
      <c r="A238" t="s">
        <v>104</v>
      </c>
      <c r="B238" s="4">
        <f>IFERROR(INDEX(MASTER_REGISTER!C:C,MATCH(C238,MASTER_REGISTER!E:E,0)),"")</f>
        <v>12</v>
      </c>
      <c r="C238" s="4" t="s">
        <v>311</v>
      </c>
      <c r="D238" t="str">
        <f>IFERROR(INDEX(MASTER_REGISTER!F:F,MATCH(C238,MASTER_REGISTER!E:E,0)),"")</f>
        <v>Sifiso Mavuso</v>
      </c>
      <c r="E238" s="4" t="s">
        <v>337</v>
      </c>
      <c r="F238" t="s">
        <v>338</v>
      </c>
      <c r="G238" t="s">
        <v>339</v>
      </c>
    </row>
    <row r="239" spans="1:8" x14ac:dyDescent="0.3">
      <c r="A239" t="s">
        <v>104</v>
      </c>
      <c r="B239" s="4">
        <f>IFERROR(INDEX(MASTER_REGISTER!C:C,MATCH(C239,MASTER_REGISTER!E:E,0)),"")</f>
        <v>12</v>
      </c>
      <c r="C239" s="4" t="s">
        <v>315</v>
      </c>
      <c r="D239" t="str">
        <f>IFERROR(INDEX(MASTER_REGISTER!F:F,MATCH(C239,MASTER_REGISTER!E:E,0)),"")</f>
        <v>Refilwe Sithole</v>
      </c>
      <c r="E239" s="4" t="s">
        <v>337</v>
      </c>
      <c r="F239" t="s">
        <v>338</v>
      </c>
      <c r="G239" t="s">
        <v>339</v>
      </c>
    </row>
    <row r="240" spans="1:8" x14ac:dyDescent="0.3">
      <c r="A240" t="s">
        <v>104</v>
      </c>
      <c r="B240" s="4">
        <f>IFERROR(INDEX(MASTER_REGISTER!C:C,MATCH(C240,MASTER_REGISTER!E:E,0)),"")</f>
        <v>12</v>
      </c>
      <c r="C240" s="4" t="s">
        <v>319</v>
      </c>
      <c r="D240" t="str">
        <f>IFERROR(INDEX(MASTER_REGISTER!F:F,MATCH(C240,MASTER_REGISTER!E:E,0)),"")</f>
        <v>Lerato Sithole</v>
      </c>
      <c r="E240" s="4" t="s">
        <v>337</v>
      </c>
      <c r="F240" t="s">
        <v>338</v>
      </c>
      <c r="G240" t="s">
        <v>339</v>
      </c>
    </row>
    <row r="241" spans="1:8" x14ac:dyDescent="0.3">
      <c r="A241" t="s">
        <v>104</v>
      </c>
      <c r="B241" s="4">
        <f>IFERROR(INDEX(MASTER_REGISTER!C:C,MATCH(C241,MASTER_REGISTER!E:E,0)),"")</f>
        <v>12</v>
      </c>
      <c r="C241" s="4" t="s">
        <v>323</v>
      </c>
      <c r="D241" t="str">
        <f>IFERROR(INDEX(MASTER_REGISTER!F:F,MATCH(C241,MASTER_REGISTER!E:E,0)),"")</f>
        <v>Sibusiso Ngobeni</v>
      </c>
      <c r="E241" s="4" t="s">
        <v>337</v>
      </c>
      <c r="F241" t="s">
        <v>338</v>
      </c>
      <c r="G241" t="s">
        <v>339</v>
      </c>
    </row>
    <row r="242" spans="1:8" x14ac:dyDescent="0.3">
      <c r="A242" t="s">
        <v>142</v>
      </c>
      <c r="B242" s="4">
        <f>IFERROR(INDEX(MASTER_REGISTER!C:C,MATCH(C242,MASTER_REGISTER!E:E,0)),"")</f>
        <v>8</v>
      </c>
      <c r="C242" s="4" t="s">
        <v>50</v>
      </c>
      <c r="D242" t="str">
        <f>IFERROR(INDEX(MASTER_REGISTER!F:F,MATCH(C242,MASTER_REGISTER!E:E,0)),"")</f>
        <v>Lerato Nkosi</v>
      </c>
      <c r="E242" s="4" t="s">
        <v>337</v>
      </c>
      <c r="F242" t="s">
        <v>338</v>
      </c>
      <c r="G242" t="s">
        <v>339</v>
      </c>
    </row>
    <row r="243" spans="1:8" x14ac:dyDescent="0.3">
      <c r="A243" t="s">
        <v>142</v>
      </c>
      <c r="B243" s="4">
        <f>IFERROR(INDEX(MASTER_REGISTER!C:C,MATCH(C243,MASTER_REGISTER!E:E,0)),"")</f>
        <v>8</v>
      </c>
      <c r="C243" s="4" t="s">
        <v>58</v>
      </c>
      <c r="D243" t="str">
        <f>IFERROR(INDEX(MASTER_REGISTER!F:F,MATCH(C243,MASTER_REGISTER!E:E,0)),"")</f>
        <v>Karabo Maseko</v>
      </c>
      <c r="E243" s="4" t="s">
        <v>337</v>
      </c>
      <c r="F243" t="s">
        <v>338</v>
      </c>
      <c r="G243" t="s">
        <v>339</v>
      </c>
    </row>
    <row r="244" spans="1:8" x14ac:dyDescent="0.3">
      <c r="A244" t="s">
        <v>142</v>
      </c>
      <c r="B244" s="4">
        <f>IFERROR(INDEX(MASTER_REGISTER!C:C,MATCH(C244,MASTER_REGISTER!E:E,0)),"")</f>
        <v>8</v>
      </c>
      <c r="C244" s="4" t="s">
        <v>64</v>
      </c>
      <c r="D244" t="str">
        <f>IFERROR(INDEX(MASTER_REGISTER!F:F,MATCH(C244,MASTER_REGISTER!E:E,0)),"")</f>
        <v>Sifiso Sithole</v>
      </c>
      <c r="E244" s="4" t="s">
        <v>337</v>
      </c>
      <c r="F244" t="s">
        <v>338</v>
      </c>
      <c r="G244" t="s">
        <v>339</v>
      </c>
    </row>
    <row r="245" spans="1:8" x14ac:dyDescent="0.3">
      <c r="A245" t="s">
        <v>142</v>
      </c>
      <c r="B245" s="4">
        <f>IFERROR(INDEX(MASTER_REGISTER!C:C,MATCH(C245,MASTER_REGISTER!E:E,0)),"")</f>
        <v>8</v>
      </c>
      <c r="C245" s="4" t="s">
        <v>70</v>
      </c>
      <c r="D245" t="str">
        <f>IFERROR(INDEX(MASTER_REGISTER!F:F,MATCH(C245,MASTER_REGISTER!E:E,0)),"")</f>
        <v>Tshepo Ndlovu</v>
      </c>
      <c r="E245" s="4" t="s">
        <v>337</v>
      </c>
      <c r="F245" t="s">
        <v>338</v>
      </c>
      <c r="G245" t="s">
        <v>339</v>
      </c>
    </row>
    <row r="246" spans="1:8" x14ac:dyDescent="0.3">
      <c r="A246" t="s">
        <v>142</v>
      </c>
      <c r="B246" s="4">
        <f>IFERROR(INDEX(MASTER_REGISTER!C:C,MATCH(C246,MASTER_REGISTER!E:E,0)),"")</f>
        <v>8</v>
      </c>
      <c r="C246" s="4" t="s">
        <v>76</v>
      </c>
      <c r="D246" t="str">
        <f>IFERROR(INDEX(MASTER_REGISTER!F:F,MATCH(C246,MASTER_REGISTER!E:E,0)),"")</f>
        <v>Lwazi Mthembu</v>
      </c>
      <c r="E246" s="4" t="s">
        <v>337</v>
      </c>
      <c r="F246" t="s">
        <v>338</v>
      </c>
      <c r="G246" t="s">
        <v>339</v>
      </c>
    </row>
    <row r="247" spans="1:8" x14ac:dyDescent="0.3">
      <c r="A247" t="s">
        <v>142</v>
      </c>
      <c r="B247" s="4">
        <f>IFERROR(INDEX(MASTER_REGISTER!C:C,MATCH(C247,MASTER_REGISTER!E:E,0)),"")</f>
        <v>8</v>
      </c>
      <c r="C247" s="4" t="s">
        <v>82</v>
      </c>
      <c r="D247" t="str">
        <f>IFERROR(INDEX(MASTER_REGISTER!F:F,MATCH(C247,MASTER_REGISTER!E:E,0)),"")</f>
        <v>Karabo Ngobeni</v>
      </c>
      <c r="E247" s="4" t="s">
        <v>335</v>
      </c>
      <c r="H247" t="s">
        <v>342</v>
      </c>
    </row>
    <row r="248" spans="1:8" x14ac:dyDescent="0.3">
      <c r="A248" t="s">
        <v>142</v>
      </c>
      <c r="B248" s="4">
        <f>IFERROR(INDEX(MASTER_REGISTER!C:C,MATCH(C248,MASTER_REGISTER!E:E,0)),"")</f>
        <v>8</v>
      </c>
      <c r="C248" s="4" t="s">
        <v>88</v>
      </c>
      <c r="D248" t="str">
        <f>IFERROR(INDEX(MASTER_REGISTER!F:F,MATCH(C248,MASTER_REGISTER!E:E,0)),"")</f>
        <v>Mpho Sithole</v>
      </c>
      <c r="E248" s="4" t="s">
        <v>337</v>
      </c>
      <c r="F248" t="s">
        <v>338</v>
      </c>
      <c r="G248" t="s">
        <v>339</v>
      </c>
    </row>
    <row r="249" spans="1:8" x14ac:dyDescent="0.3">
      <c r="A249" t="s">
        <v>142</v>
      </c>
      <c r="B249" s="4">
        <f>IFERROR(INDEX(MASTER_REGISTER!C:C,MATCH(C249,MASTER_REGISTER!E:E,0)),"")</f>
        <v>8</v>
      </c>
      <c r="C249" s="4" t="s">
        <v>94</v>
      </c>
      <c r="D249" t="str">
        <f>IFERROR(INDEX(MASTER_REGISTER!F:F,MATCH(C249,MASTER_REGISTER!E:E,0)),"")</f>
        <v>Tshepo Ramushu</v>
      </c>
      <c r="E249" s="4" t="s">
        <v>335</v>
      </c>
      <c r="H249" t="s">
        <v>340</v>
      </c>
    </row>
    <row r="250" spans="1:8" x14ac:dyDescent="0.3">
      <c r="A250" t="s">
        <v>142</v>
      </c>
      <c r="B250" s="4">
        <f>IFERROR(INDEX(MASTER_REGISTER!C:C,MATCH(C250,MASTER_REGISTER!E:E,0)),"")</f>
        <v>8</v>
      </c>
      <c r="C250" s="4" t="s">
        <v>100</v>
      </c>
      <c r="D250" t="str">
        <f>IFERROR(INDEX(MASTER_REGISTER!F:F,MATCH(C250,MASTER_REGISTER!E:E,0)),"")</f>
        <v>Lerato Kekana</v>
      </c>
      <c r="E250" s="4" t="s">
        <v>337</v>
      </c>
      <c r="F250" t="s">
        <v>338</v>
      </c>
      <c r="G250" t="s">
        <v>339</v>
      </c>
    </row>
    <row r="251" spans="1:8" x14ac:dyDescent="0.3">
      <c r="A251" t="s">
        <v>142</v>
      </c>
      <c r="B251" s="4">
        <f>IFERROR(INDEX(MASTER_REGISTER!C:C,MATCH(C251,MASTER_REGISTER!E:E,0)),"")</f>
        <v>8</v>
      </c>
      <c r="C251" s="4" t="s">
        <v>106</v>
      </c>
      <c r="D251" t="str">
        <f>IFERROR(INDEX(MASTER_REGISTER!F:F,MATCH(C251,MASTER_REGISTER!E:E,0)),"")</f>
        <v>Neo Ngobeni</v>
      </c>
      <c r="E251" s="4" t="s">
        <v>337</v>
      </c>
      <c r="F251" t="s">
        <v>338</v>
      </c>
      <c r="G251" t="s">
        <v>339</v>
      </c>
    </row>
    <row r="252" spans="1:8" x14ac:dyDescent="0.3">
      <c r="A252" t="s">
        <v>142</v>
      </c>
      <c r="B252" s="4">
        <f>IFERROR(INDEX(MASTER_REGISTER!C:C,MATCH(C252,MASTER_REGISTER!E:E,0)),"")</f>
        <v>8</v>
      </c>
      <c r="C252" s="4" t="s">
        <v>112</v>
      </c>
      <c r="D252" t="str">
        <f>IFERROR(INDEX(MASTER_REGISTER!F:F,MATCH(C252,MASTER_REGISTER!E:E,0)),"")</f>
        <v>Thabo Mokgadi</v>
      </c>
      <c r="E252" s="4" t="s">
        <v>335</v>
      </c>
      <c r="H252" t="s">
        <v>336</v>
      </c>
    </row>
    <row r="253" spans="1:8" x14ac:dyDescent="0.3">
      <c r="A253" t="s">
        <v>142</v>
      </c>
      <c r="B253" s="4">
        <f>IFERROR(INDEX(MASTER_REGISTER!C:C,MATCH(C253,MASTER_REGISTER!E:E,0)),"")</f>
        <v>8</v>
      </c>
      <c r="C253" s="4" t="s">
        <v>118</v>
      </c>
      <c r="D253" t="str">
        <f>IFERROR(INDEX(MASTER_REGISTER!F:F,MATCH(C253,MASTER_REGISTER!E:E,0)),"")</f>
        <v>Sifiso Mthembu</v>
      </c>
      <c r="E253" s="4" t="s">
        <v>337</v>
      </c>
      <c r="F253" t="s">
        <v>338</v>
      </c>
      <c r="G253" t="s">
        <v>339</v>
      </c>
    </row>
    <row r="254" spans="1:8" x14ac:dyDescent="0.3">
      <c r="A254" t="s">
        <v>142</v>
      </c>
      <c r="B254" s="4">
        <f>IFERROR(INDEX(MASTER_REGISTER!C:C,MATCH(C254,MASTER_REGISTER!E:E,0)),"")</f>
        <v>9</v>
      </c>
      <c r="C254" s="4" t="s">
        <v>123</v>
      </c>
      <c r="D254" t="str">
        <f>IFERROR(INDEX(MASTER_REGISTER!F:F,MATCH(C254,MASTER_REGISTER!E:E,0)),"")</f>
        <v>Karabo Phiri</v>
      </c>
      <c r="E254" s="4" t="s">
        <v>337</v>
      </c>
      <c r="F254" t="s">
        <v>338</v>
      </c>
      <c r="G254" t="s">
        <v>339</v>
      </c>
    </row>
    <row r="255" spans="1:8" x14ac:dyDescent="0.3">
      <c r="A255" t="s">
        <v>142</v>
      </c>
      <c r="B255" s="4">
        <f>IFERROR(INDEX(MASTER_REGISTER!C:C,MATCH(C255,MASTER_REGISTER!E:E,0)),"")</f>
        <v>9</v>
      </c>
      <c r="C255" s="4" t="s">
        <v>128</v>
      </c>
      <c r="D255" t="str">
        <f>IFERROR(INDEX(MASTER_REGISTER!F:F,MATCH(C255,MASTER_REGISTER!E:E,0)),"")</f>
        <v>Lerato Mahlangu</v>
      </c>
      <c r="E255" s="4" t="s">
        <v>337</v>
      </c>
      <c r="F255" t="s">
        <v>338</v>
      </c>
      <c r="G255" t="s">
        <v>339</v>
      </c>
    </row>
    <row r="256" spans="1:8" x14ac:dyDescent="0.3">
      <c r="A256" t="s">
        <v>142</v>
      </c>
      <c r="B256" s="4">
        <f>IFERROR(INDEX(MASTER_REGISTER!C:C,MATCH(C256,MASTER_REGISTER!E:E,0)),"")</f>
        <v>9</v>
      </c>
      <c r="C256" s="4" t="s">
        <v>133</v>
      </c>
      <c r="D256" t="str">
        <f>IFERROR(INDEX(MASTER_REGISTER!F:F,MATCH(C256,MASTER_REGISTER!E:E,0)),"")</f>
        <v>Mpho Kekana</v>
      </c>
      <c r="E256" s="4" t="s">
        <v>335</v>
      </c>
      <c r="H256" t="s">
        <v>336</v>
      </c>
    </row>
    <row r="257" spans="1:8" x14ac:dyDescent="0.3">
      <c r="A257" t="s">
        <v>142</v>
      </c>
      <c r="B257" s="4">
        <f>IFERROR(INDEX(MASTER_REGISTER!C:C,MATCH(C257,MASTER_REGISTER!E:E,0)),"")</f>
        <v>9</v>
      </c>
      <c r="C257" s="4" t="s">
        <v>138</v>
      </c>
      <c r="D257" t="str">
        <f>IFERROR(INDEX(MASTER_REGISTER!F:F,MATCH(C257,MASTER_REGISTER!E:E,0)),"")</f>
        <v>Thabo Molefe</v>
      </c>
      <c r="E257" s="4" t="s">
        <v>335</v>
      </c>
      <c r="H257" t="s">
        <v>342</v>
      </c>
    </row>
    <row r="258" spans="1:8" x14ac:dyDescent="0.3">
      <c r="A258" t="s">
        <v>142</v>
      </c>
      <c r="B258" s="4">
        <f>IFERROR(INDEX(MASTER_REGISTER!C:C,MATCH(C258,MASTER_REGISTER!E:E,0)),"")</f>
        <v>9</v>
      </c>
      <c r="C258" s="4" t="s">
        <v>143</v>
      </c>
      <c r="D258" t="str">
        <f>IFERROR(INDEX(MASTER_REGISTER!F:F,MATCH(C258,MASTER_REGISTER!E:E,0)),"")</f>
        <v>Mpho Ngobeni</v>
      </c>
      <c r="E258" s="4" t="s">
        <v>337</v>
      </c>
      <c r="F258" t="s">
        <v>338</v>
      </c>
      <c r="G258" t="s">
        <v>339</v>
      </c>
    </row>
    <row r="259" spans="1:8" x14ac:dyDescent="0.3">
      <c r="A259" t="s">
        <v>142</v>
      </c>
      <c r="B259" s="4">
        <f>IFERROR(INDEX(MASTER_REGISTER!C:C,MATCH(C259,MASTER_REGISTER!E:E,0)),"")</f>
        <v>9</v>
      </c>
      <c r="C259" s="4" t="s">
        <v>148</v>
      </c>
      <c r="D259" t="str">
        <f>IFERROR(INDEX(MASTER_REGISTER!F:F,MATCH(C259,MASTER_REGISTER!E:E,0)),"")</f>
        <v>Siyanda Mhlongo</v>
      </c>
      <c r="E259" s="4" t="s">
        <v>337</v>
      </c>
      <c r="F259" t="s">
        <v>338</v>
      </c>
      <c r="G259" t="s">
        <v>339</v>
      </c>
    </row>
    <row r="260" spans="1:8" x14ac:dyDescent="0.3">
      <c r="A260" t="s">
        <v>142</v>
      </c>
      <c r="B260" s="4">
        <f>IFERROR(INDEX(MASTER_REGISTER!C:C,MATCH(C260,MASTER_REGISTER!E:E,0)),"")</f>
        <v>9</v>
      </c>
      <c r="C260" s="4" t="s">
        <v>153</v>
      </c>
      <c r="D260" t="str">
        <f>IFERROR(INDEX(MASTER_REGISTER!F:F,MATCH(C260,MASTER_REGISTER!E:E,0)),"")</f>
        <v>Siyanda Mahlangu</v>
      </c>
      <c r="E260" s="4" t="s">
        <v>337</v>
      </c>
      <c r="F260" t="s">
        <v>338</v>
      </c>
      <c r="G260" t="s">
        <v>339</v>
      </c>
    </row>
    <row r="261" spans="1:8" x14ac:dyDescent="0.3">
      <c r="A261" t="s">
        <v>142</v>
      </c>
      <c r="B261" s="4">
        <f>IFERROR(INDEX(MASTER_REGISTER!C:C,MATCH(C261,MASTER_REGISTER!E:E,0)),"")</f>
        <v>9</v>
      </c>
      <c r="C261" s="4" t="s">
        <v>158</v>
      </c>
      <c r="D261" t="str">
        <f>IFERROR(INDEX(MASTER_REGISTER!F:F,MATCH(C261,MASTER_REGISTER!E:E,0)),"")</f>
        <v>Sifiso Ramushu</v>
      </c>
      <c r="E261" s="4" t="s">
        <v>337</v>
      </c>
      <c r="F261" t="s">
        <v>338</v>
      </c>
      <c r="G261" t="s">
        <v>339</v>
      </c>
    </row>
    <row r="262" spans="1:8" x14ac:dyDescent="0.3">
      <c r="A262" t="s">
        <v>142</v>
      </c>
      <c r="B262" s="4">
        <f>IFERROR(INDEX(MASTER_REGISTER!C:C,MATCH(C262,MASTER_REGISTER!E:E,0)),"")</f>
        <v>9</v>
      </c>
      <c r="C262" s="4" t="s">
        <v>163</v>
      </c>
      <c r="D262" t="str">
        <f>IFERROR(INDEX(MASTER_REGISTER!F:F,MATCH(C262,MASTER_REGISTER!E:E,0)),"")</f>
        <v>Nandi Ngobeni</v>
      </c>
      <c r="E262" s="4" t="s">
        <v>337</v>
      </c>
      <c r="F262" t="s">
        <v>338</v>
      </c>
      <c r="G262" t="s">
        <v>339</v>
      </c>
    </row>
    <row r="263" spans="1:8" x14ac:dyDescent="0.3">
      <c r="A263" t="s">
        <v>142</v>
      </c>
      <c r="B263" s="4">
        <f>IFERROR(INDEX(MASTER_REGISTER!C:C,MATCH(C263,MASTER_REGISTER!E:E,0)),"")</f>
        <v>9</v>
      </c>
      <c r="C263" s="4" t="s">
        <v>168</v>
      </c>
      <c r="D263" t="str">
        <f>IFERROR(INDEX(MASTER_REGISTER!F:F,MATCH(C263,MASTER_REGISTER!E:E,0)),"")</f>
        <v>Karabo Mokgadi</v>
      </c>
      <c r="E263" s="4" t="s">
        <v>337</v>
      </c>
      <c r="F263" t="s">
        <v>338</v>
      </c>
      <c r="G263" t="s">
        <v>339</v>
      </c>
    </row>
    <row r="264" spans="1:8" x14ac:dyDescent="0.3">
      <c r="A264" t="s">
        <v>142</v>
      </c>
      <c r="B264" s="4">
        <f>IFERROR(INDEX(MASTER_REGISTER!C:C,MATCH(C264,MASTER_REGISTER!E:E,0)),"")</f>
        <v>9</v>
      </c>
      <c r="C264" s="4" t="s">
        <v>173</v>
      </c>
      <c r="D264" t="str">
        <f>IFERROR(INDEX(MASTER_REGISTER!F:F,MATCH(C264,MASTER_REGISTER!E:E,0)),"")</f>
        <v>Sifiso Mahlangu</v>
      </c>
      <c r="E264" s="4" t="s">
        <v>337</v>
      </c>
      <c r="F264" t="s">
        <v>338</v>
      </c>
      <c r="G264" t="s">
        <v>339</v>
      </c>
    </row>
    <row r="265" spans="1:8" x14ac:dyDescent="0.3">
      <c r="A265" t="s">
        <v>142</v>
      </c>
      <c r="B265" s="4">
        <f>IFERROR(INDEX(MASTER_REGISTER!C:C,MATCH(C265,MASTER_REGISTER!E:E,0)),"")</f>
        <v>9</v>
      </c>
      <c r="C265" s="4" t="s">
        <v>178</v>
      </c>
      <c r="D265" t="str">
        <f>IFERROR(INDEX(MASTER_REGISTER!F:F,MATCH(C265,MASTER_REGISTER!E:E,0)),"")</f>
        <v>Kgothatso Radebe</v>
      </c>
      <c r="E265" s="4" t="s">
        <v>337</v>
      </c>
      <c r="F265" t="s">
        <v>338</v>
      </c>
      <c r="G265" t="s">
        <v>339</v>
      </c>
    </row>
    <row r="266" spans="1:8" x14ac:dyDescent="0.3">
      <c r="A266" t="s">
        <v>142</v>
      </c>
      <c r="B266" s="4">
        <f>IFERROR(INDEX(MASTER_REGISTER!C:C,MATCH(C266,MASTER_REGISTER!E:E,0)),"")</f>
        <v>10</v>
      </c>
      <c r="C266" s="4" t="s">
        <v>183</v>
      </c>
      <c r="D266" t="str">
        <f>IFERROR(INDEX(MASTER_REGISTER!F:F,MATCH(C266,MASTER_REGISTER!E:E,0)),"")</f>
        <v>Lerato Maseko</v>
      </c>
      <c r="E266" s="4" t="s">
        <v>337</v>
      </c>
      <c r="F266" t="s">
        <v>338</v>
      </c>
      <c r="G266" t="s">
        <v>339</v>
      </c>
    </row>
    <row r="267" spans="1:8" x14ac:dyDescent="0.3">
      <c r="A267" t="s">
        <v>142</v>
      </c>
      <c r="B267" s="4">
        <f>IFERROR(INDEX(MASTER_REGISTER!C:C,MATCH(C267,MASTER_REGISTER!E:E,0)),"")</f>
        <v>10</v>
      </c>
      <c r="C267" s="4" t="s">
        <v>188</v>
      </c>
      <c r="D267" t="str">
        <f>IFERROR(INDEX(MASTER_REGISTER!F:F,MATCH(C267,MASTER_REGISTER!E:E,0)),"")</f>
        <v>Sibusiso Molefe</v>
      </c>
      <c r="E267" s="4" t="s">
        <v>337</v>
      </c>
      <c r="F267" t="s">
        <v>338</v>
      </c>
      <c r="G267" t="s">
        <v>339</v>
      </c>
    </row>
    <row r="268" spans="1:8" x14ac:dyDescent="0.3">
      <c r="A268" t="s">
        <v>142</v>
      </c>
      <c r="B268" s="4">
        <f>IFERROR(INDEX(MASTER_REGISTER!C:C,MATCH(C268,MASTER_REGISTER!E:E,0)),"")</f>
        <v>10</v>
      </c>
      <c r="C268" s="4" t="s">
        <v>193</v>
      </c>
      <c r="D268" t="str">
        <f>IFERROR(INDEX(MASTER_REGISTER!F:F,MATCH(C268,MASTER_REGISTER!E:E,0)),"")</f>
        <v>Nandi Molefe</v>
      </c>
      <c r="E268" s="4" t="s">
        <v>337</v>
      </c>
      <c r="F268" t="s">
        <v>338</v>
      </c>
      <c r="G268" t="s">
        <v>339</v>
      </c>
    </row>
    <row r="269" spans="1:8" x14ac:dyDescent="0.3">
      <c r="A269" t="s">
        <v>142</v>
      </c>
      <c r="B269" s="4">
        <f>IFERROR(INDEX(MASTER_REGISTER!C:C,MATCH(C269,MASTER_REGISTER!E:E,0)),"")</f>
        <v>10</v>
      </c>
      <c r="C269" s="4" t="s">
        <v>198</v>
      </c>
      <c r="D269" t="str">
        <f>IFERROR(INDEX(MASTER_REGISTER!F:F,MATCH(C269,MASTER_REGISTER!E:E,0)),"")</f>
        <v>Kgothatso Baloyi</v>
      </c>
      <c r="E269" s="4" t="s">
        <v>337</v>
      </c>
      <c r="F269" t="s">
        <v>338</v>
      </c>
      <c r="G269" t="s">
        <v>339</v>
      </c>
    </row>
    <row r="270" spans="1:8" x14ac:dyDescent="0.3">
      <c r="A270" t="s">
        <v>142</v>
      </c>
      <c r="B270" s="4">
        <f>IFERROR(INDEX(MASTER_REGISTER!C:C,MATCH(C270,MASTER_REGISTER!E:E,0)),"")</f>
        <v>10</v>
      </c>
      <c r="C270" s="4" t="s">
        <v>202</v>
      </c>
      <c r="D270" t="str">
        <f>IFERROR(INDEX(MASTER_REGISTER!F:F,MATCH(C270,MASTER_REGISTER!E:E,0)),"")</f>
        <v>Ayanda Mokoena</v>
      </c>
      <c r="E270" s="4" t="s">
        <v>337</v>
      </c>
      <c r="F270" t="s">
        <v>338</v>
      </c>
      <c r="G270" t="s">
        <v>339</v>
      </c>
    </row>
    <row r="271" spans="1:8" x14ac:dyDescent="0.3">
      <c r="A271" t="s">
        <v>142</v>
      </c>
      <c r="B271" s="4">
        <f>IFERROR(INDEX(MASTER_REGISTER!C:C,MATCH(C271,MASTER_REGISTER!E:E,0)),"")</f>
        <v>10</v>
      </c>
      <c r="C271" s="4" t="s">
        <v>206</v>
      </c>
      <c r="D271" t="str">
        <f>IFERROR(INDEX(MASTER_REGISTER!F:F,MATCH(C271,MASTER_REGISTER!E:E,0)),"")</f>
        <v>Lwazi Baloyi</v>
      </c>
      <c r="E271" s="4" t="s">
        <v>337</v>
      </c>
      <c r="F271" t="s">
        <v>338</v>
      </c>
      <c r="G271" t="s">
        <v>339</v>
      </c>
    </row>
    <row r="272" spans="1:8" x14ac:dyDescent="0.3">
      <c r="A272" t="s">
        <v>142</v>
      </c>
      <c r="B272" s="4">
        <f>IFERROR(INDEX(MASTER_REGISTER!C:C,MATCH(C272,MASTER_REGISTER!E:E,0)),"")</f>
        <v>10</v>
      </c>
      <c r="C272" s="4" t="s">
        <v>210</v>
      </c>
      <c r="D272" t="str">
        <f>IFERROR(INDEX(MASTER_REGISTER!F:F,MATCH(C272,MASTER_REGISTER!E:E,0)),"")</f>
        <v>Siyanda Mokoena</v>
      </c>
      <c r="E272" s="4" t="s">
        <v>337</v>
      </c>
      <c r="F272" t="s">
        <v>338</v>
      </c>
      <c r="G272" t="s">
        <v>339</v>
      </c>
    </row>
    <row r="273" spans="1:8" x14ac:dyDescent="0.3">
      <c r="A273" t="s">
        <v>142</v>
      </c>
      <c r="B273" s="4">
        <f>IFERROR(INDEX(MASTER_REGISTER!C:C,MATCH(C273,MASTER_REGISTER!E:E,0)),"")</f>
        <v>10</v>
      </c>
      <c r="C273" s="4" t="s">
        <v>214</v>
      </c>
      <c r="D273" t="str">
        <f>IFERROR(INDEX(MASTER_REGISTER!F:F,MATCH(C273,MASTER_REGISTER!E:E,0)),"")</f>
        <v>Mpho Ngobeni</v>
      </c>
      <c r="E273" s="4" t="s">
        <v>337</v>
      </c>
      <c r="F273" t="s">
        <v>338</v>
      </c>
      <c r="G273" t="s">
        <v>339</v>
      </c>
    </row>
    <row r="274" spans="1:8" x14ac:dyDescent="0.3">
      <c r="A274" t="s">
        <v>142</v>
      </c>
      <c r="B274" s="4">
        <f>IFERROR(INDEX(MASTER_REGISTER!C:C,MATCH(C274,MASTER_REGISTER!E:E,0)),"")</f>
        <v>10</v>
      </c>
      <c r="C274" s="4" t="s">
        <v>217</v>
      </c>
      <c r="D274" t="str">
        <f>IFERROR(INDEX(MASTER_REGISTER!F:F,MATCH(C274,MASTER_REGISTER!E:E,0)),"")</f>
        <v>Naledi Makhubela</v>
      </c>
      <c r="E274" s="4" t="s">
        <v>337</v>
      </c>
      <c r="F274" t="s">
        <v>338</v>
      </c>
      <c r="G274" t="s">
        <v>339</v>
      </c>
    </row>
    <row r="275" spans="1:8" x14ac:dyDescent="0.3">
      <c r="A275" t="s">
        <v>142</v>
      </c>
      <c r="B275" s="4">
        <f>IFERROR(INDEX(MASTER_REGISTER!C:C,MATCH(C275,MASTER_REGISTER!E:E,0)),"")</f>
        <v>10</v>
      </c>
      <c r="C275" s="4" t="s">
        <v>221</v>
      </c>
      <c r="D275" t="str">
        <f>IFERROR(INDEX(MASTER_REGISTER!F:F,MATCH(C275,MASTER_REGISTER!E:E,0)),"")</f>
        <v>Kgothatso Mokoena</v>
      </c>
      <c r="E275" s="4" t="s">
        <v>337</v>
      </c>
      <c r="F275" t="s">
        <v>338</v>
      </c>
      <c r="G275" t="s">
        <v>339</v>
      </c>
    </row>
    <row r="276" spans="1:8" x14ac:dyDescent="0.3">
      <c r="A276" t="s">
        <v>142</v>
      </c>
      <c r="B276" s="4">
        <f>IFERROR(INDEX(MASTER_REGISTER!C:C,MATCH(C276,MASTER_REGISTER!E:E,0)),"")</f>
        <v>10</v>
      </c>
      <c r="C276" s="4" t="s">
        <v>225</v>
      </c>
      <c r="D276" t="str">
        <f>IFERROR(INDEX(MASTER_REGISTER!F:F,MATCH(C276,MASTER_REGISTER!E:E,0)),"")</f>
        <v>Bongani Makhubela</v>
      </c>
      <c r="E276" s="4" t="s">
        <v>337</v>
      </c>
      <c r="F276" t="s">
        <v>338</v>
      </c>
      <c r="G276" t="s">
        <v>339</v>
      </c>
    </row>
    <row r="277" spans="1:8" x14ac:dyDescent="0.3">
      <c r="A277" t="s">
        <v>142</v>
      </c>
      <c r="B277" s="4">
        <f>IFERROR(INDEX(MASTER_REGISTER!C:C,MATCH(C277,MASTER_REGISTER!E:E,0)),"")</f>
        <v>10</v>
      </c>
      <c r="C277" s="4" t="s">
        <v>229</v>
      </c>
      <c r="D277" t="str">
        <f>IFERROR(INDEX(MASTER_REGISTER!F:F,MATCH(C277,MASTER_REGISTER!E:E,0)),"")</f>
        <v>Kagiso Kekana</v>
      </c>
      <c r="E277" s="4" t="s">
        <v>337</v>
      </c>
      <c r="F277" t="s">
        <v>338</v>
      </c>
      <c r="G277" t="s">
        <v>339</v>
      </c>
    </row>
    <row r="278" spans="1:8" x14ac:dyDescent="0.3">
      <c r="A278" t="s">
        <v>142</v>
      </c>
      <c r="B278" s="4">
        <f>IFERROR(INDEX(MASTER_REGISTER!C:C,MATCH(C278,MASTER_REGISTER!E:E,0)),"")</f>
        <v>11</v>
      </c>
      <c r="C278" s="4" t="s">
        <v>233</v>
      </c>
      <c r="D278" t="str">
        <f>IFERROR(INDEX(MASTER_REGISTER!F:F,MATCH(C278,MASTER_REGISTER!E:E,0)),"")</f>
        <v>Lwazi Makhubela</v>
      </c>
      <c r="E278" s="4" t="s">
        <v>337</v>
      </c>
      <c r="F278" t="s">
        <v>338</v>
      </c>
      <c r="G278" t="s">
        <v>339</v>
      </c>
    </row>
    <row r="279" spans="1:8" x14ac:dyDescent="0.3">
      <c r="A279" t="s">
        <v>142</v>
      </c>
      <c r="B279" s="4">
        <f>IFERROR(INDEX(MASTER_REGISTER!C:C,MATCH(C279,MASTER_REGISTER!E:E,0)),"")</f>
        <v>11</v>
      </c>
      <c r="C279" s="4" t="s">
        <v>237</v>
      </c>
      <c r="D279" t="str">
        <f>IFERROR(INDEX(MASTER_REGISTER!F:F,MATCH(C279,MASTER_REGISTER!E:E,0)),"")</f>
        <v>Lebogang Ramushu</v>
      </c>
      <c r="E279" s="4" t="s">
        <v>337</v>
      </c>
      <c r="F279" t="s">
        <v>338</v>
      </c>
      <c r="G279" t="s">
        <v>339</v>
      </c>
    </row>
    <row r="280" spans="1:8" x14ac:dyDescent="0.3">
      <c r="A280" t="s">
        <v>142</v>
      </c>
      <c r="B280" s="4">
        <f>IFERROR(INDEX(MASTER_REGISTER!C:C,MATCH(C280,MASTER_REGISTER!E:E,0)),"")</f>
        <v>11</v>
      </c>
      <c r="C280" s="4" t="s">
        <v>241</v>
      </c>
      <c r="D280" t="str">
        <f>IFERROR(INDEX(MASTER_REGISTER!F:F,MATCH(C280,MASTER_REGISTER!E:E,0)),"")</f>
        <v>Lerato Kekana</v>
      </c>
      <c r="E280" s="4" t="s">
        <v>337</v>
      </c>
      <c r="F280" t="s">
        <v>338</v>
      </c>
      <c r="G280" t="s">
        <v>339</v>
      </c>
    </row>
    <row r="281" spans="1:8" x14ac:dyDescent="0.3">
      <c r="A281" t="s">
        <v>142</v>
      </c>
      <c r="B281" s="4">
        <f>IFERROR(INDEX(MASTER_REGISTER!C:C,MATCH(C281,MASTER_REGISTER!E:E,0)),"")</f>
        <v>11</v>
      </c>
      <c r="C281" s="4" t="s">
        <v>244</v>
      </c>
      <c r="D281" t="str">
        <f>IFERROR(INDEX(MASTER_REGISTER!F:F,MATCH(C281,MASTER_REGISTER!E:E,0)),"")</f>
        <v>Bongani Ndlovu</v>
      </c>
      <c r="E281" s="4" t="s">
        <v>337</v>
      </c>
      <c r="F281" t="s">
        <v>338</v>
      </c>
      <c r="G281" t="s">
        <v>339</v>
      </c>
    </row>
    <row r="282" spans="1:8" x14ac:dyDescent="0.3">
      <c r="A282" t="s">
        <v>142</v>
      </c>
      <c r="B282" s="4">
        <f>IFERROR(INDEX(MASTER_REGISTER!C:C,MATCH(C282,MASTER_REGISTER!E:E,0)),"")</f>
        <v>11</v>
      </c>
      <c r="C282" s="4" t="s">
        <v>248</v>
      </c>
      <c r="D282" t="str">
        <f>IFERROR(INDEX(MASTER_REGISTER!F:F,MATCH(C282,MASTER_REGISTER!E:E,0)),"")</f>
        <v>Sifiso Dlamini</v>
      </c>
      <c r="E282" s="4" t="s">
        <v>337</v>
      </c>
      <c r="F282" t="s">
        <v>338</v>
      </c>
      <c r="G282" t="s">
        <v>339</v>
      </c>
    </row>
    <row r="283" spans="1:8" x14ac:dyDescent="0.3">
      <c r="A283" t="s">
        <v>142</v>
      </c>
      <c r="B283" s="4">
        <f>IFERROR(INDEX(MASTER_REGISTER!C:C,MATCH(C283,MASTER_REGISTER!E:E,0)),"")</f>
        <v>11</v>
      </c>
      <c r="C283" s="4" t="s">
        <v>252</v>
      </c>
      <c r="D283" t="str">
        <f>IFERROR(INDEX(MASTER_REGISTER!F:F,MATCH(C283,MASTER_REGISTER!E:E,0)),"")</f>
        <v>Refilwe Dlamini</v>
      </c>
      <c r="E283" s="4" t="s">
        <v>337</v>
      </c>
      <c r="F283" t="s">
        <v>338</v>
      </c>
      <c r="G283" t="s">
        <v>339</v>
      </c>
    </row>
    <row r="284" spans="1:8" x14ac:dyDescent="0.3">
      <c r="A284" t="s">
        <v>142</v>
      </c>
      <c r="B284" s="4">
        <f>IFERROR(INDEX(MASTER_REGISTER!C:C,MATCH(C284,MASTER_REGISTER!E:E,0)),"")</f>
        <v>11</v>
      </c>
      <c r="C284" s="4" t="s">
        <v>256</v>
      </c>
      <c r="D284" t="str">
        <f>IFERROR(INDEX(MASTER_REGISTER!F:F,MATCH(C284,MASTER_REGISTER!E:E,0)),"")</f>
        <v>Lwazi Maseko</v>
      </c>
      <c r="E284" s="4" t="s">
        <v>337</v>
      </c>
      <c r="F284" t="s">
        <v>338</v>
      </c>
      <c r="G284" t="s">
        <v>339</v>
      </c>
    </row>
    <row r="285" spans="1:8" x14ac:dyDescent="0.3">
      <c r="A285" t="s">
        <v>142</v>
      </c>
      <c r="B285" s="4">
        <f>IFERROR(INDEX(MASTER_REGISTER!C:C,MATCH(C285,MASTER_REGISTER!E:E,0)),"")</f>
        <v>11</v>
      </c>
      <c r="C285" s="4" t="s">
        <v>260</v>
      </c>
      <c r="D285" t="str">
        <f>IFERROR(INDEX(MASTER_REGISTER!F:F,MATCH(C285,MASTER_REGISTER!E:E,0)),"")</f>
        <v>Refilwe Mokgadi</v>
      </c>
      <c r="E285" s="4" t="s">
        <v>335</v>
      </c>
      <c r="H285" t="s">
        <v>340</v>
      </c>
    </row>
    <row r="286" spans="1:8" x14ac:dyDescent="0.3">
      <c r="A286" t="s">
        <v>142</v>
      </c>
      <c r="B286" s="4">
        <f>IFERROR(INDEX(MASTER_REGISTER!C:C,MATCH(C286,MASTER_REGISTER!E:E,0)),"")</f>
        <v>11</v>
      </c>
      <c r="C286" s="4" t="s">
        <v>264</v>
      </c>
      <c r="D286" t="str">
        <f>IFERROR(INDEX(MASTER_REGISTER!F:F,MATCH(C286,MASTER_REGISTER!E:E,0)),"")</f>
        <v>Kgothatso Molefe</v>
      </c>
      <c r="E286" s="4" t="s">
        <v>337</v>
      </c>
      <c r="F286" t="s">
        <v>338</v>
      </c>
      <c r="G286" t="s">
        <v>339</v>
      </c>
    </row>
    <row r="287" spans="1:8" x14ac:dyDescent="0.3">
      <c r="A287" t="s">
        <v>142</v>
      </c>
      <c r="B287" s="4">
        <f>IFERROR(INDEX(MASTER_REGISTER!C:C,MATCH(C287,MASTER_REGISTER!E:E,0)),"")</f>
        <v>11</v>
      </c>
      <c r="C287" s="4" t="s">
        <v>268</v>
      </c>
      <c r="D287" t="str">
        <f>IFERROR(INDEX(MASTER_REGISTER!F:F,MATCH(C287,MASTER_REGISTER!E:E,0)),"")</f>
        <v>Tshepo Mokgadi</v>
      </c>
      <c r="E287" s="4" t="s">
        <v>337</v>
      </c>
      <c r="F287" t="s">
        <v>338</v>
      </c>
      <c r="G287" t="s">
        <v>339</v>
      </c>
    </row>
    <row r="288" spans="1:8" x14ac:dyDescent="0.3">
      <c r="A288" t="s">
        <v>142</v>
      </c>
      <c r="B288" s="4">
        <f>IFERROR(INDEX(MASTER_REGISTER!C:C,MATCH(C288,MASTER_REGISTER!E:E,0)),"")</f>
        <v>11</v>
      </c>
      <c r="C288" s="4" t="s">
        <v>272</v>
      </c>
      <c r="D288" t="str">
        <f>IFERROR(INDEX(MASTER_REGISTER!F:F,MATCH(C288,MASTER_REGISTER!E:E,0)),"")</f>
        <v>Tshepo Phiri</v>
      </c>
      <c r="E288" s="4" t="s">
        <v>337</v>
      </c>
      <c r="F288" t="s">
        <v>338</v>
      </c>
      <c r="G288" t="s">
        <v>339</v>
      </c>
    </row>
    <row r="289" spans="1:8" x14ac:dyDescent="0.3">
      <c r="A289" t="s">
        <v>142</v>
      </c>
      <c r="B289" s="4">
        <f>IFERROR(INDEX(MASTER_REGISTER!C:C,MATCH(C289,MASTER_REGISTER!E:E,0)),"")</f>
        <v>11</v>
      </c>
      <c r="C289" s="4" t="s">
        <v>276</v>
      </c>
      <c r="D289" t="str">
        <f>IFERROR(INDEX(MASTER_REGISTER!F:F,MATCH(C289,MASTER_REGISTER!E:E,0)),"")</f>
        <v>Zanele Ngobeni</v>
      </c>
      <c r="E289" s="4" t="s">
        <v>337</v>
      </c>
      <c r="F289" t="s">
        <v>338</v>
      </c>
      <c r="G289" t="s">
        <v>339</v>
      </c>
    </row>
    <row r="290" spans="1:8" x14ac:dyDescent="0.3">
      <c r="A290" t="s">
        <v>142</v>
      </c>
      <c r="B290" s="4">
        <f>IFERROR(INDEX(MASTER_REGISTER!C:C,MATCH(C290,MASTER_REGISTER!E:E,0)),"")</f>
        <v>12</v>
      </c>
      <c r="C290" s="4" t="s">
        <v>280</v>
      </c>
      <c r="D290" t="str">
        <f>IFERROR(INDEX(MASTER_REGISTER!F:F,MATCH(C290,MASTER_REGISTER!E:E,0)),"")</f>
        <v>Palesa Mokoena</v>
      </c>
      <c r="E290" s="4" t="s">
        <v>337</v>
      </c>
      <c r="F290" t="s">
        <v>338</v>
      </c>
      <c r="G290" t="s">
        <v>339</v>
      </c>
    </row>
    <row r="291" spans="1:8" x14ac:dyDescent="0.3">
      <c r="A291" t="s">
        <v>142</v>
      </c>
      <c r="B291" s="4">
        <f>IFERROR(INDEX(MASTER_REGISTER!C:C,MATCH(C291,MASTER_REGISTER!E:E,0)),"")</f>
        <v>12</v>
      </c>
      <c r="C291" s="4" t="s">
        <v>284</v>
      </c>
      <c r="D291" t="str">
        <f>IFERROR(INDEX(MASTER_REGISTER!F:F,MATCH(C291,MASTER_REGISTER!E:E,0)),"")</f>
        <v>Thabo Ramushu</v>
      </c>
      <c r="E291" s="4" t="s">
        <v>337</v>
      </c>
      <c r="F291" t="s">
        <v>338</v>
      </c>
      <c r="G291" t="s">
        <v>339</v>
      </c>
    </row>
    <row r="292" spans="1:8" x14ac:dyDescent="0.3">
      <c r="A292" t="s">
        <v>142</v>
      </c>
      <c r="B292" s="4">
        <f>IFERROR(INDEX(MASTER_REGISTER!C:C,MATCH(C292,MASTER_REGISTER!E:E,0)),"")</f>
        <v>12</v>
      </c>
      <c r="C292" s="4" t="s">
        <v>288</v>
      </c>
      <c r="D292" t="str">
        <f>IFERROR(INDEX(MASTER_REGISTER!F:F,MATCH(C292,MASTER_REGISTER!E:E,0)),"")</f>
        <v>Lwazi Ndlovu</v>
      </c>
      <c r="E292" s="4" t="s">
        <v>337</v>
      </c>
      <c r="F292" t="s">
        <v>338</v>
      </c>
      <c r="G292" t="s">
        <v>339</v>
      </c>
    </row>
    <row r="293" spans="1:8" x14ac:dyDescent="0.3">
      <c r="A293" t="s">
        <v>142</v>
      </c>
      <c r="B293" s="4">
        <f>IFERROR(INDEX(MASTER_REGISTER!C:C,MATCH(C293,MASTER_REGISTER!E:E,0)),"")</f>
        <v>12</v>
      </c>
      <c r="C293" s="4" t="s">
        <v>292</v>
      </c>
      <c r="D293" t="str">
        <f>IFERROR(INDEX(MASTER_REGISTER!F:F,MATCH(C293,MASTER_REGISTER!E:E,0)),"")</f>
        <v>Ayanda Dlamini</v>
      </c>
      <c r="E293" s="4" t="s">
        <v>337</v>
      </c>
      <c r="F293" t="s">
        <v>338</v>
      </c>
      <c r="G293" t="s">
        <v>339</v>
      </c>
    </row>
    <row r="294" spans="1:8" x14ac:dyDescent="0.3">
      <c r="A294" t="s">
        <v>142</v>
      </c>
      <c r="B294" s="4">
        <f>IFERROR(INDEX(MASTER_REGISTER!C:C,MATCH(C294,MASTER_REGISTER!E:E,0)),"")</f>
        <v>12</v>
      </c>
      <c r="C294" s="4" t="s">
        <v>296</v>
      </c>
      <c r="D294" t="str">
        <f>IFERROR(INDEX(MASTER_REGISTER!F:F,MATCH(C294,MASTER_REGISTER!E:E,0)),"")</f>
        <v>Neo Ndlovu</v>
      </c>
      <c r="E294" s="4" t="s">
        <v>337</v>
      </c>
      <c r="F294" t="s">
        <v>338</v>
      </c>
      <c r="G294" t="s">
        <v>339</v>
      </c>
    </row>
    <row r="295" spans="1:8" x14ac:dyDescent="0.3">
      <c r="A295" t="s">
        <v>142</v>
      </c>
      <c r="B295" s="4">
        <f>IFERROR(INDEX(MASTER_REGISTER!C:C,MATCH(C295,MASTER_REGISTER!E:E,0)),"")</f>
        <v>12</v>
      </c>
      <c r="C295" s="4" t="s">
        <v>300</v>
      </c>
      <c r="D295" t="str">
        <f>IFERROR(INDEX(MASTER_REGISTER!F:F,MATCH(C295,MASTER_REGISTER!E:E,0)),"")</f>
        <v>Neo Ramushu</v>
      </c>
      <c r="E295" s="4" t="s">
        <v>337</v>
      </c>
      <c r="F295" t="s">
        <v>338</v>
      </c>
      <c r="G295" t="s">
        <v>339</v>
      </c>
    </row>
    <row r="296" spans="1:8" x14ac:dyDescent="0.3">
      <c r="A296" t="s">
        <v>142</v>
      </c>
      <c r="B296" s="4">
        <f>IFERROR(INDEX(MASTER_REGISTER!C:C,MATCH(C296,MASTER_REGISTER!E:E,0)),"")</f>
        <v>12</v>
      </c>
      <c r="C296" s="4" t="s">
        <v>304</v>
      </c>
      <c r="D296" t="str">
        <f>IFERROR(INDEX(MASTER_REGISTER!F:F,MATCH(C296,MASTER_REGISTER!E:E,0)),"")</f>
        <v>Karabo Baloyi</v>
      </c>
      <c r="E296" s="4" t="s">
        <v>337</v>
      </c>
      <c r="F296" t="s">
        <v>338</v>
      </c>
      <c r="G296" t="s">
        <v>339</v>
      </c>
    </row>
    <row r="297" spans="1:8" x14ac:dyDescent="0.3">
      <c r="A297" t="s">
        <v>142</v>
      </c>
      <c r="B297" s="4">
        <f>IFERROR(INDEX(MASTER_REGISTER!C:C,MATCH(C297,MASTER_REGISTER!E:E,0)),"")</f>
        <v>12</v>
      </c>
      <c r="C297" s="4" t="s">
        <v>308</v>
      </c>
      <c r="D297" t="str">
        <f>IFERROR(INDEX(MASTER_REGISTER!F:F,MATCH(C297,MASTER_REGISTER!E:E,0)),"")</f>
        <v>Tshepo Mokgadi</v>
      </c>
      <c r="E297" s="4" t="s">
        <v>337</v>
      </c>
      <c r="F297" t="s">
        <v>338</v>
      </c>
      <c r="G297" t="s">
        <v>339</v>
      </c>
    </row>
    <row r="298" spans="1:8" x14ac:dyDescent="0.3">
      <c r="A298" t="s">
        <v>142</v>
      </c>
      <c r="B298" s="4">
        <f>IFERROR(INDEX(MASTER_REGISTER!C:C,MATCH(C298,MASTER_REGISTER!E:E,0)),"")</f>
        <v>12</v>
      </c>
      <c r="C298" s="4" t="s">
        <v>311</v>
      </c>
      <c r="D298" t="str">
        <f>IFERROR(INDEX(MASTER_REGISTER!F:F,MATCH(C298,MASTER_REGISTER!E:E,0)),"")</f>
        <v>Sifiso Mavuso</v>
      </c>
      <c r="E298" s="4" t="s">
        <v>337</v>
      </c>
      <c r="F298" t="s">
        <v>338</v>
      </c>
      <c r="G298" t="s">
        <v>339</v>
      </c>
    </row>
    <row r="299" spans="1:8" x14ac:dyDescent="0.3">
      <c r="A299" t="s">
        <v>142</v>
      </c>
      <c r="B299" s="4">
        <f>IFERROR(INDEX(MASTER_REGISTER!C:C,MATCH(C299,MASTER_REGISTER!E:E,0)),"")</f>
        <v>12</v>
      </c>
      <c r="C299" s="4" t="s">
        <v>315</v>
      </c>
      <c r="D299" t="str">
        <f>IFERROR(INDEX(MASTER_REGISTER!F:F,MATCH(C299,MASTER_REGISTER!E:E,0)),"")</f>
        <v>Refilwe Sithole</v>
      </c>
      <c r="E299" s="4" t="s">
        <v>337</v>
      </c>
      <c r="F299" t="s">
        <v>338</v>
      </c>
      <c r="G299" t="s">
        <v>339</v>
      </c>
    </row>
    <row r="300" spans="1:8" x14ac:dyDescent="0.3">
      <c r="A300" t="s">
        <v>142</v>
      </c>
      <c r="B300" s="4">
        <f>IFERROR(INDEX(MASTER_REGISTER!C:C,MATCH(C300,MASTER_REGISTER!E:E,0)),"")</f>
        <v>12</v>
      </c>
      <c r="C300" s="4" t="s">
        <v>319</v>
      </c>
      <c r="D300" t="str">
        <f>IFERROR(INDEX(MASTER_REGISTER!F:F,MATCH(C300,MASTER_REGISTER!E:E,0)),"")</f>
        <v>Lerato Sithole</v>
      </c>
      <c r="E300" s="4" t="s">
        <v>335</v>
      </c>
      <c r="H300" t="s">
        <v>340</v>
      </c>
    </row>
    <row r="301" spans="1:8" x14ac:dyDescent="0.3">
      <c r="A301" t="s">
        <v>142</v>
      </c>
      <c r="B301" s="4">
        <f>IFERROR(INDEX(MASTER_REGISTER!C:C,MATCH(C301,MASTER_REGISTER!E:E,0)),"")</f>
        <v>12</v>
      </c>
      <c r="C301" s="4" t="s">
        <v>323</v>
      </c>
      <c r="D301" t="str">
        <f>IFERROR(INDEX(MASTER_REGISTER!F:F,MATCH(C301,MASTER_REGISTER!E:E,0)),"")</f>
        <v>Sibusiso Ngobeni</v>
      </c>
      <c r="E301" s="4" t="s">
        <v>337</v>
      </c>
      <c r="F301" t="s">
        <v>338</v>
      </c>
      <c r="G301" t="s">
        <v>339</v>
      </c>
    </row>
    <row r="302" spans="1:8" x14ac:dyDescent="0.3">
      <c r="A302" t="s">
        <v>344</v>
      </c>
      <c r="B302" s="4">
        <f>IFERROR(INDEX(MASTER_REGISTER!C:C,MATCH(C302,MASTER_REGISTER!E:E,0)),"")</f>
        <v>8</v>
      </c>
      <c r="C302" s="4" t="s">
        <v>50</v>
      </c>
      <c r="D302" t="str">
        <f>IFERROR(INDEX(MASTER_REGISTER!F:F,MATCH(C302,MASTER_REGISTER!E:E,0)),"")</f>
        <v>Lerato Nkosi</v>
      </c>
      <c r="E302" s="4" t="s">
        <v>337</v>
      </c>
      <c r="F302" t="s">
        <v>338</v>
      </c>
      <c r="G302" t="s">
        <v>339</v>
      </c>
    </row>
    <row r="303" spans="1:8" x14ac:dyDescent="0.3">
      <c r="A303" t="s">
        <v>344</v>
      </c>
      <c r="B303" s="4">
        <f>IFERROR(INDEX(MASTER_REGISTER!C:C,MATCH(C303,MASTER_REGISTER!E:E,0)),"")</f>
        <v>8</v>
      </c>
      <c r="C303" s="4" t="s">
        <v>58</v>
      </c>
      <c r="D303" t="str">
        <f>IFERROR(INDEX(MASTER_REGISTER!F:F,MATCH(C303,MASTER_REGISTER!E:E,0)),"")</f>
        <v>Karabo Maseko</v>
      </c>
      <c r="E303" s="4" t="s">
        <v>337</v>
      </c>
      <c r="F303" t="s">
        <v>338</v>
      </c>
      <c r="G303" t="s">
        <v>339</v>
      </c>
    </row>
    <row r="304" spans="1:8" x14ac:dyDescent="0.3">
      <c r="A304" t="s">
        <v>344</v>
      </c>
      <c r="B304" s="4">
        <f>IFERROR(INDEX(MASTER_REGISTER!C:C,MATCH(C304,MASTER_REGISTER!E:E,0)),"")</f>
        <v>8</v>
      </c>
      <c r="C304" s="4" t="s">
        <v>64</v>
      </c>
      <c r="D304" t="str">
        <f>IFERROR(INDEX(MASTER_REGISTER!F:F,MATCH(C304,MASTER_REGISTER!E:E,0)),"")</f>
        <v>Sifiso Sithole</v>
      </c>
      <c r="E304" s="4" t="s">
        <v>337</v>
      </c>
      <c r="F304" t="s">
        <v>338</v>
      </c>
      <c r="G304" t="s">
        <v>339</v>
      </c>
    </row>
    <row r="305" spans="1:8" x14ac:dyDescent="0.3">
      <c r="A305" t="s">
        <v>344</v>
      </c>
      <c r="B305" s="4">
        <f>IFERROR(INDEX(MASTER_REGISTER!C:C,MATCH(C305,MASTER_REGISTER!E:E,0)),"")</f>
        <v>8</v>
      </c>
      <c r="C305" s="4" t="s">
        <v>70</v>
      </c>
      <c r="D305" t="str">
        <f>IFERROR(INDEX(MASTER_REGISTER!F:F,MATCH(C305,MASTER_REGISTER!E:E,0)),"")</f>
        <v>Tshepo Ndlovu</v>
      </c>
      <c r="E305" s="4" t="s">
        <v>337</v>
      </c>
      <c r="F305" t="s">
        <v>338</v>
      </c>
      <c r="G305" t="s">
        <v>339</v>
      </c>
    </row>
    <row r="306" spans="1:8" x14ac:dyDescent="0.3">
      <c r="A306" t="s">
        <v>344</v>
      </c>
      <c r="B306" s="4">
        <f>IFERROR(INDEX(MASTER_REGISTER!C:C,MATCH(C306,MASTER_REGISTER!E:E,0)),"")</f>
        <v>8</v>
      </c>
      <c r="C306" s="4" t="s">
        <v>76</v>
      </c>
      <c r="D306" t="str">
        <f>IFERROR(INDEX(MASTER_REGISTER!F:F,MATCH(C306,MASTER_REGISTER!E:E,0)),"")</f>
        <v>Lwazi Mthembu</v>
      </c>
      <c r="E306" s="4" t="s">
        <v>337</v>
      </c>
      <c r="F306" t="s">
        <v>338</v>
      </c>
      <c r="G306" t="s">
        <v>339</v>
      </c>
    </row>
    <row r="307" spans="1:8" x14ac:dyDescent="0.3">
      <c r="A307" t="s">
        <v>344</v>
      </c>
      <c r="B307" s="4">
        <f>IFERROR(INDEX(MASTER_REGISTER!C:C,MATCH(C307,MASTER_REGISTER!E:E,0)),"")</f>
        <v>8</v>
      </c>
      <c r="C307" s="4" t="s">
        <v>82</v>
      </c>
      <c r="D307" t="str">
        <f>IFERROR(INDEX(MASTER_REGISTER!F:F,MATCH(C307,MASTER_REGISTER!E:E,0)),"")</f>
        <v>Karabo Ngobeni</v>
      </c>
      <c r="E307" s="4" t="s">
        <v>337</v>
      </c>
      <c r="F307" t="s">
        <v>338</v>
      </c>
      <c r="G307" t="s">
        <v>339</v>
      </c>
    </row>
    <row r="308" spans="1:8" x14ac:dyDescent="0.3">
      <c r="A308" t="s">
        <v>344</v>
      </c>
      <c r="B308" s="4">
        <f>IFERROR(INDEX(MASTER_REGISTER!C:C,MATCH(C308,MASTER_REGISTER!E:E,0)),"")</f>
        <v>8</v>
      </c>
      <c r="C308" s="4" t="s">
        <v>88</v>
      </c>
      <c r="D308" t="str">
        <f>IFERROR(INDEX(MASTER_REGISTER!F:F,MATCH(C308,MASTER_REGISTER!E:E,0)),"")</f>
        <v>Mpho Sithole</v>
      </c>
      <c r="E308" s="4" t="s">
        <v>337</v>
      </c>
      <c r="F308" t="s">
        <v>338</v>
      </c>
      <c r="G308" t="s">
        <v>339</v>
      </c>
    </row>
    <row r="309" spans="1:8" x14ac:dyDescent="0.3">
      <c r="A309" t="s">
        <v>344</v>
      </c>
      <c r="B309" s="4">
        <f>IFERROR(INDEX(MASTER_REGISTER!C:C,MATCH(C309,MASTER_REGISTER!E:E,0)),"")</f>
        <v>8</v>
      </c>
      <c r="C309" s="4" t="s">
        <v>94</v>
      </c>
      <c r="D309" t="str">
        <f>IFERROR(INDEX(MASTER_REGISTER!F:F,MATCH(C309,MASTER_REGISTER!E:E,0)),"")</f>
        <v>Tshepo Ramushu</v>
      </c>
      <c r="E309" s="4" t="s">
        <v>337</v>
      </c>
      <c r="F309" t="s">
        <v>338</v>
      </c>
      <c r="G309" t="s">
        <v>339</v>
      </c>
    </row>
    <row r="310" spans="1:8" x14ac:dyDescent="0.3">
      <c r="A310" t="s">
        <v>344</v>
      </c>
      <c r="B310" s="4">
        <f>IFERROR(INDEX(MASTER_REGISTER!C:C,MATCH(C310,MASTER_REGISTER!E:E,0)),"")</f>
        <v>8</v>
      </c>
      <c r="C310" s="4" t="s">
        <v>100</v>
      </c>
      <c r="D310" t="str">
        <f>IFERROR(INDEX(MASTER_REGISTER!F:F,MATCH(C310,MASTER_REGISTER!E:E,0)),"")</f>
        <v>Lerato Kekana</v>
      </c>
      <c r="E310" s="4" t="s">
        <v>337</v>
      </c>
      <c r="F310" t="s">
        <v>338</v>
      </c>
      <c r="G310" t="s">
        <v>339</v>
      </c>
    </row>
    <row r="311" spans="1:8" x14ac:dyDescent="0.3">
      <c r="A311" t="s">
        <v>344</v>
      </c>
      <c r="B311" s="4">
        <f>IFERROR(INDEX(MASTER_REGISTER!C:C,MATCH(C311,MASTER_REGISTER!E:E,0)),"")</f>
        <v>8</v>
      </c>
      <c r="C311" s="4" t="s">
        <v>106</v>
      </c>
      <c r="D311" t="str">
        <f>IFERROR(INDEX(MASTER_REGISTER!F:F,MATCH(C311,MASTER_REGISTER!E:E,0)),"")</f>
        <v>Neo Ngobeni</v>
      </c>
      <c r="E311" s="4" t="s">
        <v>337</v>
      </c>
      <c r="F311" t="s">
        <v>338</v>
      </c>
      <c r="G311" t="s">
        <v>339</v>
      </c>
    </row>
    <row r="312" spans="1:8" x14ac:dyDescent="0.3">
      <c r="A312" t="s">
        <v>344</v>
      </c>
      <c r="B312" s="4">
        <f>IFERROR(INDEX(MASTER_REGISTER!C:C,MATCH(C312,MASTER_REGISTER!E:E,0)),"")</f>
        <v>8</v>
      </c>
      <c r="C312" s="4" t="s">
        <v>112</v>
      </c>
      <c r="D312" t="str">
        <f>IFERROR(INDEX(MASTER_REGISTER!F:F,MATCH(C312,MASTER_REGISTER!E:E,0)),"")</f>
        <v>Thabo Mokgadi</v>
      </c>
      <c r="E312" s="4" t="s">
        <v>335</v>
      </c>
      <c r="H312" t="s">
        <v>341</v>
      </c>
    </row>
    <row r="313" spans="1:8" x14ac:dyDescent="0.3">
      <c r="A313" t="s">
        <v>344</v>
      </c>
      <c r="B313" s="4">
        <f>IFERROR(INDEX(MASTER_REGISTER!C:C,MATCH(C313,MASTER_REGISTER!E:E,0)),"")</f>
        <v>8</v>
      </c>
      <c r="C313" s="4" t="s">
        <v>118</v>
      </c>
      <c r="D313" t="str">
        <f>IFERROR(INDEX(MASTER_REGISTER!F:F,MATCH(C313,MASTER_REGISTER!E:E,0)),"")</f>
        <v>Sifiso Mthembu</v>
      </c>
      <c r="E313" s="4" t="s">
        <v>337</v>
      </c>
      <c r="F313" t="s">
        <v>338</v>
      </c>
      <c r="G313" t="s">
        <v>339</v>
      </c>
    </row>
    <row r="314" spans="1:8" x14ac:dyDescent="0.3">
      <c r="A314" t="s">
        <v>344</v>
      </c>
      <c r="B314" s="4">
        <f>IFERROR(INDEX(MASTER_REGISTER!C:C,MATCH(C314,MASTER_REGISTER!E:E,0)),"")</f>
        <v>9</v>
      </c>
      <c r="C314" s="4" t="s">
        <v>123</v>
      </c>
      <c r="D314" t="str">
        <f>IFERROR(INDEX(MASTER_REGISTER!F:F,MATCH(C314,MASTER_REGISTER!E:E,0)),"")</f>
        <v>Karabo Phiri</v>
      </c>
      <c r="E314" s="4" t="s">
        <v>337</v>
      </c>
      <c r="F314" t="s">
        <v>338</v>
      </c>
      <c r="G314" t="s">
        <v>339</v>
      </c>
    </row>
    <row r="315" spans="1:8" x14ac:dyDescent="0.3">
      <c r="A315" t="s">
        <v>344</v>
      </c>
      <c r="B315" s="4">
        <f>IFERROR(INDEX(MASTER_REGISTER!C:C,MATCH(C315,MASTER_REGISTER!E:E,0)),"")</f>
        <v>9</v>
      </c>
      <c r="C315" s="4" t="s">
        <v>128</v>
      </c>
      <c r="D315" t="str">
        <f>IFERROR(INDEX(MASTER_REGISTER!F:F,MATCH(C315,MASTER_REGISTER!E:E,0)),"")</f>
        <v>Lerato Mahlangu</v>
      </c>
      <c r="E315" s="4" t="s">
        <v>337</v>
      </c>
      <c r="F315" t="s">
        <v>338</v>
      </c>
      <c r="G315" t="s">
        <v>339</v>
      </c>
    </row>
    <row r="316" spans="1:8" x14ac:dyDescent="0.3">
      <c r="A316" t="s">
        <v>344</v>
      </c>
      <c r="B316" s="4">
        <f>IFERROR(INDEX(MASTER_REGISTER!C:C,MATCH(C316,MASTER_REGISTER!E:E,0)),"")</f>
        <v>9</v>
      </c>
      <c r="C316" s="4" t="s">
        <v>133</v>
      </c>
      <c r="D316" t="str">
        <f>IFERROR(INDEX(MASTER_REGISTER!F:F,MATCH(C316,MASTER_REGISTER!E:E,0)),"")</f>
        <v>Mpho Kekana</v>
      </c>
      <c r="E316" s="4" t="s">
        <v>335</v>
      </c>
      <c r="H316" t="s">
        <v>342</v>
      </c>
    </row>
    <row r="317" spans="1:8" x14ac:dyDescent="0.3">
      <c r="A317" t="s">
        <v>344</v>
      </c>
      <c r="B317" s="4">
        <f>IFERROR(INDEX(MASTER_REGISTER!C:C,MATCH(C317,MASTER_REGISTER!E:E,0)),"")</f>
        <v>9</v>
      </c>
      <c r="C317" s="4" t="s">
        <v>138</v>
      </c>
      <c r="D317" t="str">
        <f>IFERROR(INDEX(MASTER_REGISTER!F:F,MATCH(C317,MASTER_REGISTER!E:E,0)),"")</f>
        <v>Thabo Molefe</v>
      </c>
      <c r="E317" s="4" t="s">
        <v>337</v>
      </c>
      <c r="F317" t="s">
        <v>338</v>
      </c>
      <c r="G317" t="s">
        <v>339</v>
      </c>
    </row>
    <row r="318" spans="1:8" x14ac:dyDescent="0.3">
      <c r="A318" t="s">
        <v>344</v>
      </c>
      <c r="B318" s="4">
        <f>IFERROR(INDEX(MASTER_REGISTER!C:C,MATCH(C318,MASTER_REGISTER!E:E,0)),"")</f>
        <v>9</v>
      </c>
      <c r="C318" s="4" t="s">
        <v>143</v>
      </c>
      <c r="D318" t="str">
        <f>IFERROR(INDEX(MASTER_REGISTER!F:F,MATCH(C318,MASTER_REGISTER!E:E,0)),"")</f>
        <v>Mpho Ngobeni</v>
      </c>
      <c r="E318" s="4" t="s">
        <v>337</v>
      </c>
      <c r="F318" t="s">
        <v>338</v>
      </c>
      <c r="G318" t="s">
        <v>339</v>
      </c>
    </row>
    <row r="319" spans="1:8" x14ac:dyDescent="0.3">
      <c r="A319" t="s">
        <v>344</v>
      </c>
      <c r="B319" s="4">
        <f>IFERROR(INDEX(MASTER_REGISTER!C:C,MATCH(C319,MASTER_REGISTER!E:E,0)),"")</f>
        <v>9</v>
      </c>
      <c r="C319" s="4" t="s">
        <v>148</v>
      </c>
      <c r="D319" t="str">
        <f>IFERROR(INDEX(MASTER_REGISTER!F:F,MATCH(C319,MASTER_REGISTER!E:E,0)),"")</f>
        <v>Siyanda Mhlongo</v>
      </c>
      <c r="E319" s="4" t="s">
        <v>337</v>
      </c>
      <c r="F319" t="s">
        <v>338</v>
      </c>
      <c r="G319" t="s">
        <v>339</v>
      </c>
    </row>
    <row r="320" spans="1:8" x14ac:dyDescent="0.3">
      <c r="A320" t="s">
        <v>344</v>
      </c>
      <c r="B320" s="4">
        <f>IFERROR(INDEX(MASTER_REGISTER!C:C,MATCH(C320,MASTER_REGISTER!E:E,0)),"")</f>
        <v>9</v>
      </c>
      <c r="C320" s="4" t="s">
        <v>153</v>
      </c>
      <c r="D320" t="str">
        <f>IFERROR(INDEX(MASTER_REGISTER!F:F,MATCH(C320,MASTER_REGISTER!E:E,0)),"")</f>
        <v>Siyanda Mahlangu</v>
      </c>
      <c r="E320" s="4" t="s">
        <v>337</v>
      </c>
      <c r="F320" t="s">
        <v>338</v>
      </c>
      <c r="G320" t="s">
        <v>339</v>
      </c>
    </row>
    <row r="321" spans="1:8" x14ac:dyDescent="0.3">
      <c r="A321" t="s">
        <v>344</v>
      </c>
      <c r="B321" s="4">
        <f>IFERROR(INDEX(MASTER_REGISTER!C:C,MATCH(C321,MASTER_REGISTER!E:E,0)),"")</f>
        <v>9</v>
      </c>
      <c r="C321" s="4" t="s">
        <v>158</v>
      </c>
      <c r="D321" t="str">
        <f>IFERROR(INDEX(MASTER_REGISTER!F:F,MATCH(C321,MASTER_REGISTER!E:E,0)),"")</f>
        <v>Sifiso Ramushu</v>
      </c>
      <c r="E321" s="4" t="s">
        <v>337</v>
      </c>
      <c r="F321" t="s">
        <v>338</v>
      </c>
      <c r="G321" t="s">
        <v>339</v>
      </c>
    </row>
    <row r="322" spans="1:8" x14ac:dyDescent="0.3">
      <c r="A322" t="s">
        <v>344</v>
      </c>
      <c r="B322" s="4">
        <f>IFERROR(INDEX(MASTER_REGISTER!C:C,MATCH(C322,MASTER_REGISTER!E:E,0)),"")</f>
        <v>9</v>
      </c>
      <c r="C322" s="4" t="s">
        <v>163</v>
      </c>
      <c r="D322" t="str">
        <f>IFERROR(INDEX(MASTER_REGISTER!F:F,MATCH(C322,MASTER_REGISTER!E:E,0)),"")</f>
        <v>Nandi Ngobeni</v>
      </c>
      <c r="E322" s="4" t="s">
        <v>337</v>
      </c>
      <c r="F322" t="s">
        <v>338</v>
      </c>
      <c r="G322" t="s">
        <v>339</v>
      </c>
    </row>
    <row r="323" spans="1:8" x14ac:dyDescent="0.3">
      <c r="A323" t="s">
        <v>344</v>
      </c>
      <c r="B323" s="4">
        <f>IFERROR(INDEX(MASTER_REGISTER!C:C,MATCH(C323,MASTER_REGISTER!E:E,0)),"")</f>
        <v>9</v>
      </c>
      <c r="C323" s="4" t="s">
        <v>168</v>
      </c>
      <c r="D323" t="str">
        <f>IFERROR(INDEX(MASTER_REGISTER!F:F,MATCH(C323,MASTER_REGISTER!E:E,0)),"")</f>
        <v>Karabo Mokgadi</v>
      </c>
      <c r="E323" s="4" t="s">
        <v>337</v>
      </c>
      <c r="F323" t="s">
        <v>338</v>
      </c>
      <c r="G323" t="s">
        <v>339</v>
      </c>
    </row>
    <row r="324" spans="1:8" x14ac:dyDescent="0.3">
      <c r="A324" t="s">
        <v>344</v>
      </c>
      <c r="B324" s="4">
        <f>IFERROR(INDEX(MASTER_REGISTER!C:C,MATCH(C324,MASTER_REGISTER!E:E,0)),"")</f>
        <v>9</v>
      </c>
      <c r="C324" s="4" t="s">
        <v>173</v>
      </c>
      <c r="D324" t="str">
        <f>IFERROR(INDEX(MASTER_REGISTER!F:F,MATCH(C324,MASTER_REGISTER!E:E,0)),"")</f>
        <v>Sifiso Mahlangu</v>
      </c>
      <c r="E324" s="4" t="s">
        <v>337</v>
      </c>
      <c r="F324" t="s">
        <v>338</v>
      </c>
      <c r="G324" t="s">
        <v>339</v>
      </c>
    </row>
    <row r="325" spans="1:8" x14ac:dyDescent="0.3">
      <c r="A325" t="s">
        <v>344</v>
      </c>
      <c r="B325" s="4">
        <f>IFERROR(INDEX(MASTER_REGISTER!C:C,MATCH(C325,MASTER_REGISTER!E:E,0)),"")</f>
        <v>9</v>
      </c>
      <c r="C325" s="4" t="s">
        <v>178</v>
      </c>
      <c r="D325" t="str">
        <f>IFERROR(INDEX(MASTER_REGISTER!F:F,MATCH(C325,MASTER_REGISTER!E:E,0)),"")</f>
        <v>Kgothatso Radebe</v>
      </c>
      <c r="E325" s="4" t="s">
        <v>337</v>
      </c>
      <c r="F325" t="s">
        <v>338</v>
      </c>
      <c r="G325" t="s">
        <v>339</v>
      </c>
    </row>
    <row r="326" spans="1:8" x14ac:dyDescent="0.3">
      <c r="A326" t="s">
        <v>344</v>
      </c>
      <c r="B326" s="4">
        <f>IFERROR(INDEX(MASTER_REGISTER!C:C,MATCH(C326,MASTER_REGISTER!E:E,0)),"")</f>
        <v>10</v>
      </c>
      <c r="C326" s="4" t="s">
        <v>183</v>
      </c>
      <c r="D326" t="str">
        <f>IFERROR(INDEX(MASTER_REGISTER!F:F,MATCH(C326,MASTER_REGISTER!E:E,0)),"")</f>
        <v>Lerato Maseko</v>
      </c>
      <c r="E326" s="4" t="s">
        <v>335</v>
      </c>
      <c r="H326" t="s">
        <v>341</v>
      </c>
    </row>
    <row r="327" spans="1:8" x14ac:dyDescent="0.3">
      <c r="A327" t="s">
        <v>344</v>
      </c>
      <c r="B327" s="4">
        <f>IFERROR(INDEX(MASTER_REGISTER!C:C,MATCH(C327,MASTER_REGISTER!E:E,0)),"")</f>
        <v>10</v>
      </c>
      <c r="C327" s="4" t="s">
        <v>188</v>
      </c>
      <c r="D327" t="str">
        <f>IFERROR(INDEX(MASTER_REGISTER!F:F,MATCH(C327,MASTER_REGISTER!E:E,0)),"")</f>
        <v>Sibusiso Molefe</v>
      </c>
      <c r="E327" s="4" t="s">
        <v>337</v>
      </c>
      <c r="F327" t="s">
        <v>338</v>
      </c>
      <c r="G327" t="s">
        <v>339</v>
      </c>
    </row>
    <row r="328" spans="1:8" x14ac:dyDescent="0.3">
      <c r="A328" t="s">
        <v>344</v>
      </c>
      <c r="B328" s="4">
        <f>IFERROR(INDEX(MASTER_REGISTER!C:C,MATCH(C328,MASTER_REGISTER!E:E,0)),"")</f>
        <v>10</v>
      </c>
      <c r="C328" s="4" t="s">
        <v>193</v>
      </c>
      <c r="D328" t="str">
        <f>IFERROR(INDEX(MASTER_REGISTER!F:F,MATCH(C328,MASTER_REGISTER!E:E,0)),"")</f>
        <v>Nandi Molefe</v>
      </c>
      <c r="E328" s="4" t="s">
        <v>337</v>
      </c>
      <c r="F328" t="s">
        <v>338</v>
      </c>
      <c r="G328" t="s">
        <v>339</v>
      </c>
    </row>
    <row r="329" spans="1:8" x14ac:dyDescent="0.3">
      <c r="A329" t="s">
        <v>344</v>
      </c>
      <c r="B329" s="4">
        <f>IFERROR(INDEX(MASTER_REGISTER!C:C,MATCH(C329,MASTER_REGISTER!E:E,0)),"")</f>
        <v>10</v>
      </c>
      <c r="C329" s="4" t="s">
        <v>198</v>
      </c>
      <c r="D329" t="str">
        <f>IFERROR(INDEX(MASTER_REGISTER!F:F,MATCH(C329,MASTER_REGISTER!E:E,0)),"")</f>
        <v>Kgothatso Baloyi</v>
      </c>
      <c r="E329" s="4" t="s">
        <v>337</v>
      </c>
      <c r="F329" t="s">
        <v>338</v>
      </c>
      <c r="G329" t="s">
        <v>339</v>
      </c>
    </row>
    <row r="330" spans="1:8" x14ac:dyDescent="0.3">
      <c r="A330" t="s">
        <v>344</v>
      </c>
      <c r="B330" s="4">
        <f>IFERROR(INDEX(MASTER_REGISTER!C:C,MATCH(C330,MASTER_REGISTER!E:E,0)),"")</f>
        <v>10</v>
      </c>
      <c r="C330" s="4" t="s">
        <v>202</v>
      </c>
      <c r="D330" t="str">
        <f>IFERROR(INDEX(MASTER_REGISTER!F:F,MATCH(C330,MASTER_REGISTER!E:E,0)),"")</f>
        <v>Ayanda Mokoena</v>
      </c>
      <c r="E330" s="4" t="s">
        <v>337</v>
      </c>
      <c r="F330" t="s">
        <v>338</v>
      </c>
      <c r="G330" t="s">
        <v>339</v>
      </c>
    </row>
    <row r="331" spans="1:8" x14ac:dyDescent="0.3">
      <c r="A331" t="s">
        <v>344</v>
      </c>
      <c r="B331" s="4">
        <f>IFERROR(INDEX(MASTER_REGISTER!C:C,MATCH(C331,MASTER_REGISTER!E:E,0)),"")</f>
        <v>10</v>
      </c>
      <c r="C331" s="4" t="s">
        <v>206</v>
      </c>
      <c r="D331" t="str">
        <f>IFERROR(INDEX(MASTER_REGISTER!F:F,MATCH(C331,MASTER_REGISTER!E:E,0)),"")</f>
        <v>Lwazi Baloyi</v>
      </c>
      <c r="E331" s="4" t="s">
        <v>337</v>
      </c>
      <c r="F331" t="s">
        <v>338</v>
      </c>
      <c r="G331" t="s">
        <v>339</v>
      </c>
    </row>
    <row r="332" spans="1:8" x14ac:dyDescent="0.3">
      <c r="A332" t="s">
        <v>344</v>
      </c>
      <c r="B332" s="4">
        <f>IFERROR(INDEX(MASTER_REGISTER!C:C,MATCH(C332,MASTER_REGISTER!E:E,0)),"")</f>
        <v>10</v>
      </c>
      <c r="C332" s="4" t="s">
        <v>210</v>
      </c>
      <c r="D332" t="str">
        <f>IFERROR(INDEX(MASTER_REGISTER!F:F,MATCH(C332,MASTER_REGISTER!E:E,0)),"")</f>
        <v>Siyanda Mokoena</v>
      </c>
      <c r="E332" s="4" t="s">
        <v>337</v>
      </c>
      <c r="F332" t="s">
        <v>338</v>
      </c>
      <c r="G332" t="s">
        <v>339</v>
      </c>
    </row>
    <row r="333" spans="1:8" x14ac:dyDescent="0.3">
      <c r="A333" t="s">
        <v>344</v>
      </c>
      <c r="B333" s="4">
        <f>IFERROR(INDEX(MASTER_REGISTER!C:C,MATCH(C333,MASTER_REGISTER!E:E,0)),"")</f>
        <v>10</v>
      </c>
      <c r="C333" s="4" t="s">
        <v>214</v>
      </c>
      <c r="D333" t="str">
        <f>IFERROR(INDEX(MASTER_REGISTER!F:F,MATCH(C333,MASTER_REGISTER!E:E,0)),"")</f>
        <v>Mpho Ngobeni</v>
      </c>
      <c r="E333" s="4" t="s">
        <v>337</v>
      </c>
      <c r="F333" t="s">
        <v>338</v>
      </c>
      <c r="G333" t="s">
        <v>339</v>
      </c>
    </row>
    <row r="334" spans="1:8" x14ac:dyDescent="0.3">
      <c r="A334" t="s">
        <v>344</v>
      </c>
      <c r="B334" s="4">
        <f>IFERROR(INDEX(MASTER_REGISTER!C:C,MATCH(C334,MASTER_REGISTER!E:E,0)),"")</f>
        <v>10</v>
      </c>
      <c r="C334" s="4" t="s">
        <v>217</v>
      </c>
      <c r="D334" t="str">
        <f>IFERROR(INDEX(MASTER_REGISTER!F:F,MATCH(C334,MASTER_REGISTER!E:E,0)),"")</f>
        <v>Naledi Makhubela</v>
      </c>
      <c r="E334" s="4" t="s">
        <v>337</v>
      </c>
      <c r="F334" t="s">
        <v>338</v>
      </c>
      <c r="G334" t="s">
        <v>339</v>
      </c>
    </row>
    <row r="335" spans="1:8" x14ac:dyDescent="0.3">
      <c r="A335" t="s">
        <v>344</v>
      </c>
      <c r="B335" s="4">
        <f>IFERROR(INDEX(MASTER_REGISTER!C:C,MATCH(C335,MASTER_REGISTER!E:E,0)),"")</f>
        <v>10</v>
      </c>
      <c r="C335" s="4" t="s">
        <v>221</v>
      </c>
      <c r="D335" t="str">
        <f>IFERROR(INDEX(MASTER_REGISTER!F:F,MATCH(C335,MASTER_REGISTER!E:E,0)),"")</f>
        <v>Kgothatso Mokoena</v>
      </c>
      <c r="E335" s="4" t="s">
        <v>337</v>
      </c>
      <c r="F335" t="s">
        <v>338</v>
      </c>
      <c r="G335" t="s">
        <v>339</v>
      </c>
    </row>
    <row r="336" spans="1:8" x14ac:dyDescent="0.3">
      <c r="A336" t="s">
        <v>344</v>
      </c>
      <c r="B336" s="4">
        <f>IFERROR(INDEX(MASTER_REGISTER!C:C,MATCH(C336,MASTER_REGISTER!E:E,0)),"")</f>
        <v>10</v>
      </c>
      <c r="C336" s="4" t="s">
        <v>225</v>
      </c>
      <c r="D336" t="str">
        <f>IFERROR(INDEX(MASTER_REGISTER!F:F,MATCH(C336,MASTER_REGISTER!E:E,0)),"")</f>
        <v>Bongani Makhubela</v>
      </c>
      <c r="E336" s="4" t="s">
        <v>337</v>
      </c>
      <c r="F336" t="s">
        <v>338</v>
      </c>
      <c r="G336" t="s">
        <v>339</v>
      </c>
    </row>
    <row r="337" spans="1:8" x14ac:dyDescent="0.3">
      <c r="A337" t="s">
        <v>344</v>
      </c>
      <c r="B337" s="4">
        <f>IFERROR(INDEX(MASTER_REGISTER!C:C,MATCH(C337,MASTER_REGISTER!E:E,0)),"")</f>
        <v>10</v>
      </c>
      <c r="C337" s="4" t="s">
        <v>229</v>
      </c>
      <c r="D337" t="str">
        <f>IFERROR(INDEX(MASTER_REGISTER!F:F,MATCH(C337,MASTER_REGISTER!E:E,0)),"")</f>
        <v>Kagiso Kekana</v>
      </c>
      <c r="E337" s="4" t="s">
        <v>337</v>
      </c>
      <c r="F337" t="s">
        <v>338</v>
      </c>
      <c r="G337" t="s">
        <v>339</v>
      </c>
    </row>
    <row r="338" spans="1:8" x14ac:dyDescent="0.3">
      <c r="A338" t="s">
        <v>344</v>
      </c>
      <c r="B338" s="4">
        <f>IFERROR(INDEX(MASTER_REGISTER!C:C,MATCH(C338,MASTER_REGISTER!E:E,0)),"")</f>
        <v>11</v>
      </c>
      <c r="C338" s="4" t="s">
        <v>233</v>
      </c>
      <c r="D338" t="str">
        <f>IFERROR(INDEX(MASTER_REGISTER!F:F,MATCH(C338,MASTER_REGISTER!E:E,0)),"")</f>
        <v>Lwazi Makhubela</v>
      </c>
      <c r="E338" s="4" t="s">
        <v>337</v>
      </c>
      <c r="F338" t="s">
        <v>338</v>
      </c>
      <c r="G338" t="s">
        <v>339</v>
      </c>
    </row>
    <row r="339" spans="1:8" x14ac:dyDescent="0.3">
      <c r="A339" t="s">
        <v>344</v>
      </c>
      <c r="B339" s="4">
        <f>IFERROR(INDEX(MASTER_REGISTER!C:C,MATCH(C339,MASTER_REGISTER!E:E,0)),"")</f>
        <v>11</v>
      </c>
      <c r="C339" s="4" t="s">
        <v>237</v>
      </c>
      <c r="D339" t="str">
        <f>IFERROR(INDEX(MASTER_REGISTER!F:F,MATCH(C339,MASTER_REGISTER!E:E,0)),"")</f>
        <v>Lebogang Ramushu</v>
      </c>
      <c r="E339" s="4" t="s">
        <v>337</v>
      </c>
      <c r="F339" t="s">
        <v>338</v>
      </c>
      <c r="G339" t="s">
        <v>339</v>
      </c>
    </row>
    <row r="340" spans="1:8" x14ac:dyDescent="0.3">
      <c r="A340" t="s">
        <v>344</v>
      </c>
      <c r="B340" s="4">
        <f>IFERROR(INDEX(MASTER_REGISTER!C:C,MATCH(C340,MASTER_REGISTER!E:E,0)),"")</f>
        <v>11</v>
      </c>
      <c r="C340" s="4" t="s">
        <v>241</v>
      </c>
      <c r="D340" t="str">
        <f>IFERROR(INDEX(MASTER_REGISTER!F:F,MATCH(C340,MASTER_REGISTER!E:E,0)),"")</f>
        <v>Lerato Kekana</v>
      </c>
      <c r="E340" s="4" t="s">
        <v>335</v>
      </c>
      <c r="H340" t="s">
        <v>336</v>
      </c>
    </row>
    <row r="341" spans="1:8" x14ac:dyDescent="0.3">
      <c r="A341" t="s">
        <v>344</v>
      </c>
      <c r="B341" s="4">
        <f>IFERROR(INDEX(MASTER_REGISTER!C:C,MATCH(C341,MASTER_REGISTER!E:E,0)),"")</f>
        <v>11</v>
      </c>
      <c r="C341" s="4" t="s">
        <v>244</v>
      </c>
      <c r="D341" t="str">
        <f>IFERROR(INDEX(MASTER_REGISTER!F:F,MATCH(C341,MASTER_REGISTER!E:E,0)),"")</f>
        <v>Bongani Ndlovu</v>
      </c>
      <c r="E341" s="4" t="s">
        <v>337</v>
      </c>
      <c r="F341" t="s">
        <v>338</v>
      </c>
      <c r="G341" t="s">
        <v>339</v>
      </c>
    </row>
    <row r="342" spans="1:8" x14ac:dyDescent="0.3">
      <c r="A342" t="s">
        <v>344</v>
      </c>
      <c r="B342" s="4">
        <f>IFERROR(INDEX(MASTER_REGISTER!C:C,MATCH(C342,MASTER_REGISTER!E:E,0)),"")</f>
        <v>11</v>
      </c>
      <c r="C342" s="4" t="s">
        <v>248</v>
      </c>
      <c r="D342" t="str">
        <f>IFERROR(INDEX(MASTER_REGISTER!F:F,MATCH(C342,MASTER_REGISTER!E:E,0)),"")</f>
        <v>Sifiso Dlamini</v>
      </c>
      <c r="E342" s="4" t="s">
        <v>337</v>
      </c>
      <c r="F342" t="s">
        <v>338</v>
      </c>
      <c r="G342" t="s">
        <v>339</v>
      </c>
    </row>
    <row r="343" spans="1:8" x14ac:dyDescent="0.3">
      <c r="A343" t="s">
        <v>344</v>
      </c>
      <c r="B343" s="4">
        <f>IFERROR(INDEX(MASTER_REGISTER!C:C,MATCH(C343,MASTER_REGISTER!E:E,0)),"")</f>
        <v>11</v>
      </c>
      <c r="C343" s="4" t="s">
        <v>252</v>
      </c>
      <c r="D343" t="str">
        <f>IFERROR(INDEX(MASTER_REGISTER!F:F,MATCH(C343,MASTER_REGISTER!E:E,0)),"")</f>
        <v>Refilwe Dlamini</v>
      </c>
      <c r="E343" s="4" t="s">
        <v>337</v>
      </c>
      <c r="F343" t="s">
        <v>338</v>
      </c>
      <c r="G343" t="s">
        <v>339</v>
      </c>
    </row>
    <row r="344" spans="1:8" x14ac:dyDescent="0.3">
      <c r="A344" t="s">
        <v>344</v>
      </c>
      <c r="B344" s="4">
        <f>IFERROR(INDEX(MASTER_REGISTER!C:C,MATCH(C344,MASTER_REGISTER!E:E,0)),"")</f>
        <v>11</v>
      </c>
      <c r="C344" s="4" t="s">
        <v>256</v>
      </c>
      <c r="D344" t="str">
        <f>IFERROR(INDEX(MASTER_REGISTER!F:F,MATCH(C344,MASTER_REGISTER!E:E,0)),"")</f>
        <v>Lwazi Maseko</v>
      </c>
      <c r="E344" s="4" t="s">
        <v>335</v>
      </c>
      <c r="H344" t="s">
        <v>340</v>
      </c>
    </row>
    <row r="345" spans="1:8" x14ac:dyDescent="0.3">
      <c r="A345" t="s">
        <v>344</v>
      </c>
      <c r="B345" s="4">
        <f>IFERROR(INDEX(MASTER_REGISTER!C:C,MATCH(C345,MASTER_REGISTER!E:E,0)),"")</f>
        <v>11</v>
      </c>
      <c r="C345" s="4" t="s">
        <v>260</v>
      </c>
      <c r="D345" t="str">
        <f>IFERROR(INDEX(MASTER_REGISTER!F:F,MATCH(C345,MASTER_REGISTER!E:E,0)),"")</f>
        <v>Refilwe Mokgadi</v>
      </c>
      <c r="E345" s="4" t="s">
        <v>337</v>
      </c>
      <c r="F345" t="s">
        <v>338</v>
      </c>
      <c r="G345" t="s">
        <v>339</v>
      </c>
    </row>
    <row r="346" spans="1:8" x14ac:dyDescent="0.3">
      <c r="A346" t="s">
        <v>344</v>
      </c>
      <c r="B346" s="4">
        <f>IFERROR(INDEX(MASTER_REGISTER!C:C,MATCH(C346,MASTER_REGISTER!E:E,0)),"")</f>
        <v>11</v>
      </c>
      <c r="C346" s="4" t="s">
        <v>264</v>
      </c>
      <c r="D346" t="str">
        <f>IFERROR(INDEX(MASTER_REGISTER!F:F,MATCH(C346,MASTER_REGISTER!E:E,0)),"")</f>
        <v>Kgothatso Molefe</v>
      </c>
      <c r="E346" s="4" t="s">
        <v>337</v>
      </c>
      <c r="F346" t="s">
        <v>338</v>
      </c>
      <c r="G346" t="s">
        <v>339</v>
      </c>
    </row>
    <row r="347" spans="1:8" x14ac:dyDescent="0.3">
      <c r="A347" t="s">
        <v>344</v>
      </c>
      <c r="B347" s="4">
        <f>IFERROR(INDEX(MASTER_REGISTER!C:C,MATCH(C347,MASTER_REGISTER!E:E,0)),"")</f>
        <v>11</v>
      </c>
      <c r="C347" s="4" t="s">
        <v>268</v>
      </c>
      <c r="D347" t="str">
        <f>IFERROR(INDEX(MASTER_REGISTER!F:F,MATCH(C347,MASTER_REGISTER!E:E,0)),"")</f>
        <v>Tshepo Mokgadi</v>
      </c>
      <c r="E347" s="4" t="s">
        <v>335</v>
      </c>
      <c r="H347" t="s">
        <v>340</v>
      </c>
    </row>
    <row r="348" spans="1:8" x14ac:dyDescent="0.3">
      <c r="A348" t="s">
        <v>344</v>
      </c>
      <c r="B348" s="4">
        <f>IFERROR(INDEX(MASTER_REGISTER!C:C,MATCH(C348,MASTER_REGISTER!E:E,0)),"")</f>
        <v>11</v>
      </c>
      <c r="C348" s="4" t="s">
        <v>272</v>
      </c>
      <c r="D348" t="str">
        <f>IFERROR(INDEX(MASTER_REGISTER!F:F,MATCH(C348,MASTER_REGISTER!E:E,0)),"")</f>
        <v>Tshepo Phiri</v>
      </c>
      <c r="E348" s="4" t="s">
        <v>337</v>
      </c>
      <c r="F348" t="s">
        <v>338</v>
      </c>
      <c r="G348" t="s">
        <v>339</v>
      </c>
    </row>
    <row r="349" spans="1:8" x14ac:dyDescent="0.3">
      <c r="A349" t="s">
        <v>344</v>
      </c>
      <c r="B349" s="4">
        <f>IFERROR(INDEX(MASTER_REGISTER!C:C,MATCH(C349,MASTER_REGISTER!E:E,0)),"")</f>
        <v>11</v>
      </c>
      <c r="C349" s="4" t="s">
        <v>276</v>
      </c>
      <c r="D349" t="str">
        <f>IFERROR(INDEX(MASTER_REGISTER!F:F,MATCH(C349,MASTER_REGISTER!E:E,0)),"")</f>
        <v>Zanele Ngobeni</v>
      </c>
      <c r="E349" s="4" t="s">
        <v>337</v>
      </c>
      <c r="F349" t="s">
        <v>338</v>
      </c>
      <c r="G349" t="s">
        <v>339</v>
      </c>
    </row>
    <row r="350" spans="1:8" x14ac:dyDescent="0.3">
      <c r="A350" t="s">
        <v>344</v>
      </c>
      <c r="B350" s="4">
        <f>IFERROR(INDEX(MASTER_REGISTER!C:C,MATCH(C350,MASTER_REGISTER!E:E,0)),"")</f>
        <v>12</v>
      </c>
      <c r="C350" s="4" t="s">
        <v>280</v>
      </c>
      <c r="D350" t="str">
        <f>IFERROR(INDEX(MASTER_REGISTER!F:F,MATCH(C350,MASTER_REGISTER!E:E,0)),"")</f>
        <v>Palesa Mokoena</v>
      </c>
      <c r="E350" s="4" t="s">
        <v>337</v>
      </c>
      <c r="F350" t="s">
        <v>338</v>
      </c>
      <c r="G350" t="s">
        <v>339</v>
      </c>
    </row>
    <row r="351" spans="1:8" x14ac:dyDescent="0.3">
      <c r="A351" t="s">
        <v>344</v>
      </c>
      <c r="B351" s="4">
        <f>IFERROR(INDEX(MASTER_REGISTER!C:C,MATCH(C351,MASTER_REGISTER!E:E,0)),"")</f>
        <v>12</v>
      </c>
      <c r="C351" s="4" t="s">
        <v>284</v>
      </c>
      <c r="D351" t="str">
        <f>IFERROR(INDEX(MASTER_REGISTER!F:F,MATCH(C351,MASTER_REGISTER!E:E,0)),"")</f>
        <v>Thabo Ramushu</v>
      </c>
      <c r="E351" s="4" t="s">
        <v>337</v>
      </c>
      <c r="F351" t="s">
        <v>338</v>
      </c>
      <c r="G351" t="s">
        <v>339</v>
      </c>
    </row>
    <row r="352" spans="1:8" x14ac:dyDescent="0.3">
      <c r="A352" t="s">
        <v>344</v>
      </c>
      <c r="B352" s="4">
        <f>IFERROR(INDEX(MASTER_REGISTER!C:C,MATCH(C352,MASTER_REGISTER!E:E,0)),"")</f>
        <v>12</v>
      </c>
      <c r="C352" s="4" t="s">
        <v>288</v>
      </c>
      <c r="D352" t="str">
        <f>IFERROR(INDEX(MASTER_REGISTER!F:F,MATCH(C352,MASTER_REGISTER!E:E,0)),"")</f>
        <v>Lwazi Ndlovu</v>
      </c>
      <c r="E352" s="4" t="s">
        <v>337</v>
      </c>
      <c r="F352" t="s">
        <v>338</v>
      </c>
      <c r="G352" t="s">
        <v>339</v>
      </c>
    </row>
    <row r="353" spans="1:8" x14ac:dyDescent="0.3">
      <c r="A353" t="s">
        <v>344</v>
      </c>
      <c r="B353" s="4">
        <f>IFERROR(INDEX(MASTER_REGISTER!C:C,MATCH(C353,MASTER_REGISTER!E:E,0)),"")</f>
        <v>12</v>
      </c>
      <c r="C353" s="4" t="s">
        <v>292</v>
      </c>
      <c r="D353" t="str">
        <f>IFERROR(INDEX(MASTER_REGISTER!F:F,MATCH(C353,MASTER_REGISTER!E:E,0)),"")</f>
        <v>Ayanda Dlamini</v>
      </c>
      <c r="E353" s="4" t="s">
        <v>335</v>
      </c>
      <c r="H353" t="s">
        <v>340</v>
      </c>
    </row>
    <row r="354" spans="1:8" x14ac:dyDescent="0.3">
      <c r="A354" t="s">
        <v>344</v>
      </c>
      <c r="B354" s="4">
        <f>IFERROR(INDEX(MASTER_REGISTER!C:C,MATCH(C354,MASTER_REGISTER!E:E,0)),"")</f>
        <v>12</v>
      </c>
      <c r="C354" s="4" t="s">
        <v>296</v>
      </c>
      <c r="D354" t="str">
        <f>IFERROR(INDEX(MASTER_REGISTER!F:F,MATCH(C354,MASTER_REGISTER!E:E,0)),"")</f>
        <v>Neo Ndlovu</v>
      </c>
      <c r="E354" s="4" t="s">
        <v>337</v>
      </c>
      <c r="F354" t="s">
        <v>338</v>
      </c>
      <c r="G354" t="s">
        <v>339</v>
      </c>
    </row>
    <row r="355" spans="1:8" x14ac:dyDescent="0.3">
      <c r="A355" t="s">
        <v>344</v>
      </c>
      <c r="B355" s="4">
        <f>IFERROR(INDEX(MASTER_REGISTER!C:C,MATCH(C355,MASTER_REGISTER!E:E,0)),"")</f>
        <v>12</v>
      </c>
      <c r="C355" s="4" t="s">
        <v>300</v>
      </c>
      <c r="D355" t="str">
        <f>IFERROR(INDEX(MASTER_REGISTER!F:F,MATCH(C355,MASTER_REGISTER!E:E,0)),"")</f>
        <v>Neo Ramushu</v>
      </c>
      <c r="E355" s="4" t="s">
        <v>337</v>
      </c>
      <c r="F355" t="s">
        <v>338</v>
      </c>
      <c r="G355" t="s">
        <v>339</v>
      </c>
    </row>
    <row r="356" spans="1:8" x14ac:dyDescent="0.3">
      <c r="A356" t="s">
        <v>344</v>
      </c>
      <c r="B356" s="4">
        <f>IFERROR(INDEX(MASTER_REGISTER!C:C,MATCH(C356,MASTER_REGISTER!E:E,0)),"")</f>
        <v>12</v>
      </c>
      <c r="C356" s="4" t="s">
        <v>304</v>
      </c>
      <c r="D356" t="str">
        <f>IFERROR(INDEX(MASTER_REGISTER!F:F,MATCH(C356,MASTER_REGISTER!E:E,0)),"")</f>
        <v>Karabo Baloyi</v>
      </c>
      <c r="E356" s="4" t="s">
        <v>337</v>
      </c>
      <c r="F356" t="s">
        <v>338</v>
      </c>
      <c r="G356" t="s">
        <v>339</v>
      </c>
    </row>
    <row r="357" spans="1:8" x14ac:dyDescent="0.3">
      <c r="A357" t="s">
        <v>344</v>
      </c>
      <c r="B357" s="4">
        <f>IFERROR(INDEX(MASTER_REGISTER!C:C,MATCH(C357,MASTER_REGISTER!E:E,0)),"")</f>
        <v>12</v>
      </c>
      <c r="C357" s="4" t="s">
        <v>308</v>
      </c>
      <c r="D357" t="str">
        <f>IFERROR(INDEX(MASTER_REGISTER!F:F,MATCH(C357,MASTER_REGISTER!E:E,0)),"")</f>
        <v>Tshepo Mokgadi</v>
      </c>
      <c r="E357" s="4" t="s">
        <v>337</v>
      </c>
      <c r="F357" t="s">
        <v>338</v>
      </c>
      <c r="G357" t="s">
        <v>339</v>
      </c>
    </row>
    <row r="358" spans="1:8" x14ac:dyDescent="0.3">
      <c r="A358" t="s">
        <v>344</v>
      </c>
      <c r="B358" s="4">
        <f>IFERROR(INDEX(MASTER_REGISTER!C:C,MATCH(C358,MASTER_REGISTER!E:E,0)),"")</f>
        <v>12</v>
      </c>
      <c r="C358" s="4" t="s">
        <v>311</v>
      </c>
      <c r="D358" t="str">
        <f>IFERROR(INDEX(MASTER_REGISTER!F:F,MATCH(C358,MASTER_REGISTER!E:E,0)),"")</f>
        <v>Sifiso Mavuso</v>
      </c>
      <c r="E358" s="4" t="s">
        <v>337</v>
      </c>
      <c r="F358" t="s">
        <v>338</v>
      </c>
      <c r="G358" t="s">
        <v>339</v>
      </c>
    </row>
    <row r="359" spans="1:8" x14ac:dyDescent="0.3">
      <c r="A359" t="s">
        <v>344</v>
      </c>
      <c r="B359" s="4">
        <f>IFERROR(INDEX(MASTER_REGISTER!C:C,MATCH(C359,MASTER_REGISTER!E:E,0)),"")</f>
        <v>12</v>
      </c>
      <c r="C359" s="4" t="s">
        <v>315</v>
      </c>
      <c r="D359" t="str">
        <f>IFERROR(INDEX(MASTER_REGISTER!F:F,MATCH(C359,MASTER_REGISTER!E:E,0)),"")</f>
        <v>Refilwe Sithole</v>
      </c>
      <c r="E359" s="4" t="s">
        <v>337</v>
      </c>
      <c r="F359" t="s">
        <v>338</v>
      </c>
      <c r="G359" t="s">
        <v>339</v>
      </c>
    </row>
    <row r="360" spans="1:8" x14ac:dyDescent="0.3">
      <c r="A360" t="s">
        <v>344</v>
      </c>
      <c r="B360" s="4">
        <f>IFERROR(INDEX(MASTER_REGISTER!C:C,MATCH(C360,MASTER_REGISTER!E:E,0)),"")</f>
        <v>12</v>
      </c>
      <c r="C360" s="4" t="s">
        <v>319</v>
      </c>
      <c r="D360" t="str">
        <f>IFERROR(INDEX(MASTER_REGISTER!F:F,MATCH(C360,MASTER_REGISTER!E:E,0)),"")</f>
        <v>Lerato Sithole</v>
      </c>
      <c r="E360" s="4" t="s">
        <v>335</v>
      </c>
      <c r="H360" t="s">
        <v>340</v>
      </c>
    </row>
    <row r="361" spans="1:8" x14ac:dyDescent="0.3">
      <c r="A361" t="s">
        <v>344</v>
      </c>
      <c r="B361" s="4">
        <f>IFERROR(INDEX(MASTER_REGISTER!C:C,MATCH(C361,MASTER_REGISTER!E:E,0)),"")</f>
        <v>12</v>
      </c>
      <c r="C361" s="4" t="s">
        <v>323</v>
      </c>
      <c r="D361" t="str">
        <f>IFERROR(INDEX(MASTER_REGISTER!F:F,MATCH(C361,MASTER_REGISTER!E:E,0)),"")</f>
        <v>Sibusiso Ngobeni</v>
      </c>
      <c r="E361" s="4" t="s">
        <v>337</v>
      </c>
      <c r="F361" t="s">
        <v>338</v>
      </c>
      <c r="G361" t="s">
        <v>339</v>
      </c>
    </row>
    <row r="362" spans="1:8" x14ac:dyDescent="0.3">
      <c r="A362" t="s">
        <v>177</v>
      </c>
      <c r="B362" s="4">
        <f>IFERROR(INDEX(MASTER_REGISTER!C:C,MATCH(C362,MASTER_REGISTER!E:E,0)),"")</f>
        <v>8</v>
      </c>
      <c r="C362" s="4" t="s">
        <v>50</v>
      </c>
      <c r="D362" t="str">
        <f>IFERROR(INDEX(MASTER_REGISTER!F:F,MATCH(C362,MASTER_REGISTER!E:E,0)),"")</f>
        <v>Lerato Nkosi</v>
      </c>
      <c r="E362" s="4" t="s">
        <v>337</v>
      </c>
      <c r="F362" t="s">
        <v>338</v>
      </c>
      <c r="G362" t="s">
        <v>339</v>
      </c>
    </row>
    <row r="363" spans="1:8" x14ac:dyDescent="0.3">
      <c r="A363" t="s">
        <v>177</v>
      </c>
      <c r="B363" s="4">
        <f>IFERROR(INDEX(MASTER_REGISTER!C:C,MATCH(C363,MASTER_REGISTER!E:E,0)),"")</f>
        <v>8</v>
      </c>
      <c r="C363" s="4" t="s">
        <v>58</v>
      </c>
      <c r="D363" t="str">
        <f>IFERROR(INDEX(MASTER_REGISTER!F:F,MATCH(C363,MASTER_REGISTER!E:E,0)),"")</f>
        <v>Karabo Maseko</v>
      </c>
      <c r="E363" s="4" t="s">
        <v>337</v>
      </c>
      <c r="F363" t="s">
        <v>338</v>
      </c>
      <c r="G363" t="s">
        <v>339</v>
      </c>
    </row>
    <row r="364" spans="1:8" x14ac:dyDescent="0.3">
      <c r="A364" t="s">
        <v>177</v>
      </c>
      <c r="B364" s="4">
        <f>IFERROR(INDEX(MASTER_REGISTER!C:C,MATCH(C364,MASTER_REGISTER!E:E,0)),"")</f>
        <v>8</v>
      </c>
      <c r="C364" s="4" t="s">
        <v>64</v>
      </c>
      <c r="D364" t="str">
        <f>IFERROR(INDEX(MASTER_REGISTER!F:F,MATCH(C364,MASTER_REGISTER!E:E,0)),"")</f>
        <v>Sifiso Sithole</v>
      </c>
      <c r="E364" s="4" t="s">
        <v>335</v>
      </c>
      <c r="H364" t="s">
        <v>336</v>
      </c>
    </row>
    <row r="365" spans="1:8" x14ac:dyDescent="0.3">
      <c r="A365" t="s">
        <v>177</v>
      </c>
      <c r="B365" s="4">
        <f>IFERROR(INDEX(MASTER_REGISTER!C:C,MATCH(C365,MASTER_REGISTER!E:E,0)),"")</f>
        <v>8</v>
      </c>
      <c r="C365" s="4" t="s">
        <v>70</v>
      </c>
      <c r="D365" t="str">
        <f>IFERROR(INDEX(MASTER_REGISTER!F:F,MATCH(C365,MASTER_REGISTER!E:E,0)),"")</f>
        <v>Tshepo Ndlovu</v>
      </c>
      <c r="E365" s="4" t="s">
        <v>337</v>
      </c>
      <c r="F365" t="s">
        <v>338</v>
      </c>
      <c r="G365" t="s">
        <v>339</v>
      </c>
    </row>
    <row r="366" spans="1:8" x14ac:dyDescent="0.3">
      <c r="A366" t="s">
        <v>177</v>
      </c>
      <c r="B366" s="4">
        <f>IFERROR(INDEX(MASTER_REGISTER!C:C,MATCH(C366,MASTER_REGISTER!E:E,0)),"")</f>
        <v>8</v>
      </c>
      <c r="C366" s="4" t="s">
        <v>76</v>
      </c>
      <c r="D366" t="str">
        <f>IFERROR(INDEX(MASTER_REGISTER!F:F,MATCH(C366,MASTER_REGISTER!E:E,0)),"")</f>
        <v>Lwazi Mthembu</v>
      </c>
      <c r="E366" s="4" t="s">
        <v>335</v>
      </c>
      <c r="H366" t="s">
        <v>342</v>
      </c>
    </row>
    <row r="367" spans="1:8" x14ac:dyDescent="0.3">
      <c r="A367" t="s">
        <v>177</v>
      </c>
      <c r="B367" s="4">
        <f>IFERROR(INDEX(MASTER_REGISTER!C:C,MATCH(C367,MASTER_REGISTER!E:E,0)),"")</f>
        <v>8</v>
      </c>
      <c r="C367" s="4" t="s">
        <v>82</v>
      </c>
      <c r="D367" t="str">
        <f>IFERROR(INDEX(MASTER_REGISTER!F:F,MATCH(C367,MASTER_REGISTER!E:E,0)),"")</f>
        <v>Karabo Ngobeni</v>
      </c>
      <c r="E367" s="4" t="s">
        <v>337</v>
      </c>
      <c r="F367" t="s">
        <v>338</v>
      </c>
      <c r="G367" t="s">
        <v>339</v>
      </c>
    </row>
    <row r="368" spans="1:8" x14ac:dyDescent="0.3">
      <c r="A368" t="s">
        <v>177</v>
      </c>
      <c r="B368" s="4">
        <f>IFERROR(INDEX(MASTER_REGISTER!C:C,MATCH(C368,MASTER_REGISTER!E:E,0)),"")</f>
        <v>8</v>
      </c>
      <c r="C368" s="4" t="s">
        <v>88</v>
      </c>
      <c r="D368" t="str">
        <f>IFERROR(INDEX(MASTER_REGISTER!F:F,MATCH(C368,MASTER_REGISTER!E:E,0)),"")</f>
        <v>Mpho Sithole</v>
      </c>
      <c r="E368" s="4" t="s">
        <v>337</v>
      </c>
      <c r="F368" t="s">
        <v>338</v>
      </c>
      <c r="G368" t="s">
        <v>339</v>
      </c>
    </row>
    <row r="369" spans="1:8" x14ac:dyDescent="0.3">
      <c r="A369" t="s">
        <v>177</v>
      </c>
      <c r="B369" s="4">
        <f>IFERROR(INDEX(MASTER_REGISTER!C:C,MATCH(C369,MASTER_REGISTER!E:E,0)),"")</f>
        <v>8</v>
      </c>
      <c r="C369" s="4" t="s">
        <v>94</v>
      </c>
      <c r="D369" t="str">
        <f>IFERROR(INDEX(MASTER_REGISTER!F:F,MATCH(C369,MASTER_REGISTER!E:E,0)),"")</f>
        <v>Tshepo Ramushu</v>
      </c>
      <c r="E369" s="4" t="s">
        <v>337</v>
      </c>
      <c r="F369" t="s">
        <v>338</v>
      </c>
      <c r="G369" t="s">
        <v>339</v>
      </c>
    </row>
    <row r="370" spans="1:8" x14ac:dyDescent="0.3">
      <c r="A370" t="s">
        <v>177</v>
      </c>
      <c r="B370" s="4">
        <f>IFERROR(INDEX(MASTER_REGISTER!C:C,MATCH(C370,MASTER_REGISTER!E:E,0)),"")</f>
        <v>8</v>
      </c>
      <c r="C370" s="4" t="s">
        <v>100</v>
      </c>
      <c r="D370" t="str">
        <f>IFERROR(INDEX(MASTER_REGISTER!F:F,MATCH(C370,MASTER_REGISTER!E:E,0)),"")</f>
        <v>Lerato Kekana</v>
      </c>
      <c r="E370" s="4" t="s">
        <v>337</v>
      </c>
      <c r="F370" t="s">
        <v>338</v>
      </c>
      <c r="G370" t="s">
        <v>339</v>
      </c>
    </row>
    <row r="371" spans="1:8" x14ac:dyDescent="0.3">
      <c r="A371" t="s">
        <v>177</v>
      </c>
      <c r="B371" s="4">
        <f>IFERROR(INDEX(MASTER_REGISTER!C:C,MATCH(C371,MASTER_REGISTER!E:E,0)),"")</f>
        <v>8</v>
      </c>
      <c r="C371" s="4" t="s">
        <v>106</v>
      </c>
      <c r="D371" t="str">
        <f>IFERROR(INDEX(MASTER_REGISTER!F:F,MATCH(C371,MASTER_REGISTER!E:E,0)),"")</f>
        <v>Neo Ngobeni</v>
      </c>
      <c r="E371" s="4" t="s">
        <v>337</v>
      </c>
      <c r="F371" t="s">
        <v>338</v>
      </c>
      <c r="G371" t="s">
        <v>339</v>
      </c>
    </row>
    <row r="372" spans="1:8" x14ac:dyDescent="0.3">
      <c r="A372" t="s">
        <v>177</v>
      </c>
      <c r="B372" s="4">
        <f>IFERROR(INDEX(MASTER_REGISTER!C:C,MATCH(C372,MASTER_REGISTER!E:E,0)),"")</f>
        <v>8</v>
      </c>
      <c r="C372" s="4" t="s">
        <v>112</v>
      </c>
      <c r="D372" t="str">
        <f>IFERROR(INDEX(MASTER_REGISTER!F:F,MATCH(C372,MASTER_REGISTER!E:E,0)),"")</f>
        <v>Thabo Mokgadi</v>
      </c>
      <c r="E372" s="4" t="s">
        <v>337</v>
      </c>
      <c r="F372" t="s">
        <v>338</v>
      </c>
      <c r="G372" t="s">
        <v>339</v>
      </c>
    </row>
    <row r="373" spans="1:8" x14ac:dyDescent="0.3">
      <c r="A373" t="s">
        <v>177</v>
      </c>
      <c r="B373" s="4">
        <f>IFERROR(INDEX(MASTER_REGISTER!C:C,MATCH(C373,MASTER_REGISTER!E:E,0)),"")</f>
        <v>8</v>
      </c>
      <c r="C373" s="4" t="s">
        <v>118</v>
      </c>
      <c r="D373" t="str">
        <f>IFERROR(INDEX(MASTER_REGISTER!F:F,MATCH(C373,MASTER_REGISTER!E:E,0)),"")</f>
        <v>Sifiso Mthembu</v>
      </c>
      <c r="E373" s="4" t="s">
        <v>337</v>
      </c>
      <c r="F373" t="s">
        <v>338</v>
      </c>
      <c r="G373" t="s">
        <v>339</v>
      </c>
    </row>
    <row r="374" spans="1:8" x14ac:dyDescent="0.3">
      <c r="A374" t="s">
        <v>177</v>
      </c>
      <c r="B374" s="4">
        <f>IFERROR(INDEX(MASTER_REGISTER!C:C,MATCH(C374,MASTER_REGISTER!E:E,0)),"")</f>
        <v>9</v>
      </c>
      <c r="C374" s="4" t="s">
        <v>123</v>
      </c>
      <c r="D374" t="str">
        <f>IFERROR(INDEX(MASTER_REGISTER!F:F,MATCH(C374,MASTER_REGISTER!E:E,0)),"")</f>
        <v>Karabo Phiri</v>
      </c>
      <c r="E374" s="4" t="s">
        <v>337</v>
      </c>
      <c r="F374" t="s">
        <v>338</v>
      </c>
      <c r="G374" t="s">
        <v>339</v>
      </c>
    </row>
    <row r="375" spans="1:8" x14ac:dyDescent="0.3">
      <c r="A375" t="s">
        <v>177</v>
      </c>
      <c r="B375" s="4">
        <f>IFERROR(INDEX(MASTER_REGISTER!C:C,MATCH(C375,MASTER_REGISTER!E:E,0)),"")</f>
        <v>9</v>
      </c>
      <c r="C375" s="4" t="s">
        <v>128</v>
      </c>
      <c r="D375" t="str">
        <f>IFERROR(INDEX(MASTER_REGISTER!F:F,MATCH(C375,MASTER_REGISTER!E:E,0)),"")</f>
        <v>Lerato Mahlangu</v>
      </c>
      <c r="E375" s="4" t="s">
        <v>337</v>
      </c>
      <c r="F375" t="s">
        <v>338</v>
      </c>
      <c r="G375" t="s">
        <v>339</v>
      </c>
    </row>
    <row r="376" spans="1:8" x14ac:dyDescent="0.3">
      <c r="A376" t="s">
        <v>177</v>
      </c>
      <c r="B376" s="4">
        <f>IFERROR(INDEX(MASTER_REGISTER!C:C,MATCH(C376,MASTER_REGISTER!E:E,0)),"")</f>
        <v>9</v>
      </c>
      <c r="C376" s="4" t="s">
        <v>133</v>
      </c>
      <c r="D376" t="str">
        <f>IFERROR(INDEX(MASTER_REGISTER!F:F,MATCH(C376,MASTER_REGISTER!E:E,0)),"")</f>
        <v>Mpho Kekana</v>
      </c>
      <c r="E376" s="4" t="s">
        <v>335</v>
      </c>
      <c r="H376" t="s">
        <v>340</v>
      </c>
    </row>
    <row r="377" spans="1:8" x14ac:dyDescent="0.3">
      <c r="A377" t="s">
        <v>177</v>
      </c>
      <c r="B377" s="4">
        <f>IFERROR(INDEX(MASTER_REGISTER!C:C,MATCH(C377,MASTER_REGISTER!E:E,0)),"")</f>
        <v>9</v>
      </c>
      <c r="C377" s="4" t="s">
        <v>138</v>
      </c>
      <c r="D377" t="str">
        <f>IFERROR(INDEX(MASTER_REGISTER!F:F,MATCH(C377,MASTER_REGISTER!E:E,0)),"")</f>
        <v>Thabo Molefe</v>
      </c>
      <c r="E377" s="4" t="s">
        <v>337</v>
      </c>
      <c r="F377" t="s">
        <v>338</v>
      </c>
      <c r="G377" t="s">
        <v>339</v>
      </c>
    </row>
    <row r="378" spans="1:8" x14ac:dyDescent="0.3">
      <c r="A378" t="s">
        <v>177</v>
      </c>
      <c r="B378" s="4">
        <f>IFERROR(INDEX(MASTER_REGISTER!C:C,MATCH(C378,MASTER_REGISTER!E:E,0)),"")</f>
        <v>9</v>
      </c>
      <c r="C378" s="4" t="s">
        <v>143</v>
      </c>
      <c r="D378" t="str">
        <f>IFERROR(INDEX(MASTER_REGISTER!F:F,MATCH(C378,MASTER_REGISTER!E:E,0)),"")</f>
        <v>Mpho Ngobeni</v>
      </c>
      <c r="E378" s="4" t="s">
        <v>337</v>
      </c>
      <c r="F378" t="s">
        <v>338</v>
      </c>
      <c r="G378" t="s">
        <v>339</v>
      </c>
    </row>
    <row r="379" spans="1:8" x14ac:dyDescent="0.3">
      <c r="A379" t="s">
        <v>177</v>
      </c>
      <c r="B379" s="4">
        <f>IFERROR(INDEX(MASTER_REGISTER!C:C,MATCH(C379,MASTER_REGISTER!E:E,0)),"")</f>
        <v>9</v>
      </c>
      <c r="C379" s="4" t="s">
        <v>148</v>
      </c>
      <c r="D379" t="str">
        <f>IFERROR(INDEX(MASTER_REGISTER!F:F,MATCH(C379,MASTER_REGISTER!E:E,0)),"")</f>
        <v>Siyanda Mhlongo</v>
      </c>
      <c r="E379" s="4" t="s">
        <v>337</v>
      </c>
      <c r="F379" t="s">
        <v>338</v>
      </c>
      <c r="G379" t="s">
        <v>339</v>
      </c>
    </row>
    <row r="380" spans="1:8" x14ac:dyDescent="0.3">
      <c r="A380" t="s">
        <v>177</v>
      </c>
      <c r="B380" s="4">
        <f>IFERROR(INDEX(MASTER_REGISTER!C:C,MATCH(C380,MASTER_REGISTER!E:E,0)),"")</f>
        <v>9</v>
      </c>
      <c r="C380" s="4" t="s">
        <v>153</v>
      </c>
      <c r="D380" t="str">
        <f>IFERROR(INDEX(MASTER_REGISTER!F:F,MATCH(C380,MASTER_REGISTER!E:E,0)),"")</f>
        <v>Siyanda Mahlangu</v>
      </c>
      <c r="E380" s="4" t="s">
        <v>337</v>
      </c>
      <c r="F380" t="s">
        <v>338</v>
      </c>
      <c r="G380" t="s">
        <v>339</v>
      </c>
    </row>
    <row r="381" spans="1:8" x14ac:dyDescent="0.3">
      <c r="A381" t="s">
        <v>177</v>
      </c>
      <c r="B381" s="4">
        <f>IFERROR(INDEX(MASTER_REGISTER!C:C,MATCH(C381,MASTER_REGISTER!E:E,0)),"")</f>
        <v>9</v>
      </c>
      <c r="C381" s="4" t="s">
        <v>158</v>
      </c>
      <c r="D381" t="str">
        <f>IFERROR(INDEX(MASTER_REGISTER!F:F,MATCH(C381,MASTER_REGISTER!E:E,0)),"")</f>
        <v>Sifiso Ramushu</v>
      </c>
      <c r="E381" s="4" t="s">
        <v>337</v>
      </c>
      <c r="F381" t="s">
        <v>338</v>
      </c>
      <c r="G381" t="s">
        <v>339</v>
      </c>
    </row>
    <row r="382" spans="1:8" x14ac:dyDescent="0.3">
      <c r="A382" t="s">
        <v>177</v>
      </c>
      <c r="B382" s="4">
        <f>IFERROR(INDEX(MASTER_REGISTER!C:C,MATCH(C382,MASTER_REGISTER!E:E,0)),"")</f>
        <v>9</v>
      </c>
      <c r="C382" s="4" t="s">
        <v>163</v>
      </c>
      <c r="D382" t="str">
        <f>IFERROR(INDEX(MASTER_REGISTER!F:F,MATCH(C382,MASTER_REGISTER!E:E,0)),"")</f>
        <v>Nandi Ngobeni</v>
      </c>
      <c r="E382" s="4" t="s">
        <v>337</v>
      </c>
      <c r="F382" t="s">
        <v>338</v>
      </c>
      <c r="G382" t="s">
        <v>339</v>
      </c>
    </row>
    <row r="383" spans="1:8" x14ac:dyDescent="0.3">
      <c r="A383" t="s">
        <v>177</v>
      </c>
      <c r="B383" s="4">
        <f>IFERROR(INDEX(MASTER_REGISTER!C:C,MATCH(C383,MASTER_REGISTER!E:E,0)),"")</f>
        <v>9</v>
      </c>
      <c r="C383" s="4" t="s">
        <v>168</v>
      </c>
      <c r="D383" t="str">
        <f>IFERROR(INDEX(MASTER_REGISTER!F:F,MATCH(C383,MASTER_REGISTER!E:E,0)),"")</f>
        <v>Karabo Mokgadi</v>
      </c>
      <c r="E383" s="4" t="s">
        <v>337</v>
      </c>
      <c r="F383" t="s">
        <v>338</v>
      </c>
      <c r="G383" t="s">
        <v>339</v>
      </c>
    </row>
    <row r="384" spans="1:8" x14ac:dyDescent="0.3">
      <c r="A384" t="s">
        <v>177</v>
      </c>
      <c r="B384" s="4">
        <f>IFERROR(INDEX(MASTER_REGISTER!C:C,MATCH(C384,MASTER_REGISTER!E:E,0)),"")</f>
        <v>9</v>
      </c>
      <c r="C384" s="4" t="s">
        <v>173</v>
      </c>
      <c r="D384" t="str">
        <f>IFERROR(INDEX(MASTER_REGISTER!F:F,MATCH(C384,MASTER_REGISTER!E:E,0)),"")</f>
        <v>Sifiso Mahlangu</v>
      </c>
      <c r="E384" s="4" t="s">
        <v>337</v>
      </c>
      <c r="F384" t="s">
        <v>338</v>
      </c>
      <c r="G384" t="s">
        <v>339</v>
      </c>
    </row>
    <row r="385" spans="1:8" x14ac:dyDescent="0.3">
      <c r="A385" t="s">
        <v>177</v>
      </c>
      <c r="B385" s="4">
        <f>IFERROR(INDEX(MASTER_REGISTER!C:C,MATCH(C385,MASTER_REGISTER!E:E,0)),"")</f>
        <v>9</v>
      </c>
      <c r="C385" s="4" t="s">
        <v>178</v>
      </c>
      <c r="D385" t="str">
        <f>IFERROR(INDEX(MASTER_REGISTER!F:F,MATCH(C385,MASTER_REGISTER!E:E,0)),"")</f>
        <v>Kgothatso Radebe</v>
      </c>
      <c r="E385" s="4" t="s">
        <v>337</v>
      </c>
      <c r="F385" t="s">
        <v>338</v>
      </c>
      <c r="G385" t="s">
        <v>339</v>
      </c>
    </row>
    <row r="386" spans="1:8" x14ac:dyDescent="0.3">
      <c r="A386" t="s">
        <v>177</v>
      </c>
      <c r="B386" s="4">
        <f>IFERROR(INDEX(MASTER_REGISTER!C:C,MATCH(C386,MASTER_REGISTER!E:E,0)),"")</f>
        <v>10</v>
      </c>
      <c r="C386" s="4" t="s">
        <v>183</v>
      </c>
      <c r="D386" t="str">
        <f>IFERROR(INDEX(MASTER_REGISTER!F:F,MATCH(C386,MASTER_REGISTER!E:E,0)),"")</f>
        <v>Lerato Maseko</v>
      </c>
      <c r="E386" s="4" t="s">
        <v>337</v>
      </c>
      <c r="F386" t="s">
        <v>338</v>
      </c>
      <c r="G386" t="s">
        <v>339</v>
      </c>
    </row>
    <row r="387" spans="1:8" x14ac:dyDescent="0.3">
      <c r="A387" t="s">
        <v>177</v>
      </c>
      <c r="B387" s="4">
        <f>IFERROR(INDEX(MASTER_REGISTER!C:C,MATCH(C387,MASTER_REGISTER!E:E,0)),"")</f>
        <v>10</v>
      </c>
      <c r="C387" s="4" t="s">
        <v>188</v>
      </c>
      <c r="D387" t="str">
        <f>IFERROR(INDEX(MASTER_REGISTER!F:F,MATCH(C387,MASTER_REGISTER!E:E,0)),"")</f>
        <v>Sibusiso Molefe</v>
      </c>
      <c r="E387" s="4" t="s">
        <v>337</v>
      </c>
      <c r="F387" t="s">
        <v>338</v>
      </c>
      <c r="G387" t="s">
        <v>339</v>
      </c>
    </row>
    <row r="388" spans="1:8" x14ac:dyDescent="0.3">
      <c r="A388" t="s">
        <v>177</v>
      </c>
      <c r="B388" s="4">
        <f>IFERROR(INDEX(MASTER_REGISTER!C:C,MATCH(C388,MASTER_REGISTER!E:E,0)),"")</f>
        <v>10</v>
      </c>
      <c r="C388" s="4" t="s">
        <v>193</v>
      </c>
      <c r="D388" t="str">
        <f>IFERROR(INDEX(MASTER_REGISTER!F:F,MATCH(C388,MASTER_REGISTER!E:E,0)),"")</f>
        <v>Nandi Molefe</v>
      </c>
      <c r="E388" s="4" t="s">
        <v>337</v>
      </c>
      <c r="F388" t="s">
        <v>338</v>
      </c>
      <c r="G388" t="s">
        <v>339</v>
      </c>
    </row>
    <row r="389" spans="1:8" x14ac:dyDescent="0.3">
      <c r="A389" t="s">
        <v>177</v>
      </c>
      <c r="B389" s="4">
        <f>IFERROR(INDEX(MASTER_REGISTER!C:C,MATCH(C389,MASTER_REGISTER!E:E,0)),"")</f>
        <v>10</v>
      </c>
      <c r="C389" s="4" t="s">
        <v>198</v>
      </c>
      <c r="D389" t="str">
        <f>IFERROR(INDEX(MASTER_REGISTER!F:F,MATCH(C389,MASTER_REGISTER!E:E,0)),"")</f>
        <v>Kgothatso Baloyi</v>
      </c>
      <c r="E389" s="4" t="s">
        <v>337</v>
      </c>
      <c r="F389" t="s">
        <v>338</v>
      </c>
      <c r="G389" t="s">
        <v>339</v>
      </c>
    </row>
    <row r="390" spans="1:8" x14ac:dyDescent="0.3">
      <c r="A390" t="s">
        <v>177</v>
      </c>
      <c r="B390" s="4">
        <f>IFERROR(INDEX(MASTER_REGISTER!C:C,MATCH(C390,MASTER_REGISTER!E:E,0)),"")</f>
        <v>10</v>
      </c>
      <c r="C390" s="4" t="s">
        <v>202</v>
      </c>
      <c r="D390" t="str">
        <f>IFERROR(INDEX(MASTER_REGISTER!F:F,MATCH(C390,MASTER_REGISTER!E:E,0)),"")</f>
        <v>Ayanda Mokoena</v>
      </c>
      <c r="E390" s="4" t="s">
        <v>337</v>
      </c>
      <c r="F390" t="s">
        <v>338</v>
      </c>
      <c r="G390" t="s">
        <v>339</v>
      </c>
    </row>
    <row r="391" spans="1:8" x14ac:dyDescent="0.3">
      <c r="A391" t="s">
        <v>177</v>
      </c>
      <c r="B391" s="4">
        <f>IFERROR(INDEX(MASTER_REGISTER!C:C,MATCH(C391,MASTER_REGISTER!E:E,0)),"")</f>
        <v>10</v>
      </c>
      <c r="C391" s="4" t="s">
        <v>206</v>
      </c>
      <c r="D391" t="str">
        <f>IFERROR(INDEX(MASTER_REGISTER!F:F,MATCH(C391,MASTER_REGISTER!E:E,0)),"")</f>
        <v>Lwazi Baloyi</v>
      </c>
      <c r="E391" s="4" t="s">
        <v>335</v>
      </c>
      <c r="H391" t="s">
        <v>336</v>
      </c>
    </row>
    <row r="392" spans="1:8" x14ac:dyDescent="0.3">
      <c r="A392" t="s">
        <v>177</v>
      </c>
      <c r="B392" s="4">
        <f>IFERROR(INDEX(MASTER_REGISTER!C:C,MATCH(C392,MASTER_REGISTER!E:E,0)),"")</f>
        <v>10</v>
      </c>
      <c r="C392" s="4" t="s">
        <v>210</v>
      </c>
      <c r="D392" t="str">
        <f>IFERROR(INDEX(MASTER_REGISTER!F:F,MATCH(C392,MASTER_REGISTER!E:E,0)),"")</f>
        <v>Siyanda Mokoena</v>
      </c>
      <c r="E392" s="4" t="s">
        <v>337</v>
      </c>
      <c r="F392" t="s">
        <v>338</v>
      </c>
      <c r="G392" t="s">
        <v>339</v>
      </c>
    </row>
    <row r="393" spans="1:8" x14ac:dyDescent="0.3">
      <c r="A393" t="s">
        <v>177</v>
      </c>
      <c r="B393" s="4">
        <f>IFERROR(INDEX(MASTER_REGISTER!C:C,MATCH(C393,MASTER_REGISTER!E:E,0)),"")</f>
        <v>10</v>
      </c>
      <c r="C393" s="4" t="s">
        <v>214</v>
      </c>
      <c r="D393" t="str">
        <f>IFERROR(INDEX(MASTER_REGISTER!F:F,MATCH(C393,MASTER_REGISTER!E:E,0)),"")</f>
        <v>Mpho Ngobeni</v>
      </c>
      <c r="E393" s="4" t="s">
        <v>335</v>
      </c>
      <c r="H393" t="s">
        <v>336</v>
      </c>
    </row>
    <row r="394" spans="1:8" x14ac:dyDescent="0.3">
      <c r="A394" t="s">
        <v>177</v>
      </c>
      <c r="B394" s="4">
        <f>IFERROR(INDEX(MASTER_REGISTER!C:C,MATCH(C394,MASTER_REGISTER!E:E,0)),"")</f>
        <v>10</v>
      </c>
      <c r="C394" s="4" t="s">
        <v>217</v>
      </c>
      <c r="D394" t="str">
        <f>IFERROR(INDEX(MASTER_REGISTER!F:F,MATCH(C394,MASTER_REGISTER!E:E,0)),"")</f>
        <v>Naledi Makhubela</v>
      </c>
      <c r="E394" s="4" t="s">
        <v>337</v>
      </c>
      <c r="F394" t="s">
        <v>338</v>
      </c>
      <c r="G394" t="s">
        <v>339</v>
      </c>
    </row>
    <row r="395" spans="1:8" x14ac:dyDescent="0.3">
      <c r="A395" t="s">
        <v>177</v>
      </c>
      <c r="B395" s="4">
        <f>IFERROR(INDEX(MASTER_REGISTER!C:C,MATCH(C395,MASTER_REGISTER!E:E,0)),"")</f>
        <v>10</v>
      </c>
      <c r="C395" s="4" t="s">
        <v>221</v>
      </c>
      <c r="D395" t="str">
        <f>IFERROR(INDEX(MASTER_REGISTER!F:F,MATCH(C395,MASTER_REGISTER!E:E,0)),"")</f>
        <v>Kgothatso Mokoena</v>
      </c>
      <c r="E395" s="4" t="s">
        <v>337</v>
      </c>
      <c r="F395" t="s">
        <v>338</v>
      </c>
      <c r="G395" t="s">
        <v>339</v>
      </c>
    </row>
    <row r="396" spans="1:8" x14ac:dyDescent="0.3">
      <c r="A396" t="s">
        <v>177</v>
      </c>
      <c r="B396" s="4">
        <f>IFERROR(INDEX(MASTER_REGISTER!C:C,MATCH(C396,MASTER_REGISTER!E:E,0)),"")</f>
        <v>10</v>
      </c>
      <c r="C396" s="4" t="s">
        <v>225</v>
      </c>
      <c r="D396" t="str">
        <f>IFERROR(INDEX(MASTER_REGISTER!F:F,MATCH(C396,MASTER_REGISTER!E:E,0)),"")</f>
        <v>Bongani Makhubela</v>
      </c>
      <c r="E396" s="4" t="s">
        <v>335</v>
      </c>
      <c r="H396" t="s">
        <v>340</v>
      </c>
    </row>
    <row r="397" spans="1:8" x14ac:dyDescent="0.3">
      <c r="A397" t="s">
        <v>177</v>
      </c>
      <c r="B397" s="4">
        <f>IFERROR(INDEX(MASTER_REGISTER!C:C,MATCH(C397,MASTER_REGISTER!E:E,0)),"")</f>
        <v>10</v>
      </c>
      <c r="C397" s="4" t="s">
        <v>229</v>
      </c>
      <c r="D397" t="str">
        <f>IFERROR(INDEX(MASTER_REGISTER!F:F,MATCH(C397,MASTER_REGISTER!E:E,0)),"")</f>
        <v>Kagiso Kekana</v>
      </c>
      <c r="E397" s="4" t="s">
        <v>337</v>
      </c>
      <c r="F397" t="s">
        <v>338</v>
      </c>
      <c r="G397" t="s">
        <v>339</v>
      </c>
    </row>
    <row r="398" spans="1:8" x14ac:dyDescent="0.3">
      <c r="A398" t="s">
        <v>177</v>
      </c>
      <c r="B398" s="4">
        <f>IFERROR(INDEX(MASTER_REGISTER!C:C,MATCH(C398,MASTER_REGISTER!E:E,0)),"")</f>
        <v>11</v>
      </c>
      <c r="C398" s="4" t="s">
        <v>233</v>
      </c>
      <c r="D398" t="str">
        <f>IFERROR(INDEX(MASTER_REGISTER!F:F,MATCH(C398,MASTER_REGISTER!E:E,0)),"")</f>
        <v>Lwazi Makhubela</v>
      </c>
      <c r="E398" s="4" t="s">
        <v>337</v>
      </c>
      <c r="F398" t="s">
        <v>338</v>
      </c>
      <c r="G398" t="s">
        <v>339</v>
      </c>
    </row>
    <row r="399" spans="1:8" x14ac:dyDescent="0.3">
      <c r="A399" t="s">
        <v>177</v>
      </c>
      <c r="B399" s="4">
        <f>IFERROR(INDEX(MASTER_REGISTER!C:C,MATCH(C399,MASTER_REGISTER!E:E,0)),"")</f>
        <v>11</v>
      </c>
      <c r="C399" s="4" t="s">
        <v>237</v>
      </c>
      <c r="D399" t="str">
        <f>IFERROR(INDEX(MASTER_REGISTER!F:F,MATCH(C399,MASTER_REGISTER!E:E,0)),"")</f>
        <v>Lebogang Ramushu</v>
      </c>
      <c r="E399" s="4" t="s">
        <v>337</v>
      </c>
      <c r="F399" t="s">
        <v>338</v>
      </c>
      <c r="G399" t="s">
        <v>339</v>
      </c>
    </row>
    <row r="400" spans="1:8" x14ac:dyDescent="0.3">
      <c r="A400" t="s">
        <v>177</v>
      </c>
      <c r="B400" s="4">
        <f>IFERROR(INDEX(MASTER_REGISTER!C:C,MATCH(C400,MASTER_REGISTER!E:E,0)),"")</f>
        <v>11</v>
      </c>
      <c r="C400" s="4" t="s">
        <v>241</v>
      </c>
      <c r="D400" t="str">
        <f>IFERROR(INDEX(MASTER_REGISTER!F:F,MATCH(C400,MASTER_REGISTER!E:E,0)),"")</f>
        <v>Lerato Kekana</v>
      </c>
      <c r="E400" s="4" t="s">
        <v>337</v>
      </c>
      <c r="F400" t="s">
        <v>338</v>
      </c>
      <c r="G400" t="s">
        <v>339</v>
      </c>
    </row>
    <row r="401" spans="1:8" x14ac:dyDescent="0.3">
      <c r="A401" t="s">
        <v>177</v>
      </c>
      <c r="B401" s="4">
        <f>IFERROR(INDEX(MASTER_REGISTER!C:C,MATCH(C401,MASTER_REGISTER!E:E,0)),"")</f>
        <v>11</v>
      </c>
      <c r="C401" s="4" t="s">
        <v>244</v>
      </c>
      <c r="D401" t="str">
        <f>IFERROR(INDEX(MASTER_REGISTER!F:F,MATCH(C401,MASTER_REGISTER!E:E,0)),"")</f>
        <v>Bongani Ndlovu</v>
      </c>
      <c r="E401" s="4" t="s">
        <v>337</v>
      </c>
      <c r="F401" t="s">
        <v>338</v>
      </c>
      <c r="G401" t="s">
        <v>339</v>
      </c>
    </row>
    <row r="402" spans="1:8" x14ac:dyDescent="0.3">
      <c r="A402" t="s">
        <v>177</v>
      </c>
      <c r="B402" s="4">
        <f>IFERROR(INDEX(MASTER_REGISTER!C:C,MATCH(C402,MASTER_REGISTER!E:E,0)),"")</f>
        <v>11</v>
      </c>
      <c r="C402" s="4" t="s">
        <v>248</v>
      </c>
      <c r="D402" t="str">
        <f>IFERROR(INDEX(MASTER_REGISTER!F:F,MATCH(C402,MASTER_REGISTER!E:E,0)),"")</f>
        <v>Sifiso Dlamini</v>
      </c>
      <c r="E402" s="4" t="s">
        <v>337</v>
      </c>
      <c r="F402" t="s">
        <v>338</v>
      </c>
      <c r="G402" t="s">
        <v>339</v>
      </c>
    </row>
    <row r="403" spans="1:8" x14ac:dyDescent="0.3">
      <c r="A403" t="s">
        <v>177</v>
      </c>
      <c r="B403" s="4">
        <f>IFERROR(INDEX(MASTER_REGISTER!C:C,MATCH(C403,MASTER_REGISTER!E:E,0)),"")</f>
        <v>11</v>
      </c>
      <c r="C403" s="4" t="s">
        <v>252</v>
      </c>
      <c r="D403" t="str">
        <f>IFERROR(INDEX(MASTER_REGISTER!F:F,MATCH(C403,MASTER_REGISTER!E:E,0)),"")</f>
        <v>Refilwe Dlamini</v>
      </c>
      <c r="E403" s="4" t="s">
        <v>337</v>
      </c>
      <c r="F403" t="s">
        <v>338</v>
      </c>
      <c r="G403" t="s">
        <v>339</v>
      </c>
    </row>
    <row r="404" spans="1:8" x14ac:dyDescent="0.3">
      <c r="A404" t="s">
        <v>177</v>
      </c>
      <c r="B404" s="4">
        <f>IFERROR(INDEX(MASTER_REGISTER!C:C,MATCH(C404,MASTER_REGISTER!E:E,0)),"")</f>
        <v>11</v>
      </c>
      <c r="C404" s="4" t="s">
        <v>256</v>
      </c>
      <c r="D404" t="str">
        <f>IFERROR(INDEX(MASTER_REGISTER!F:F,MATCH(C404,MASTER_REGISTER!E:E,0)),"")</f>
        <v>Lwazi Maseko</v>
      </c>
      <c r="E404" s="4" t="s">
        <v>337</v>
      </c>
      <c r="F404" t="s">
        <v>338</v>
      </c>
      <c r="G404" t="s">
        <v>339</v>
      </c>
    </row>
    <row r="405" spans="1:8" x14ac:dyDescent="0.3">
      <c r="A405" t="s">
        <v>177</v>
      </c>
      <c r="B405" s="4">
        <f>IFERROR(INDEX(MASTER_REGISTER!C:C,MATCH(C405,MASTER_REGISTER!E:E,0)),"")</f>
        <v>11</v>
      </c>
      <c r="C405" s="4" t="s">
        <v>260</v>
      </c>
      <c r="D405" t="str">
        <f>IFERROR(INDEX(MASTER_REGISTER!F:F,MATCH(C405,MASTER_REGISTER!E:E,0)),"")</f>
        <v>Refilwe Mokgadi</v>
      </c>
      <c r="E405" s="4" t="s">
        <v>335</v>
      </c>
      <c r="H405" t="s">
        <v>336</v>
      </c>
    </row>
    <row r="406" spans="1:8" x14ac:dyDescent="0.3">
      <c r="A406" t="s">
        <v>177</v>
      </c>
      <c r="B406" s="4">
        <f>IFERROR(INDEX(MASTER_REGISTER!C:C,MATCH(C406,MASTER_REGISTER!E:E,0)),"")</f>
        <v>11</v>
      </c>
      <c r="C406" s="4" t="s">
        <v>264</v>
      </c>
      <c r="D406" t="str">
        <f>IFERROR(INDEX(MASTER_REGISTER!F:F,MATCH(C406,MASTER_REGISTER!E:E,0)),"")</f>
        <v>Kgothatso Molefe</v>
      </c>
      <c r="E406" s="4" t="s">
        <v>335</v>
      </c>
      <c r="H406" t="s">
        <v>342</v>
      </c>
    </row>
    <row r="407" spans="1:8" x14ac:dyDescent="0.3">
      <c r="A407" t="s">
        <v>177</v>
      </c>
      <c r="B407" s="4">
        <f>IFERROR(INDEX(MASTER_REGISTER!C:C,MATCH(C407,MASTER_REGISTER!E:E,0)),"")</f>
        <v>11</v>
      </c>
      <c r="C407" s="4" t="s">
        <v>268</v>
      </c>
      <c r="D407" t="str">
        <f>IFERROR(INDEX(MASTER_REGISTER!F:F,MATCH(C407,MASTER_REGISTER!E:E,0)),"")</f>
        <v>Tshepo Mokgadi</v>
      </c>
      <c r="E407" s="4" t="s">
        <v>335</v>
      </c>
      <c r="H407" t="s">
        <v>341</v>
      </c>
    </row>
    <row r="408" spans="1:8" x14ac:dyDescent="0.3">
      <c r="A408" t="s">
        <v>177</v>
      </c>
      <c r="B408" s="4">
        <f>IFERROR(INDEX(MASTER_REGISTER!C:C,MATCH(C408,MASTER_REGISTER!E:E,0)),"")</f>
        <v>11</v>
      </c>
      <c r="C408" s="4" t="s">
        <v>272</v>
      </c>
      <c r="D408" t="str">
        <f>IFERROR(INDEX(MASTER_REGISTER!F:F,MATCH(C408,MASTER_REGISTER!E:E,0)),"")</f>
        <v>Tshepo Phiri</v>
      </c>
      <c r="E408" s="4" t="s">
        <v>335</v>
      </c>
      <c r="H408" t="s">
        <v>336</v>
      </c>
    </row>
    <row r="409" spans="1:8" x14ac:dyDescent="0.3">
      <c r="A409" t="s">
        <v>177</v>
      </c>
      <c r="B409" s="4">
        <f>IFERROR(INDEX(MASTER_REGISTER!C:C,MATCH(C409,MASTER_REGISTER!E:E,0)),"")</f>
        <v>11</v>
      </c>
      <c r="C409" s="4" t="s">
        <v>276</v>
      </c>
      <c r="D409" t="str">
        <f>IFERROR(INDEX(MASTER_REGISTER!F:F,MATCH(C409,MASTER_REGISTER!E:E,0)),"")</f>
        <v>Zanele Ngobeni</v>
      </c>
      <c r="E409" s="4" t="s">
        <v>337</v>
      </c>
      <c r="F409" t="s">
        <v>338</v>
      </c>
      <c r="G409" t="s">
        <v>339</v>
      </c>
    </row>
    <row r="410" spans="1:8" x14ac:dyDescent="0.3">
      <c r="A410" t="s">
        <v>177</v>
      </c>
      <c r="B410" s="4">
        <f>IFERROR(INDEX(MASTER_REGISTER!C:C,MATCH(C410,MASTER_REGISTER!E:E,0)),"")</f>
        <v>12</v>
      </c>
      <c r="C410" s="4" t="s">
        <v>280</v>
      </c>
      <c r="D410" t="str">
        <f>IFERROR(INDEX(MASTER_REGISTER!F:F,MATCH(C410,MASTER_REGISTER!E:E,0)),"")</f>
        <v>Palesa Mokoena</v>
      </c>
      <c r="E410" s="4" t="s">
        <v>337</v>
      </c>
      <c r="F410" t="s">
        <v>338</v>
      </c>
      <c r="G410" t="s">
        <v>339</v>
      </c>
    </row>
    <row r="411" spans="1:8" x14ac:dyDescent="0.3">
      <c r="A411" t="s">
        <v>177</v>
      </c>
      <c r="B411" s="4">
        <f>IFERROR(INDEX(MASTER_REGISTER!C:C,MATCH(C411,MASTER_REGISTER!E:E,0)),"")</f>
        <v>12</v>
      </c>
      <c r="C411" s="4" t="s">
        <v>284</v>
      </c>
      <c r="D411" t="str">
        <f>IFERROR(INDEX(MASTER_REGISTER!F:F,MATCH(C411,MASTER_REGISTER!E:E,0)),"")</f>
        <v>Thabo Ramushu</v>
      </c>
      <c r="E411" s="4" t="s">
        <v>337</v>
      </c>
      <c r="F411" t="s">
        <v>338</v>
      </c>
      <c r="G411" t="s">
        <v>339</v>
      </c>
    </row>
    <row r="412" spans="1:8" x14ac:dyDescent="0.3">
      <c r="A412" t="s">
        <v>177</v>
      </c>
      <c r="B412" s="4">
        <f>IFERROR(INDEX(MASTER_REGISTER!C:C,MATCH(C412,MASTER_REGISTER!E:E,0)),"")</f>
        <v>12</v>
      </c>
      <c r="C412" s="4" t="s">
        <v>288</v>
      </c>
      <c r="D412" t="str">
        <f>IFERROR(INDEX(MASTER_REGISTER!F:F,MATCH(C412,MASTER_REGISTER!E:E,0)),"")</f>
        <v>Lwazi Ndlovu</v>
      </c>
      <c r="E412" s="4" t="s">
        <v>335</v>
      </c>
      <c r="H412" t="s">
        <v>340</v>
      </c>
    </row>
    <row r="413" spans="1:8" x14ac:dyDescent="0.3">
      <c r="A413" t="s">
        <v>177</v>
      </c>
      <c r="B413" s="4">
        <f>IFERROR(INDEX(MASTER_REGISTER!C:C,MATCH(C413,MASTER_REGISTER!E:E,0)),"")</f>
        <v>12</v>
      </c>
      <c r="C413" s="4" t="s">
        <v>292</v>
      </c>
      <c r="D413" t="str">
        <f>IFERROR(INDEX(MASTER_REGISTER!F:F,MATCH(C413,MASTER_REGISTER!E:E,0)),"")</f>
        <v>Ayanda Dlamini</v>
      </c>
      <c r="E413" s="4" t="s">
        <v>335</v>
      </c>
      <c r="H413" t="s">
        <v>341</v>
      </c>
    </row>
    <row r="414" spans="1:8" x14ac:dyDescent="0.3">
      <c r="A414" t="s">
        <v>177</v>
      </c>
      <c r="B414" s="4">
        <f>IFERROR(INDEX(MASTER_REGISTER!C:C,MATCH(C414,MASTER_REGISTER!E:E,0)),"")</f>
        <v>12</v>
      </c>
      <c r="C414" s="4" t="s">
        <v>296</v>
      </c>
      <c r="D414" t="str">
        <f>IFERROR(INDEX(MASTER_REGISTER!F:F,MATCH(C414,MASTER_REGISTER!E:E,0)),"")</f>
        <v>Neo Ndlovu</v>
      </c>
      <c r="E414" s="4" t="s">
        <v>337</v>
      </c>
      <c r="F414" t="s">
        <v>338</v>
      </c>
      <c r="G414" t="s">
        <v>339</v>
      </c>
    </row>
    <row r="415" spans="1:8" x14ac:dyDescent="0.3">
      <c r="A415" t="s">
        <v>177</v>
      </c>
      <c r="B415" s="4">
        <f>IFERROR(INDEX(MASTER_REGISTER!C:C,MATCH(C415,MASTER_REGISTER!E:E,0)),"")</f>
        <v>12</v>
      </c>
      <c r="C415" s="4" t="s">
        <v>300</v>
      </c>
      <c r="D415" t="str">
        <f>IFERROR(INDEX(MASTER_REGISTER!F:F,MATCH(C415,MASTER_REGISTER!E:E,0)),"")</f>
        <v>Neo Ramushu</v>
      </c>
      <c r="E415" s="4" t="s">
        <v>337</v>
      </c>
      <c r="F415" t="s">
        <v>338</v>
      </c>
      <c r="G415" t="s">
        <v>339</v>
      </c>
    </row>
    <row r="416" spans="1:8" x14ac:dyDescent="0.3">
      <c r="A416" t="s">
        <v>177</v>
      </c>
      <c r="B416" s="4">
        <f>IFERROR(INDEX(MASTER_REGISTER!C:C,MATCH(C416,MASTER_REGISTER!E:E,0)),"")</f>
        <v>12</v>
      </c>
      <c r="C416" s="4" t="s">
        <v>304</v>
      </c>
      <c r="D416" t="str">
        <f>IFERROR(INDEX(MASTER_REGISTER!F:F,MATCH(C416,MASTER_REGISTER!E:E,0)),"")</f>
        <v>Karabo Baloyi</v>
      </c>
      <c r="E416" s="4" t="s">
        <v>335</v>
      </c>
      <c r="H416" t="s">
        <v>340</v>
      </c>
    </row>
    <row r="417" spans="1:8" x14ac:dyDescent="0.3">
      <c r="A417" t="s">
        <v>177</v>
      </c>
      <c r="B417" s="4">
        <f>IFERROR(INDEX(MASTER_REGISTER!C:C,MATCH(C417,MASTER_REGISTER!E:E,0)),"")</f>
        <v>12</v>
      </c>
      <c r="C417" s="4" t="s">
        <v>308</v>
      </c>
      <c r="D417" t="str">
        <f>IFERROR(INDEX(MASTER_REGISTER!F:F,MATCH(C417,MASTER_REGISTER!E:E,0)),"")</f>
        <v>Tshepo Mokgadi</v>
      </c>
      <c r="E417" s="4" t="s">
        <v>337</v>
      </c>
      <c r="F417" t="s">
        <v>338</v>
      </c>
      <c r="G417" t="s">
        <v>339</v>
      </c>
    </row>
    <row r="418" spans="1:8" x14ac:dyDescent="0.3">
      <c r="A418" t="s">
        <v>177</v>
      </c>
      <c r="B418" s="4">
        <f>IFERROR(INDEX(MASTER_REGISTER!C:C,MATCH(C418,MASTER_REGISTER!E:E,0)),"")</f>
        <v>12</v>
      </c>
      <c r="C418" s="4" t="s">
        <v>311</v>
      </c>
      <c r="D418" t="str">
        <f>IFERROR(INDEX(MASTER_REGISTER!F:F,MATCH(C418,MASTER_REGISTER!E:E,0)),"")</f>
        <v>Sifiso Mavuso</v>
      </c>
      <c r="E418" s="4" t="s">
        <v>335</v>
      </c>
      <c r="H418" t="s">
        <v>336</v>
      </c>
    </row>
    <row r="419" spans="1:8" x14ac:dyDescent="0.3">
      <c r="A419" t="s">
        <v>177</v>
      </c>
      <c r="B419" s="4">
        <f>IFERROR(INDEX(MASTER_REGISTER!C:C,MATCH(C419,MASTER_REGISTER!E:E,0)),"")</f>
        <v>12</v>
      </c>
      <c r="C419" s="4" t="s">
        <v>315</v>
      </c>
      <c r="D419" t="str">
        <f>IFERROR(INDEX(MASTER_REGISTER!F:F,MATCH(C419,MASTER_REGISTER!E:E,0)),"")</f>
        <v>Refilwe Sithole</v>
      </c>
      <c r="E419" s="4" t="s">
        <v>335</v>
      </c>
      <c r="H419" t="s">
        <v>342</v>
      </c>
    </row>
    <row r="420" spans="1:8" x14ac:dyDescent="0.3">
      <c r="A420" t="s">
        <v>177</v>
      </c>
      <c r="B420" s="4">
        <f>IFERROR(INDEX(MASTER_REGISTER!C:C,MATCH(C420,MASTER_REGISTER!E:E,0)),"")</f>
        <v>12</v>
      </c>
      <c r="C420" s="4" t="s">
        <v>319</v>
      </c>
      <c r="D420" t="str">
        <f>IFERROR(INDEX(MASTER_REGISTER!F:F,MATCH(C420,MASTER_REGISTER!E:E,0)),"")</f>
        <v>Lerato Sithole</v>
      </c>
      <c r="E420" s="4" t="s">
        <v>337</v>
      </c>
      <c r="F420" t="s">
        <v>338</v>
      </c>
      <c r="G420" t="s">
        <v>339</v>
      </c>
    </row>
    <row r="421" spans="1:8" x14ac:dyDescent="0.3">
      <c r="A421" t="s">
        <v>177</v>
      </c>
      <c r="B421" s="4">
        <f>IFERROR(INDEX(MASTER_REGISTER!C:C,MATCH(C421,MASTER_REGISTER!E:E,0)),"")</f>
        <v>12</v>
      </c>
      <c r="C421" s="4" t="s">
        <v>323</v>
      </c>
      <c r="D421" t="str">
        <f>IFERROR(INDEX(MASTER_REGISTER!F:F,MATCH(C421,MASTER_REGISTER!E:E,0)),"")</f>
        <v>Sibusiso Ngobeni</v>
      </c>
      <c r="E421" s="4" t="s">
        <v>337</v>
      </c>
      <c r="F421" t="s">
        <v>338</v>
      </c>
      <c r="G421" t="s">
        <v>339</v>
      </c>
    </row>
    <row r="422" spans="1:8" x14ac:dyDescent="0.3">
      <c r="A422" t="s">
        <v>345</v>
      </c>
      <c r="B422" s="4">
        <f>IFERROR(INDEX(MASTER_REGISTER!C:C,MATCH(C422,MASTER_REGISTER!E:E,0)),"")</f>
        <v>8</v>
      </c>
      <c r="C422" s="4" t="s">
        <v>50</v>
      </c>
      <c r="D422" t="str">
        <f>IFERROR(INDEX(MASTER_REGISTER!F:F,MATCH(C422,MASTER_REGISTER!E:E,0)),"")</f>
        <v>Lerato Nkosi</v>
      </c>
      <c r="E422" s="4" t="s">
        <v>337</v>
      </c>
      <c r="F422" t="s">
        <v>338</v>
      </c>
      <c r="G422" t="s">
        <v>339</v>
      </c>
    </row>
    <row r="423" spans="1:8" x14ac:dyDescent="0.3">
      <c r="A423" t="s">
        <v>345</v>
      </c>
      <c r="B423" s="4">
        <f>IFERROR(INDEX(MASTER_REGISTER!C:C,MATCH(C423,MASTER_REGISTER!E:E,0)),"")</f>
        <v>8</v>
      </c>
      <c r="C423" s="4" t="s">
        <v>58</v>
      </c>
      <c r="D423" t="str">
        <f>IFERROR(INDEX(MASTER_REGISTER!F:F,MATCH(C423,MASTER_REGISTER!E:E,0)),"")</f>
        <v>Karabo Maseko</v>
      </c>
      <c r="E423" s="4" t="s">
        <v>337</v>
      </c>
      <c r="F423" t="s">
        <v>338</v>
      </c>
      <c r="G423" t="s">
        <v>339</v>
      </c>
    </row>
    <row r="424" spans="1:8" x14ac:dyDescent="0.3">
      <c r="A424" t="s">
        <v>345</v>
      </c>
      <c r="B424" s="4">
        <f>IFERROR(INDEX(MASTER_REGISTER!C:C,MATCH(C424,MASTER_REGISTER!E:E,0)),"")</f>
        <v>8</v>
      </c>
      <c r="C424" s="4" t="s">
        <v>64</v>
      </c>
      <c r="D424" t="str">
        <f>IFERROR(INDEX(MASTER_REGISTER!F:F,MATCH(C424,MASTER_REGISTER!E:E,0)),"")</f>
        <v>Sifiso Sithole</v>
      </c>
      <c r="E424" s="4" t="s">
        <v>337</v>
      </c>
      <c r="F424" t="s">
        <v>338</v>
      </c>
      <c r="G424" t="s">
        <v>339</v>
      </c>
    </row>
    <row r="425" spans="1:8" x14ac:dyDescent="0.3">
      <c r="A425" t="s">
        <v>345</v>
      </c>
      <c r="B425" s="4">
        <f>IFERROR(INDEX(MASTER_REGISTER!C:C,MATCH(C425,MASTER_REGISTER!E:E,0)),"")</f>
        <v>8</v>
      </c>
      <c r="C425" s="4" t="s">
        <v>70</v>
      </c>
      <c r="D425" t="str">
        <f>IFERROR(INDEX(MASTER_REGISTER!F:F,MATCH(C425,MASTER_REGISTER!E:E,0)),"")</f>
        <v>Tshepo Ndlovu</v>
      </c>
      <c r="E425" s="4" t="s">
        <v>337</v>
      </c>
      <c r="F425" t="s">
        <v>338</v>
      </c>
      <c r="G425" t="s">
        <v>339</v>
      </c>
    </row>
    <row r="426" spans="1:8" x14ac:dyDescent="0.3">
      <c r="A426" t="s">
        <v>345</v>
      </c>
      <c r="B426" s="4">
        <f>IFERROR(INDEX(MASTER_REGISTER!C:C,MATCH(C426,MASTER_REGISTER!E:E,0)),"")</f>
        <v>8</v>
      </c>
      <c r="C426" s="4" t="s">
        <v>76</v>
      </c>
      <c r="D426" t="str">
        <f>IFERROR(INDEX(MASTER_REGISTER!F:F,MATCH(C426,MASTER_REGISTER!E:E,0)),"")</f>
        <v>Lwazi Mthembu</v>
      </c>
      <c r="E426" s="4" t="s">
        <v>337</v>
      </c>
      <c r="F426" t="s">
        <v>338</v>
      </c>
      <c r="G426" t="s">
        <v>339</v>
      </c>
    </row>
    <row r="427" spans="1:8" x14ac:dyDescent="0.3">
      <c r="A427" t="s">
        <v>345</v>
      </c>
      <c r="B427" s="4">
        <f>IFERROR(INDEX(MASTER_REGISTER!C:C,MATCH(C427,MASTER_REGISTER!E:E,0)),"")</f>
        <v>8</v>
      </c>
      <c r="C427" s="4" t="s">
        <v>82</v>
      </c>
      <c r="D427" t="str">
        <f>IFERROR(INDEX(MASTER_REGISTER!F:F,MATCH(C427,MASTER_REGISTER!E:E,0)),"")</f>
        <v>Karabo Ngobeni</v>
      </c>
      <c r="E427" s="4" t="s">
        <v>337</v>
      </c>
      <c r="F427" t="s">
        <v>338</v>
      </c>
      <c r="G427" t="s">
        <v>339</v>
      </c>
    </row>
    <row r="428" spans="1:8" x14ac:dyDescent="0.3">
      <c r="A428" t="s">
        <v>345</v>
      </c>
      <c r="B428" s="4">
        <f>IFERROR(INDEX(MASTER_REGISTER!C:C,MATCH(C428,MASTER_REGISTER!E:E,0)),"")</f>
        <v>8</v>
      </c>
      <c r="C428" s="4" t="s">
        <v>88</v>
      </c>
      <c r="D428" t="str">
        <f>IFERROR(INDEX(MASTER_REGISTER!F:F,MATCH(C428,MASTER_REGISTER!E:E,0)),"")</f>
        <v>Mpho Sithole</v>
      </c>
      <c r="E428" s="4" t="s">
        <v>337</v>
      </c>
      <c r="F428" t="s">
        <v>338</v>
      </c>
      <c r="G428" t="s">
        <v>339</v>
      </c>
    </row>
    <row r="429" spans="1:8" x14ac:dyDescent="0.3">
      <c r="A429" t="s">
        <v>345</v>
      </c>
      <c r="B429" s="4">
        <f>IFERROR(INDEX(MASTER_REGISTER!C:C,MATCH(C429,MASTER_REGISTER!E:E,0)),"")</f>
        <v>8</v>
      </c>
      <c r="C429" s="4" t="s">
        <v>94</v>
      </c>
      <c r="D429" t="str">
        <f>IFERROR(INDEX(MASTER_REGISTER!F:F,MATCH(C429,MASTER_REGISTER!E:E,0)),"")</f>
        <v>Tshepo Ramushu</v>
      </c>
      <c r="E429" s="4" t="s">
        <v>337</v>
      </c>
      <c r="F429" t="s">
        <v>338</v>
      </c>
      <c r="G429" t="s">
        <v>339</v>
      </c>
    </row>
    <row r="430" spans="1:8" x14ac:dyDescent="0.3">
      <c r="A430" t="s">
        <v>345</v>
      </c>
      <c r="B430" s="4">
        <f>IFERROR(INDEX(MASTER_REGISTER!C:C,MATCH(C430,MASTER_REGISTER!E:E,0)),"")</f>
        <v>8</v>
      </c>
      <c r="C430" s="4" t="s">
        <v>100</v>
      </c>
      <c r="D430" t="str">
        <f>IFERROR(INDEX(MASTER_REGISTER!F:F,MATCH(C430,MASTER_REGISTER!E:E,0)),"")</f>
        <v>Lerato Kekana</v>
      </c>
      <c r="E430" s="4" t="s">
        <v>337</v>
      </c>
      <c r="F430" t="s">
        <v>338</v>
      </c>
      <c r="G430" t="s">
        <v>339</v>
      </c>
    </row>
    <row r="431" spans="1:8" x14ac:dyDescent="0.3">
      <c r="A431" t="s">
        <v>345</v>
      </c>
      <c r="B431" s="4">
        <f>IFERROR(INDEX(MASTER_REGISTER!C:C,MATCH(C431,MASTER_REGISTER!E:E,0)),"")</f>
        <v>8</v>
      </c>
      <c r="C431" s="4" t="s">
        <v>106</v>
      </c>
      <c r="D431" t="str">
        <f>IFERROR(INDEX(MASTER_REGISTER!F:F,MATCH(C431,MASTER_REGISTER!E:E,0)),"")</f>
        <v>Neo Ngobeni</v>
      </c>
      <c r="E431" s="4" t="s">
        <v>337</v>
      </c>
      <c r="F431" t="s">
        <v>338</v>
      </c>
      <c r="G431" t="s">
        <v>339</v>
      </c>
    </row>
    <row r="432" spans="1:8" x14ac:dyDescent="0.3">
      <c r="A432" t="s">
        <v>345</v>
      </c>
      <c r="B432" s="4">
        <f>IFERROR(INDEX(MASTER_REGISTER!C:C,MATCH(C432,MASTER_REGISTER!E:E,0)),"")</f>
        <v>8</v>
      </c>
      <c r="C432" s="4" t="s">
        <v>112</v>
      </c>
      <c r="D432" t="str">
        <f>IFERROR(INDEX(MASTER_REGISTER!F:F,MATCH(C432,MASTER_REGISTER!E:E,0)),"")</f>
        <v>Thabo Mokgadi</v>
      </c>
      <c r="E432" s="4" t="s">
        <v>337</v>
      </c>
      <c r="F432" t="s">
        <v>338</v>
      </c>
      <c r="G432" t="s">
        <v>339</v>
      </c>
    </row>
    <row r="433" spans="1:8" x14ac:dyDescent="0.3">
      <c r="A433" t="s">
        <v>345</v>
      </c>
      <c r="B433" s="4">
        <f>IFERROR(INDEX(MASTER_REGISTER!C:C,MATCH(C433,MASTER_REGISTER!E:E,0)),"")</f>
        <v>8</v>
      </c>
      <c r="C433" s="4" t="s">
        <v>118</v>
      </c>
      <c r="D433" t="str">
        <f>IFERROR(INDEX(MASTER_REGISTER!F:F,MATCH(C433,MASTER_REGISTER!E:E,0)),"")</f>
        <v>Sifiso Mthembu</v>
      </c>
      <c r="E433" s="4" t="s">
        <v>337</v>
      </c>
      <c r="F433" t="s">
        <v>338</v>
      </c>
      <c r="G433" t="s">
        <v>339</v>
      </c>
    </row>
    <row r="434" spans="1:8" x14ac:dyDescent="0.3">
      <c r="A434" t="s">
        <v>345</v>
      </c>
      <c r="B434" s="4">
        <f>IFERROR(INDEX(MASTER_REGISTER!C:C,MATCH(C434,MASTER_REGISTER!E:E,0)),"")</f>
        <v>9</v>
      </c>
      <c r="C434" s="4" t="s">
        <v>123</v>
      </c>
      <c r="D434" t="str">
        <f>IFERROR(INDEX(MASTER_REGISTER!F:F,MATCH(C434,MASTER_REGISTER!E:E,0)),"")</f>
        <v>Karabo Phiri</v>
      </c>
      <c r="E434" s="4" t="s">
        <v>335</v>
      </c>
      <c r="H434" t="s">
        <v>336</v>
      </c>
    </row>
    <row r="435" spans="1:8" x14ac:dyDescent="0.3">
      <c r="A435" t="s">
        <v>345</v>
      </c>
      <c r="B435" s="4">
        <f>IFERROR(INDEX(MASTER_REGISTER!C:C,MATCH(C435,MASTER_REGISTER!E:E,0)),"")</f>
        <v>9</v>
      </c>
      <c r="C435" s="4" t="s">
        <v>128</v>
      </c>
      <c r="D435" t="str">
        <f>IFERROR(INDEX(MASTER_REGISTER!F:F,MATCH(C435,MASTER_REGISTER!E:E,0)),"")</f>
        <v>Lerato Mahlangu</v>
      </c>
      <c r="E435" s="4" t="s">
        <v>337</v>
      </c>
      <c r="F435" t="s">
        <v>338</v>
      </c>
      <c r="G435" t="s">
        <v>339</v>
      </c>
    </row>
    <row r="436" spans="1:8" x14ac:dyDescent="0.3">
      <c r="A436" t="s">
        <v>345</v>
      </c>
      <c r="B436" s="4">
        <f>IFERROR(INDEX(MASTER_REGISTER!C:C,MATCH(C436,MASTER_REGISTER!E:E,0)),"")</f>
        <v>9</v>
      </c>
      <c r="C436" s="4" t="s">
        <v>133</v>
      </c>
      <c r="D436" t="str">
        <f>IFERROR(INDEX(MASTER_REGISTER!F:F,MATCH(C436,MASTER_REGISTER!E:E,0)),"")</f>
        <v>Mpho Kekana</v>
      </c>
      <c r="E436" s="4" t="s">
        <v>337</v>
      </c>
      <c r="F436" t="s">
        <v>338</v>
      </c>
      <c r="G436" t="s">
        <v>339</v>
      </c>
    </row>
    <row r="437" spans="1:8" x14ac:dyDescent="0.3">
      <c r="A437" t="s">
        <v>345</v>
      </c>
      <c r="B437" s="4">
        <f>IFERROR(INDEX(MASTER_REGISTER!C:C,MATCH(C437,MASTER_REGISTER!E:E,0)),"")</f>
        <v>9</v>
      </c>
      <c r="C437" s="4" t="s">
        <v>138</v>
      </c>
      <c r="D437" t="str">
        <f>IFERROR(INDEX(MASTER_REGISTER!F:F,MATCH(C437,MASTER_REGISTER!E:E,0)),"")</f>
        <v>Thabo Molefe</v>
      </c>
      <c r="E437" s="4" t="s">
        <v>337</v>
      </c>
      <c r="F437" t="s">
        <v>338</v>
      </c>
      <c r="G437" t="s">
        <v>339</v>
      </c>
    </row>
    <row r="438" spans="1:8" x14ac:dyDescent="0.3">
      <c r="A438" t="s">
        <v>345</v>
      </c>
      <c r="B438" s="4">
        <f>IFERROR(INDEX(MASTER_REGISTER!C:C,MATCH(C438,MASTER_REGISTER!E:E,0)),"")</f>
        <v>9</v>
      </c>
      <c r="C438" s="4" t="s">
        <v>143</v>
      </c>
      <c r="D438" t="str">
        <f>IFERROR(INDEX(MASTER_REGISTER!F:F,MATCH(C438,MASTER_REGISTER!E:E,0)),"")</f>
        <v>Mpho Ngobeni</v>
      </c>
      <c r="E438" s="4" t="s">
        <v>337</v>
      </c>
      <c r="F438" t="s">
        <v>338</v>
      </c>
      <c r="G438" t="s">
        <v>339</v>
      </c>
    </row>
    <row r="439" spans="1:8" x14ac:dyDescent="0.3">
      <c r="A439" t="s">
        <v>345</v>
      </c>
      <c r="B439" s="4">
        <f>IFERROR(INDEX(MASTER_REGISTER!C:C,MATCH(C439,MASTER_REGISTER!E:E,0)),"")</f>
        <v>9</v>
      </c>
      <c r="C439" s="4" t="s">
        <v>148</v>
      </c>
      <c r="D439" t="str">
        <f>IFERROR(INDEX(MASTER_REGISTER!F:F,MATCH(C439,MASTER_REGISTER!E:E,0)),"")</f>
        <v>Siyanda Mhlongo</v>
      </c>
      <c r="E439" s="4" t="s">
        <v>337</v>
      </c>
      <c r="F439" t="s">
        <v>338</v>
      </c>
      <c r="G439" t="s">
        <v>339</v>
      </c>
    </row>
    <row r="440" spans="1:8" x14ac:dyDescent="0.3">
      <c r="A440" t="s">
        <v>345</v>
      </c>
      <c r="B440" s="4">
        <f>IFERROR(INDEX(MASTER_REGISTER!C:C,MATCH(C440,MASTER_REGISTER!E:E,0)),"")</f>
        <v>9</v>
      </c>
      <c r="C440" s="4" t="s">
        <v>153</v>
      </c>
      <c r="D440" t="str">
        <f>IFERROR(INDEX(MASTER_REGISTER!F:F,MATCH(C440,MASTER_REGISTER!E:E,0)),"")</f>
        <v>Siyanda Mahlangu</v>
      </c>
      <c r="E440" s="4" t="s">
        <v>337</v>
      </c>
      <c r="F440" t="s">
        <v>338</v>
      </c>
      <c r="G440" t="s">
        <v>339</v>
      </c>
    </row>
    <row r="441" spans="1:8" x14ac:dyDescent="0.3">
      <c r="A441" t="s">
        <v>345</v>
      </c>
      <c r="B441" s="4">
        <f>IFERROR(INDEX(MASTER_REGISTER!C:C,MATCH(C441,MASTER_REGISTER!E:E,0)),"")</f>
        <v>9</v>
      </c>
      <c r="C441" s="4" t="s">
        <v>158</v>
      </c>
      <c r="D441" t="str">
        <f>IFERROR(INDEX(MASTER_REGISTER!F:F,MATCH(C441,MASTER_REGISTER!E:E,0)),"")</f>
        <v>Sifiso Ramushu</v>
      </c>
      <c r="E441" s="4" t="s">
        <v>337</v>
      </c>
      <c r="F441" t="s">
        <v>338</v>
      </c>
      <c r="G441" t="s">
        <v>339</v>
      </c>
    </row>
    <row r="442" spans="1:8" x14ac:dyDescent="0.3">
      <c r="A442" t="s">
        <v>345</v>
      </c>
      <c r="B442" s="4">
        <f>IFERROR(INDEX(MASTER_REGISTER!C:C,MATCH(C442,MASTER_REGISTER!E:E,0)),"")</f>
        <v>9</v>
      </c>
      <c r="C442" s="4" t="s">
        <v>163</v>
      </c>
      <c r="D442" t="str">
        <f>IFERROR(INDEX(MASTER_REGISTER!F:F,MATCH(C442,MASTER_REGISTER!E:E,0)),"")</f>
        <v>Nandi Ngobeni</v>
      </c>
      <c r="E442" s="4" t="s">
        <v>337</v>
      </c>
      <c r="F442" t="s">
        <v>338</v>
      </c>
      <c r="G442" t="s">
        <v>339</v>
      </c>
    </row>
    <row r="443" spans="1:8" x14ac:dyDescent="0.3">
      <c r="A443" t="s">
        <v>345</v>
      </c>
      <c r="B443" s="4">
        <f>IFERROR(INDEX(MASTER_REGISTER!C:C,MATCH(C443,MASTER_REGISTER!E:E,0)),"")</f>
        <v>9</v>
      </c>
      <c r="C443" s="4" t="s">
        <v>168</v>
      </c>
      <c r="D443" t="str">
        <f>IFERROR(INDEX(MASTER_REGISTER!F:F,MATCH(C443,MASTER_REGISTER!E:E,0)),"")</f>
        <v>Karabo Mokgadi</v>
      </c>
      <c r="E443" s="4" t="s">
        <v>337</v>
      </c>
      <c r="F443" t="s">
        <v>338</v>
      </c>
      <c r="G443" t="s">
        <v>339</v>
      </c>
    </row>
    <row r="444" spans="1:8" x14ac:dyDescent="0.3">
      <c r="A444" t="s">
        <v>345</v>
      </c>
      <c r="B444" s="4">
        <f>IFERROR(INDEX(MASTER_REGISTER!C:C,MATCH(C444,MASTER_REGISTER!E:E,0)),"")</f>
        <v>9</v>
      </c>
      <c r="C444" s="4" t="s">
        <v>173</v>
      </c>
      <c r="D444" t="str">
        <f>IFERROR(INDEX(MASTER_REGISTER!F:F,MATCH(C444,MASTER_REGISTER!E:E,0)),"")</f>
        <v>Sifiso Mahlangu</v>
      </c>
      <c r="E444" s="4" t="s">
        <v>337</v>
      </c>
      <c r="F444" t="s">
        <v>338</v>
      </c>
      <c r="G444" t="s">
        <v>339</v>
      </c>
    </row>
    <row r="445" spans="1:8" x14ac:dyDescent="0.3">
      <c r="A445" t="s">
        <v>345</v>
      </c>
      <c r="B445" s="4">
        <f>IFERROR(INDEX(MASTER_REGISTER!C:C,MATCH(C445,MASTER_REGISTER!E:E,0)),"")</f>
        <v>9</v>
      </c>
      <c r="C445" s="4" t="s">
        <v>178</v>
      </c>
      <c r="D445" t="str">
        <f>IFERROR(INDEX(MASTER_REGISTER!F:F,MATCH(C445,MASTER_REGISTER!E:E,0)),"")</f>
        <v>Kgothatso Radebe</v>
      </c>
      <c r="E445" s="4" t="s">
        <v>335</v>
      </c>
      <c r="H445" t="s">
        <v>340</v>
      </c>
    </row>
    <row r="446" spans="1:8" x14ac:dyDescent="0.3">
      <c r="A446" t="s">
        <v>345</v>
      </c>
      <c r="B446" s="4">
        <f>IFERROR(INDEX(MASTER_REGISTER!C:C,MATCH(C446,MASTER_REGISTER!E:E,0)),"")</f>
        <v>10</v>
      </c>
      <c r="C446" s="4" t="s">
        <v>183</v>
      </c>
      <c r="D446" t="str">
        <f>IFERROR(INDEX(MASTER_REGISTER!F:F,MATCH(C446,MASTER_REGISTER!E:E,0)),"")</f>
        <v>Lerato Maseko</v>
      </c>
      <c r="E446" s="4" t="s">
        <v>337</v>
      </c>
      <c r="F446" t="s">
        <v>338</v>
      </c>
      <c r="G446" t="s">
        <v>339</v>
      </c>
    </row>
    <row r="447" spans="1:8" x14ac:dyDescent="0.3">
      <c r="A447" t="s">
        <v>345</v>
      </c>
      <c r="B447" s="4">
        <f>IFERROR(INDEX(MASTER_REGISTER!C:C,MATCH(C447,MASTER_REGISTER!E:E,0)),"")</f>
        <v>10</v>
      </c>
      <c r="C447" s="4" t="s">
        <v>188</v>
      </c>
      <c r="D447" t="str">
        <f>IFERROR(INDEX(MASTER_REGISTER!F:F,MATCH(C447,MASTER_REGISTER!E:E,0)),"")</f>
        <v>Sibusiso Molefe</v>
      </c>
      <c r="E447" s="4" t="s">
        <v>337</v>
      </c>
      <c r="F447" t="s">
        <v>338</v>
      </c>
      <c r="G447" t="s">
        <v>339</v>
      </c>
    </row>
    <row r="448" spans="1:8" x14ac:dyDescent="0.3">
      <c r="A448" t="s">
        <v>345</v>
      </c>
      <c r="B448" s="4">
        <f>IFERROR(INDEX(MASTER_REGISTER!C:C,MATCH(C448,MASTER_REGISTER!E:E,0)),"")</f>
        <v>10</v>
      </c>
      <c r="C448" s="4" t="s">
        <v>193</v>
      </c>
      <c r="D448" t="str">
        <f>IFERROR(INDEX(MASTER_REGISTER!F:F,MATCH(C448,MASTER_REGISTER!E:E,0)),"")</f>
        <v>Nandi Molefe</v>
      </c>
      <c r="E448" s="4" t="s">
        <v>337</v>
      </c>
      <c r="F448" t="s">
        <v>338</v>
      </c>
      <c r="G448" t="s">
        <v>339</v>
      </c>
    </row>
    <row r="449" spans="1:8" x14ac:dyDescent="0.3">
      <c r="A449" t="s">
        <v>345</v>
      </c>
      <c r="B449" s="4">
        <f>IFERROR(INDEX(MASTER_REGISTER!C:C,MATCH(C449,MASTER_REGISTER!E:E,0)),"")</f>
        <v>10</v>
      </c>
      <c r="C449" s="4" t="s">
        <v>198</v>
      </c>
      <c r="D449" t="str">
        <f>IFERROR(INDEX(MASTER_REGISTER!F:F,MATCH(C449,MASTER_REGISTER!E:E,0)),"")</f>
        <v>Kgothatso Baloyi</v>
      </c>
      <c r="E449" s="4" t="s">
        <v>337</v>
      </c>
      <c r="F449" t="s">
        <v>338</v>
      </c>
      <c r="G449" t="s">
        <v>339</v>
      </c>
    </row>
    <row r="450" spans="1:8" x14ac:dyDescent="0.3">
      <c r="A450" t="s">
        <v>345</v>
      </c>
      <c r="B450" s="4">
        <f>IFERROR(INDEX(MASTER_REGISTER!C:C,MATCH(C450,MASTER_REGISTER!E:E,0)),"")</f>
        <v>10</v>
      </c>
      <c r="C450" s="4" t="s">
        <v>202</v>
      </c>
      <c r="D450" t="str">
        <f>IFERROR(INDEX(MASTER_REGISTER!F:F,MATCH(C450,MASTER_REGISTER!E:E,0)),"")</f>
        <v>Ayanda Mokoena</v>
      </c>
      <c r="E450" s="4" t="s">
        <v>337</v>
      </c>
      <c r="F450" t="s">
        <v>338</v>
      </c>
      <c r="G450" t="s">
        <v>339</v>
      </c>
    </row>
    <row r="451" spans="1:8" x14ac:dyDescent="0.3">
      <c r="A451" t="s">
        <v>345</v>
      </c>
      <c r="B451" s="4">
        <f>IFERROR(INDEX(MASTER_REGISTER!C:C,MATCH(C451,MASTER_REGISTER!E:E,0)),"")</f>
        <v>10</v>
      </c>
      <c r="C451" s="4" t="s">
        <v>206</v>
      </c>
      <c r="D451" t="str">
        <f>IFERROR(INDEX(MASTER_REGISTER!F:F,MATCH(C451,MASTER_REGISTER!E:E,0)),"")</f>
        <v>Lwazi Baloyi</v>
      </c>
      <c r="E451" s="4" t="s">
        <v>337</v>
      </c>
      <c r="F451" t="s">
        <v>338</v>
      </c>
      <c r="G451" t="s">
        <v>339</v>
      </c>
    </row>
    <row r="452" spans="1:8" x14ac:dyDescent="0.3">
      <c r="A452" t="s">
        <v>345</v>
      </c>
      <c r="B452" s="4">
        <f>IFERROR(INDEX(MASTER_REGISTER!C:C,MATCH(C452,MASTER_REGISTER!E:E,0)),"")</f>
        <v>10</v>
      </c>
      <c r="C452" s="4" t="s">
        <v>210</v>
      </c>
      <c r="D452" t="str">
        <f>IFERROR(INDEX(MASTER_REGISTER!F:F,MATCH(C452,MASTER_REGISTER!E:E,0)),"")</f>
        <v>Siyanda Mokoena</v>
      </c>
      <c r="E452" s="4" t="s">
        <v>337</v>
      </c>
      <c r="F452" t="s">
        <v>338</v>
      </c>
      <c r="G452" t="s">
        <v>339</v>
      </c>
    </row>
    <row r="453" spans="1:8" x14ac:dyDescent="0.3">
      <c r="A453" t="s">
        <v>345</v>
      </c>
      <c r="B453" s="4">
        <f>IFERROR(INDEX(MASTER_REGISTER!C:C,MATCH(C453,MASTER_REGISTER!E:E,0)),"")</f>
        <v>10</v>
      </c>
      <c r="C453" s="4" t="s">
        <v>214</v>
      </c>
      <c r="D453" t="str">
        <f>IFERROR(INDEX(MASTER_REGISTER!F:F,MATCH(C453,MASTER_REGISTER!E:E,0)),"")</f>
        <v>Mpho Ngobeni</v>
      </c>
      <c r="E453" s="4" t="s">
        <v>337</v>
      </c>
      <c r="F453" t="s">
        <v>338</v>
      </c>
      <c r="G453" t="s">
        <v>339</v>
      </c>
    </row>
    <row r="454" spans="1:8" x14ac:dyDescent="0.3">
      <c r="A454" t="s">
        <v>345</v>
      </c>
      <c r="B454" s="4">
        <f>IFERROR(INDEX(MASTER_REGISTER!C:C,MATCH(C454,MASTER_REGISTER!E:E,0)),"")</f>
        <v>10</v>
      </c>
      <c r="C454" s="4" t="s">
        <v>217</v>
      </c>
      <c r="D454" t="str">
        <f>IFERROR(INDEX(MASTER_REGISTER!F:F,MATCH(C454,MASTER_REGISTER!E:E,0)),"")</f>
        <v>Naledi Makhubela</v>
      </c>
      <c r="E454" s="4" t="s">
        <v>337</v>
      </c>
      <c r="F454" t="s">
        <v>338</v>
      </c>
      <c r="G454" t="s">
        <v>339</v>
      </c>
    </row>
    <row r="455" spans="1:8" x14ac:dyDescent="0.3">
      <c r="A455" t="s">
        <v>345</v>
      </c>
      <c r="B455" s="4">
        <f>IFERROR(INDEX(MASTER_REGISTER!C:C,MATCH(C455,MASTER_REGISTER!E:E,0)),"")</f>
        <v>10</v>
      </c>
      <c r="C455" s="4" t="s">
        <v>221</v>
      </c>
      <c r="D455" t="str">
        <f>IFERROR(INDEX(MASTER_REGISTER!F:F,MATCH(C455,MASTER_REGISTER!E:E,0)),"")</f>
        <v>Kgothatso Mokoena</v>
      </c>
      <c r="E455" s="4" t="s">
        <v>335</v>
      </c>
      <c r="H455" t="s">
        <v>340</v>
      </c>
    </row>
    <row r="456" spans="1:8" x14ac:dyDescent="0.3">
      <c r="A456" t="s">
        <v>345</v>
      </c>
      <c r="B456" s="4">
        <f>IFERROR(INDEX(MASTER_REGISTER!C:C,MATCH(C456,MASTER_REGISTER!E:E,0)),"")</f>
        <v>10</v>
      </c>
      <c r="C456" s="4" t="s">
        <v>225</v>
      </c>
      <c r="D456" t="str">
        <f>IFERROR(INDEX(MASTER_REGISTER!F:F,MATCH(C456,MASTER_REGISTER!E:E,0)),"")</f>
        <v>Bongani Makhubela</v>
      </c>
      <c r="E456" s="4" t="s">
        <v>337</v>
      </c>
      <c r="F456" t="s">
        <v>338</v>
      </c>
      <c r="G456" t="s">
        <v>339</v>
      </c>
    </row>
    <row r="457" spans="1:8" x14ac:dyDescent="0.3">
      <c r="A457" t="s">
        <v>345</v>
      </c>
      <c r="B457" s="4">
        <f>IFERROR(INDEX(MASTER_REGISTER!C:C,MATCH(C457,MASTER_REGISTER!E:E,0)),"")</f>
        <v>10</v>
      </c>
      <c r="C457" s="4" t="s">
        <v>229</v>
      </c>
      <c r="D457" t="str">
        <f>IFERROR(INDEX(MASTER_REGISTER!F:F,MATCH(C457,MASTER_REGISTER!E:E,0)),"")</f>
        <v>Kagiso Kekana</v>
      </c>
      <c r="E457" s="4" t="s">
        <v>337</v>
      </c>
      <c r="F457" t="s">
        <v>338</v>
      </c>
      <c r="G457" t="s">
        <v>339</v>
      </c>
    </row>
    <row r="458" spans="1:8" x14ac:dyDescent="0.3">
      <c r="A458" t="s">
        <v>345</v>
      </c>
      <c r="B458" s="4">
        <f>IFERROR(INDEX(MASTER_REGISTER!C:C,MATCH(C458,MASTER_REGISTER!E:E,0)),"")</f>
        <v>11</v>
      </c>
      <c r="C458" s="4" t="s">
        <v>233</v>
      </c>
      <c r="D458" t="str">
        <f>IFERROR(INDEX(MASTER_REGISTER!F:F,MATCH(C458,MASTER_REGISTER!E:E,0)),"")</f>
        <v>Lwazi Makhubela</v>
      </c>
      <c r="E458" s="4" t="s">
        <v>335</v>
      </c>
      <c r="H458" t="s">
        <v>340</v>
      </c>
    </row>
    <row r="459" spans="1:8" x14ac:dyDescent="0.3">
      <c r="A459" t="s">
        <v>345</v>
      </c>
      <c r="B459" s="4">
        <f>IFERROR(INDEX(MASTER_REGISTER!C:C,MATCH(C459,MASTER_REGISTER!E:E,0)),"")</f>
        <v>11</v>
      </c>
      <c r="C459" s="4" t="s">
        <v>237</v>
      </c>
      <c r="D459" t="str">
        <f>IFERROR(INDEX(MASTER_REGISTER!F:F,MATCH(C459,MASTER_REGISTER!E:E,0)),"")</f>
        <v>Lebogang Ramushu</v>
      </c>
      <c r="E459" s="4" t="s">
        <v>337</v>
      </c>
      <c r="F459" t="s">
        <v>338</v>
      </c>
      <c r="G459" t="s">
        <v>339</v>
      </c>
    </row>
    <row r="460" spans="1:8" x14ac:dyDescent="0.3">
      <c r="A460" t="s">
        <v>345</v>
      </c>
      <c r="B460" s="4">
        <f>IFERROR(INDEX(MASTER_REGISTER!C:C,MATCH(C460,MASTER_REGISTER!E:E,0)),"")</f>
        <v>11</v>
      </c>
      <c r="C460" s="4" t="s">
        <v>241</v>
      </c>
      <c r="D460" t="str">
        <f>IFERROR(INDEX(MASTER_REGISTER!F:F,MATCH(C460,MASTER_REGISTER!E:E,0)),"")</f>
        <v>Lerato Kekana</v>
      </c>
      <c r="E460" s="4" t="s">
        <v>337</v>
      </c>
      <c r="F460" t="s">
        <v>338</v>
      </c>
      <c r="G460" t="s">
        <v>339</v>
      </c>
    </row>
    <row r="461" spans="1:8" x14ac:dyDescent="0.3">
      <c r="A461" t="s">
        <v>345</v>
      </c>
      <c r="B461" s="4">
        <f>IFERROR(INDEX(MASTER_REGISTER!C:C,MATCH(C461,MASTER_REGISTER!E:E,0)),"")</f>
        <v>11</v>
      </c>
      <c r="C461" s="4" t="s">
        <v>244</v>
      </c>
      <c r="D461" t="str">
        <f>IFERROR(INDEX(MASTER_REGISTER!F:F,MATCH(C461,MASTER_REGISTER!E:E,0)),"")</f>
        <v>Bongani Ndlovu</v>
      </c>
      <c r="E461" s="4" t="s">
        <v>337</v>
      </c>
      <c r="F461" t="s">
        <v>338</v>
      </c>
      <c r="G461" t="s">
        <v>339</v>
      </c>
    </row>
    <row r="462" spans="1:8" x14ac:dyDescent="0.3">
      <c r="A462" t="s">
        <v>345</v>
      </c>
      <c r="B462" s="4">
        <f>IFERROR(INDEX(MASTER_REGISTER!C:C,MATCH(C462,MASTER_REGISTER!E:E,0)),"")</f>
        <v>11</v>
      </c>
      <c r="C462" s="4" t="s">
        <v>248</v>
      </c>
      <c r="D462" t="str">
        <f>IFERROR(INDEX(MASTER_REGISTER!F:F,MATCH(C462,MASTER_REGISTER!E:E,0)),"")</f>
        <v>Sifiso Dlamini</v>
      </c>
      <c r="E462" s="4" t="s">
        <v>337</v>
      </c>
      <c r="F462" t="s">
        <v>338</v>
      </c>
      <c r="G462" t="s">
        <v>339</v>
      </c>
    </row>
    <row r="463" spans="1:8" x14ac:dyDescent="0.3">
      <c r="A463" t="s">
        <v>345</v>
      </c>
      <c r="B463" s="4">
        <f>IFERROR(INDEX(MASTER_REGISTER!C:C,MATCH(C463,MASTER_REGISTER!E:E,0)),"")</f>
        <v>11</v>
      </c>
      <c r="C463" s="4" t="s">
        <v>252</v>
      </c>
      <c r="D463" t="str">
        <f>IFERROR(INDEX(MASTER_REGISTER!F:F,MATCH(C463,MASTER_REGISTER!E:E,0)),"")</f>
        <v>Refilwe Dlamini</v>
      </c>
      <c r="E463" s="4" t="s">
        <v>337</v>
      </c>
      <c r="F463" t="s">
        <v>338</v>
      </c>
      <c r="G463" t="s">
        <v>339</v>
      </c>
    </row>
    <row r="464" spans="1:8" x14ac:dyDescent="0.3">
      <c r="A464" t="s">
        <v>345</v>
      </c>
      <c r="B464" s="4">
        <f>IFERROR(INDEX(MASTER_REGISTER!C:C,MATCH(C464,MASTER_REGISTER!E:E,0)),"")</f>
        <v>11</v>
      </c>
      <c r="C464" s="4" t="s">
        <v>256</v>
      </c>
      <c r="D464" t="str">
        <f>IFERROR(INDEX(MASTER_REGISTER!F:F,MATCH(C464,MASTER_REGISTER!E:E,0)),"")</f>
        <v>Lwazi Maseko</v>
      </c>
      <c r="E464" s="4" t="s">
        <v>337</v>
      </c>
      <c r="F464" t="s">
        <v>338</v>
      </c>
      <c r="G464" t="s">
        <v>339</v>
      </c>
    </row>
    <row r="465" spans="1:8" x14ac:dyDescent="0.3">
      <c r="A465" t="s">
        <v>345</v>
      </c>
      <c r="B465" s="4">
        <f>IFERROR(INDEX(MASTER_REGISTER!C:C,MATCH(C465,MASTER_REGISTER!E:E,0)),"")</f>
        <v>11</v>
      </c>
      <c r="C465" s="4" t="s">
        <v>260</v>
      </c>
      <c r="D465" t="str">
        <f>IFERROR(INDEX(MASTER_REGISTER!F:F,MATCH(C465,MASTER_REGISTER!E:E,0)),"")</f>
        <v>Refilwe Mokgadi</v>
      </c>
      <c r="E465" s="4" t="s">
        <v>337</v>
      </c>
      <c r="F465" t="s">
        <v>338</v>
      </c>
      <c r="G465" t="s">
        <v>339</v>
      </c>
    </row>
    <row r="466" spans="1:8" x14ac:dyDescent="0.3">
      <c r="A466" t="s">
        <v>345</v>
      </c>
      <c r="B466" s="4">
        <f>IFERROR(INDEX(MASTER_REGISTER!C:C,MATCH(C466,MASTER_REGISTER!E:E,0)),"")</f>
        <v>11</v>
      </c>
      <c r="C466" s="4" t="s">
        <v>264</v>
      </c>
      <c r="D466" t="str">
        <f>IFERROR(INDEX(MASTER_REGISTER!F:F,MATCH(C466,MASTER_REGISTER!E:E,0)),"")</f>
        <v>Kgothatso Molefe</v>
      </c>
      <c r="E466" s="4" t="s">
        <v>337</v>
      </c>
      <c r="F466" t="s">
        <v>338</v>
      </c>
      <c r="G466" t="s">
        <v>339</v>
      </c>
    </row>
    <row r="467" spans="1:8" x14ac:dyDescent="0.3">
      <c r="A467" t="s">
        <v>345</v>
      </c>
      <c r="B467" s="4">
        <f>IFERROR(INDEX(MASTER_REGISTER!C:C,MATCH(C467,MASTER_REGISTER!E:E,0)),"")</f>
        <v>11</v>
      </c>
      <c r="C467" s="4" t="s">
        <v>268</v>
      </c>
      <c r="D467" t="str">
        <f>IFERROR(INDEX(MASTER_REGISTER!F:F,MATCH(C467,MASTER_REGISTER!E:E,0)),"")</f>
        <v>Tshepo Mokgadi</v>
      </c>
      <c r="E467" s="4" t="s">
        <v>337</v>
      </c>
      <c r="F467" t="s">
        <v>338</v>
      </c>
      <c r="G467" t="s">
        <v>339</v>
      </c>
    </row>
    <row r="468" spans="1:8" x14ac:dyDescent="0.3">
      <c r="A468" t="s">
        <v>345</v>
      </c>
      <c r="B468" s="4">
        <f>IFERROR(INDEX(MASTER_REGISTER!C:C,MATCH(C468,MASTER_REGISTER!E:E,0)),"")</f>
        <v>11</v>
      </c>
      <c r="C468" s="4" t="s">
        <v>272</v>
      </c>
      <c r="D468" t="str">
        <f>IFERROR(INDEX(MASTER_REGISTER!F:F,MATCH(C468,MASTER_REGISTER!E:E,0)),"")</f>
        <v>Tshepo Phiri</v>
      </c>
      <c r="E468" s="4" t="s">
        <v>337</v>
      </c>
      <c r="F468" t="s">
        <v>338</v>
      </c>
      <c r="G468" t="s">
        <v>339</v>
      </c>
    </row>
    <row r="469" spans="1:8" x14ac:dyDescent="0.3">
      <c r="A469" t="s">
        <v>345</v>
      </c>
      <c r="B469" s="4">
        <f>IFERROR(INDEX(MASTER_REGISTER!C:C,MATCH(C469,MASTER_REGISTER!E:E,0)),"")</f>
        <v>11</v>
      </c>
      <c r="C469" s="4" t="s">
        <v>276</v>
      </c>
      <c r="D469" t="str">
        <f>IFERROR(INDEX(MASTER_REGISTER!F:F,MATCH(C469,MASTER_REGISTER!E:E,0)),"")</f>
        <v>Zanele Ngobeni</v>
      </c>
      <c r="E469" s="4" t="s">
        <v>337</v>
      </c>
      <c r="F469" t="s">
        <v>338</v>
      </c>
      <c r="G469" t="s">
        <v>339</v>
      </c>
    </row>
    <row r="470" spans="1:8" x14ac:dyDescent="0.3">
      <c r="A470" t="s">
        <v>345</v>
      </c>
      <c r="B470" s="4">
        <f>IFERROR(INDEX(MASTER_REGISTER!C:C,MATCH(C470,MASTER_REGISTER!E:E,0)),"")</f>
        <v>12</v>
      </c>
      <c r="C470" s="4" t="s">
        <v>280</v>
      </c>
      <c r="D470" t="str">
        <f>IFERROR(INDEX(MASTER_REGISTER!F:F,MATCH(C470,MASTER_REGISTER!E:E,0)),"")</f>
        <v>Palesa Mokoena</v>
      </c>
      <c r="E470" s="4" t="s">
        <v>337</v>
      </c>
      <c r="F470" t="s">
        <v>338</v>
      </c>
      <c r="G470" t="s">
        <v>339</v>
      </c>
    </row>
    <row r="471" spans="1:8" x14ac:dyDescent="0.3">
      <c r="A471" t="s">
        <v>345</v>
      </c>
      <c r="B471" s="4">
        <f>IFERROR(INDEX(MASTER_REGISTER!C:C,MATCH(C471,MASTER_REGISTER!E:E,0)),"")</f>
        <v>12</v>
      </c>
      <c r="C471" s="4" t="s">
        <v>284</v>
      </c>
      <c r="D471" t="str">
        <f>IFERROR(INDEX(MASTER_REGISTER!F:F,MATCH(C471,MASTER_REGISTER!E:E,0)),"")</f>
        <v>Thabo Ramushu</v>
      </c>
      <c r="E471" s="4" t="s">
        <v>337</v>
      </c>
      <c r="F471" t="s">
        <v>338</v>
      </c>
      <c r="G471" t="s">
        <v>339</v>
      </c>
    </row>
    <row r="472" spans="1:8" x14ac:dyDescent="0.3">
      <c r="A472" t="s">
        <v>345</v>
      </c>
      <c r="B472" s="4">
        <f>IFERROR(INDEX(MASTER_REGISTER!C:C,MATCH(C472,MASTER_REGISTER!E:E,0)),"")</f>
        <v>12</v>
      </c>
      <c r="C472" s="4" t="s">
        <v>288</v>
      </c>
      <c r="D472" t="str">
        <f>IFERROR(INDEX(MASTER_REGISTER!F:F,MATCH(C472,MASTER_REGISTER!E:E,0)),"")</f>
        <v>Lwazi Ndlovu</v>
      </c>
      <c r="E472" s="4" t="s">
        <v>337</v>
      </c>
      <c r="F472" t="s">
        <v>338</v>
      </c>
      <c r="G472" t="s">
        <v>339</v>
      </c>
    </row>
    <row r="473" spans="1:8" x14ac:dyDescent="0.3">
      <c r="A473" t="s">
        <v>345</v>
      </c>
      <c r="B473" s="4">
        <f>IFERROR(INDEX(MASTER_REGISTER!C:C,MATCH(C473,MASTER_REGISTER!E:E,0)),"")</f>
        <v>12</v>
      </c>
      <c r="C473" s="4" t="s">
        <v>292</v>
      </c>
      <c r="D473" t="str">
        <f>IFERROR(INDEX(MASTER_REGISTER!F:F,MATCH(C473,MASTER_REGISTER!E:E,0)),"")</f>
        <v>Ayanda Dlamini</v>
      </c>
      <c r="E473" s="4" t="s">
        <v>335</v>
      </c>
      <c r="H473" t="s">
        <v>341</v>
      </c>
    </row>
    <row r="474" spans="1:8" x14ac:dyDescent="0.3">
      <c r="A474" t="s">
        <v>345</v>
      </c>
      <c r="B474" s="4">
        <f>IFERROR(INDEX(MASTER_REGISTER!C:C,MATCH(C474,MASTER_REGISTER!E:E,0)),"")</f>
        <v>12</v>
      </c>
      <c r="C474" s="4" t="s">
        <v>296</v>
      </c>
      <c r="D474" t="str">
        <f>IFERROR(INDEX(MASTER_REGISTER!F:F,MATCH(C474,MASTER_REGISTER!E:E,0)),"")</f>
        <v>Neo Ndlovu</v>
      </c>
      <c r="E474" s="4" t="s">
        <v>337</v>
      </c>
      <c r="F474" t="s">
        <v>338</v>
      </c>
      <c r="G474" t="s">
        <v>339</v>
      </c>
    </row>
    <row r="475" spans="1:8" x14ac:dyDescent="0.3">
      <c r="A475" t="s">
        <v>345</v>
      </c>
      <c r="B475" s="4">
        <f>IFERROR(INDEX(MASTER_REGISTER!C:C,MATCH(C475,MASTER_REGISTER!E:E,0)),"")</f>
        <v>12</v>
      </c>
      <c r="C475" s="4" t="s">
        <v>300</v>
      </c>
      <c r="D475" t="str">
        <f>IFERROR(INDEX(MASTER_REGISTER!F:F,MATCH(C475,MASTER_REGISTER!E:E,0)),"")</f>
        <v>Neo Ramushu</v>
      </c>
      <c r="E475" s="4" t="s">
        <v>337</v>
      </c>
      <c r="F475" t="s">
        <v>338</v>
      </c>
      <c r="G475" t="s">
        <v>339</v>
      </c>
    </row>
    <row r="476" spans="1:8" x14ac:dyDescent="0.3">
      <c r="A476" t="s">
        <v>345</v>
      </c>
      <c r="B476" s="4">
        <f>IFERROR(INDEX(MASTER_REGISTER!C:C,MATCH(C476,MASTER_REGISTER!E:E,0)),"")</f>
        <v>12</v>
      </c>
      <c r="C476" s="4" t="s">
        <v>304</v>
      </c>
      <c r="D476" t="str">
        <f>IFERROR(INDEX(MASTER_REGISTER!F:F,MATCH(C476,MASTER_REGISTER!E:E,0)),"")</f>
        <v>Karabo Baloyi</v>
      </c>
      <c r="E476" s="4" t="s">
        <v>337</v>
      </c>
      <c r="F476" t="s">
        <v>338</v>
      </c>
      <c r="G476" t="s">
        <v>339</v>
      </c>
    </row>
    <row r="477" spans="1:8" x14ac:dyDescent="0.3">
      <c r="A477" t="s">
        <v>345</v>
      </c>
      <c r="B477" s="4">
        <f>IFERROR(INDEX(MASTER_REGISTER!C:C,MATCH(C477,MASTER_REGISTER!E:E,0)),"")</f>
        <v>12</v>
      </c>
      <c r="C477" s="4" t="s">
        <v>308</v>
      </c>
      <c r="D477" t="str">
        <f>IFERROR(INDEX(MASTER_REGISTER!F:F,MATCH(C477,MASTER_REGISTER!E:E,0)),"")</f>
        <v>Tshepo Mokgadi</v>
      </c>
      <c r="E477" s="4" t="s">
        <v>335</v>
      </c>
      <c r="H477" t="s">
        <v>341</v>
      </c>
    </row>
    <row r="478" spans="1:8" x14ac:dyDescent="0.3">
      <c r="A478" t="s">
        <v>345</v>
      </c>
      <c r="B478" s="4">
        <f>IFERROR(INDEX(MASTER_REGISTER!C:C,MATCH(C478,MASTER_REGISTER!E:E,0)),"")</f>
        <v>12</v>
      </c>
      <c r="C478" s="4" t="s">
        <v>311</v>
      </c>
      <c r="D478" t="str">
        <f>IFERROR(INDEX(MASTER_REGISTER!F:F,MATCH(C478,MASTER_REGISTER!E:E,0)),"")</f>
        <v>Sifiso Mavuso</v>
      </c>
      <c r="E478" s="4" t="s">
        <v>337</v>
      </c>
      <c r="F478" t="s">
        <v>338</v>
      </c>
      <c r="G478" t="s">
        <v>339</v>
      </c>
    </row>
    <row r="479" spans="1:8" x14ac:dyDescent="0.3">
      <c r="A479" t="s">
        <v>345</v>
      </c>
      <c r="B479" s="4">
        <f>IFERROR(INDEX(MASTER_REGISTER!C:C,MATCH(C479,MASTER_REGISTER!E:E,0)),"")</f>
        <v>12</v>
      </c>
      <c r="C479" s="4" t="s">
        <v>315</v>
      </c>
      <c r="D479" t="str">
        <f>IFERROR(INDEX(MASTER_REGISTER!F:F,MATCH(C479,MASTER_REGISTER!E:E,0)),"")</f>
        <v>Refilwe Sithole</v>
      </c>
      <c r="E479" s="4" t="s">
        <v>337</v>
      </c>
      <c r="F479" t="s">
        <v>338</v>
      </c>
      <c r="G479" t="s">
        <v>339</v>
      </c>
    </row>
    <row r="480" spans="1:8" x14ac:dyDescent="0.3">
      <c r="A480" t="s">
        <v>345</v>
      </c>
      <c r="B480" s="4">
        <f>IFERROR(INDEX(MASTER_REGISTER!C:C,MATCH(C480,MASTER_REGISTER!E:E,0)),"")</f>
        <v>12</v>
      </c>
      <c r="C480" s="4" t="s">
        <v>319</v>
      </c>
      <c r="D480" t="str">
        <f>IFERROR(INDEX(MASTER_REGISTER!F:F,MATCH(C480,MASTER_REGISTER!E:E,0)),"")</f>
        <v>Lerato Sithole</v>
      </c>
      <c r="E480" s="4" t="s">
        <v>337</v>
      </c>
      <c r="F480" t="s">
        <v>338</v>
      </c>
      <c r="G480" t="s">
        <v>339</v>
      </c>
    </row>
    <row r="481" spans="1:7" x14ac:dyDescent="0.3">
      <c r="A481" t="s">
        <v>345</v>
      </c>
      <c r="B481" s="4">
        <f>IFERROR(INDEX(MASTER_REGISTER!C:C,MATCH(C481,MASTER_REGISTER!E:E,0)),"")</f>
        <v>12</v>
      </c>
      <c r="C481" s="4" t="s">
        <v>323</v>
      </c>
      <c r="D481" t="str">
        <f>IFERROR(INDEX(MASTER_REGISTER!F:F,MATCH(C481,MASTER_REGISTER!E:E,0)),"")</f>
        <v>Sibusiso Ngobeni</v>
      </c>
      <c r="E481" s="4" t="s">
        <v>337</v>
      </c>
      <c r="F481" t="s">
        <v>338</v>
      </c>
      <c r="G481" t="s">
        <v>339</v>
      </c>
    </row>
    <row r="482" spans="1:7" x14ac:dyDescent="0.3">
      <c r="A482" t="s">
        <v>346</v>
      </c>
      <c r="B482" s="4">
        <f>IFERROR(INDEX(MASTER_REGISTER!C:C,MATCH(C482,MASTER_REGISTER!E:E,0)),"")</f>
        <v>8</v>
      </c>
      <c r="C482" s="4" t="s">
        <v>50</v>
      </c>
      <c r="D482" t="str">
        <f>IFERROR(INDEX(MASTER_REGISTER!F:F,MATCH(C482,MASTER_REGISTER!E:E,0)),"")</f>
        <v>Lerato Nkosi</v>
      </c>
      <c r="E482" s="4" t="s">
        <v>337</v>
      </c>
      <c r="F482" t="s">
        <v>338</v>
      </c>
      <c r="G482" t="s">
        <v>339</v>
      </c>
    </row>
    <row r="483" spans="1:7" x14ac:dyDescent="0.3">
      <c r="A483" t="s">
        <v>346</v>
      </c>
      <c r="B483" s="4">
        <f>IFERROR(INDEX(MASTER_REGISTER!C:C,MATCH(C483,MASTER_REGISTER!E:E,0)),"")</f>
        <v>8</v>
      </c>
      <c r="C483" s="4" t="s">
        <v>58</v>
      </c>
      <c r="D483" t="str">
        <f>IFERROR(INDEX(MASTER_REGISTER!F:F,MATCH(C483,MASTER_REGISTER!E:E,0)),"")</f>
        <v>Karabo Maseko</v>
      </c>
      <c r="E483" s="4" t="s">
        <v>337</v>
      </c>
      <c r="F483" t="s">
        <v>338</v>
      </c>
      <c r="G483" t="s">
        <v>339</v>
      </c>
    </row>
    <row r="484" spans="1:7" x14ac:dyDescent="0.3">
      <c r="A484" t="s">
        <v>346</v>
      </c>
      <c r="B484" s="4">
        <f>IFERROR(INDEX(MASTER_REGISTER!C:C,MATCH(C484,MASTER_REGISTER!E:E,0)),"")</f>
        <v>8</v>
      </c>
      <c r="C484" s="4" t="s">
        <v>64</v>
      </c>
      <c r="D484" t="str">
        <f>IFERROR(INDEX(MASTER_REGISTER!F:F,MATCH(C484,MASTER_REGISTER!E:E,0)),"")</f>
        <v>Sifiso Sithole</v>
      </c>
      <c r="E484" s="4" t="s">
        <v>337</v>
      </c>
      <c r="F484" t="s">
        <v>338</v>
      </c>
      <c r="G484" t="s">
        <v>339</v>
      </c>
    </row>
    <row r="485" spans="1:7" x14ac:dyDescent="0.3">
      <c r="A485" t="s">
        <v>346</v>
      </c>
      <c r="B485" s="4">
        <f>IFERROR(INDEX(MASTER_REGISTER!C:C,MATCH(C485,MASTER_REGISTER!E:E,0)),"")</f>
        <v>8</v>
      </c>
      <c r="C485" s="4" t="s">
        <v>70</v>
      </c>
      <c r="D485" t="str">
        <f>IFERROR(INDEX(MASTER_REGISTER!F:F,MATCH(C485,MASTER_REGISTER!E:E,0)),"")</f>
        <v>Tshepo Ndlovu</v>
      </c>
      <c r="E485" s="4" t="s">
        <v>337</v>
      </c>
      <c r="F485" t="s">
        <v>338</v>
      </c>
      <c r="G485" t="s">
        <v>339</v>
      </c>
    </row>
    <row r="486" spans="1:7" x14ac:dyDescent="0.3">
      <c r="A486" t="s">
        <v>346</v>
      </c>
      <c r="B486" s="4">
        <f>IFERROR(INDEX(MASTER_REGISTER!C:C,MATCH(C486,MASTER_REGISTER!E:E,0)),"")</f>
        <v>8</v>
      </c>
      <c r="C486" s="4" t="s">
        <v>76</v>
      </c>
      <c r="D486" t="str">
        <f>IFERROR(INDEX(MASTER_REGISTER!F:F,MATCH(C486,MASTER_REGISTER!E:E,0)),"")</f>
        <v>Lwazi Mthembu</v>
      </c>
      <c r="E486" s="4" t="s">
        <v>337</v>
      </c>
      <c r="F486" t="s">
        <v>338</v>
      </c>
      <c r="G486" t="s">
        <v>339</v>
      </c>
    </row>
    <row r="487" spans="1:7" x14ac:dyDescent="0.3">
      <c r="A487" t="s">
        <v>346</v>
      </c>
      <c r="B487" s="4">
        <f>IFERROR(INDEX(MASTER_REGISTER!C:C,MATCH(C487,MASTER_REGISTER!E:E,0)),"")</f>
        <v>8</v>
      </c>
      <c r="C487" s="4" t="s">
        <v>82</v>
      </c>
      <c r="D487" t="str">
        <f>IFERROR(INDEX(MASTER_REGISTER!F:F,MATCH(C487,MASTER_REGISTER!E:E,0)),"")</f>
        <v>Karabo Ngobeni</v>
      </c>
      <c r="E487" s="4" t="s">
        <v>337</v>
      </c>
      <c r="F487" t="s">
        <v>338</v>
      </c>
      <c r="G487" t="s">
        <v>339</v>
      </c>
    </row>
    <row r="488" spans="1:7" x14ac:dyDescent="0.3">
      <c r="A488" t="s">
        <v>346</v>
      </c>
      <c r="B488" s="4">
        <f>IFERROR(INDEX(MASTER_REGISTER!C:C,MATCH(C488,MASTER_REGISTER!E:E,0)),"")</f>
        <v>8</v>
      </c>
      <c r="C488" s="4" t="s">
        <v>88</v>
      </c>
      <c r="D488" t="str">
        <f>IFERROR(INDEX(MASTER_REGISTER!F:F,MATCH(C488,MASTER_REGISTER!E:E,0)),"")</f>
        <v>Mpho Sithole</v>
      </c>
      <c r="E488" s="4" t="s">
        <v>337</v>
      </c>
      <c r="F488" t="s">
        <v>338</v>
      </c>
      <c r="G488" t="s">
        <v>339</v>
      </c>
    </row>
    <row r="489" spans="1:7" x14ac:dyDescent="0.3">
      <c r="A489" t="s">
        <v>346</v>
      </c>
      <c r="B489" s="4">
        <f>IFERROR(INDEX(MASTER_REGISTER!C:C,MATCH(C489,MASTER_REGISTER!E:E,0)),"")</f>
        <v>8</v>
      </c>
      <c r="C489" s="4" t="s">
        <v>94</v>
      </c>
      <c r="D489" t="str">
        <f>IFERROR(INDEX(MASTER_REGISTER!F:F,MATCH(C489,MASTER_REGISTER!E:E,0)),"")</f>
        <v>Tshepo Ramushu</v>
      </c>
      <c r="E489" s="4" t="s">
        <v>337</v>
      </c>
      <c r="F489" t="s">
        <v>338</v>
      </c>
      <c r="G489" t="s">
        <v>339</v>
      </c>
    </row>
    <row r="490" spans="1:7" x14ac:dyDescent="0.3">
      <c r="A490" t="s">
        <v>346</v>
      </c>
      <c r="B490" s="4">
        <f>IFERROR(INDEX(MASTER_REGISTER!C:C,MATCH(C490,MASTER_REGISTER!E:E,0)),"")</f>
        <v>8</v>
      </c>
      <c r="C490" s="4" t="s">
        <v>100</v>
      </c>
      <c r="D490" t="str">
        <f>IFERROR(INDEX(MASTER_REGISTER!F:F,MATCH(C490,MASTER_REGISTER!E:E,0)),"")</f>
        <v>Lerato Kekana</v>
      </c>
      <c r="E490" s="4" t="s">
        <v>337</v>
      </c>
      <c r="F490" t="s">
        <v>338</v>
      </c>
      <c r="G490" t="s">
        <v>339</v>
      </c>
    </row>
    <row r="491" spans="1:7" x14ac:dyDescent="0.3">
      <c r="A491" t="s">
        <v>346</v>
      </c>
      <c r="B491" s="4">
        <f>IFERROR(INDEX(MASTER_REGISTER!C:C,MATCH(C491,MASTER_REGISTER!E:E,0)),"")</f>
        <v>8</v>
      </c>
      <c r="C491" s="4" t="s">
        <v>106</v>
      </c>
      <c r="D491" t="str">
        <f>IFERROR(INDEX(MASTER_REGISTER!F:F,MATCH(C491,MASTER_REGISTER!E:E,0)),"")</f>
        <v>Neo Ngobeni</v>
      </c>
      <c r="E491" s="4" t="s">
        <v>337</v>
      </c>
      <c r="F491" t="s">
        <v>338</v>
      </c>
      <c r="G491" t="s">
        <v>339</v>
      </c>
    </row>
    <row r="492" spans="1:7" x14ac:dyDescent="0.3">
      <c r="A492" t="s">
        <v>346</v>
      </c>
      <c r="B492" s="4">
        <f>IFERROR(INDEX(MASTER_REGISTER!C:C,MATCH(C492,MASTER_REGISTER!E:E,0)),"")</f>
        <v>8</v>
      </c>
      <c r="C492" s="4" t="s">
        <v>112</v>
      </c>
      <c r="D492" t="str">
        <f>IFERROR(INDEX(MASTER_REGISTER!F:F,MATCH(C492,MASTER_REGISTER!E:E,0)),"")</f>
        <v>Thabo Mokgadi</v>
      </c>
      <c r="E492" s="4" t="s">
        <v>337</v>
      </c>
      <c r="F492" t="s">
        <v>338</v>
      </c>
      <c r="G492" t="s">
        <v>339</v>
      </c>
    </row>
    <row r="493" spans="1:7" x14ac:dyDescent="0.3">
      <c r="A493" t="s">
        <v>346</v>
      </c>
      <c r="B493" s="4">
        <f>IFERROR(INDEX(MASTER_REGISTER!C:C,MATCH(C493,MASTER_REGISTER!E:E,0)),"")</f>
        <v>8</v>
      </c>
      <c r="C493" s="4" t="s">
        <v>118</v>
      </c>
      <c r="D493" t="str">
        <f>IFERROR(INDEX(MASTER_REGISTER!F:F,MATCH(C493,MASTER_REGISTER!E:E,0)),"")</f>
        <v>Sifiso Mthembu</v>
      </c>
      <c r="E493" s="4" t="s">
        <v>337</v>
      </c>
      <c r="F493" t="s">
        <v>338</v>
      </c>
      <c r="G493" t="s">
        <v>339</v>
      </c>
    </row>
    <row r="494" spans="1:7" x14ac:dyDescent="0.3">
      <c r="A494" t="s">
        <v>346</v>
      </c>
      <c r="B494" s="4">
        <f>IFERROR(INDEX(MASTER_REGISTER!C:C,MATCH(C494,MASTER_REGISTER!E:E,0)),"")</f>
        <v>9</v>
      </c>
      <c r="C494" s="4" t="s">
        <v>123</v>
      </c>
      <c r="D494" t="str">
        <f>IFERROR(INDEX(MASTER_REGISTER!F:F,MATCH(C494,MASTER_REGISTER!E:E,0)),"")</f>
        <v>Karabo Phiri</v>
      </c>
      <c r="E494" s="4" t="s">
        <v>337</v>
      </c>
      <c r="F494" t="s">
        <v>338</v>
      </c>
      <c r="G494" t="s">
        <v>339</v>
      </c>
    </row>
    <row r="495" spans="1:7" x14ac:dyDescent="0.3">
      <c r="A495" t="s">
        <v>346</v>
      </c>
      <c r="B495" s="4">
        <f>IFERROR(INDEX(MASTER_REGISTER!C:C,MATCH(C495,MASTER_REGISTER!E:E,0)),"")</f>
        <v>9</v>
      </c>
      <c r="C495" s="4" t="s">
        <v>128</v>
      </c>
      <c r="D495" t="str">
        <f>IFERROR(INDEX(MASTER_REGISTER!F:F,MATCH(C495,MASTER_REGISTER!E:E,0)),"")</f>
        <v>Lerato Mahlangu</v>
      </c>
      <c r="E495" s="4" t="s">
        <v>337</v>
      </c>
      <c r="F495" t="s">
        <v>338</v>
      </c>
      <c r="G495" t="s">
        <v>339</v>
      </c>
    </row>
    <row r="496" spans="1:7" x14ac:dyDescent="0.3">
      <c r="A496" t="s">
        <v>346</v>
      </c>
      <c r="B496" s="4">
        <f>IFERROR(INDEX(MASTER_REGISTER!C:C,MATCH(C496,MASTER_REGISTER!E:E,0)),"")</f>
        <v>9</v>
      </c>
      <c r="C496" s="4" t="s">
        <v>133</v>
      </c>
      <c r="D496" t="str">
        <f>IFERROR(INDEX(MASTER_REGISTER!F:F,MATCH(C496,MASTER_REGISTER!E:E,0)),"")</f>
        <v>Mpho Kekana</v>
      </c>
      <c r="E496" s="4" t="s">
        <v>337</v>
      </c>
      <c r="F496" t="s">
        <v>338</v>
      </c>
      <c r="G496" t="s">
        <v>339</v>
      </c>
    </row>
    <row r="497" spans="1:8" x14ac:dyDescent="0.3">
      <c r="A497" t="s">
        <v>346</v>
      </c>
      <c r="B497" s="4">
        <f>IFERROR(INDEX(MASTER_REGISTER!C:C,MATCH(C497,MASTER_REGISTER!E:E,0)),"")</f>
        <v>9</v>
      </c>
      <c r="C497" s="4" t="s">
        <v>138</v>
      </c>
      <c r="D497" t="str">
        <f>IFERROR(INDEX(MASTER_REGISTER!F:F,MATCH(C497,MASTER_REGISTER!E:E,0)),"")</f>
        <v>Thabo Molefe</v>
      </c>
      <c r="E497" s="4" t="s">
        <v>337</v>
      </c>
      <c r="F497" t="s">
        <v>338</v>
      </c>
      <c r="G497" t="s">
        <v>339</v>
      </c>
    </row>
    <row r="498" spans="1:8" x14ac:dyDescent="0.3">
      <c r="A498" t="s">
        <v>346</v>
      </c>
      <c r="B498" s="4">
        <f>IFERROR(INDEX(MASTER_REGISTER!C:C,MATCH(C498,MASTER_REGISTER!E:E,0)),"")</f>
        <v>9</v>
      </c>
      <c r="C498" s="4" t="s">
        <v>143</v>
      </c>
      <c r="D498" t="str">
        <f>IFERROR(INDEX(MASTER_REGISTER!F:F,MATCH(C498,MASTER_REGISTER!E:E,0)),"")</f>
        <v>Mpho Ngobeni</v>
      </c>
      <c r="E498" s="4" t="s">
        <v>337</v>
      </c>
      <c r="F498" t="s">
        <v>338</v>
      </c>
      <c r="G498" t="s">
        <v>339</v>
      </c>
    </row>
    <row r="499" spans="1:8" x14ac:dyDescent="0.3">
      <c r="A499" t="s">
        <v>346</v>
      </c>
      <c r="B499" s="4">
        <f>IFERROR(INDEX(MASTER_REGISTER!C:C,MATCH(C499,MASTER_REGISTER!E:E,0)),"")</f>
        <v>9</v>
      </c>
      <c r="C499" s="4" t="s">
        <v>148</v>
      </c>
      <c r="D499" t="str">
        <f>IFERROR(INDEX(MASTER_REGISTER!F:F,MATCH(C499,MASTER_REGISTER!E:E,0)),"")</f>
        <v>Siyanda Mhlongo</v>
      </c>
      <c r="E499" s="4" t="s">
        <v>337</v>
      </c>
      <c r="F499" t="s">
        <v>338</v>
      </c>
      <c r="G499" t="s">
        <v>339</v>
      </c>
    </row>
    <row r="500" spans="1:8" x14ac:dyDescent="0.3">
      <c r="A500" t="s">
        <v>346</v>
      </c>
      <c r="B500" s="4">
        <f>IFERROR(INDEX(MASTER_REGISTER!C:C,MATCH(C500,MASTER_REGISTER!E:E,0)),"")</f>
        <v>9</v>
      </c>
      <c r="C500" s="4" t="s">
        <v>153</v>
      </c>
      <c r="D500" t="str">
        <f>IFERROR(INDEX(MASTER_REGISTER!F:F,MATCH(C500,MASTER_REGISTER!E:E,0)),"")</f>
        <v>Siyanda Mahlangu</v>
      </c>
      <c r="E500" s="4" t="s">
        <v>337</v>
      </c>
      <c r="F500" t="s">
        <v>338</v>
      </c>
      <c r="G500" t="s">
        <v>339</v>
      </c>
    </row>
    <row r="501" spans="1:8" x14ac:dyDescent="0.3">
      <c r="A501" t="s">
        <v>346</v>
      </c>
      <c r="B501" s="4">
        <f>IFERROR(INDEX(MASTER_REGISTER!C:C,MATCH(C501,MASTER_REGISTER!E:E,0)),"")</f>
        <v>9</v>
      </c>
      <c r="C501" s="4" t="s">
        <v>158</v>
      </c>
      <c r="D501" t="str">
        <f>IFERROR(INDEX(MASTER_REGISTER!F:F,MATCH(C501,MASTER_REGISTER!E:E,0)),"")</f>
        <v>Sifiso Ramushu</v>
      </c>
      <c r="E501" s="4" t="s">
        <v>337</v>
      </c>
      <c r="F501" t="s">
        <v>338</v>
      </c>
      <c r="G501" t="s">
        <v>339</v>
      </c>
    </row>
    <row r="502" spans="1:8" x14ac:dyDescent="0.3">
      <c r="A502" t="s">
        <v>346</v>
      </c>
      <c r="B502">
        <f>IFERROR(INDEX(MASTER_REGISTER!C:C,MATCH(C502,MASTER_REGISTER!E:E,0)),"")</f>
        <v>9</v>
      </c>
      <c r="C502" t="s">
        <v>163</v>
      </c>
      <c r="D502" t="str">
        <f>IFERROR(INDEX(MASTER_REGISTER!F:F,MATCH(C502,MASTER_REGISTER!E:E,0)),"")</f>
        <v>Nandi Ngobeni</v>
      </c>
      <c r="E502" t="s">
        <v>337</v>
      </c>
      <c r="F502" t="s">
        <v>338</v>
      </c>
      <c r="G502" t="s">
        <v>339</v>
      </c>
    </row>
    <row r="503" spans="1:8" x14ac:dyDescent="0.3">
      <c r="A503" t="s">
        <v>346</v>
      </c>
      <c r="B503">
        <f>IFERROR(INDEX(MASTER_REGISTER!C:C,MATCH(C503,MASTER_REGISTER!E:E,0)),"")</f>
        <v>9</v>
      </c>
      <c r="C503" t="s">
        <v>168</v>
      </c>
      <c r="D503" t="str">
        <f>IFERROR(INDEX(MASTER_REGISTER!F:F,MATCH(C503,MASTER_REGISTER!E:E,0)),"")</f>
        <v>Karabo Mokgadi</v>
      </c>
      <c r="E503" t="s">
        <v>337</v>
      </c>
      <c r="F503" t="s">
        <v>338</v>
      </c>
      <c r="G503" t="s">
        <v>339</v>
      </c>
    </row>
    <row r="504" spans="1:8" x14ac:dyDescent="0.3">
      <c r="A504" t="s">
        <v>346</v>
      </c>
      <c r="B504">
        <f>IFERROR(INDEX(MASTER_REGISTER!C:C,MATCH(C504,MASTER_REGISTER!E:E,0)),"")</f>
        <v>9</v>
      </c>
      <c r="C504" t="s">
        <v>173</v>
      </c>
      <c r="D504" t="str">
        <f>IFERROR(INDEX(MASTER_REGISTER!F:F,MATCH(C504,MASTER_REGISTER!E:E,0)),"")</f>
        <v>Sifiso Mahlangu</v>
      </c>
      <c r="E504" t="s">
        <v>337</v>
      </c>
      <c r="F504" t="s">
        <v>338</v>
      </c>
      <c r="G504" t="s">
        <v>339</v>
      </c>
    </row>
    <row r="505" spans="1:8" x14ac:dyDescent="0.3">
      <c r="A505" t="s">
        <v>346</v>
      </c>
      <c r="B505">
        <f>IFERROR(INDEX(MASTER_REGISTER!C:C,MATCH(C505,MASTER_REGISTER!E:E,0)),"")</f>
        <v>9</v>
      </c>
      <c r="C505" t="s">
        <v>178</v>
      </c>
      <c r="D505" t="str">
        <f>IFERROR(INDEX(MASTER_REGISTER!F:F,MATCH(C505,MASTER_REGISTER!E:E,0)),"")</f>
        <v>Kgothatso Radebe</v>
      </c>
      <c r="E505" t="s">
        <v>335</v>
      </c>
      <c r="H505" t="s">
        <v>341</v>
      </c>
    </row>
    <row r="506" spans="1:8" x14ac:dyDescent="0.3">
      <c r="A506" t="s">
        <v>346</v>
      </c>
      <c r="B506">
        <f>IFERROR(INDEX(MASTER_REGISTER!C:C,MATCH(C506,MASTER_REGISTER!E:E,0)),"")</f>
        <v>10</v>
      </c>
      <c r="C506" t="s">
        <v>183</v>
      </c>
      <c r="D506" t="str">
        <f>IFERROR(INDEX(MASTER_REGISTER!F:F,MATCH(C506,MASTER_REGISTER!E:E,0)),"")</f>
        <v>Lerato Maseko</v>
      </c>
      <c r="E506" t="s">
        <v>335</v>
      </c>
      <c r="H506" t="s">
        <v>336</v>
      </c>
    </row>
    <row r="507" spans="1:8" x14ac:dyDescent="0.3">
      <c r="A507" t="s">
        <v>346</v>
      </c>
      <c r="B507">
        <f>IFERROR(INDEX(MASTER_REGISTER!C:C,MATCH(C507,MASTER_REGISTER!E:E,0)),"")</f>
        <v>10</v>
      </c>
      <c r="C507" t="s">
        <v>188</v>
      </c>
      <c r="D507" t="str">
        <f>IFERROR(INDEX(MASTER_REGISTER!F:F,MATCH(C507,MASTER_REGISTER!E:E,0)),"")</f>
        <v>Sibusiso Molefe</v>
      </c>
      <c r="E507" t="s">
        <v>337</v>
      </c>
      <c r="F507" t="s">
        <v>338</v>
      </c>
      <c r="G507" t="s">
        <v>339</v>
      </c>
    </row>
    <row r="508" spans="1:8" x14ac:dyDescent="0.3">
      <c r="A508" t="s">
        <v>346</v>
      </c>
      <c r="B508">
        <f>IFERROR(INDEX(MASTER_REGISTER!C:C,MATCH(C508,MASTER_REGISTER!E:E,0)),"")</f>
        <v>10</v>
      </c>
      <c r="C508" t="s">
        <v>193</v>
      </c>
      <c r="D508" t="str">
        <f>IFERROR(INDEX(MASTER_REGISTER!F:F,MATCH(C508,MASTER_REGISTER!E:E,0)),"")</f>
        <v>Nandi Molefe</v>
      </c>
      <c r="E508" t="s">
        <v>337</v>
      </c>
      <c r="F508" t="s">
        <v>338</v>
      </c>
      <c r="G508" t="s">
        <v>339</v>
      </c>
    </row>
    <row r="509" spans="1:8" x14ac:dyDescent="0.3">
      <c r="A509" t="s">
        <v>346</v>
      </c>
      <c r="B509">
        <f>IFERROR(INDEX(MASTER_REGISTER!C:C,MATCH(C509,MASTER_REGISTER!E:E,0)),"")</f>
        <v>10</v>
      </c>
      <c r="C509" t="s">
        <v>198</v>
      </c>
      <c r="D509" t="str">
        <f>IFERROR(INDEX(MASTER_REGISTER!F:F,MATCH(C509,MASTER_REGISTER!E:E,0)),"")</f>
        <v>Kgothatso Baloyi</v>
      </c>
      <c r="E509" t="s">
        <v>337</v>
      </c>
      <c r="F509" t="s">
        <v>338</v>
      </c>
      <c r="G509" t="s">
        <v>339</v>
      </c>
    </row>
    <row r="510" spans="1:8" x14ac:dyDescent="0.3">
      <c r="A510" t="s">
        <v>346</v>
      </c>
      <c r="B510">
        <f>IFERROR(INDEX(MASTER_REGISTER!C:C,MATCH(C510,MASTER_REGISTER!E:E,0)),"")</f>
        <v>10</v>
      </c>
      <c r="C510" t="s">
        <v>202</v>
      </c>
      <c r="D510" t="str">
        <f>IFERROR(INDEX(MASTER_REGISTER!F:F,MATCH(C510,MASTER_REGISTER!E:E,0)),"")</f>
        <v>Ayanda Mokoena</v>
      </c>
      <c r="E510" t="s">
        <v>337</v>
      </c>
      <c r="F510" t="s">
        <v>338</v>
      </c>
      <c r="G510" t="s">
        <v>339</v>
      </c>
    </row>
    <row r="511" spans="1:8" x14ac:dyDescent="0.3">
      <c r="A511" t="s">
        <v>346</v>
      </c>
      <c r="B511">
        <f>IFERROR(INDEX(MASTER_REGISTER!C:C,MATCH(C511,MASTER_REGISTER!E:E,0)),"")</f>
        <v>10</v>
      </c>
      <c r="C511" t="s">
        <v>206</v>
      </c>
      <c r="D511" t="str">
        <f>IFERROR(INDEX(MASTER_REGISTER!F:F,MATCH(C511,MASTER_REGISTER!E:E,0)),"")</f>
        <v>Lwazi Baloyi</v>
      </c>
      <c r="E511" t="s">
        <v>335</v>
      </c>
      <c r="H511" t="s">
        <v>336</v>
      </c>
    </row>
    <row r="512" spans="1:8" x14ac:dyDescent="0.3">
      <c r="A512" t="s">
        <v>346</v>
      </c>
      <c r="B512">
        <f>IFERROR(INDEX(MASTER_REGISTER!C:C,MATCH(C512,MASTER_REGISTER!E:E,0)),"")</f>
        <v>10</v>
      </c>
      <c r="C512" t="s">
        <v>210</v>
      </c>
      <c r="D512" t="str">
        <f>IFERROR(INDEX(MASTER_REGISTER!F:F,MATCH(C512,MASTER_REGISTER!E:E,0)),"")</f>
        <v>Siyanda Mokoena</v>
      </c>
      <c r="E512" t="s">
        <v>337</v>
      </c>
      <c r="F512" t="s">
        <v>338</v>
      </c>
      <c r="G512" t="s">
        <v>339</v>
      </c>
    </row>
    <row r="513" spans="1:8" x14ac:dyDescent="0.3">
      <c r="A513" t="s">
        <v>346</v>
      </c>
      <c r="B513">
        <f>IFERROR(INDEX(MASTER_REGISTER!C:C,MATCH(C513,MASTER_REGISTER!E:E,0)),"")</f>
        <v>10</v>
      </c>
      <c r="C513" t="s">
        <v>214</v>
      </c>
      <c r="D513" t="str">
        <f>IFERROR(INDEX(MASTER_REGISTER!F:F,MATCH(C513,MASTER_REGISTER!E:E,0)),"")</f>
        <v>Mpho Ngobeni</v>
      </c>
      <c r="E513" t="s">
        <v>335</v>
      </c>
      <c r="H513" t="s">
        <v>336</v>
      </c>
    </row>
    <row r="514" spans="1:8" x14ac:dyDescent="0.3">
      <c r="A514" t="s">
        <v>346</v>
      </c>
      <c r="B514">
        <f>IFERROR(INDEX(MASTER_REGISTER!C:C,MATCH(C514,MASTER_REGISTER!E:E,0)),"")</f>
        <v>10</v>
      </c>
      <c r="C514" t="s">
        <v>217</v>
      </c>
      <c r="D514" t="str">
        <f>IFERROR(INDEX(MASTER_REGISTER!F:F,MATCH(C514,MASTER_REGISTER!E:E,0)),"")</f>
        <v>Naledi Makhubela</v>
      </c>
      <c r="E514" t="s">
        <v>335</v>
      </c>
      <c r="H514" t="s">
        <v>336</v>
      </c>
    </row>
    <row r="515" spans="1:8" x14ac:dyDescent="0.3">
      <c r="A515" t="s">
        <v>346</v>
      </c>
      <c r="B515">
        <f>IFERROR(INDEX(MASTER_REGISTER!C:C,MATCH(C515,MASTER_REGISTER!E:E,0)),"")</f>
        <v>10</v>
      </c>
      <c r="C515" t="s">
        <v>221</v>
      </c>
      <c r="D515" t="str">
        <f>IFERROR(INDEX(MASTER_REGISTER!F:F,MATCH(C515,MASTER_REGISTER!E:E,0)),"")</f>
        <v>Kgothatso Mokoena</v>
      </c>
      <c r="E515" t="s">
        <v>337</v>
      </c>
      <c r="F515" t="s">
        <v>338</v>
      </c>
      <c r="G515" t="s">
        <v>339</v>
      </c>
    </row>
    <row r="516" spans="1:8" x14ac:dyDescent="0.3">
      <c r="A516" t="s">
        <v>346</v>
      </c>
      <c r="B516">
        <f>IFERROR(INDEX(MASTER_REGISTER!C:C,MATCH(C516,MASTER_REGISTER!E:E,0)),"")</f>
        <v>10</v>
      </c>
      <c r="C516" t="s">
        <v>225</v>
      </c>
      <c r="D516" t="str">
        <f>IFERROR(INDEX(MASTER_REGISTER!F:F,MATCH(C516,MASTER_REGISTER!E:E,0)),"")</f>
        <v>Bongani Makhubela</v>
      </c>
      <c r="E516" t="s">
        <v>337</v>
      </c>
      <c r="F516" t="s">
        <v>338</v>
      </c>
      <c r="G516" t="s">
        <v>339</v>
      </c>
    </row>
    <row r="517" spans="1:8" x14ac:dyDescent="0.3">
      <c r="A517" t="s">
        <v>346</v>
      </c>
      <c r="B517">
        <f>IFERROR(INDEX(MASTER_REGISTER!C:C,MATCH(C517,MASTER_REGISTER!E:E,0)),"")</f>
        <v>10</v>
      </c>
      <c r="C517" t="s">
        <v>229</v>
      </c>
      <c r="D517" t="str">
        <f>IFERROR(INDEX(MASTER_REGISTER!F:F,MATCH(C517,MASTER_REGISTER!E:E,0)),"")</f>
        <v>Kagiso Kekana</v>
      </c>
      <c r="E517" t="s">
        <v>337</v>
      </c>
      <c r="F517" t="s">
        <v>338</v>
      </c>
      <c r="G517" t="s">
        <v>339</v>
      </c>
    </row>
    <row r="518" spans="1:8" x14ac:dyDescent="0.3">
      <c r="A518" t="s">
        <v>346</v>
      </c>
      <c r="B518">
        <f>IFERROR(INDEX(MASTER_REGISTER!C:C,MATCH(C518,MASTER_REGISTER!E:E,0)),"")</f>
        <v>11</v>
      </c>
      <c r="C518" t="s">
        <v>233</v>
      </c>
      <c r="D518" t="str">
        <f>IFERROR(INDEX(MASTER_REGISTER!F:F,MATCH(C518,MASTER_REGISTER!E:E,0)),"")</f>
        <v>Lwazi Makhubela</v>
      </c>
      <c r="E518" t="s">
        <v>337</v>
      </c>
      <c r="F518" t="s">
        <v>338</v>
      </c>
      <c r="G518" t="s">
        <v>339</v>
      </c>
    </row>
    <row r="519" spans="1:8" x14ac:dyDescent="0.3">
      <c r="A519" t="s">
        <v>346</v>
      </c>
      <c r="B519">
        <f>IFERROR(INDEX(MASTER_REGISTER!C:C,MATCH(C519,MASTER_REGISTER!E:E,0)),"")</f>
        <v>11</v>
      </c>
      <c r="C519" t="s">
        <v>237</v>
      </c>
      <c r="D519" t="str">
        <f>IFERROR(INDEX(MASTER_REGISTER!F:F,MATCH(C519,MASTER_REGISTER!E:E,0)),"")</f>
        <v>Lebogang Ramushu</v>
      </c>
      <c r="E519" t="s">
        <v>337</v>
      </c>
      <c r="F519" t="s">
        <v>338</v>
      </c>
      <c r="G519" t="s">
        <v>339</v>
      </c>
    </row>
    <row r="520" spans="1:8" x14ac:dyDescent="0.3">
      <c r="A520" t="s">
        <v>346</v>
      </c>
      <c r="B520">
        <f>IFERROR(INDEX(MASTER_REGISTER!C:C,MATCH(C520,MASTER_REGISTER!E:E,0)),"")</f>
        <v>11</v>
      </c>
      <c r="C520" t="s">
        <v>241</v>
      </c>
      <c r="D520" t="str">
        <f>IFERROR(INDEX(MASTER_REGISTER!F:F,MATCH(C520,MASTER_REGISTER!E:E,0)),"")</f>
        <v>Lerato Kekana</v>
      </c>
      <c r="E520" t="s">
        <v>337</v>
      </c>
      <c r="F520" t="s">
        <v>338</v>
      </c>
      <c r="G520" t="s">
        <v>339</v>
      </c>
    </row>
    <row r="521" spans="1:8" x14ac:dyDescent="0.3">
      <c r="A521" t="s">
        <v>346</v>
      </c>
      <c r="B521">
        <f>IFERROR(INDEX(MASTER_REGISTER!C:C,MATCH(C521,MASTER_REGISTER!E:E,0)),"")</f>
        <v>11</v>
      </c>
      <c r="C521" t="s">
        <v>244</v>
      </c>
      <c r="D521" t="str">
        <f>IFERROR(INDEX(MASTER_REGISTER!F:F,MATCH(C521,MASTER_REGISTER!E:E,0)),"")</f>
        <v>Bongani Ndlovu</v>
      </c>
      <c r="E521" t="s">
        <v>337</v>
      </c>
      <c r="F521" t="s">
        <v>338</v>
      </c>
      <c r="G521" t="s">
        <v>339</v>
      </c>
    </row>
    <row r="522" spans="1:8" x14ac:dyDescent="0.3">
      <c r="A522" t="s">
        <v>346</v>
      </c>
      <c r="B522">
        <f>IFERROR(INDEX(MASTER_REGISTER!C:C,MATCH(C522,MASTER_REGISTER!E:E,0)),"")</f>
        <v>11</v>
      </c>
      <c r="C522" t="s">
        <v>248</v>
      </c>
      <c r="D522" t="str">
        <f>IFERROR(INDEX(MASTER_REGISTER!F:F,MATCH(C522,MASTER_REGISTER!E:E,0)),"")</f>
        <v>Sifiso Dlamini</v>
      </c>
      <c r="E522" t="s">
        <v>337</v>
      </c>
      <c r="F522" t="s">
        <v>338</v>
      </c>
      <c r="G522" t="s">
        <v>339</v>
      </c>
    </row>
    <row r="523" spans="1:8" x14ac:dyDescent="0.3">
      <c r="A523" t="s">
        <v>346</v>
      </c>
      <c r="B523">
        <f>IFERROR(INDEX(MASTER_REGISTER!C:C,MATCH(C523,MASTER_REGISTER!E:E,0)),"")</f>
        <v>11</v>
      </c>
      <c r="C523" t="s">
        <v>252</v>
      </c>
      <c r="D523" t="str">
        <f>IFERROR(INDEX(MASTER_REGISTER!F:F,MATCH(C523,MASTER_REGISTER!E:E,0)),"")</f>
        <v>Refilwe Dlamini</v>
      </c>
      <c r="E523" t="s">
        <v>337</v>
      </c>
      <c r="F523" t="s">
        <v>338</v>
      </c>
      <c r="G523" t="s">
        <v>339</v>
      </c>
    </row>
    <row r="524" spans="1:8" x14ac:dyDescent="0.3">
      <c r="A524" t="s">
        <v>346</v>
      </c>
      <c r="B524">
        <f>IFERROR(INDEX(MASTER_REGISTER!C:C,MATCH(C524,MASTER_REGISTER!E:E,0)),"")</f>
        <v>11</v>
      </c>
      <c r="C524" t="s">
        <v>256</v>
      </c>
      <c r="D524" t="str">
        <f>IFERROR(INDEX(MASTER_REGISTER!F:F,MATCH(C524,MASTER_REGISTER!E:E,0)),"")</f>
        <v>Lwazi Maseko</v>
      </c>
      <c r="E524" t="s">
        <v>337</v>
      </c>
      <c r="F524" t="s">
        <v>338</v>
      </c>
      <c r="G524" t="s">
        <v>339</v>
      </c>
    </row>
    <row r="525" spans="1:8" x14ac:dyDescent="0.3">
      <c r="A525" t="s">
        <v>346</v>
      </c>
      <c r="B525">
        <f>IFERROR(INDEX(MASTER_REGISTER!C:C,MATCH(C525,MASTER_REGISTER!E:E,0)),"")</f>
        <v>11</v>
      </c>
      <c r="C525" t="s">
        <v>260</v>
      </c>
      <c r="D525" t="str">
        <f>IFERROR(INDEX(MASTER_REGISTER!F:F,MATCH(C525,MASTER_REGISTER!E:E,0)),"")</f>
        <v>Refilwe Mokgadi</v>
      </c>
      <c r="E525" t="s">
        <v>337</v>
      </c>
      <c r="F525" t="s">
        <v>338</v>
      </c>
      <c r="G525" t="s">
        <v>339</v>
      </c>
    </row>
    <row r="526" spans="1:8" x14ac:dyDescent="0.3">
      <c r="A526" t="s">
        <v>346</v>
      </c>
      <c r="B526">
        <f>IFERROR(INDEX(MASTER_REGISTER!C:C,MATCH(C526,MASTER_REGISTER!E:E,0)),"")</f>
        <v>11</v>
      </c>
      <c r="C526" t="s">
        <v>264</v>
      </c>
      <c r="D526" t="str">
        <f>IFERROR(INDEX(MASTER_REGISTER!F:F,MATCH(C526,MASTER_REGISTER!E:E,0)),"")</f>
        <v>Kgothatso Molefe</v>
      </c>
      <c r="E526" t="s">
        <v>337</v>
      </c>
      <c r="F526" t="s">
        <v>338</v>
      </c>
      <c r="G526" t="s">
        <v>339</v>
      </c>
    </row>
    <row r="527" spans="1:8" x14ac:dyDescent="0.3">
      <c r="A527" t="s">
        <v>346</v>
      </c>
      <c r="B527">
        <f>IFERROR(INDEX(MASTER_REGISTER!C:C,MATCH(C527,MASTER_REGISTER!E:E,0)),"")</f>
        <v>11</v>
      </c>
      <c r="C527" t="s">
        <v>268</v>
      </c>
      <c r="D527" t="str">
        <f>IFERROR(INDEX(MASTER_REGISTER!F:F,MATCH(C527,MASTER_REGISTER!E:E,0)),"")</f>
        <v>Tshepo Mokgadi</v>
      </c>
      <c r="E527" t="s">
        <v>337</v>
      </c>
      <c r="F527" t="s">
        <v>338</v>
      </c>
      <c r="G527" t="s">
        <v>339</v>
      </c>
    </row>
    <row r="528" spans="1:8" x14ac:dyDescent="0.3">
      <c r="A528" t="s">
        <v>346</v>
      </c>
      <c r="B528">
        <f>IFERROR(INDEX(MASTER_REGISTER!C:C,MATCH(C528,MASTER_REGISTER!E:E,0)),"")</f>
        <v>11</v>
      </c>
      <c r="C528" t="s">
        <v>272</v>
      </c>
      <c r="D528" t="str">
        <f>IFERROR(INDEX(MASTER_REGISTER!F:F,MATCH(C528,MASTER_REGISTER!E:E,0)),"")</f>
        <v>Tshepo Phiri</v>
      </c>
      <c r="E528" t="s">
        <v>337</v>
      </c>
      <c r="F528" t="s">
        <v>338</v>
      </c>
      <c r="G528" t="s">
        <v>339</v>
      </c>
    </row>
    <row r="529" spans="1:8" x14ac:dyDescent="0.3">
      <c r="A529" t="s">
        <v>346</v>
      </c>
      <c r="B529">
        <f>IFERROR(INDEX(MASTER_REGISTER!C:C,MATCH(C529,MASTER_REGISTER!E:E,0)),"")</f>
        <v>11</v>
      </c>
      <c r="C529" t="s">
        <v>276</v>
      </c>
      <c r="D529" t="str">
        <f>IFERROR(INDEX(MASTER_REGISTER!F:F,MATCH(C529,MASTER_REGISTER!E:E,0)),"")</f>
        <v>Zanele Ngobeni</v>
      </c>
      <c r="E529" t="s">
        <v>337</v>
      </c>
      <c r="F529" t="s">
        <v>338</v>
      </c>
      <c r="G529" t="s">
        <v>339</v>
      </c>
    </row>
    <row r="530" spans="1:8" x14ac:dyDescent="0.3">
      <c r="A530" t="s">
        <v>346</v>
      </c>
      <c r="B530">
        <f>IFERROR(INDEX(MASTER_REGISTER!C:C,MATCH(C530,MASTER_REGISTER!E:E,0)),"")</f>
        <v>12</v>
      </c>
      <c r="C530" t="s">
        <v>280</v>
      </c>
      <c r="D530" t="str">
        <f>IFERROR(INDEX(MASTER_REGISTER!F:F,MATCH(C530,MASTER_REGISTER!E:E,0)),"")</f>
        <v>Palesa Mokoena</v>
      </c>
      <c r="E530" t="s">
        <v>337</v>
      </c>
      <c r="F530" t="s">
        <v>338</v>
      </c>
      <c r="G530" t="s">
        <v>339</v>
      </c>
    </row>
    <row r="531" spans="1:8" x14ac:dyDescent="0.3">
      <c r="A531" t="s">
        <v>346</v>
      </c>
      <c r="B531">
        <f>IFERROR(INDEX(MASTER_REGISTER!C:C,MATCH(C531,MASTER_REGISTER!E:E,0)),"")</f>
        <v>12</v>
      </c>
      <c r="C531" t="s">
        <v>284</v>
      </c>
      <c r="D531" t="str">
        <f>IFERROR(INDEX(MASTER_REGISTER!F:F,MATCH(C531,MASTER_REGISTER!E:E,0)),"")</f>
        <v>Thabo Ramushu</v>
      </c>
      <c r="E531" t="s">
        <v>337</v>
      </c>
      <c r="F531" t="s">
        <v>338</v>
      </c>
      <c r="G531" t="s">
        <v>339</v>
      </c>
    </row>
    <row r="532" spans="1:8" x14ac:dyDescent="0.3">
      <c r="A532" t="s">
        <v>346</v>
      </c>
      <c r="B532">
        <f>IFERROR(INDEX(MASTER_REGISTER!C:C,MATCH(C532,MASTER_REGISTER!E:E,0)),"")</f>
        <v>12</v>
      </c>
      <c r="C532" t="s">
        <v>288</v>
      </c>
      <c r="D532" t="str">
        <f>IFERROR(INDEX(MASTER_REGISTER!F:F,MATCH(C532,MASTER_REGISTER!E:E,0)),"")</f>
        <v>Lwazi Ndlovu</v>
      </c>
      <c r="E532" t="s">
        <v>337</v>
      </c>
      <c r="F532" t="s">
        <v>338</v>
      </c>
      <c r="G532" t="s">
        <v>339</v>
      </c>
    </row>
    <row r="533" spans="1:8" x14ac:dyDescent="0.3">
      <c r="A533" t="s">
        <v>346</v>
      </c>
      <c r="B533">
        <f>IFERROR(INDEX(MASTER_REGISTER!C:C,MATCH(C533,MASTER_REGISTER!E:E,0)),"")</f>
        <v>12</v>
      </c>
      <c r="C533" t="s">
        <v>292</v>
      </c>
      <c r="D533" t="str">
        <f>IFERROR(INDEX(MASTER_REGISTER!F:F,MATCH(C533,MASTER_REGISTER!E:E,0)),"")</f>
        <v>Ayanda Dlamini</v>
      </c>
      <c r="E533" t="s">
        <v>337</v>
      </c>
      <c r="F533" t="s">
        <v>338</v>
      </c>
      <c r="G533" t="s">
        <v>339</v>
      </c>
    </row>
    <row r="534" spans="1:8" x14ac:dyDescent="0.3">
      <c r="A534" t="s">
        <v>346</v>
      </c>
      <c r="B534">
        <f>IFERROR(INDEX(MASTER_REGISTER!C:C,MATCH(C534,MASTER_REGISTER!E:E,0)),"")</f>
        <v>12</v>
      </c>
      <c r="C534" t="s">
        <v>296</v>
      </c>
      <c r="D534" t="str">
        <f>IFERROR(INDEX(MASTER_REGISTER!F:F,MATCH(C534,MASTER_REGISTER!E:E,0)),"")</f>
        <v>Neo Ndlovu</v>
      </c>
      <c r="E534" t="s">
        <v>337</v>
      </c>
      <c r="F534" t="s">
        <v>338</v>
      </c>
      <c r="G534" t="s">
        <v>339</v>
      </c>
    </row>
    <row r="535" spans="1:8" x14ac:dyDescent="0.3">
      <c r="A535" t="s">
        <v>346</v>
      </c>
      <c r="B535">
        <f>IFERROR(INDEX(MASTER_REGISTER!C:C,MATCH(C535,MASTER_REGISTER!E:E,0)),"")</f>
        <v>12</v>
      </c>
      <c r="C535" t="s">
        <v>300</v>
      </c>
      <c r="D535" t="str">
        <f>IFERROR(INDEX(MASTER_REGISTER!F:F,MATCH(C535,MASTER_REGISTER!E:E,0)),"")</f>
        <v>Neo Ramushu</v>
      </c>
      <c r="E535" t="s">
        <v>337</v>
      </c>
      <c r="F535" t="s">
        <v>338</v>
      </c>
      <c r="G535" t="s">
        <v>339</v>
      </c>
    </row>
    <row r="536" spans="1:8" x14ac:dyDescent="0.3">
      <c r="A536" t="s">
        <v>346</v>
      </c>
      <c r="B536">
        <f>IFERROR(INDEX(MASTER_REGISTER!C:C,MATCH(C536,MASTER_REGISTER!E:E,0)),"")</f>
        <v>12</v>
      </c>
      <c r="C536" t="s">
        <v>304</v>
      </c>
      <c r="D536" t="str">
        <f>IFERROR(INDEX(MASTER_REGISTER!F:F,MATCH(C536,MASTER_REGISTER!E:E,0)),"")</f>
        <v>Karabo Baloyi</v>
      </c>
      <c r="E536" t="s">
        <v>335</v>
      </c>
      <c r="H536" t="s">
        <v>341</v>
      </c>
    </row>
    <row r="537" spans="1:8" x14ac:dyDescent="0.3">
      <c r="A537" t="s">
        <v>346</v>
      </c>
      <c r="B537">
        <f>IFERROR(INDEX(MASTER_REGISTER!C:C,MATCH(C537,MASTER_REGISTER!E:E,0)),"")</f>
        <v>12</v>
      </c>
      <c r="C537" t="s">
        <v>308</v>
      </c>
      <c r="D537" t="str">
        <f>IFERROR(INDEX(MASTER_REGISTER!F:F,MATCH(C537,MASTER_REGISTER!E:E,0)),"")</f>
        <v>Tshepo Mokgadi</v>
      </c>
      <c r="E537" t="s">
        <v>337</v>
      </c>
      <c r="F537" t="s">
        <v>338</v>
      </c>
      <c r="G537" t="s">
        <v>339</v>
      </c>
    </row>
    <row r="538" spans="1:8" x14ac:dyDescent="0.3">
      <c r="A538" t="s">
        <v>346</v>
      </c>
      <c r="B538">
        <f>IFERROR(INDEX(MASTER_REGISTER!C:C,MATCH(C538,MASTER_REGISTER!E:E,0)),"")</f>
        <v>12</v>
      </c>
      <c r="C538" t="s">
        <v>311</v>
      </c>
      <c r="D538" t="str">
        <f>IFERROR(INDEX(MASTER_REGISTER!F:F,MATCH(C538,MASTER_REGISTER!E:E,0)),"")</f>
        <v>Sifiso Mavuso</v>
      </c>
      <c r="E538" t="s">
        <v>337</v>
      </c>
      <c r="F538" t="s">
        <v>338</v>
      </c>
      <c r="G538" t="s">
        <v>339</v>
      </c>
    </row>
    <row r="539" spans="1:8" x14ac:dyDescent="0.3">
      <c r="A539" t="s">
        <v>346</v>
      </c>
      <c r="B539">
        <f>IFERROR(INDEX(MASTER_REGISTER!C:C,MATCH(C539,MASTER_REGISTER!E:E,0)),"")</f>
        <v>12</v>
      </c>
      <c r="C539" t="s">
        <v>315</v>
      </c>
      <c r="D539" t="str">
        <f>IFERROR(INDEX(MASTER_REGISTER!F:F,MATCH(C539,MASTER_REGISTER!E:E,0)),"")</f>
        <v>Refilwe Sithole</v>
      </c>
      <c r="E539" t="s">
        <v>337</v>
      </c>
      <c r="F539" t="s">
        <v>338</v>
      </c>
      <c r="G539" t="s">
        <v>339</v>
      </c>
    </row>
    <row r="540" spans="1:8" x14ac:dyDescent="0.3">
      <c r="A540" t="s">
        <v>346</v>
      </c>
      <c r="B540">
        <f>IFERROR(INDEX(MASTER_REGISTER!C:C,MATCH(C540,MASTER_REGISTER!E:E,0)),"")</f>
        <v>12</v>
      </c>
      <c r="C540" t="s">
        <v>319</v>
      </c>
      <c r="D540" t="str">
        <f>IFERROR(INDEX(MASTER_REGISTER!F:F,MATCH(C540,MASTER_REGISTER!E:E,0)),"")</f>
        <v>Lerato Sithole</v>
      </c>
      <c r="E540" t="s">
        <v>335</v>
      </c>
      <c r="H540" t="s">
        <v>341</v>
      </c>
    </row>
    <row r="541" spans="1:8" x14ac:dyDescent="0.3">
      <c r="A541" t="s">
        <v>346</v>
      </c>
      <c r="B541">
        <f>IFERROR(INDEX(MASTER_REGISTER!C:C,MATCH(C541,MASTER_REGISTER!E:E,0)),"")</f>
        <v>12</v>
      </c>
      <c r="C541" t="s">
        <v>323</v>
      </c>
      <c r="D541" t="str">
        <f>IFERROR(INDEX(MASTER_REGISTER!F:F,MATCH(C541,MASTER_REGISTER!E:E,0)),"")</f>
        <v>Sibusiso Ngobeni</v>
      </c>
      <c r="E541" t="s">
        <v>337</v>
      </c>
      <c r="F541" t="s">
        <v>338</v>
      </c>
      <c r="G541" t="s">
        <v>339</v>
      </c>
    </row>
    <row r="542" spans="1:8" x14ac:dyDescent="0.3">
      <c r="A542" t="s">
        <v>347</v>
      </c>
      <c r="B542">
        <f>IFERROR(INDEX(MASTER_REGISTER!C:C,MATCH(C542,MASTER_REGISTER!E:E,0)),"")</f>
        <v>8</v>
      </c>
      <c r="C542" t="s">
        <v>50</v>
      </c>
      <c r="D542" t="str">
        <f>IFERROR(INDEX(MASTER_REGISTER!F:F,MATCH(C542,MASTER_REGISTER!E:E,0)),"")</f>
        <v>Lerato Nkosi</v>
      </c>
      <c r="E542" t="s">
        <v>337</v>
      </c>
      <c r="F542" t="s">
        <v>338</v>
      </c>
      <c r="G542" t="s">
        <v>339</v>
      </c>
    </row>
    <row r="543" spans="1:8" x14ac:dyDescent="0.3">
      <c r="A543" t="s">
        <v>347</v>
      </c>
      <c r="B543">
        <f>IFERROR(INDEX(MASTER_REGISTER!C:C,MATCH(C543,MASTER_REGISTER!E:E,0)),"")</f>
        <v>8</v>
      </c>
      <c r="C543" t="s">
        <v>58</v>
      </c>
      <c r="D543" t="str">
        <f>IFERROR(INDEX(MASTER_REGISTER!F:F,MATCH(C543,MASTER_REGISTER!E:E,0)),"")</f>
        <v>Karabo Maseko</v>
      </c>
      <c r="E543" t="s">
        <v>337</v>
      </c>
      <c r="F543" t="s">
        <v>338</v>
      </c>
      <c r="G543" t="s">
        <v>339</v>
      </c>
    </row>
    <row r="544" spans="1:8" x14ac:dyDescent="0.3">
      <c r="A544" t="s">
        <v>347</v>
      </c>
      <c r="B544">
        <f>IFERROR(INDEX(MASTER_REGISTER!C:C,MATCH(C544,MASTER_REGISTER!E:E,0)),"")</f>
        <v>8</v>
      </c>
      <c r="C544" t="s">
        <v>64</v>
      </c>
      <c r="D544" t="str">
        <f>IFERROR(INDEX(MASTER_REGISTER!F:F,MATCH(C544,MASTER_REGISTER!E:E,0)),"")</f>
        <v>Sifiso Sithole</v>
      </c>
      <c r="E544" t="s">
        <v>337</v>
      </c>
      <c r="F544" t="s">
        <v>338</v>
      </c>
      <c r="G544" t="s">
        <v>339</v>
      </c>
    </row>
    <row r="545" spans="1:8" x14ac:dyDescent="0.3">
      <c r="A545" t="s">
        <v>347</v>
      </c>
      <c r="B545">
        <f>IFERROR(INDEX(MASTER_REGISTER!C:C,MATCH(C545,MASTER_REGISTER!E:E,0)),"")</f>
        <v>8</v>
      </c>
      <c r="C545" t="s">
        <v>70</v>
      </c>
      <c r="D545" t="str">
        <f>IFERROR(INDEX(MASTER_REGISTER!F:F,MATCH(C545,MASTER_REGISTER!E:E,0)),"")</f>
        <v>Tshepo Ndlovu</v>
      </c>
      <c r="E545" t="s">
        <v>337</v>
      </c>
      <c r="F545" t="s">
        <v>338</v>
      </c>
      <c r="G545" t="s">
        <v>339</v>
      </c>
    </row>
    <row r="546" spans="1:8" x14ac:dyDescent="0.3">
      <c r="A546" t="s">
        <v>347</v>
      </c>
      <c r="B546">
        <f>IFERROR(INDEX(MASTER_REGISTER!C:C,MATCH(C546,MASTER_REGISTER!E:E,0)),"")</f>
        <v>8</v>
      </c>
      <c r="C546" t="s">
        <v>76</v>
      </c>
      <c r="D546" t="str">
        <f>IFERROR(INDEX(MASTER_REGISTER!F:F,MATCH(C546,MASTER_REGISTER!E:E,0)),"")</f>
        <v>Lwazi Mthembu</v>
      </c>
      <c r="E546" t="s">
        <v>335</v>
      </c>
      <c r="H546" t="s">
        <v>342</v>
      </c>
    </row>
    <row r="547" spans="1:8" x14ac:dyDescent="0.3">
      <c r="A547" t="s">
        <v>347</v>
      </c>
      <c r="B547">
        <f>IFERROR(INDEX(MASTER_REGISTER!C:C,MATCH(C547,MASTER_REGISTER!E:E,0)),"")</f>
        <v>8</v>
      </c>
      <c r="C547" t="s">
        <v>82</v>
      </c>
      <c r="D547" t="str">
        <f>IFERROR(INDEX(MASTER_REGISTER!F:F,MATCH(C547,MASTER_REGISTER!E:E,0)),"")</f>
        <v>Karabo Ngobeni</v>
      </c>
      <c r="E547" t="s">
        <v>337</v>
      </c>
      <c r="F547" t="s">
        <v>338</v>
      </c>
      <c r="G547" t="s">
        <v>339</v>
      </c>
    </row>
    <row r="548" spans="1:8" x14ac:dyDescent="0.3">
      <c r="A548" t="s">
        <v>347</v>
      </c>
      <c r="B548">
        <f>IFERROR(INDEX(MASTER_REGISTER!C:C,MATCH(C548,MASTER_REGISTER!E:E,0)),"")</f>
        <v>8</v>
      </c>
      <c r="C548" t="s">
        <v>88</v>
      </c>
      <c r="D548" t="str">
        <f>IFERROR(INDEX(MASTER_REGISTER!F:F,MATCH(C548,MASTER_REGISTER!E:E,0)),"")</f>
        <v>Mpho Sithole</v>
      </c>
      <c r="E548" t="s">
        <v>337</v>
      </c>
      <c r="F548" t="s">
        <v>338</v>
      </c>
      <c r="G548" t="s">
        <v>339</v>
      </c>
    </row>
    <row r="549" spans="1:8" x14ac:dyDescent="0.3">
      <c r="A549" t="s">
        <v>347</v>
      </c>
      <c r="B549">
        <f>IFERROR(INDEX(MASTER_REGISTER!C:C,MATCH(C549,MASTER_REGISTER!E:E,0)),"")</f>
        <v>8</v>
      </c>
      <c r="C549" t="s">
        <v>94</v>
      </c>
      <c r="D549" t="str">
        <f>IFERROR(INDEX(MASTER_REGISTER!F:F,MATCH(C549,MASTER_REGISTER!E:E,0)),"")</f>
        <v>Tshepo Ramushu</v>
      </c>
      <c r="E549" t="s">
        <v>337</v>
      </c>
      <c r="F549" t="s">
        <v>338</v>
      </c>
      <c r="G549" t="s">
        <v>339</v>
      </c>
    </row>
    <row r="550" spans="1:8" x14ac:dyDescent="0.3">
      <c r="A550" t="s">
        <v>347</v>
      </c>
      <c r="B550">
        <f>IFERROR(INDEX(MASTER_REGISTER!C:C,MATCH(C550,MASTER_REGISTER!E:E,0)),"")</f>
        <v>8</v>
      </c>
      <c r="C550" t="s">
        <v>100</v>
      </c>
      <c r="D550" t="str">
        <f>IFERROR(INDEX(MASTER_REGISTER!F:F,MATCH(C550,MASTER_REGISTER!E:E,0)),"")</f>
        <v>Lerato Kekana</v>
      </c>
      <c r="E550" t="s">
        <v>337</v>
      </c>
      <c r="F550" t="s">
        <v>338</v>
      </c>
      <c r="G550" t="s">
        <v>339</v>
      </c>
    </row>
    <row r="551" spans="1:8" x14ac:dyDescent="0.3">
      <c r="A551" t="s">
        <v>347</v>
      </c>
      <c r="B551">
        <f>IFERROR(INDEX(MASTER_REGISTER!C:C,MATCH(C551,MASTER_REGISTER!E:E,0)),"")</f>
        <v>8</v>
      </c>
      <c r="C551" t="s">
        <v>106</v>
      </c>
      <c r="D551" t="str">
        <f>IFERROR(INDEX(MASTER_REGISTER!F:F,MATCH(C551,MASTER_REGISTER!E:E,0)),"")</f>
        <v>Neo Ngobeni</v>
      </c>
      <c r="E551" t="s">
        <v>335</v>
      </c>
      <c r="H551" t="s">
        <v>341</v>
      </c>
    </row>
    <row r="552" spans="1:8" x14ac:dyDescent="0.3">
      <c r="A552" t="s">
        <v>347</v>
      </c>
      <c r="B552">
        <f>IFERROR(INDEX(MASTER_REGISTER!C:C,MATCH(C552,MASTER_REGISTER!E:E,0)),"")</f>
        <v>8</v>
      </c>
      <c r="C552" t="s">
        <v>112</v>
      </c>
      <c r="D552" t="str">
        <f>IFERROR(INDEX(MASTER_REGISTER!F:F,MATCH(C552,MASTER_REGISTER!E:E,0)),"")</f>
        <v>Thabo Mokgadi</v>
      </c>
      <c r="E552" t="s">
        <v>337</v>
      </c>
      <c r="F552" t="s">
        <v>338</v>
      </c>
      <c r="G552" t="s">
        <v>339</v>
      </c>
    </row>
    <row r="553" spans="1:8" x14ac:dyDescent="0.3">
      <c r="A553" t="s">
        <v>347</v>
      </c>
      <c r="B553">
        <f>IFERROR(INDEX(MASTER_REGISTER!C:C,MATCH(C553,MASTER_REGISTER!E:E,0)),"")</f>
        <v>8</v>
      </c>
      <c r="C553" t="s">
        <v>118</v>
      </c>
      <c r="D553" t="str">
        <f>IFERROR(INDEX(MASTER_REGISTER!F:F,MATCH(C553,MASTER_REGISTER!E:E,0)),"")</f>
        <v>Sifiso Mthembu</v>
      </c>
      <c r="E553" t="s">
        <v>335</v>
      </c>
      <c r="H553" t="s">
        <v>342</v>
      </c>
    </row>
    <row r="554" spans="1:8" x14ac:dyDescent="0.3">
      <c r="A554" t="s">
        <v>347</v>
      </c>
      <c r="B554">
        <f>IFERROR(INDEX(MASTER_REGISTER!C:C,MATCH(C554,MASTER_REGISTER!E:E,0)),"")</f>
        <v>9</v>
      </c>
      <c r="C554" t="s">
        <v>123</v>
      </c>
      <c r="D554" t="str">
        <f>IFERROR(INDEX(MASTER_REGISTER!F:F,MATCH(C554,MASTER_REGISTER!E:E,0)),"")</f>
        <v>Karabo Phiri</v>
      </c>
      <c r="E554" t="s">
        <v>337</v>
      </c>
      <c r="F554" t="s">
        <v>338</v>
      </c>
      <c r="G554" t="s">
        <v>339</v>
      </c>
    </row>
    <row r="555" spans="1:8" x14ac:dyDescent="0.3">
      <c r="A555" t="s">
        <v>347</v>
      </c>
      <c r="B555">
        <f>IFERROR(INDEX(MASTER_REGISTER!C:C,MATCH(C555,MASTER_REGISTER!E:E,0)),"")</f>
        <v>9</v>
      </c>
      <c r="C555" t="s">
        <v>128</v>
      </c>
      <c r="D555" t="str">
        <f>IFERROR(INDEX(MASTER_REGISTER!F:F,MATCH(C555,MASTER_REGISTER!E:E,0)),"")</f>
        <v>Lerato Mahlangu</v>
      </c>
      <c r="E555" t="s">
        <v>337</v>
      </c>
      <c r="F555" t="s">
        <v>338</v>
      </c>
      <c r="G555" t="s">
        <v>339</v>
      </c>
    </row>
    <row r="556" spans="1:8" x14ac:dyDescent="0.3">
      <c r="A556" t="s">
        <v>347</v>
      </c>
      <c r="B556">
        <f>IFERROR(INDEX(MASTER_REGISTER!C:C,MATCH(C556,MASTER_REGISTER!E:E,0)),"")</f>
        <v>9</v>
      </c>
      <c r="C556" t="s">
        <v>133</v>
      </c>
      <c r="D556" t="str">
        <f>IFERROR(INDEX(MASTER_REGISTER!F:F,MATCH(C556,MASTER_REGISTER!E:E,0)),"")</f>
        <v>Mpho Kekana</v>
      </c>
      <c r="E556" t="s">
        <v>337</v>
      </c>
      <c r="F556" t="s">
        <v>338</v>
      </c>
      <c r="G556" t="s">
        <v>339</v>
      </c>
    </row>
    <row r="557" spans="1:8" x14ac:dyDescent="0.3">
      <c r="A557" t="s">
        <v>347</v>
      </c>
      <c r="B557">
        <f>IFERROR(INDEX(MASTER_REGISTER!C:C,MATCH(C557,MASTER_REGISTER!E:E,0)),"")</f>
        <v>9</v>
      </c>
      <c r="C557" t="s">
        <v>138</v>
      </c>
      <c r="D557" t="str">
        <f>IFERROR(INDEX(MASTER_REGISTER!F:F,MATCH(C557,MASTER_REGISTER!E:E,0)),"")</f>
        <v>Thabo Molefe</v>
      </c>
      <c r="E557" t="s">
        <v>337</v>
      </c>
      <c r="F557" t="s">
        <v>338</v>
      </c>
      <c r="G557" t="s">
        <v>339</v>
      </c>
    </row>
    <row r="558" spans="1:8" x14ac:dyDescent="0.3">
      <c r="A558" t="s">
        <v>347</v>
      </c>
      <c r="B558">
        <f>IFERROR(INDEX(MASTER_REGISTER!C:C,MATCH(C558,MASTER_REGISTER!E:E,0)),"")</f>
        <v>9</v>
      </c>
      <c r="C558" t="s">
        <v>143</v>
      </c>
      <c r="D558" t="str">
        <f>IFERROR(INDEX(MASTER_REGISTER!F:F,MATCH(C558,MASTER_REGISTER!E:E,0)),"")</f>
        <v>Mpho Ngobeni</v>
      </c>
      <c r="E558" t="s">
        <v>337</v>
      </c>
      <c r="F558" t="s">
        <v>338</v>
      </c>
      <c r="G558" t="s">
        <v>339</v>
      </c>
    </row>
    <row r="559" spans="1:8" x14ac:dyDescent="0.3">
      <c r="A559" t="s">
        <v>347</v>
      </c>
      <c r="B559">
        <f>IFERROR(INDEX(MASTER_REGISTER!C:C,MATCH(C559,MASTER_REGISTER!E:E,0)),"")</f>
        <v>9</v>
      </c>
      <c r="C559" t="s">
        <v>148</v>
      </c>
      <c r="D559" t="str">
        <f>IFERROR(INDEX(MASTER_REGISTER!F:F,MATCH(C559,MASTER_REGISTER!E:E,0)),"")</f>
        <v>Siyanda Mhlongo</v>
      </c>
      <c r="E559" t="s">
        <v>337</v>
      </c>
      <c r="F559" t="s">
        <v>338</v>
      </c>
      <c r="G559" t="s">
        <v>339</v>
      </c>
    </row>
    <row r="560" spans="1:8" x14ac:dyDescent="0.3">
      <c r="A560" t="s">
        <v>347</v>
      </c>
      <c r="B560">
        <f>IFERROR(INDEX(MASTER_REGISTER!C:C,MATCH(C560,MASTER_REGISTER!E:E,0)),"")</f>
        <v>9</v>
      </c>
      <c r="C560" t="s">
        <v>153</v>
      </c>
      <c r="D560" t="str">
        <f>IFERROR(INDEX(MASTER_REGISTER!F:F,MATCH(C560,MASTER_REGISTER!E:E,0)),"")</f>
        <v>Siyanda Mahlangu</v>
      </c>
      <c r="E560" t="s">
        <v>337</v>
      </c>
      <c r="F560" t="s">
        <v>338</v>
      </c>
      <c r="G560" t="s">
        <v>339</v>
      </c>
    </row>
    <row r="561" spans="1:8" x14ac:dyDescent="0.3">
      <c r="A561" t="s">
        <v>347</v>
      </c>
      <c r="B561">
        <f>IFERROR(INDEX(MASTER_REGISTER!C:C,MATCH(C561,MASTER_REGISTER!E:E,0)),"")</f>
        <v>9</v>
      </c>
      <c r="C561" t="s">
        <v>158</v>
      </c>
      <c r="D561" t="str">
        <f>IFERROR(INDEX(MASTER_REGISTER!F:F,MATCH(C561,MASTER_REGISTER!E:E,0)),"")</f>
        <v>Sifiso Ramushu</v>
      </c>
      <c r="E561" t="s">
        <v>337</v>
      </c>
      <c r="F561" t="s">
        <v>338</v>
      </c>
      <c r="G561" t="s">
        <v>339</v>
      </c>
    </row>
    <row r="562" spans="1:8" x14ac:dyDescent="0.3">
      <c r="A562" t="s">
        <v>347</v>
      </c>
      <c r="B562">
        <f>IFERROR(INDEX(MASTER_REGISTER!C:C,MATCH(C562,MASTER_REGISTER!E:E,0)),"")</f>
        <v>9</v>
      </c>
      <c r="C562" t="s">
        <v>163</v>
      </c>
      <c r="D562" t="str">
        <f>IFERROR(INDEX(MASTER_REGISTER!F:F,MATCH(C562,MASTER_REGISTER!E:E,0)),"")</f>
        <v>Nandi Ngobeni</v>
      </c>
      <c r="E562" t="s">
        <v>337</v>
      </c>
      <c r="F562" t="s">
        <v>338</v>
      </c>
      <c r="G562" t="s">
        <v>339</v>
      </c>
    </row>
    <row r="563" spans="1:8" x14ac:dyDescent="0.3">
      <c r="A563" t="s">
        <v>347</v>
      </c>
      <c r="B563">
        <f>IFERROR(INDEX(MASTER_REGISTER!C:C,MATCH(C563,MASTER_REGISTER!E:E,0)),"")</f>
        <v>9</v>
      </c>
      <c r="C563" t="s">
        <v>168</v>
      </c>
      <c r="D563" t="str">
        <f>IFERROR(INDEX(MASTER_REGISTER!F:F,MATCH(C563,MASTER_REGISTER!E:E,0)),"")</f>
        <v>Karabo Mokgadi</v>
      </c>
      <c r="E563" t="s">
        <v>337</v>
      </c>
      <c r="F563" t="s">
        <v>338</v>
      </c>
      <c r="G563" t="s">
        <v>339</v>
      </c>
    </row>
    <row r="564" spans="1:8" x14ac:dyDescent="0.3">
      <c r="A564" t="s">
        <v>347</v>
      </c>
      <c r="B564">
        <f>IFERROR(INDEX(MASTER_REGISTER!C:C,MATCH(C564,MASTER_REGISTER!E:E,0)),"")</f>
        <v>9</v>
      </c>
      <c r="C564" t="s">
        <v>173</v>
      </c>
      <c r="D564" t="str">
        <f>IFERROR(INDEX(MASTER_REGISTER!F:F,MATCH(C564,MASTER_REGISTER!E:E,0)),"")</f>
        <v>Sifiso Mahlangu</v>
      </c>
      <c r="E564" t="s">
        <v>337</v>
      </c>
      <c r="F564" t="s">
        <v>338</v>
      </c>
      <c r="G564" t="s">
        <v>339</v>
      </c>
    </row>
    <row r="565" spans="1:8" x14ac:dyDescent="0.3">
      <c r="A565" t="s">
        <v>347</v>
      </c>
      <c r="B565">
        <f>IFERROR(INDEX(MASTER_REGISTER!C:C,MATCH(C565,MASTER_REGISTER!E:E,0)),"")</f>
        <v>9</v>
      </c>
      <c r="C565" t="s">
        <v>178</v>
      </c>
      <c r="D565" t="str">
        <f>IFERROR(INDEX(MASTER_REGISTER!F:F,MATCH(C565,MASTER_REGISTER!E:E,0)),"")</f>
        <v>Kgothatso Radebe</v>
      </c>
      <c r="E565" t="s">
        <v>337</v>
      </c>
      <c r="F565" t="s">
        <v>338</v>
      </c>
      <c r="G565" t="s">
        <v>339</v>
      </c>
    </row>
    <row r="566" spans="1:8" x14ac:dyDescent="0.3">
      <c r="A566" t="s">
        <v>347</v>
      </c>
      <c r="B566">
        <f>IFERROR(INDEX(MASTER_REGISTER!C:C,MATCH(C566,MASTER_REGISTER!E:E,0)),"")</f>
        <v>10</v>
      </c>
      <c r="C566" t="s">
        <v>183</v>
      </c>
      <c r="D566" t="str">
        <f>IFERROR(INDEX(MASTER_REGISTER!F:F,MATCH(C566,MASTER_REGISTER!E:E,0)),"")</f>
        <v>Lerato Maseko</v>
      </c>
      <c r="E566" t="s">
        <v>335</v>
      </c>
      <c r="H566" t="s">
        <v>342</v>
      </c>
    </row>
    <row r="567" spans="1:8" x14ac:dyDescent="0.3">
      <c r="A567" t="s">
        <v>347</v>
      </c>
      <c r="B567">
        <f>IFERROR(INDEX(MASTER_REGISTER!C:C,MATCH(C567,MASTER_REGISTER!E:E,0)),"")</f>
        <v>10</v>
      </c>
      <c r="C567" t="s">
        <v>188</v>
      </c>
      <c r="D567" t="str">
        <f>IFERROR(INDEX(MASTER_REGISTER!F:F,MATCH(C567,MASTER_REGISTER!E:E,0)),"")</f>
        <v>Sibusiso Molefe</v>
      </c>
      <c r="E567" t="s">
        <v>337</v>
      </c>
      <c r="F567" t="s">
        <v>338</v>
      </c>
      <c r="G567" t="s">
        <v>339</v>
      </c>
    </row>
    <row r="568" spans="1:8" x14ac:dyDescent="0.3">
      <c r="A568" t="s">
        <v>347</v>
      </c>
      <c r="B568">
        <f>IFERROR(INDEX(MASTER_REGISTER!C:C,MATCH(C568,MASTER_REGISTER!E:E,0)),"")</f>
        <v>10</v>
      </c>
      <c r="C568" t="s">
        <v>193</v>
      </c>
      <c r="D568" t="str">
        <f>IFERROR(INDEX(MASTER_REGISTER!F:F,MATCH(C568,MASTER_REGISTER!E:E,0)),"")</f>
        <v>Nandi Molefe</v>
      </c>
      <c r="E568" t="s">
        <v>337</v>
      </c>
      <c r="F568" t="s">
        <v>338</v>
      </c>
      <c r="G568" t="s">
        <v>339</v>
      </c>
    </row>
    <row r="569" spans="1:8" x14ac:dyDescent="0.3">
      <c r="A569" t="s">
        <v>347</v>
      </c>
      <c r="B569">
        <f>IFERROR(INDEX(MASTER_REGISTER!C:C,MATCH(C569,MASTER_REGISTER!E:E,0)),"")</f>
        <v>10</v>
      </c>
      <c r="C569" t="s">
        <v>198</v>
      </c>
      <c r="D569" t="str">
        <f>IFERROR(INDEX(MASTER_REGISTER!F:F,MATCH(C569,MASTER_REGISTER!E:E,0)),"")</f>
        <v>Kgothatso Baloyi</v>
      </c>
      <c r="E569" t="s">
        <v>337</v>
      </c>
      <c r="F569" t="s">
        <v>338</v>
      </c>
      <c r="G569" t="s">
        <v>339</v>
      </c>
    </row>
    <row r="570" spans="1:8" x14ac:dyDescent="0.3">
      <c r="A570" t="s">
        <v>347</v>
      </c>
      <c r="B570">
        <f>IFERROR(INDEX(MASTER_REGISTER!C:C,MATCH(C570,MASTER_REGISTER!E:E,0)),"")</f>
        <v>10</v>
      </c>
      <c r="C570" t="s">
        <v>202</v>
      </c>
      <c r="D570" t="str">
        <f>IFERROR(INDEX(MASTER_REGISTER!F:F,MATCH(C570,MASTER_REGISTER!E:E,0)),"")</f>
        <v>Ayanda Mokoena</v>
      </c>
      <c r="E570" t="s">
        <v>335</v>
      </c>
      <c r="H570" t="s">
        <v>336</v>
      </c>
    </row>
    <row r="571" spans="1:8" x14ac:dyDescent="0.3">
      <c r="A571" t="s">
        <v>347</v>
      </c>
      <c r="B571">
        <f>IFERROR(INDEX(MASTER_REGISTER!C:C,MATCH(C571,MASTER_REGISTER!E:E,0)),"")</f>
        <v>10</v>
      </c>
      <c r="C571" t="s">
        <v>206</v>
      </c>
      <c r="D571" t="str">
        <f>IFERROR(INDEX(MASTER_REGISTER!F:F,MATCH(C571,MASTER_REGISTER!E:E,0)),"")</f>
        <v>Lwazi Baloyi</v>
      </c>
      <c r="E571" t="s">
        <v>337</v>
      </c>
      <c r="F571" t="s">
        <v>338</v>
      </c>
      <c r="G571" t="s">
        <v>339</v>
      </c>
    </row>
    <row r="572" spans="1:8" x14ac:dyDescent="0.3">
      <c r="A572" t="s">
        <v>347</v>
      </c>
      <c r="B572">
        <f>IFERROR(INDEX(MASTER_REGISTER!C:C,MATCH(C572,MASTER_REGISTER!E:E,0)),"")</f>
        <v>10</v>
      </c>
      <c r="C572" t="s">
        <v>210</v>
      </c>
      <c r="D572" t="str">
        <f>IFERROR(INDEX(MASTER_REGISTER!F:F,MATCH(C572,MASTER_REGISTER!E:E,0)),"")</f>
        <v>Siyanda Mokoena</v>
      </c>
      <c r="E572" t="s">
        <v>337</v>
      </c>
      <c r="F572" t="s">
        <v>338</v>
      </c>
      <c r="G572" t="s">
        <v>339</v>
      </c>
    </row>
    <row r="573" spans="1:8" x14ac:dyDescent="0.3">
      <c r="A573" t="s">
        <v>347</v>
      </c>
      <c r="B573">
        <f>IFERROR(INDEX(MASTER_REGISTER!C:C,MATCH(C573,MASTER_REGISTER!E:E,0)),"")</f>
        <v>10</v>
      </c>
      <c r="C573" t="s">
        <v>214</v>
      </c>
      <c r="D573" t="str">
        <f>IFERROR(INDEX(MASTER_REGISTER!F:F,MATCH(C573,MASTER_REGISTER!E:E,0)),"")</f>
        <v>Mpho Ngobeni</v>
      </c>
      <c r="E573" t="s">
        <v>337</v>
      </c>
      <c r="F573" t="s">
        <v>338</v>
      </c>
      <c r="G573" t="s">
        <v>339</v>
      </c>
    </row>
    <row r="574" spans="1:8" x14ac:dyDescent="0.3">
      <c r="A574" t="s">
        <v>347</v>
      </c>
      <c r="B574">
        <f>IFERROR(INDEX(MASTER_REGISTER!C:C,MATCH(C574,MASTER_REGISTER!E:E,0)),"")</f>
        <v>10</v>
      </c>
      <c r="C574" t="s">
        <v>217</v>
      </c>
      <c r="D574" t="str">
        <f>IFERROR(INDEX(MASTER_REGISTER!F:F,MATCH(C574,MASTER_REGISTER!E:E,0)),"")</f>
        <v>Naledi Makhubela</v>
      </c>
      <c r="E574" t="s">
        <v>337</v>
      </c>
      <c r="F574" t="s">
        <v>338</v>
      </c>
      <c r="G574" t="s">
        <v>339</v>
      </c>
    </row>
    <row r="575" spans="1:8" x14ac:dyDescent="0.3">
      <c r="A575" t="s">
        <v>347</v>
      </c>
      <c r="B575">
        <f>IFERROR(INDEX(MASTER_REGISTER!C:C,MATCH(C575,MASTER_REGISTER!E:E,0)),"")</f>
        <v>10</v>
      </c>
      <c r="C575" t="s">
        <v>221</v>
      </c>
      <c r="D575" t="str">
        <f>IFERROR(INDEX(MASTER_REGISTER!F:F,MATCH(C575,MASTER_REGISTER!E:E,0)),"")</f>
        <v>Kgothatso Mokoena</v>
      </c>
      <c r="E575" t="s">
        <v>337</v>
      </c>
      <c r="F575" t="s">
        <v>338</v>
      </c>
      <c r="G575" t="s">
        <v>339</v>
      </c>
    </row>
    <row r="576" spans="1:8" x14ac:dyDescent="0.3">
      <c r="A576" t="s">
        <v>347</v>
      </c>
      <c r="B576">
        <f>IFERROR(INDEX(MASTER_REGISTER!C:C,MATCH(C576,MASTER_REGISTER!E:E,0)),"")</f>
        <v>10</v>
      </c>
      <c r="C576" t="s">
        <v>225</v>
      </c>
      <c r="D576" t="str">
        <f>IFERROR(INDEX(MASTER_REGISTER!F:F,MATCH(C576,MASTER_REGISTER!E:E,0)),"")</f>
        <v>Bongani Makhubela</v>
      </c>
      <c r="E576" t="s">
        <v>337</v>
      </c>
      <c r="F576" t="s">
        <v>338</v>
      </c>
      <c r="G576" t="s">
        <v>339</v>
      </c>
    </row>
    <row r="577" spans="1:8" x14ac:dyDescent="0.3">
      <c r="A577" t="s">
        <v>347</v>
      </c>
      <c r="B577">
        <f>IFERROR(INDEX(MASTER_REGISTER!C:C,MATCH(C577,MASTER_REGISTER!E:E,0)),"")</f>
        <v>10</v>
      </c>
      <c r="C577" t="s">
        <v>229</v>
      </c>
      <c r="D577" t="str">
        <f>IFERROR(INDEX(MASTER_REGISTER!F:F,MATCH(C577,MASTER_REGISTER!E:E,0)),"")</f>
        <v>Kagiso Kekana</v>
      </c>
      <c r="E577" t="s">
        <v>337</v>
      </c>
      <c r="F577" t="s">
        <v>338</v>
      </c>
      <c r="G577" t="s">
        <v>339</v>
      </c>
    </row>
    <row r="578" spans="1:8" x14ac:dyDescent="0.3">
      <c r="A578" t="s">
        <v>347</v>
      </c>
      <c r="B578">
        <f>IFERROR(INDEX(MASTER_REGISTER!C:C,MATCH(C578,MASTER_REGISTER!E:E,0)),"")</f>
        <v>11</v>
      </c>
      <c r="C578" t="s">
        <v>233</v>
      </c>
      <c r="D578" t="str">
        <f>IFERROR(INDEX(MASTER_REGISTER!F:F,MATCH(C578,MASTER_REGISTER!E:E,0)),"")</f>
        <v>Lwazi Makhubela</v>
      </c>
      <c r="E578" t="s">
        <v>337</v>
      </c>
      <c r="F578" t="s">
        <v>338</v>
      </c>
      <c r="G578" t="s">
        <v>339</v>
      </c>
    </row>
    <row r="579" spans="1:8" x14ac:dyDescent="0.3">
      <c r="A579" t="s">
        <v>347</v>
      </c>
      <c r="B579">
        <f>IFERROR(INDEX(MASTER_REGISTER!C:C,MATCH(C579,MASTER_REGISTER!E:E,0)),"")</f>
        <v>11</v>
      </c>
      <c r="C579" t="s">
        <v>237</v>
      </c>
      <c r="D579" t="str">
        <f>IFERROR(INDEX(MASTER_REGISTER!F:F,MATCH(C579,MASTER_REGISTER!E:E,0)),"")</f>
        <v>Lebogang Ramushu</v>
      </c>
      <c r="E579" t="s">
        <v>337</v>
      </c>
      <c r="F579" t="s">
        <v>338</v>
      </c>
      <c r="G579" t="s">
        <v>339</v>
      </c>
    </row>
    <row r="580" spans="1:8" x14ac:dyDescent="0.3">
      <c r="A580" t="s">
        <v>347</v>
      </c>
      <c r="B580">
        <f>IFERROR(INDEX(MASTER_REGISTER!C:C,MATCH(C580,MASTER_REGISTER!E:E,0)),"")</f>
        <v>11</v>
      </c>
      <c r="C580" t="s">
        <v>241</v>
      </c>
      <c r="D580" t="str">
        <f>IFERROR(INDEX(MASTER_REGISTER!F:F,MATCH(C580,MASTER_REGISTER!E:E,0)),"")</f>
        <v>Lerato Kekana</v>
      </c>
      <c r="E580" t="s">
        <v>337</v>
      </c>
      <c r="F580" t="s">
        <v>338</v>
      </c>
      <c r="G580" t="s">
        <v>339</v>
      </c>
    </row>
    <row r="581" spans="1:8" x14ac:dyDescent="0.3">
      <c r="A581" t="s">
        <v>347</v>
      </c>
      <c r="B581">
        <f>IFERROR(INDEX(MASTER_REGISTER!C:C,MATCH(C581,MASTER_REGISTER!E:E,0)),"")</f>
        <v>11</v>
      </c>
      <c r="C581" t="s">
        <v>244</v>
      </c>
      <c r="D581" t="str">
        <f>IFERROR(INDEX(MASTER_REGISTER!F:F,MATCH(C581,MASTER_REGISTER!E:E,0)),"")</f>
        <v>Bongani Ndlovu</v>
      </c>
      <c r="E581" t="s">
        <v>337</v>
      </c>
      <c r="F581" t="s">
        <v>338</v>
      </c>
      <c r="G581" t="s">
        <v>339</v>
      </c>
    </row>
    <row r="582" spans="1:8" x14ac:dyDescent="0.3">
      <c r="A582" t="s">
        <v>347</v>
      </c>
      <c r="B582">
        <f>IFERROR(INDEX(MASTER_REGISTER!C:C,MATCH(C582,MASTER_REGISTER!E:E,0)),"")</f>
        <v>11</v>
      </c>
      <c r="C582" t="s">
        <v>248</v>
      </c>
      <c r="D582" t="str">
        <f>IFERROR(INDEX(MASTER_REGISTER!F:F,MATCH(C582,MASTER_REGISTER!E:E,0)),"")</f>
        <v>Sifiso Dlamini</v>
      </c>
      <c r="E582" t="s">
        <v>335</v>
      </c>
      <c r="H582" t="s">
        <v>336</v>
      </c>
    </row>
    <row r="583" spans="1:8" x14ac:dyDescent="0.3">
      <c r="A583" t="s">
        <v>347</v>
      </c>
      <c r="B583">
        <f>IFERROR(INDEX(MASTER_REGISTER!C:C,MATCH(C583,MASTER_REGISTER!E:E,0)),"")</f>
        <v>11</v>
      </c>
      <c r="C583" t="s">
        <v>252</v>
      </c>
      <c r="D583" t="str">
        <f>IFERROR(INDEX(MASTER_REGISTER!F:F,MATCH(C583,MASTER_REGISTER!E:E,0)),"")</f>
        <v>Refilwe Dlamini</v>
      </c>
      <c r="E583" t="s">
        <v>335</v>
      </c>
      <c r="H583" t="s">
        <v>342</v>
      </c>
    </row>
    <row r="584" spans="1:8" x14ac:dyDescent="0.3">
      <c r="A584" t="s">
        <v>347</v>
      </c>
      <c r="B584">
        <f>IFERROR(INDEX(MASTER_REGISTER!C:C,MATCH(C584,MASTER_REGISTER!E:E,0)),"")</f>
        <v>11</v>
      </c>
      <c r="C584" t="s">
        <v>256</v>
      </c>
      <c r="D584" t="str">
        <f>IFERROR(INDEX(MASTER_REGISTER!F:F,MATCH(C584,MASTER_REGISTER!E:E,0)),"")</f>
        <v>Lwazi Maseko</v>
      </c>
      <c r="E584" t="s">
        <v>337</v>
      </c>
      <c r="F584" t="s">
        <v>338</v>
      </c>
      <c r="G584" t="s">
        <v>339</v>
      </c>
    </row>
    <row r="585" spans="1:8" x14ac:dyDescent="0.3">
      <c r="A585" t="s">
        <v>347</v>
      </c>
      <c r="B585">
        <f>IFERROR(INDEX(MASTER_REGISTER!C:C,MATCH(C585,MASTER_REGISTER!E:E,0)),"")</f>
        <v>11</v>
      </c>
      <c r="C585" t="s">
        <v>260</v>
      </c>
      <c r="D585" t="str">
        <f>IFERROR(INDEX(MASTER_REGISTER!F:F,MATCH(C585,MASTER_REGISTER!E:E,0)),"")</f>
        <v>Refilwe Mokgadi</v>
      </c>
      <c r="E585" t="s">
        <v>337</v>
      </c>
      <c r="F585" t="s">
        <v>338</v>
      </c>
      <c r="G585" t="s">
        <v>339</v>
      </c>
    </row>
    <row r="586" spans="1:8" x14ac:dyDescent="0.3">
      <c r="A586" t="s">
        <v>347</v>
      </c>
      <c r="B586">
        <f>IFERROR(INDEX(MASTER_REGISTER!C:C,MATCH(C586,MASTER_REGISTER!E:E,0)),"")</f>
        <v>11</v>
      </c>
      <c r="C586" t="s">
        <v>264</v>
      </c>
      <c r="D586" t="str">
        <f>IFERROR(INDEX(MASTER_REGISTER!F:F,MATCH(C586,MASTER_REGISTER!E:E,0)),"")</f>
        <v>Kgothatso Molefe</v>
      </c>
      <c r="E586" t="s">
        <v>337</v>
      </c>
      <c r="F586" t="s">
        <v>338</v>
      </c>
      <c r="G586" t="s">
        <v>339</v>
      </c>
    </row>
    <row r="587" spans="1:8" x14ac:dyDescent="0.3">
      <c r="A587" t="s">
        <v>347</v>
      </c>
      <c r="B587">
        <f>IFERROR(INDEX(MASTER_REGISTER!C:C,MATCH(C587,MASTER_REGISTER!E:E,0)),"")</f>
        <v>11</v>
      </c>
      <c r="C587" t="s">
        <v>268</v>
      </c>
      <c r="D587" t="str">
        <f>IFERROR(INDEX(MASTER_REGISTER!F:F,MATCH(C587,MASTER_REGISTER!E:E,0)),"")</f>
        <v>Tshepo Mokgadi</v>
      </c>
      <c r="E587" t="s">
        <v>337</v>
      </c>
      <c r="F587" t="s">
        <v>338</v>
      </c>
      <c r="G587" t="s">
        <v>339</v>
      </c>
    </row>
    <row r="588" spans="1:8" x14ac:dyDescent="0.3">
      <c r="A588" t="s">
        <v>347</v>
      </c>
      <c r="B588">
        <f>IFERROR(INDEX(MASTER_REGISTER!C:C,MATCH(C588,MASTER_REGISTER!E:E,0)),"")</f>
        <v>11</v>
      </c>
      <c r="C588" t="s">
        <v>272</v>
      </c>
      <c r="D588" t="str">
        <f>IFERROR(INDEX(MASTER_REGISTER!F:F,MATCH(C588,MASTER_REGISTER!E:E,0)),"")</f>
        <v>Tshepo Phiri</v>
      </c>
      <c r="E588" t="s">
        <v>337</v>
      </c>
      <c r="F588" t="s">
        <v>338</v>
      </c>
      <c r="G588" t="s">
        <v>339</v>
      </c>
    </row>
    <row r="589" spans="1:8" x14ac:dyDescent="0.3">
      <c r="A589" t="s">
        <v>347</v>
      </c>
      <c r="B589">
        <f>IFERROR(INDEX(MASTER_REGISTER!C:C,MATCH(C589,MASTER_REGISTER!E:E,0)),"")</f>
        <v>11</v>
      </c>
      <c r="C589" t="s">
        <v>276</v>
      </c>
      <c r="D589" t="str">
        <f>IFERROR(INDEX(MASTER_REGISTER!F:F,MATCH(C589,MASTER_REGISTER!E:E,0)),"")</f>
        <v>Zanele Ngobeni</v>
      </c>
      <c r="E589" t="s">
        <v>337</v>
      </c>
      <c r="F589" t="s">
        <v>338</v>
      </c>
      <c r="G589" t="s">
        <v>339</v>
      </c>
    </row>
    <row r="590" spans="1:8" x14ac:dyDescent="0.3">
      <c r="A590" t="s">
        <v>347</v>
      </c>
      <c r="B590">
        <f>IFERROR(INDEX(MASTER_REGISTER!C:C,MATCH(C590,MASTER_REGISTER!E:E,0)),"")</f>
        <v>12</v>
      </c>
      <c r="C590" t="s">
        <v>280</v>
      </c>
      <c r="D590" t="str">
        <f>IFERROR(INDEX(MASTER_REGISTER!F:F,MATCH(C590,MASTER_REGISTER!E:E,0)),"")</f>
        <v>Palesa Mokoena</v>
      </c>
      <c r="E590" t="s">
        <v>337</v>
      </c>
      <c r="F590" t="s">
        <v>338</v>
      </c>
      <c r="G590" t="s">
        <v>339</v>
      </c>
    </row>
    <row r="591" spans="1:8" x14ac:dyDescent="0.3">
      <c r="A591" t="s">
        <v>347</v>
      </c>
      <c r="B591">
        <f>IFERROR(INDEX(MASTER_REGISTER!C:C,MATCH(C591,MASTER_REGISTER!E:E,0)),"")</f>
        <v>12</v>
      </c>
      <c r="C591" t="s">
        <v>284</v>
      </c>
      <c r="D591" t="str">
        <f>IFERROR(INDEX(MASTER_REGISTER!F:F,MATCH(C591,MASTER_REGISTER!E:E,0)),"")</f>
        <v>Thabo Ramushu</v>
      </c>
      <c r="E591" t="s">
        <v>337</v>
      </c>
      <c r="F591" t="s">
        <v>338</v>
      </c>
      <c r="G591" t="s">
        <v>339</v>
      </c>
    </row>
    <row r="592" spans="1:8" x14ac:dyDescent="0.3">
      <c r="A592" t="s">
        <v>347</v>
      </c>
      <c r="B592">
        <f>IFERROR(INDEX(MASTER_REGISTER!C:C,MATCH(C592,MASTER_REGISTER!E:E,0)),"")</f>
        <v>12</v>
      </c>
      <c r="C592" t="s">
        <v>288</v>
      </c>
      <c r="D592" t="str">
        <f>IFERROR(INDEX(MASTER_REGISTER!F:F,MATCH(C592,MASTER_REGISTER!E:E,0)),"")</f>
        <v>Lwazi Ndlovu</v>
      </c>
      <c r="E592" t="s">
        <v>337</v>
      </c>
      <c r="F592" t="s">
        <v>338</v>
      </c>
      <c r="G592" t="s">
        <v>339</v>
      </c>
    </row>
    <row r="593" spans="1:8" x14ac:dyDescent="0.3">
      <c r="A593" t="s">
        <v>347</v>
      </c>
      <c r="B593">
        <f>IFERROR(INDEX(MASTER_REGISTER!C:C,MATCH(C593,MASTER_REGISTER!E:E,0)),"")</f>
        <v>12</v>
      </c>
      <c r="C593" t="s">
        <v>292</v>
      </c>
      <c r="D593" t="str">
        <f>IFERROR(INDEX(MASTER_REGISTER!F:F,MATCH(C593,MASTER_REGISTER!E:E,0)),"")</f>
        <v>Ayanda Dlamini</v>
      </c>
      <c r="E593" t="s">
        <v>337</v>
      </c>
      <c r="F593" t="s">
        <v>338</v>
      </c>
      <c r="G593" t="s">
        <v>339</v>
      </c>
    </row>
    <row r="594" spans="1:8" x14ac:dyDescent="0.3">
      <c r="A594" t="s">
        <v>347</v>
      </c>
      <c r="B594">
        <f>IFERROR(INDEX(MASTER_REGISTER!C:C,MATCH(C594,MASTER_REGISTER!E:E,0)),"")</f>
        <v>12</v>
      </c>
      <c r="C594" t="s">
        <v>296</v>
      </c>
      <c r="D594" t="str">
        <f>IFERROR(INDEX(MASTER_REGISTER!F:F,MATCH(C594,MASTER_REGISTER!E:E,0)),"")</f>
        <v>Neo Ndlovu</v>
      </c>
      <c r="E594" t="s">
        <v>337</v>
      </c>
      <c r="F594" t="s">
        <v>338</v>
      </c>
      <c r="G594" t="s">
        <v>339</v>
      </c>
    </row>
    <row r="595" spans="1:8" x14ac:dyDescent="0.3">
      <c r="A595" t="s">
        <v>347</v>
      </c>
      <c r="B595">
        <f>IFERROR(INDEX(MASTER_REGISTER!C:C,MATCH(C595,MASTER_REGISTER!E:E,0)),"")</f>
        <v>12</v>
      </c>
      <c r="C595" t="s">
        <v>300</v>
      </c>
      <c r="D595" t="str">
        <f>IFERROR(INDEX(MASTER_REGISTER!F:F,MATCH(C595,MASTER_REGISTER!E:E,0)),"")</f>
        <v>Neo Ramushu</v>
      </c>
      <c r="E595" t="s">
        <v>337</v>
      </c>
      <c r="F595" t="s">
        <v>338</v>
      </c>
      <c r="G595" t="s">
        <v>339</v>
      </c>
    </row>
    <row r="596" spans="1:8" x14ac:dyDescent="0.3">
      <c r="A596" t="s">
        <v>347</v>
      </c>
      <c r="B596">
        <f>IFERROR(INDEX(MASTER_REGISTER!C:C,MATCH(C596,MASTER_REGISTER!E:E,0)),"")</f>
        <v>12</v>
      </c>
      <c r="C596" t="s">
        <v>304</v>
      </c>
      <c r="D596" t="str">
        <f>IFERROR(INDEX(MASTER_REGISTER!F:F,MATCH(C596,MASTER_REGISTER!E:E,0)),"")</f>
        <v>Karabo Baloyi</v>
      </c>
      <c r="E596" t="s">
        <v>337</v>
      </c>
      <c r="F596" t="s">
        <v>338</v>
      </c>
      <c r="G596" t="s">
        <v>339</v>
      </c>
    </row>
    <row r="597" spans="1:8" x14ac:dyDescent="0.3">
      <c r="A597" t="s">
        <v>347</v>
      </c>
      <c r="B597">
        <f>IFERROR(INDEX(MASTER_REGISTER!C:C,MATCH(C597,MASTER_REGISTER!E:E,0)),"")</f>
        <v>12</v>
      </c>
      <c r="C597" t="s">
        <v>308</v>
      </c>
      <c r="D597" t="str">
        <f>IFERROR(INDEX(MASTER_REGISTER!F:F,MATCH(C597,MASTER_REGISTER!E:E,0)),"")</f>
        <v>Tshepo Mokgadi</v>
      </c>
      <c r="E597" t="s">
        <v>337</v>
      </c>
      <c r="F597" t="s">
        <v>338</v>
      </c>
      <c r="G597" t="s">
        <v>339</v>
      </c>
    </row>
    <row r="598" spans="1:8" x14ac:dyDescent="0.3">
      <c r="A598" t="s">
        <v>347</v>
      </c>
      <c r="B598">
        <f>IFERROR(INDEX(MASTER_REGISTER!C:C,MATCH(C598,MASTER_REGISTER!E:E,0)),"")</f>
        <v>12</v>
      </c>
      <c r="C598" t="s">
        <v>311</v>
      </c>
      <c r="D598" t="str">
        <f>IFERROR(INDEX(MASTER_REGISTER!F:F,MATCH(C598,MASTER_REGISTER!E:E,0)),"")</f>
        <v>Sifiso Mavuso</v>
      </c>
      <c r="E598" t="s">
        <v>337</v>
      </c>
      <c r="F598" t="s">
        <v>338</v>
      </c>
      <c r="G598" t="s">
        <v>339</v>
      </c>
    </row>
    <row r="599" spans="1:8" x14ac:dyDescent="0.3">
      <c r="A599" t="s">
        <v>347</v>
      </c>
      <c r="B599">
        <f>IFERROR(INDEX(MASTER_REGISTER!C:C,MATCH(C599,MASTER_REGISTER!E:E,0)),"")</f>
        <v>12</v>
      </c>
      <c r="C599" t="s">
        <v>315</v>
      </c>
      <c r="D599" t="str">
        <f>IFERROR(INDEX(MASTER_REGISTER!F:F,MATCH(C599,MASTER_REGISTER!E:E,0)),"")</f>
        <v>Refilwe Sithole</v>
      </c>
      <c r="E599" t="s">
        <v>337</v>
      </c>
      <c r="F599" t="s">
        <v>338</v>
      </c>
      <c r="G599" t="s">
        <v>339</v>
      </c>
    </row>
    <row r="600" spans="1:8" x14ac:dyDescent="0.3">
      <c r="A600" t="s">
        <v>347</v>
      </c>
      <c r="B600">
        <f>IFERROR(INDEX(MASTER_REGISTER!C:C,MATCH(C600,MASTER_REGISTER!E:E,0)),"")</f>
        <v>12</v>
      </c>
      <c r="C600" t="s">
        <v>319</v>
      </c>
      <c r="D600" t="str">
        <f>IFERROR(INDEX(MASTER_REGISTER!F:F,MATCH(C600,MASTER_REGISTER!E:E,0)),"")</f>
        <v>Lerato Sithole</v>
      </c>
      <c r="E600" t="s">
        <v>337</v>
      </c>
      <c r="F600" t="s">
        <v>338</v>
      </c>
      <c r="G600" t="s">
        <v>339</v>
      </c>
    </row>
    <row r="601" spans="1:8" x14ac:dyDescent="0.3">
      <c r="A601" t="s">
        <v>347</v>
      </c>
      <c r="B601">
        <f>IFERROR(INDEX(MASTER_REGISTER!C:C,MATCH(C601,MASTER_REGISTER!E:E,0)),"")</f>
        <v>12</v>
      </c>
      <c r="C601" t="s">
        <v>323</v>
      </c>
      <c r="D601" t="str">
        <f>IFERROR(INDEX(MASTER_REGISTER!F:F,MATCH(C601,MASTER_REGISTER!E:E,0)),"")</f>
        <v>Sibusiso Ngobeni</v>
      </c>
      <c r="E601" t="s">
        <v>337</v>
      </c>
      <c r="F601" t="s">
        <v>338</v>
      </c>
      <c r="G601" t="s">
        <v>339</v>
      </c>
    </row>
    <row r="602" spans="1:8" x14ac:dyDescent="0.3">
      <c r="A602" t="s">
        <v>348</v>
      </c>
      <c r="B602">
        <f>IFERROR(INDEX(MASTER_REGISTER!C:C,MATCH(C602,MASTER_REGISTER!E:E,0)),"")</f>
        <v>8</v>
      </c>
      <c r="C602" t="s">
        <v>50</v>
      </c>
      <c r="D602" t="str">
        <f>IFERROR(INDEX(MASTER_REGISTER!F:F,MATCH(C602,MASTER_REGISTER!E:E,0)),"")</f>
        <v>Lerato Nkosi</v>
      </c>
      <c r="E602" t="s">
        <v>335</v>
      </c>
      <c r="H602" t="s">
        <v>340</v>
      </c>
    </row>
    <row r="603" spans="1:8" x14ac:dyDescent="0.3">
      <c r="A603" t="s">
        <v>348</v>
      </c>
      <c r="B603">
        <f>IFERROR(INDEX(MASTER_REGISTER!C:C,MATCH(C603,MASTER_REGISTER!E:E,0)),"")</f>
        <v>8</v>
      </c>
      <c r="C603" t="s">
        <v>58</v>
      </c>
      <c r="D603" t="str">
        <f>IFERROR(INDEX(MASTER_REGISTER!F:F,MATCH(C603,MASTER_REGISTER!E:E,0)),"")</f>
        <v>Karabo Maseko</v>
      </c>
      <c r="E603" t="s">
        <v>335</v>
      </c>
      <c r="H603" t="s">
        <v>341</v>
      </c>
    </row>
    <row r="604" spans="1:8" x14ac:dyDescent="0.3">
      <c r="A604" t="s">
        <v>348</v>
      </c>
      <c r="B604">
        <f>IFERROR(INDEX(MASTER_REGISTER!C:C,MATCH(C604,MASTER_REGISTER!E:E,0)),"")</f>
        <v>8</v>
      </c>
      <c r="C604" t="s">
        <v>64</v>
      </c>
      <c r="D604" t="str">
        <f>IFERROR(INDEX(MASTER_REGISTER!F:F,MATCH(C604,MASTER_REGISTER!E:E,0)),"")</f>
        <v>Sifiso Sithole</v>
      </c>
      <c r="E604" t="s">
        <v>337</v>
      </c>
      <c r="F604" t="s">
        <v>338</v>
      </c>
      <c r="G604" t="s">
        <v>339</v>
      </c>
    </row>
    <row r="605" spans="1:8" x14ac:dyDescent="0.3">
      <c r="A605" t="s">
        <v>348</v>
      </c>
      <c r="B605">
        <f>IFERROR(INDEX(MASTER_REGISTER!C:C,MATCH(C605,MASTER_REGISTER!E:E,0)),"")</f>
        <v>8</v>
      </c>
      <c r="C605" t="s">
        <v>70</v>
      </c>
      <c r="D605" t="str">
        <f>IFERROR(INDEX(MASTER_REGISTER!F:F,MATCH(C605,MASTER_REGISTER!E:E,0)),"")</f>
        <v>Tshepo Ndlovu</v>
      </c>
      <c r="E605" t="s">
        <v>337</v>
      </c>
      <c r="F605" t="s">
        <v>338</v>
      </c>
      <c r="G605" t="s">
        <v>339</v>
      </c>
    </row>
    <row r="606" spans="1:8" x14ac:dyDescent="0.3">
      <c r="A606" t="s">
        <v>348</v>
      </c>
      <c r="B606">
        <f>IFERROR(INDEX(MASTER_REGISTER!C:C,MATCH(C606,MASTER_REGISTER!E:E,0)),"")</f>
        <v>8</v>
      </c>
      <c r="C606" t="s">
        <v>76</v>
      </c>
      <c r="D606" t="str">
        <f>IFERROR(INDEX(MASTER_REGISTER!F:F,MATCH(C606,MASTER_REGISTER!E:E,0)),"")</f>
        <v>Lwazi Mthembu</v>
      </c>
      <c r="E606" t="s">
        <v>337</v>
      </c>
      <c r="F606" t="s">
        <v>338</v>
      </c>
      <c r="G606" t="s">
        <v>339</v>
      </c>
    </row>
    <row r="607" spans="1:8" x14ac:dyDescent="0.3">
      <c r="A607" t="s">
        <v>348</v>
      </c>
      <c r="B607">
        <f>IFERROR(INDEX(MASTER_REGISTER!C:C,MATCH(C607,MASTER_REGISTER!E:E,0)),"")</f>
        <v>8</v>
      </c>
      <c r="C607" t="s">
        <v>82</v>
      </c>
      <c r="D607" t="str">
        <f>IFERROR(INDEX(MASTER_REGISTER!F:F,MATCH(C607,MASTER_REGISTER!E:E,0)),"")</f>
        <v>Karabo Ngobeni</v>
      </c>
      <c r="E607" t="s">
        <v>337</v>
      </c>
      <c r="F607" t="s">
        <v>338</v>
      </c>
      <c r="G607" t="s">
        <v>339</v>
      </c>
    </row>
    <row r="608" spans="1:8" x14ac:dyDescent="0.3">
      <c r="A608" t="s">
        <v>348</v>
      </c>
      <c r="B608">
        <f>IFERROR(INDEX(MASTER_REGISTER!C:C,MATCH(C608,MASTER_REGISTER!E:E,0)),"")</f>
        <v>8</v>
      </c>
      <c r="C608" t="s">
        <v>88</v>
      </c>
      <c r="D608" t="str">
        <f>IFERROR(INDEX(MASTER_REGISTER!F:F,MATCH(C608,MASTER_REGISTER!E:E,0)),"")</f>
        <v>Mpho Sithole</v>
      </c>
      <c r="E608" t="s">
        <v>337</v>
      </c>
      <c r="F608" t="s">
        <v>338</v>
      </c>
      <c r="G608" t="s">
        <v>339</v>
      </c>
    </row>
    <row r="609" spans="1:8" x14ac:dyDescent="0.3">
      <c r="A609" t="s">
        <v>348</v>
      </c>
      <c r="B609">
        <f>IFERROR(INDEX(MASTER_REGISTER!C:C,MATCH(C609,MASTER_REGISTER!E:E,0)),"")</f>
        <v>8</v>
      </c>
      <c r="C609" t="s">
        <v>94</v>
      </c>
      <c r="D609" t="str">
        <f>IFERROR(INDEX(MASTER_REGISTER!F:F,MATCH(C609,MASTER_REGISTER!E:E,0)),"")</f>
        <v>Tshepo Ramushu</v>
      </c>
      <c r="E609" t="s">
        <v>335</v>
      </c>
      <c r="H609" t="s">
        <v>342</v>
      </c>
    </row>
    <row r="610" spans="1:8" x14ac:dyDescent="0.3">
      <c r="A610" t="s">
        <v>348</v>
      </c>
      <c r="B610">
        <f>IFERROR(INDEX(MASTER_REGISTER!C:C,MATCH(C610,MASTER_REGISTER!E:E,0)),"")</f>
        <v>8</v>
      </c>
      <c r="C610" t="s">
        <v>100</v>
      </c>
      <c r="D610" t="str">
        <f>IFERROR(INDEX(MASTER_REGISTER!F:F,MATCH(C610,MASTER_REGISTER!E:E,0)),"")</f>
        <v>Lerato Kekana</v>
      </c>
      <c r="E610" t="s">
        <v>337</v>
      </c>
      <c r="F610" t="s">
        <v>338</v>
      </c>
      <c r="G610" t="s">
        <v>339</v>
      </c>
    </row>
    <row r="611" spans="1:8" x14ac:dyDescent="0.3">
      <c r="A611" t="s">
        <v>348</v>
      </c>
      <c r="B611">
        <f>IFERROR(INDEX(MASTER_REGISTER!C:C,MATCH(C611,MASTER_REGISTER!E:E,0)),"")</f>
        <v>8</v>
      </c>
      <c r="C611" t="s">
        <v>106</v>
      </c>
      <c r="D611" t="str">
        <f>IFERROR(INDEX(MASTER_REGISTER!F:F,MATCH(C611,MASTER_REGISTER!E:E,0)),"")</f>
        <v>Neo Ngobeni</v>
      </c>
      <c r="E611" t="s">
        <v>337</v>
      </c>
      <c r="F611" t="s">
        <v>338</v>
      </c>
      <c r="G611" t="s">
        <v>339</v>
      </c>
    </row>
    <row r="612" spans="1:8" x14ac:dyDescent="0.3">
      <c r="A612" t="s">
        <v>348</v>
      </c>
      <c r="B612">
        <f>IFERROR(INDEX(MASTER_REGISTER!C:C,MATCH(C612,MASTER_REGISTER!E:E,0)),"")</f>
        <v>8</v>
      </c>
      <c r="C612" t="s">
        <v>112</v>
      </c>
      <c r="D612" t="str">
        <f>IFERROR(INDEX(MASTER_REGISTER!F:F,MATCH(C612,MASTER_REGISTER!E:E,0)),"")</f>
        <v>Thabo Mokgadi</v>
      </c>
      <c r="E612" t="s">
        <v>337</v>
      </c>
      <c r="F612" t="s">
        <v>338</v>
      </c>
      <c r="G612" t="s">
        <v>339</v>
      </c>
    </row>
    <row r="613" spans="1:8" x14ac:dyDescent="0.3">
      <c r="A613" t="s">
        <v>348</v>
      </c>
      <c r="B613">
        <f>IFERROR(INDEX(MASTER_REGISTER!C:C,MATCH(C613,MASTER_REGISTER!E:E,0)),"")</f>
        <v>8</v>
      </c>
      <c r="C613" t="s">
        <v>118</v>
      </c>
      <c r="D613" t="str">
        <f>IFERROR(INDEX(MASTER_REGISTER!F:F,MATCH(C613,MASTER_REGISTER!E:E,0)),"")</f>
        <v>Sifiso Mthembu</v>
      </c>
      <c r="E613" t="s">
        <v>337</v>
      </c>
      <c r="F613" t="s">
        <v>338</v>
      </c>
      <c r="G613" t="s">
        <v>339</v>
      </c>
    </row>
    <row r="614" spans="1:8" x14ac:dyDescent="0.3">
      <c r="A614" t="s">
        <v>348</v>
      </c>
      <c r="B614">
        <f>IFERROR(INDEX(MASTER_REGISTER!C:C,MATCH(C614,MASTER_REGISTER!E:E,0)),"")</f>
        <v>9</v>
      </c>
      <c r="C614" t="s">
        <v>123</v>
      </c>
      <c r="D614" t="str">
        <f>IFERROR(INDEX(MASTER_REGISTER!F:F,MATCH(C614,MASTER_REGISTER!E:E,0)),"")</f>
        <v>Karabo Phiri</v>
      </c>
      <c r="E614" t="s">
        <v>337</v>
      </c>
      <c r="F614" t="s">
        <v>338</v>
      </c>
      <c r="G614" t="s">
        <v>339</v>
      </c>
    </row>
    <row r="615" spans="1:8" x14ac:dyDescent="0.3">
      <c r="A615" t="s">
        <v>348</v>
      </c>
      <c r="B615">
        <f>IFERROR(INDEX(MASTER_REGISTER!C:C,MATCH(C615,MASTER_REGISTER!E:E,0)),"")</f>
        <v>9</v>
      </c>
      <c r="C615" t="s">
        <v>128</v>
      </c>
      <c r="D615" t="str">
        <f>IFERROR(INDEX(MASTER_REGISTER!F:F,MATCH(C615,MASTER_REGISTER!E:E,0)),"")</f>
        <v>Lerato Mahlangu</v>
      </c>
      <c r="E615" t="s">
        <v>337</v>
      </c>
      <c r="F615" t="s">
        <v>338</v>
      </c>
      <c r="G615" t="s">
        <v>339</v>
      </c>
    </row>
    <row r="616" spans="1:8" x14ac:dyDescent="0.3">
      <c r="A616" t="s">
        <v>348</v>
      </c>
      <c r="B616">
        <f>IFERROR(INDEX(MASTER_REGISTER!C:C,MATCH(C616,MASTER_REGISTER!E:E,0)),"")</f>
        <v>9</v>
      </c>
      <c r="C616" t="s">
        <v>133</v>
      </c>
      <c r="D616" t="str">
        <f>IFERROR(INDEX(MASTER_REGISTER!F:F,MATCH(C616,MASTER_REGISTER!E:E,0)),"")</f>
        <v>Mpho Kekana</v>
      </c>
      <c r="E616" t="s">
        <v>337</v>
      </c>
      <c r="F616" t="s">
        <v>338</v>
      </c>
      <c r="G616" t="s">
        <v>339</v>
      </c>
    </row>
    <row r="617" spans="1:8" x14ac:dyDescent="0.3">
      <c r="A617" t="s">
        <v>348</v>
      </c>
      <c r="B617">
        <f>IFERROR(INDEX(MASTER_REGISTER!C:C,MATCH(C617,MASTER_REGISTER!E:E,0)),"")</f>
        <v>9</v>
      </c>
      <c r="C617" t="s">
        <v>138</v>
      </c>
      <c r="D617" t="str">
        <f>IFERROR(INDEX(MASTER_REGISTER!F:F,MATCH(C617,MASTER_REGISTER!E:E,0)),"")</f>
        <v>Thabo Molefe</v>
      </c>
      <c r="E617" t="s">
        <v>337</v>
      </c>
      <c r="F617" t="s">
        <v>338</v>
      </c>
      <c r="G617" t="s">
        <v>339</v>
      </c>
    </row>
    <row r="618" spans="1:8" x14ac:dyDescent="0.3">
      <c r="A618" t="s">
        <v>348</v>
      </c>
      <c r="B618">
        <f>IFERROR(INDEX(MASTER_REGISTER!C:C,MATCH(C618,MASTER_REGISTER!E:E,0)),"")</f>
        <v>9</v>
      </c>
      <c r="C618" t="s">
        <v>143</v>
      </c>
      <c r="D618" t="str">
        <f>IFERROR(INDEX(MASTER_REGISTER!F:F,MATCH(C618,MASTER_REGISTER!E:E,0)),"")</f>
        <v>Mpho Ngobeni</v>
      </c>
      <c r="E618" t="s">
        <v>335</v>
      </c>
      <c r="H618" t="s">
        <v>336</v>
      </c>
    </row>
    <row r="619" spans="1:8" x14ac:dyDescent="0.3">
      <c r="A619" t="s">
        <v>348</v>
      </c>
      <c r="B619">
        <f>IFERROR(INDEX(MASTER_REGISTER!C:C,MATCH(C619,MASTER_REGISTER!E:E,0)),"")</f>
        <v>9</v>
      </c>
      <c r="C619" t="s">
        <v>148</v>
      </c>
      <c r="D619" t="str">
        <f>IFERROR(INDEX(MASTER_REGISTER!F:F,MATCH(C619,MASTER_REGISTER!E:E,0)),"")</f>
        <v>Siyanda Mhlongo</v>
      </c>
      <c r="E619" t="s">
        <v>337</v>
      </c>
      <c r="F619" t="s">
        <v>338</v>
      </c>
      <c r="G619" t="s">
        <v>339</v>
      </c>
    </row>
    <row r="620" spans="1:8" x14ac:dyDescent="0.3">
      <c r="A620" t="s">
        <v>348</v>
      </c>
      <c r="B620">
        <f>IFERROR(INDEX(MASTER_REGISTER!C:C,MATCH(C620,MASTER_REGISTER!E:E,0)),"")</f>
        <v>9</v>
      </c>
      <c r="C620" t="s">
        <v>153</v>
      </c>
      <c r="D620" t="str">
        <f>IFERROR(INDEX(MASTER_REGISTER!F:F,MATCH(C620,MASTER_REGISTER!E:E,0)),"")</f>
        <v>Siyanda Mahlangu</v>
      </c>
      <c r="E620" t="s">
        <v>335</v>
      </c>
      <c r="H620" t="s">
        <v>336</v>
      </c>
    </row>
    <row r="621" spans="1:8" x14ac:dyDescent="0.3">
      <c r="A621" t="s">
        <v>348</v>
      </c>
      <c r="B621">
        <f>IFERROR(INDEX(MASTER_REGISTER!C:C,MATCH(C621,MASTER_REGISTER!E:E,0)),"")</f>
        <v>9</v>
      </c>
      <c r="C621" t="s">
        <v>158</v>
      </c>
      <c r="D621" t="str">
        <f>IFERROR(INDEX(MASTER_REGISTER!F:F,MATCH(C621,MASTER_REGISTER!E:E,0)),"")</f>
        <v>Sifiso Ramushu</v>
      </c>
      <c r="E621" t="s">
        <v>337</v>
      </c>
      <c r="F621" t="s">
        <v>338</v>
      </c>
      <c r="G621" t="s">
        <v>339</v>
      </c>
    </row>
    <row r="622" spans="1:8" x14ac:dyDescent="0.3">
      <c r="A622" t="s">
        <v>348</v>
      </c>
      <c r="B622">
        <f>IFERROR(INDEX(MASTER_REGISTER!C:C,MATCH(C622,MASTER_REGISTER!E:E,0)),"")</f>
        <v>9</v>
      </c>
      <c r="C622" t="s">
        <v>163</v>
      </c>
      <c r="D622" t="str">
        <f>IFERROR(INDEX(MASTER_REGISTER!F:F,MATCH(C622,MASTER_REGISTER!E:E,0)),"")</f>
        <v>Nandi Ngobeni</v>
      </c>
      <c r="E622" t="s">
        <v>337</v>
      </c>
      <c r="F622" t="s">
        <v>338</v>
      </c>
      <c r="G622" t="s">
        <v>339</v>
      </c>
    </row>
    <row r="623" spans="1:8" x14ac:dyDescent="0.3">
      <c r="A623" t="s">
        <v>348</v>
      </c>
      <c r="B623">
        <f>IFERROR(INDEX(MASTER_REGISTER!C:C,MATCH(C623,MASTER_REGISTER!E:E,0)),"")</f>
        <v>9</v>
      </c>
      <c r="C623" t="s">
        <v>168</v>
      </c>
      <c r="D623" t="str">
        <f>IFERROR(INDEX(MASTER_REGISTER!F:F,MATCH(C623,MASTER_REGISTER!E:E,0)),"")</f>
        <v>Karabo Mokgadi</v>
      </c>
      <c r="E623" t="s">
        <v>337</v>
      </c>
      <c r="F623" t="s">
        <v>338</v>
      </c>
      <c r="G623" t="s">
        <v>339</v>
      </c>
    </row>
    <row r="624" spans="1:8" x14ac:dyDescent="0.3">
      <c r="A624" t="s">
        <v>348</v>
      </c>
      <c r="B624">
        <f>IFERROR(INDEX(MASTER_REGISTER!C:C,MATCH(C624,MASTER_REGISTER!E:E,0)),"")</f>
        <v>9</v>
      </c>
      <c r="C624" t="s">
        <v>173</v>
      </c>
      <c r="D624" t="str">
        <f>IFERROR(INDEX(MASTER_REGISTER!F:F,MATCH(C624,MASTER_REGISTER!E:E,0)),"")</f>
        <v>Sifiso Mahlangu</v>
      </c>
      <c r="E624" t="s">
        <v>337</v>
      </c>
      <c r="F624" t="s">
        <v>338</v>
      </c>
      <c r="G624" t="s">
        <v>339</v>
      </c>
    </row>
    <row r="625" spans="1:8" x14ac:dyDescent="0.3">
      <c r="A625" t="s">
        <v>348</v>
      </c>
      <c r="B625">
        <f>IFERROR(INDEX(MASTER_REGISTER!C:C,MATCH(C625,MASTER_REGISTER!E:E,0)),"")</f>
        <v>9</v>
      </c>
      <c r="C625" t="s">
        <v>178</v>
      </c>
      <c r="D625" t="str">
        <f>IFERROR(INDEX(MASTER_REGISTER!F:F,MATCH(C625,MASTER_REGISTER!E:E,0)),"")</f>
        <v>Kgothatso Radebe</v>
      </c>
      <c r="E625" t="s">
        <v>337</v>
      </c>
      <c r="F625" t="s">
        <v>338</v>
      </c>
      <c r="G625" t="s">
        <v>339</v>
      </c>
    </row>
    <row r="626" spans="1:8" x14ac:dyDescent="0.3">
      <c r="A626" t="s">
        <v>348</v>
      </c>
      <c r="B626">
        <f>IFERROR(INDEX(MASTER_REGISTER!C:C,MATCH(C626,MASTER_REGISTER!E:E,0)),"")</f>
        <v>10</v>
      </c>
      <c r="C626" t="s">
        <v>183</v>
      </c>
      <c r="D626" t="str">
        <f>IFERROR(INDEX(MASTER_REGISTER!F:F,MATCH(C626,MASTER_REGISTER!E:E,0)),"")</f>
        <v>Lerato Maseko</v>
      </c>
      <c r="E626" t="s">
        <v>335</v>
      </c>
      <c r="H626" t="s">
        <v>342</v>
      </c>
    </row>
    <row r="627" spans="1:8" x14ac:dyDescent="0.3">
      <c r="A627" t="s">
        <v>348</v>
      </c>
      <c r="B627">
        <f>IFERROR(INDEX(MASTER_REGISTER!C:C,MATCH(C627,MASTER_REGISTER!E:E,0)),"")</f>
        <v>10</v>
      </c>
      <c r="C627" t="s">
        <v>188</v>
      </c>
      <c r="D627" t="str">
        <f>IFERROR(INDEX(MASTER_REGISTER!F:F,MATCH(C627,MASTER_REGISTER!E:E,0)),"")</f>
        <v>Sibusiso Molefe</v>
      </c>
      <c r="E627" t="s">
        <v>337</v>
      </c>
      <c r="F627" t="s">
        <v>338</v>
      </c>
      <c r="G627" t="s">
        <v>339</v>
      </c>
    </row>
    <row r="628" spans="1:8" x14ac:dyDescent="0.3">
      <c r="A628" t="s">
        <v>348</v>
      </c>
      <c r="B628">
        <f>IFERROR(INDEX(MASTER_REGISTER!C:C,MATCH(C628,MASTER_REGISTER!E:E,0)),"")</f>
        <v>10</v>
      </c>
      <c r="C628" t="s">
        <v>193</v>
      </c>
      <c r="D628" t="str">
        <f>IFERROR(INDEX(MASTER_REGISTER!F:F,MATCH(C628,MASTER_REGISTER!E:E,0)),"")</f>
        <v>Nandi Molefe</v>
      </c>
      <c r="E628" t="s">
        <v>337</v>
      </c>
      <c r="F628" t="s">
        <v>338</v>
      </c>
      <c r="G628" t="s">
        <v>339</v>
      </c>
    </row>
    <row r="629" spans="1:8" x14ac:dyDescent="0.3">
      <c r="A629" t="s">
        <v>348</v>
      </c>
      <c r="B629">
        <f>IFERROR(INDEX(MASTER_REGISTER!C:C,MATCH(C629,MASTER_REGISTER!E:E,0)),"")</f>
        <v>10</v>
      </c>
      <c r="C629" t="s">
        <v>198</v>
      </c>
      <c r="D629" t="str">
        <f>IFERROR(INDEX(MASTER_REGISTER!F:F,MATCH(C629,MASTER_REGISTER!E:E,0)),"")</f>
        <v>Kgothatso Baloyi</v>
      </c>
      <c r="E629" t="s">
        <v>337</v>
      </c>
      <c r="F629" t="s">
        <v>338</v>
      </c>
      <c r="G629" t="s">
        <v>339</v>
      </c>
    </row>
    <row r="630" spans="1:8" x14ac:dyDescent="0.3">
      <c r="A630" t="s">
        <v>348</v>
      </c>
      <c r="B630">
        <f>IFERROR(INDEX(MASTER_REGISTER!C:C,MATCH(C630,MASTER_REGISTER!E:E,0)),"")</f>
        <v>10</v>
      </c>
      <c r="C630" t="s">
        <v>202</v>
      </c>
      <c r="D630" t="str">
        <f>IFERROR(INDEX(MASTER_REGISTER!F:F,MATCH(C630,MASTER_REGISTER!E:E,0)),"")</f>
        <v>Ayanda Mokoena</v>
      </c>
      <c r="E630" t="s">
        <v>337</v>
      </c>
      <c r="F630" t="s">
        <v>338</v>
      </c>
      <c r="G630" t="s">
        <v>339</v>
      </c>
    </row>
    <row r="631" spans="1:8" x14ac:dyDescent="0.3">
      <c r="A631" t="s">
        <v>348</v>
      </c>
      <c r="B631">
        <f>IFERROR(INDEX(MASTER_REGISTER!C:C,MATCH(C631,MASTER_REGISTER!E:E,0)),"")</f>
        <v>10</v>
      </c>
      <c r="C631" t="s">
        <v>206</v>
      </c>
      <c r="D631" t="str">
        <f>IFERROR(INDEX(MASTER_REGISTER!F:F,MATCH(C631,MASTER_REGISTER!E:E,0)),"")</f>
        <v>Lwazi Baloyi</v>
      </c>
      <c r="E631" t="s">
        <v>337</v>
      </c>
      <c r="F631" t="s">
        <v>338</v>
      </c>
      <c r="G631" t="s">
        <v>339</v>
      </c>
    </row>
    <row r="632" spans="1:8" x14ac:dyDescent="0.3">
      <c r="A632" t="s">
        <v>348</v>
      </c>
      <c r="B632">
        <f>IFERROR(INDEX(MASTER_REGISTER!C:C,MATCH(C632,MASTER_REGISTER!E:E,0)),"")</f>
        <v>10</v>
      </c>
      <c r="C632" t="s">
        <v>210</v>
      </c>
      <c r="D632" t="str">
        <f>IFERROR(INDEX(MASTER_REGISTER!F:F,MATCH(C632,MASTER_REGISTER!E:E,0)),"")</f>
        <v>Siyanda Mokoena</v>
      </c>
      <c r="E632" t="s">
        <v>337</v>
      </c>
      <c r="F632" t="s">
        <v>338</v>
      </c>
      <c r="G632" t="s">
        <v>339</v>
      </c>
    </row>
    <row r="633" spans="1:8" x14ac:dyDescent="0.3">
      <c r="A633" t="s">
        <v>348</v>
      </c>
      <c r="B633">
        <f>IFERROR(INDEX(MASTER_REGISTER!C:C,MATCH(C633,MASTER_REGISTER!E:E,0)),"")</f>
        <v>10</v>
      </c>
      <c r="C633" t="s">
        <v>214</v>
      </c>
      <c r="D633" t="str">
        <f>IFERROR(INDEX(MASTER_REGISTER!F:F,MATCH(C633,MASTER_REGISTER!E:E,0)),"")</f>
        <v>Mpho Ngobeni</v>
      </c>
      <c r="E633" t="s">
        <v>337</v>
      </c>
      <c r="F633" t="s">
        <v>338</v>
      </c>
      <c r="G633" t="s">
        <v>339</v>
      </c>
    </row>
    <row r="634" spans="1:8" x14ac:dyDescent="0.3">
      <c r="A634" t="s">
        <v>348</v>
      </c>
      <c r="B634">
        <f>IFERROR(INDEX(MASTER_REGISTER!C:C,MATCH(C634,MASTER_REGISTER!E:E,0)),"")</f>
        <v>10</v>
      </c>
      <c r="C634" t="s">
        <v>217</v>
      </c>
      <c r="D634" t="str">
        <f>IFERROR(INDEX(MASTER_REGISTER!F:F,MATCH(C634,MASTER_REGISTER!E:E,0)),"")</f>
        <v>Naledi Makhubela</v>
      </c>
      <c r="E634" t="s">
        <v>337</v>
      </c>
      <c r="F634" t="s">
        <v>338</v>
      </c>
      <c r="G634" t="s">
        <v>339</v>
      </c>
    </row>
    <row r="635" spans="1:8" x14ac:dyDescent="0.3">
      <c r="A635" t="s">
        <v>348</v>
      </c>
      <c r="B635">
        <f>IFERROR(INDEX(MASTER_REGISTER!C:C,MATCH(C635,MASTER_REGISTER!E:E,0)),"")</f>
        <v>10</v>
      </c>
      <c r="C635" t="s">
        <v>221</v>
      </c>
      <c r="D635" t="str">
        <f>IFERROR(INDEX(MASTER_REGISTER!F:F,MATCH(C635,MASTER_REGISTER!E:E,0)),"")</f>
        <v>Kgothatso Mokoena</v>
      </c>
      <c r="E635" t="s">
        <v>337</v>
      </c>
      <c r="F635" t="s">
        <v>338</v>
      </c>
      <c r="G635" t="s">
        <v>339</v>
      </c>
    </row>
    <row r="636" spans="1:8" x14ac:dyDescent="0.3">
      <c r="A636" t="s">
        <v>348</v>
      </c>
      <c r="B636">
        <f>IFERROR(INDEX(MASTER_REGISTER!C:C,MATCH(C636,MASTER_REGISTER!E:E,0)),"")</f>
        <v>10</v>
      </c>
      <c r="C636" t="s">
        <v>225</v>
      </c>
      <c r="D636" t="str">
        <f>IFERROR(INDEX(MASTER_REGISTER!F:F,MATCH(C636,MASTER_REGISTER!E:E,0)),"")</f>
        <v>Bongani Makhubela</v>
      </c>
      <c r="E636" t="s">
        <v>337</v>
      </c>
      <c r="F636" t="s">
        <v>338</v>
      </c>
      <c r="G636" t="s">
        <v>339</v>
      </c>
    </row>
    <row r="637" spans="1:8" x14ac:dyDescent="0.3">
      <c r="A637" t="s">
        <v>348</v>
      </c>
      <c r="B637">
        <f>IFERROR(INDEX(MASTER_REGISTER!C:C,MATCH(C637,MASTER_REGISTER!E:E,0)),"")</f>
        <v>10</v>
      </c>
      <c r="C637" t="s">
        <v>229</v>
      </c>
      <c r="D637" t="str">
        <f>IFERROR(INDEX(MASTER_REGISTER!F:F,MATCH(C637,MASTER_REGISTER!E:E,0)),"")</f>
        <v>Kagiso Kekana</v>
      </c>
      <c r="E637" t="s">
        <v>335</v>
      </c>
      <c r="H637" t="s">
        <v>340</v>
      </c>
    </row>
    <row r="638" spans="1:8" x14ac:dyDescent="0.3">
      <c r="A638" t="s">
        <v>348</v>
      </c>
      <c r="B638">
        <f>IFERROR(INDEX(MASTER_REGISTER!C:C,MATCH(C638,MASTER_REGISTER!E:E,0)),"")</f>
        <v>11</v>
      </c>
      <c r="C638" t="s">
        <v>233</v>
      </c>
      <c r="D638" t="str">
        <f>IFERROR(INDEX(MASTER_REGISTER!F:F,MATCH(C638,MASTER_REGISTER!E:E,0)),"")</f>
        <v>Lwazi Makhubela</v>
      </c>
      <c r="E638" t="s">
        <v>337</v>
      </c>
      <c r="F638" t="s">
        <v>338</v>
      </c>
      <c r="G638" t="s">
        <v>339</v>
      </c>
    </row>
    <row r="639" spans="1:8" x14ac:dyDescent="0.3">
      <c r="A639" t="s">
        <v>348</v>
      </c>
      <c r="B639">
        <f>IFERROR(INDEX(MASTER_REGISTER!C:C,MATCH(C639,MASTER_REGISTER!E:E,0)),"")</f>
        <v>11</v>
      </c>
      <c r="C639" t="s">
        <v>237</v>
      </c>
      <c r="D639" t="str">
        <f>IFERROR(INDEX(MASTER_REGISTER!F:F,MATCH(C639,MASTER_REGISTER!E:E,0)),"")</f>
        <v>Lebogang Ramushu</v>
      </c>
      <c r="E639" t="s">
        <v>337</v>
      </c>
      <c r="F639" t="s">
        <v>338</v>
      </c>
      <c r="G639" t="s">
        <v>339</v>
      </c>
    </row>
    <row r="640" spans="1:8" x14ac:dyDescent="0.3">
      <c r="A640" t="s">
        <v>348</v>
      </c>
      <c r="B640">
        <f>IFERROR(INDEX(MASTER_REGISTER!C:C,MATCH(C640,MASTER_REGISTER!E:E,0)),"")</f>
        <v>11</v>
      </c>
      <c r="C640" t="s">
        <v>241</v>
      </c>
      <c r="D640" t="str">
        <f>IFERROR(INDEX(MASTER_REGISTER!F:F,MATCH(C640,MASTER_REGISTER!E:E,0)),"")</f>
        <v>Lerato Kekana</v>
      </c>
      <c r="E640" t="s">
        <v>335</v>
      </c>
      <c r="H640" t="s">
        <v>336</v>
      </c>
    </row>
    <row r="641" spans="1:8" x14ac:dyDescent="0.3">
      <c r="A641" t="s">
        <v>348</v>
      </c>
      <c r="B641">
        <f>IFERROR(INDEX(MASTER_REGISTER!C:C,MATCH(C641,MASTER_REGISTER!E:E,0)),"")</f>
        <v>11</v>
      </c>
      <c r="C641" t="s">
        <v>244</v>
      </c>
      <c r="D641" t="str">
        <f>IFERROR(INDEX(MASTER_REGISTER!F:F,MATCH(C641,MASTER_REGISTER!E:E,0)),"")</f>
        <v>Bongani Ndlovu</v>
      </c>
      <c r="E641" t="s">
        <v>337</v>
      </c>
      <c r="F641" t="s">
        <v>338</v>
      </c>
      <c r="G641" t="s">
        <v>339</v>
      </c>
    </row>
    <row r="642" spans="1:8" x14ac:dyDescent="0.3">
      <c r="A642" t="s">
        <v>348</v>
      </c>
      <c r="B642">
        <f>IFERROR(INDEX(MASTER_REGISTER!C:C,MATCH(C642,MASTER_REGISTER!E:E,0)),"")</f>
        <v>11</v>
      </c>
      <c r="C642" t="s">
        <v>248</v>
      </c>
      <c r="D642" t="str">
        <f>IFERROR(INDEX(MASTER_REGISTER!F:F,MATCH(C642,MASTER_REGISTER!E:E,0)),"")</f>
        <v>Sifiso Dlamini</v>
      </c>
      <c r="E642" t="s">
        <v>337</v>
      </c>
      <c r="F642" t="s">
        <v>338</v>
      </c>
      <c r="G642" t="s">
        <v>339</v>
      </c>
    </row>
    <row r="643" spans="1:8" x14ac:dyDescent="0.3">
      <c r="A643" t="s">
        <v>348</v>
      </c>
      <c r="B643">
        <f>IFERROR(INDEX(MASTER_REGISTER!C:C,MATCH(C643,MASTER_REGISTER!E:E,0)),"")</f>
        <v>11</v>
      </c>
      <c r="C643" t="s">
        <v>252</v>
      </c>
      <c r="D643" t="str">
        <f>IFERROR(INDEX(MASTER_REGISTER!F:F,MATCH(C643,MASTER_REGISTER!E:E,0)),"")</f>
        <v>Refilwe Dlamini</v>
      </c>
      <c r="E643" t="s">
        <v>337</v>
      </c>
      <c r="F643" t="s">
        <v>338</v>
      </c>
      <c r="G643" t="s">
        <v>339</v>
      </c>
    </row>
    <row r="644" spans="1:8" x14ac:dyDescent="0.3">
      <c r="A644" t="s">
        <v>348</v>
      </c>
      <c r="B644">
        <f>IFERROR(INDEX(MASTER_REGISTER!C:C,MATCH(C644,MASTER_REGISTER!E:E,0)),"")</f>
        <v>11</v>
      </c>
      <c r="C644" t="s">
        <v>256</v>
      </c>
      <c r="D644" t="str">
        <f>IFERROR(INDEX(MASTER_REGISTER!F:F,MATCH(C644,MASTER_REGISTER!E:E,0)),"")</f>
        <v>Lwazi Maseko</v>
      </c>
      <c r="E644" t="s">
        <v>337</v>
      </c>
      <c r="F644" t="s">
        <v>338</v>
      </c>
      <c r="G644" t="s">
        <v>339</v>
      </c>
    </row>
    <row r="645" spans="1:8" x14ac:dyDescent="0.3">
      <c r="A645" t="s">
        <v>348</v>
      </c>
      <c r="B645">
        <f>IFERROR(INDEX(MASTER_REGISTER!C:C,MATCH(C645,MASTER_REGISTER!E:E,0)),"")</f>
        <v>11</v>
      </c>
      <c r="C645" t="s">
        <v>260</v>
      </c>
      <c r="D645" t="str">
        <f>IFERROR(INDEX(MASTER_REGISTER!F:F,MATCH(C645,MASTER_REGISTER!E:E,0)),"")</f>
        <v>Refilwe Mokgadi</v>
      </c>
      <c r="E645" t="s">
        <v>337</v>
      </c>
      <c r="F645" t="s">
        <v>338</v>
      </c>
      <c r="G645" t="s">
        <v>339</v>
      </c>
    </row>
    <row r="646" spans="1:8" x14ac:dyDescent="0.3">
      <c r="A646" t="s">
        <v>348</v>
      </c>
      <c r="B646">
        <f>IFERROR(INDEX(MASTER_REGISTER!C:C,MATCH(C646,MASTER_REGISTER!E:E,0)),"")</f>
        <v>11</v>
      </c>
      <c r="C646" t="s">
        <v>264</v>
      </c>
      <c r="D646" t="str">
        <f>IFERROR(INDEX(MASTER_REGISTER!F:F,MATCH(C646,MASTER_REGISTER!E:E,0)),"")</f>
        <v>Kgothatso Molefe</v>
      </c>
      <c r="E646" t="s">
        <v>337</v>
      </c>
      <c r="F646" t="s">
        <v>338</v>
      </c>
      <c r="G646" t="s">
        <v>339</v>
      </c>
    </row>
    <row r="647" spans="1:8" x14ac:dyDescent="0.3">
      <c r="A647" t="s">
        <v>348</v>
      </c>
      <c r="B647">
        <f>IFERROR(INDEX(MASTER_REGISTER!C:C,MATCH(C647,MASTER_REGISTER!E:E,0)),"")</f>
        <v>11</v>
      </c>
      <c r="C647" t="s">
        <v>268</v>
      </c>
      <c r="D647" t="str">
        <f>IFERROR(INDEX(MASTER_REGISTER!F:F,MATCH(C647,MASTER_REGISTER!E:E,0)),"")</f>
        <v>Tshepo Mokgadi</v>
      </c>
      <c r="E647" t="s">
        <v>335</v>
      </c>
      <c r="H647" t="s">
        <v>341</v>
      </c>
    </row>
    <row r="648" spans="1:8" x14ac:dyDescent="0.3">
      <c r="A648" t="s">
        <v>348</v>
      </c>
      <c r="B648">
        <f>IFERROR(INDEX(MASTER_REGISTER!C:C,MATCH(C648,MASTER_REGISTER!E:E,0)),"")</f>
        <v>11</v>
      </c>
      <c r="C648" t="s">
        <v>272</v>
      </c>
      <c r="D648" t="str">
        <f>IFERROR(INDEX(MASTER_REGISTER!F:F,MATCH(C648,MASTER_REGISTER!E:E,0)),"")</f>
        <v>Tshepo Phiri</v>
      </c>
      <c r="E648" t="s">
        <v>337</v>
      </c>
      <c r="F648" t="s">
        <v>338</v>
      </c>
      <c r="G648" t="s">
        <v>339</v>
      </c>
    </row>
    <row r="649" spans="1:8" x14ac:dyDescent="0.3">
      <c r="A649" t="s">
        <v>348</v>
      </c>
      <c r="B649">
        <f>IFERROR(INDEX(MASTER_REGISTER!C:C,MATCH(C649,MASTER_REGISTER!E:E,0)),"")</f>
        <v>11</v>
      </c>
      <c r="C649" t="s">
        <v>276</v>
      </c>
      <c r="D649" t="str">
        <f>IFERROR(INDEX(MASTER_REGISTER!F:F,MATCH(C649,MASTER_REGISTER!E:E,0)),"")</f>
        <v>Zanele Ngobeni</v>
      </c>
      <c r="E649" t="s">
        <v>337</v>
      </c>
      <c r="F649" t="s">
        <v>338</v>
      </c>
      <c r="G649" t="s">
        <v>339</v>
      </c>
    </row>
    <row r="650" spans="1:8" x14ac:dyDescent="0.3">
      <c r="A650" t="s">
        <v>348</v>
      </c>
      <c r="B650">
        <f>IFERROR(INDEX(MASTER_REGISTER!C:C,MATCH(C650,MASTER_REGISTER!E:E,0)),"")</f>
        <v>12</v>
      </c>
      <c r="C650" t="s">
        <v>280</v>
      </c>
      <c r="D650" t="str">
        <f>IFERROR(INDEX(MASTER_REGISTER!F:F,MATCH(C650,MASTER_REGISTER!E:E,0)),"")</f>
        <v>Palesa Mokoena</v>
      </c>
      <c r="E650" t="s">
        <v>337</v>
      </c>
      <c r="F650" t="s">
        <v>338</v>
      </c>
      <c r="G650" t="s">
        <v>339</v>
      </c>
    </row>
    <row r="651" spans="1:8" x14ac:dyDescent="0.3">
      <c r="A651" t="s">
        <v>348</v>
      </c>
      <c r="B651">
        <f>IFERROR(INDEX(MASTER_REGISTER!C:C,MATCH(C651,MASTER_REGISTER!E:E,0)),"")</f>
        <v>12</v>
      </c>
      <c r="C651" t="s">
        <v>284</v>
      </c>
      <c r="D651" t="str">
        <f>IFERROR(INDEX(MASTER_REGISTER!F:F,MATCH(C651,MASTER_REGISTER!E:E,0)),"")</f>
        <v>Thabo Ramushu</v>
      </c>
      <c r="E651" t="s">
        <v>337</v>
      </c>
      <c r="F651" t="s">
        <v>338</v>
      </c>
      <c r="G651" t="s">
        <v>339</v>
      </c>
    </row>
    <row r="652" spans="1:8" x14ac:dyDescent="0.3">
      <c r="A652" t="s">
        <v>348</v>
      </c>
      <c r="B652">
        <f>IFERROR(INDEX(MASTER_REGISTER!C:C,MATCH(C652,MASTER_REGISTER!E:E,0)),"")</f>
        <v>12</v>
      </c>
      <c r="C652" t="s">
        <v>288</v>
      </c>
      <c r="D652" t="str">
        <f>IFERROR(INDEX(MASTER_REGISTER!F:F,MATCH(C652,MASTER_REGISTER!E:E,0)),"")</f>
        <v>Lwazi Ndlovu</v>
      </c>
      <c r="E652" t="s">
        <v>337</v>
      </c>
      <c r="F652" t="s">
        <v>338</v>
      </c>
      <c r="G652" t="s">
        <v>339</v>
      </c>
    </row>
    <row r="653" spans="1:8" x14ac:dyDescent="0.3">
      <c r="A653" t="s">
        <v>348</v>
      </c>
      <c r="B653">
        <f>IFERROR(INDEX(MASTER_REGISTER!C:C,MATCH(C653,MASTER_REGISTER!E:E,0)),"")</f>
        <v>12</v>
      </c>
      <c r="C653" t="s">
        <v>292</v>
      </c>
      <c r="D653" t="str">
        <f>IFERROR(INDEX(MASTER_REGISTER!F:F,MATCH(C653,MASTER_REGISTER!E:E,0)),"")</f>
        <v>Ayanda Dlamini</v>
      </c>
      <c r="E653" t="s">
        <v>337</v>
      </c>
      <c r="F653" t="s">
        <v>338</v>
      </c>
      <c r="G653" t="s">
        <v>339</v>
      </c>
    </row>
    <row r="654" spans="1:8" x14ac:dyDescent="0.3">
      <c r="A654" t="s">
        <v>348</v>
      </c>
      <c r="B654">
        <f>IFERROR(INDEX(MASTER_REGISTER!C:C,MATCH(C654,MASTER_REGISTER!E:E,0)),"")</f>
        <v>12</v>
      </c>
      <c r="C654" t="s">
        <v>296</v>
      </c>
      <c r="D654" t="str">
        <f>IFERROR(INDEX(MASTER_REGISTER!F:F,MATCH(C654,MASTER_REGISTER!E:E,0)),"")</f>
        <v>Neo Ndlovu</v>
      </c>
      <c r="E654" t="s">
        <v>337</v>
      </c>
      <c r="F654" t="s">
        <v>338</v>
      </c>
      <c r="G654" t="s">
        <v>339</v>
      </c>
    </row>
    <row r="655" spans="1:8" x14ac:dyDescent="0.3">
      <c r="A655" t="s">
        <v>348</v>
      </c>
      <c r="B655">
        <f>IFERROR(INDEX(MASTER_REGISTER!C:C,MATCH(C655,MASTER_REGISTER!E:E,0)),"")</f>
        <v>12</v>
      </c>
      <c r="C655" t="s">
        <v>300</v>
      </c>
      <c r="D655" t="str">
        <f>IFERROR(INDEX(MASTER_REGISTER!F:F,MATCH(C655,MASTER_REGISTER!E:E,0)),"")</f>
        <v>Neo Ramushu</v>
      </c>
      <c r="E655" t="s">
        <v>337</v>
      </c>
      <c r="F655" t="s">
        <v>338</v>
      </c>
      <c r="G655" t="s">
        <v>339</v>
      </c>
    </row>
    <row r="656" spans="1:8" x14ac:dyDescent="0.3">
      <c r="A656" t="s">
        <v>348</v>
      </c>
      <c r="B656">
        <f>IFERROR(INDEX(MASTER_REGISTER!C:C,MATCH(C656,MASTER_REGISTER!E:E,0)),"")</f>
        <v>12</v>
      </c>
      <c r="C656" t="s">
        <v>304</v>
      </c>
      <c r="D656" t="str">
        <f>IFERROR(INDEX(MASTER_REGISTER!F:F,MATCH(C656,MASTER_REGISTER!E:E,0)),"")</f>
        <v>Karabo Baloyi</v>
      </c>
      <c r="E656" t="s">
        <v>337</v>
      </c>
      <c r="F656" t="s">
        <v>338</v>
      </c>
      <c r="G656" t="s">
        <v>339</v>
      </c>
    </row>
    <row r="657" spans="1:8" x14ac:dyDescent="0.3">
      <c r="A657" t="s">
        <v>348</v>
      </c>
      <c r="B657">
        <f>IFERROR(INDEX(MASTER_REGISTER!C:C,MATCH(C657,MASTER_REGISTER!E:E,0)),"")</f>
        <v>12</v>
      </c>
      <c r="C657" t="s">
        <v>308</v>
      </c>
      <c r="D657" t="str">
        <f>IFERROR(INDEX(MASTER_REGISTER!F:F,MATCH(C657,MASTER_REGISTER!E:E,0)),"")</f>
        <v>Tshepo Mokgadi</v>
      </c>
      <c r="E657" t="s">
        <v>337</v>
      </c>
      <c r="F657" t="s">
        <v>338</v>
      </c>
      <c r="G657" t="s">
        <v>339</v>
      </c>
    </row>
    <row r="658" spans="1:8" x14ac:dyDescent="0.3">
      <c r="A658" t="s">
        <v>348</v>
      </c>
      <c r="B658">
        <f>IFERROR(INDEX(MASTER_REGISTER!C:C,MATCH(C658,MASTER_REGISTER!E:E,0)),"")</f>
        <v>12</v>
      </c>
      <c r="C658" t="s">
        <v>311</v>
      </c>
      <c r="D658" t="str">
        <f>IFERROR(INDEX(MASTER_REGISTER!F:F,MATCH(C658,MASTER_REGISTER!E:E,0)),"")</f>
        <v>Sifiso Mavuso</v>
      </c>
      <c r="E658" t="s">
        <v>337</v>
      </c>
      <c r="F658" t="s">
        <v>338</v>
      </c>
      <c r="G658" t="s">
        <v>339</v>
      </c>
    </row>
    <row r="659" spans="1:8" x14ac:dyDescent="0.3">
      <c r="A659" t="s">
        <v>348</v>
      </c>
      <c r="B659">
        <f>IFERROR(INDEX(MASTER_REGISTER!C:C,MATCH(C659,MASTER_REGISTER!E:E,0)),"")</f>
        <v>12</v>
      </c>
      <c r="C659" t="s">
        <v>315</v>
      </c>
      <c r="D659" t="str">
        <f>IFERROR(INDEX(MASTER_REGISTER!F:F,MATCH(C659,MASTER_REGISTER!E:E,0)),"")</f>
        <v>Refilwe Sithole</v>
      </c>
      <c r="E659" t="s">
        <v>337</v>
      </c>
      <c r="F659" t="s">
        <v>338</v>
      </c>
      <c r="G659" t="s">
        <v>339</v>
      </c>
    </row>
    <row r="660" spans="1:8" x14ac:dyDescent="0.3">
      <c r="A660" t="s">
        <v>348</v>
      </c>
      <c r="B660">
        <f>IFERROR(INDEX(MASTER_REGISTER!C:C,MATCH(C660,MASTER_REGISTER!E:E,0)),"")</f>
        <v>12</v>
      </c>
      <c r="C660" t="s">
        <v>319</v>
      </c>
      <c r="D660" t="str">
        <f>IFERROR(INDEX(MASTER_REGISTER!F:F,MATCH(C660,MASTER_REGISTER!E:E,0)),"")</f>
        <v>Lerato Sithole</v>
      </c>
      <c r="E660" t="s">
        <v>337</v>
      </c>
      <c r="F660" t="s">
        <v>338</v>
      </c>
      <c r="G660" t="s">
        <v>339</v>
      </c>
    </row>
    <row r="661" spans="1:8" x14ac:dyDescent="0.3">
      <c r="A661" t="s">
        <v>348</v>
      </c>
      <c r="B661">
        <f>IFERROR(INDEX(MASTER_REGISTER!C:C,MATCH(C661,MASTER_REGISTER!E:E,0)),"")</f>
        <v>12</v>
      </c>
      <c r="C661" t="s">
        <v>323</v>
      </c>
      <c r="D661" t="str">
        <f>IFERROR(INDEX(MASTER_REGISTER!F:F,MATCH(C661,MASTER_REGISTER!E:E,0)),"")</f>
        <v>Sibusiso Ngobeni</v>
      </c>
      <c r="E661" t="s">
        <v>337</v>
      </c>
      <c r="F661" t="s">
        <v>338</v>
      </c>
      <c r="G661" t="s">
        <v>339</v>
      </c>
    </row>
    <row r="662" spans="1:8" x14ac:dyDescent="0.3">
      <c r="A662" t="s">
        <v>349</v>
      </c>
      <c r="B662">
        <f>IFERROR(INDEX(MASTER_REGISTER!C:C,MATCH(C662,MASTER_REGISTER!E:E,0)),"")</f>
        <v>8</v>
      </c>
      <c r="C662" t="s">
        <v>50</v>
      </c>
      <c r="D662" t="str">
        <f>IFERROR(INDEX(MASTER_REGISTER!F:F,MATCH(C662,MASTER_REGISTER!E:E,0)),"")</f>
        <v>Lerato Nkosi</v>
      </c>
      <c r="E662" t="s">
        <v>335</v>
      </c>
      <c r="H662" t="s">
        <v>336</v>
      </c>
    </row>
    <row r="663" spans="1:8" x14ac:dyDescent="0.3">
      <c r="A663" t="s">
        <v>349</v>
      </c>
      <c r="B663">
        <f>IFERROR(INDEX(MASTER_REGISTER!C:C,MATCH(C663,MASTER_REGISTER!E:E,0)),"")</f>
        <v>8</v>
      </c>
      <c r="C663" t="s">
        <v>58</v>
      </c>
      <c r="D663" t="str">
        <f>IFERROR(INDEX(MASTER_REGISTER!F:F,MATCH(C663,MASTER_REGISTER!E:E,0)),"")</f>
        <v>Karabo Maseko</v>
      </c>
      <c r="E663" t="s">
        <v>337</v>
      </c>
      <c r="F663" t="s">
        <v>338</v>
      </c>
      <c r="G663" t="s">
        <v>339</v>
      </c>
    </row>
    <row r="664" spans="1:8" x14ac:dyDescent="0.3">
      <c r="A664" t="s">
        <v>349</v>
      </c>
      <c r="B664">
        <f>IFERROR(INDEX(MASTER_REGISTER!C:C,MATCH(C664,MASTER_REGISTER!E:E,0)),"")</f>
        <v>8</v>
      </c>
      <c r="C664" t="s">
        <v>64</v>
      </c>
      <c r="D664" t="str">
        <f>IFERROR(INDEX(MASTER_REGISTER!F:F,MATCH(C664,MASTER_REGISTER!E:E,0)),"")</f>
        <v>Sifiso Sithole</v>
      </c>
      <c r="E664" t="s">
        <v>337</v>
      </c>
      <c r="F664" t="s">
        <v>338</v>
      </c>
      <c r="G664" t="s">
        <v>339</v>
      </c>
    </row>
    <row r="665" spans="1:8" x14ac:dyDescent="0.3">
      <c r="A665" t="s">
        <v>349</v>
      </c>
      <c r="B665">
        <f>IFERROR(INDEX(MASTER_REGISTER!C:C,MATCH(C665,MASTER_REGISTER!E:E,0)),"")</f>
        <v>8</v>
      </c>
      <c r="C665" t="s">
        <v>70</v>
      </c>
      <c r="D665" t="str">
        <f>IFERROR(INDEX(MASTER_REGISTER!F:F,MATCH(C665,MASTER_REGISTER!E:E,0)),"")</f>
        <v>Tshepo Ndlovu</v>
      </c>
      <c r="E665" t="s">
        <v>337</v>
      </c>
      <c r="F665" t="s">
        <v>338</v>
      </c>
      <c r="G665" t="s">
        <v>339</v>
      </c>
    </row>
    <row r="666" spans="1:8" x14ac:dyDescent="0.3">
      <c r="A666" t="s">
        <v>349</v>
      </c>
      <c r="B666">
        <f>IFERROR(INDEX(MASTER_REGISTER!C:C,MATCH(C666,MASTER_REGISTER!E:E,0)),"")</f>
        <v>8</v>
      </c>
      <c r="C666" t="s">
        <v>76</v>
      </c>
      <c r="D666" t="str">
        <f>IFERROR(INDEX(MASTER_REGISTER!F:F,MATCH(C666,MASTER_REGISTER!E:E,0)),"")</f>
        <v>Lwazi Mthembu</v>
      </c>
      <c r="E666" t="s">
        <v>337</v>
      </c>
      <c r="F666" t="s">
        <v>338</v>
      </c>
      <c r="G666" t="s">
        <v>339</v>
      </c>
    </row>
    <row r="667" spans="1:8" x14ac:dyDescent="0.3">
      <c r="A667" t="s">
        <v>349</v>
      </c>
      <c r="B667">
        <f>IFERROR(INDEX(MASTER_REGISTER!C:C,MATCH(C667,MASTER_REGISTER!E:E,0)),"")</f>
        <v>8</v>
      </c>
      <c r="C667" t="s">
        <v>82</v>
      </c>
      <c r="D667" t="str">
        <f>IFERROR(INDEX(MASTER_REGISTER!F:F,MATCH(C667,MASTER_REGISTER!E:E,0)),"")</f>
        <v>Karabo Ngobeni</v>
      </c>
      <c r="E667" t="s">
        <v>337</v>
      </c>
      <c r="F667" t="s">
        <v>338</v>
      </c>
      <c r="G667" t="s">
        <v>339</v>
      </c>
    </row>
    <row r="668" spans="1:8" x14ac:dyDescent="0.3">
      <c r="A668" t="s">
        <v>349</v>
      </c>
      <c r="B668">
        <f>IFERROR(INDEX(MASTER_REGISTER!C:C,MATCH(C668,MASTER_REGISTER!E:E,0)),"")</f>
        <v>8</v>
      </c>
      <c r="C668" t="s">
        <v>88</v>
      </c>
      <c r="D668" t="str">
        <f>IFERROR(INDEX(MASTER_REGISTER!F:F,MATCH(C668,MASTER_REGISTER!E:E,0)),"")</f>
        <v>Mpho Sithole</v>
      </c>
      <c r="E668" t="s">
        <v>337</v>
      </c>
      <c r="F668" t="s">
        <v>338</v>
      </c>
      <c r="G668" t="s">
        <v>339</v>
      </c>
    </row>
    <row r="669" spans="1:8" x14ac:dyDescent="0.3">
      <c r="A669" t="s">
        <v>349</v>
      </c>
      <c r="B669">
        <f>IFERROR(INDEX(MASTER_REGISTER!C:C,MATCH(C669,MASTER_REGISTER!E:E,0)),"")</f>
        <v>8</v>
      </c>
      <c r="C669" t="s">
        <v>94</v>
      </c>
      <c r="D669" t="str">
        <f>IFERROR(INDEX(MASTER_REGISTER!F:F,MATCH(C669,MASTER_REGISTER!E:E,0)),"")</f>
        <v>Tshepo Ramushu</v>
      </c>
      <c r="E669" t="s">
        <v>337</v>
      </c>
      <c r="F669" t="s">
        <v>338</v>
      </c>
      <c r="G669" t="s">
        <v>339</v>
      </c>
    </row>
    <row r="670" spans="1:8" x14ac:dyDescent="0.3">
      <c r="A670" t="s">
        <v>349</v>
      </c>
      <c r="B670">
        <f>IFERROR(INDEX(MASTER_REGISTER!C:C,MATCH(C670,MASTER_REGISTER!E:E,0)),"")</f>
        <v>8</v>
      </c>
      <c r="C670" t="s">
        <v>100</v>
      </c>
      <c r="D670" t="str">
        <f>IFERROR(INDEX(MASTER_REGISTER!F:F,MATCH(C670,MASTER_REGISTER!E:E,0)),"")</f>
        <v>Lerato Kekana</v>
      </c>
      <c r="E670" t="s">
        <v>337</v>
      </c>
      <c r="F670" t="s">
        <v>338</v>
      </c>
      <c r="G670" t="s">
        <v>339</v>
      </c>
    </row>
    <row r="671" spans="1:8" x14ac:dyDescent="0.3">
      <c r="A671" t="s">
        <v>349</v>
      </c>
      <c r="B671">
        <f>IFERROR(INDEX(MASTER_REGISTER!C:C,MATCH(C671,MASTER_REGISTER!E:E,0)),"")</f>
        <v>8</v>
      </c>
      <c r="C671" t="s">
        <v>106</v>
      </c>
      <c r="D671" t="str">
        <f>IFERROR(INDEX(MASTER_REGISTER!F:F,MATCH(C671,MASTER_REGISTER!E:E,0)),"")</f>
        <v>Neo Ngobeni</v>
      </c>
      <c r="E671" t="s">
        <v>337</v>
      </c>
      <c r="F671" t="s">
        <v>338</v>
      </c>
      <c r="G671" t="s">
        <v>339</v>
      </c>
    </row>
    <row r="672" spans="1:8" x14ac:dyDescent="0.3">
      <c r="A672" t="s">
        <v>349</v>
      </c>
      <c r="B672">
        <f>IFERROR(INDEX(MASTER_REGISTER!C:C,MATCH(C672,MASTER_REGISTER!E:E,0)),"")</f>
        <v>8</v>
      </c>
      <c r="C672" t="s">
        <v>112</v>
      </c>
      <c r="D672" t="str">
        <f>IFERROR(INDEX(MASTER_REGISTER!F:F,MATCH(C672,MASTER_REGISTER!E:E,0)),"")</f>
        <v>Thabo Mokgadi</v>
      </c>
      <c r="E672" t="s">
        <v>337</v>
      </c>
      <c r="F672" t="s">
        <v>338</v>
      </c>
      <c r="G672" t="s">
        <v>339</v>
      </c>
    </row>
    <row r="673" spans="1:8" x14ac:dyDescent="0.3">
      <c r="A673" t="s">
        <v>349</v>
      </c>
      <c r="B673">
        <f>IFERROR(INDEX(MASTER_REGISTER!C:C,MATCH(C673,MASTER_REGISTER!E:E,0)),"")</f>
        <v>8</v>
      </c>
      <c r="C673" t="s">
        <v>118</v>
      </c>
      <c r="D673" t="str">
        <f>IFERROR(INDEX(MASTER_REGISTER!F:F,MATCH(C673,MASTER_REGISTER!E:E,0)),"")</f>
        <v>Sifiso Mthembu</v>
      </c>
      <c r="E673" t="s">
        <v>337</v>
      </c>
      <c r="F673" t="s">
        <v>338</v>
      </c>
      <c r="G673" t="s">
        <v>339</v>
      </c>
    </row>
    <row r="674" spans="1:8" x14ac:dyDescent="0.3">
      <c r="A674" t="s">
        <v>349</v>
      </c>
      <c r="B674">
        <f>IFERROR(INDEX(MASTER_REGISTER!C:C,MATCH(C674,MASTER_REGISTER!E:E,0)),"")</f>
        <v>9</v>
      </c>
      <c r="C674" t="s">
        <v>123</v>
      </c>
      <c r="D674" t="str">
        <f>IFERROR(INDEX(MASTER_REGISTER!F:F,MATCH(C674,MASTER_REGISTER!E:E,0)),"")</f>
        <v>Karabo Phiri</v>
      </c>
      <c r="E674" t="s">
        <v>335</v>
      </c>
      <c r="H674" t="s">
        <v>342</v>
      </c>
    </row>
    <row r="675" spans="1:8" x14ac:dyDescent="0.3">
      <c r="A675" t="s">
        <v>349</v>
      </c>
      <c r="B675">
        <f>IFERROR(INDEX(MASTER_REGISTER!C:C,MATCH(C675,MASTER_REGISTER!E:E,0)),"")</f>
        <v>9</v>
      </c>
      <c r="C675" t="s">
        <v>128</v>
      </c>
      <c r="D675" t="str">
        <f>IFERROR(INDEX(MASTER_REGISTER!F:F,MATCH(C675,MASTER_REGISTER!E:E,0)),"")</f>
        <v>Lerato Mahlangu</v>
      </c>
      <c r="E675" t="s">
        <v>337</v>
      </c>
      <c r="F675" t="s">
        <v>338</v>
      </c>
      <c r="G675" t="s">
        <v>339</v>
      </c>
    </row>
    <row r="676" spans="1:8" x14ac:dyDescent="0.3">
      <c r="A676" t="s">
        <v>349</v>
      </c>
      <c r="B676">
        <f>IFERROR(INDEX(MASTER_REGISTER!C:C,MATCH(C676,MASTER_REGISTER!E:E,0)),"")</f>
        <v>9</v>
      </c>
      <c r="C676" t="s">
        <v>133</v>
      </c>
      <c r="D676" t="str">
        <f>IFERROR(INDEX(MASTER_REGISTER!F:F,MATCH(C676,MASTER_REGISTER!E:E,0)),"")</f>
        <v>Mpho Kekana</v>
      </c>
      <c r="E676" t="s">
        <v>337</v>
      </c>
      <c r="F676" t="s">
        <v>338</v>
      </c>
      <c r="G676" t="s">
        <v>339</v>
      </c>
    </row>
    <row r="677" spans="1:8" x14ac:dyDescent="0.3">
      <c r="A677" t="s">
        <v>349</v>
      </c>
      <c r="B677">
        <f>IFERROR(INDEX(MASTER_REGISTER!C:C,MATCH(C677,MASTER_REGISTER!E:E,0)),"")</f>
        <v>9</v>
      </c>
      <c r="C677" t="s">
        <v>138</v>
      </c>
      <c r="D677" t="str">
        <f>IFERROR(INDEX(MASTER_REGISTER!F:F,MATCH(C677,MASTER_REGISTER!E:E,0)),"")</f>
        <v>Thabo Molefe</v>
      </c>
      <c r="E677" t="s">
        <v>337</v>
      </c>
      <c r="F677" t="s">
        <v>338</v>
      </c>
      <c r="G677" t="s">
        <v>339</v>
      </c>
    </row>
    <row r="678" spans="1:8" x14ac:dyDescent="0.3">
      <c r="A678" t="s">
        <v>349</v>
      </c>
      <c r="B678">
        <f>IFERROR(INDEX(MASTER_REGISTER!C:C,MATCH(C678,MASTER_REGISTER!E:E,0)),"")</f>
        <v>9</v>
      </c>
      <c r="C678" t="s">
        <v>143</v>
      </c>
      <c r="D678" t="str">
        <f>IFERROR(INDEX(MASTER_REGISTER!F:F,MATCH(C678,MASTER_REGISTER!E:E,0)),"")</f>
        <v>Mpho Ngobeni</v>
      </c>
      <c r="E678" t="s">
        <v>337</v>
      </c>
      <c r="F678" t="s">
        <v>338</v>
      </c>
      <c r="G678" t="s">
        <v>339</v>
      </c>
    </row>
    <row r="679" spans="1:8" x14ac:dyDescent="0.3">
      <c r="A679" t="s">
        <v>349</v>
      </c>
      <c r="B679">
        <f>IFERROR(INDEX(MASTER_REGISTER!C:C,MATCH(C679,MASTER_REGISTER!E:E,0)),"")</f>
        <v>9</v>
      </c>
      <c r="C679" t="s">
        <v>148</v>
      </c>
      <c r="D679" t="str">
        <f>IFERROR(INDEX(MASTER_REGISTER!F:F,MATCH(C679,MASTER_REGISTER!E:E,0)),"")</f>
        <v>Siyanda Mhlongo</v>
      </c>
      <c r="E679" t="s">
        <v>337</v>
      </c>
      <c r="F679" t="s">
        <v>338</v>
      </c>
      <c r="G679" t="s">
        <v>339</v>
      </c>
    </row>
    <row r="680" spans="1:8" x14ac:dyDescent="0.3">
      <c r="A680" t="s">
        <v>349</v>
      </c>
      <c r="B680">
        <f>IFERROR(INDEX(MASTER_REGISTER!C:C,MATCH(C680,MASTER_REGISTER!E:E,0)),"")</f>
        <v>9</v>
      </c>
      <c r="C680" t="s">
        <v>153</v>
      </c>
      <c r="D680" t="str">
        <f>IFERROR(INDEX(MASTER_REGISTER!F:F,MATCH(C680,MASTER_REGISTER!E:E,0)),"")</f>
        <v>Siyanda Mahlangu</v>
      </c>
      <c r="E680" t="s">
        <v>337</v>
      </c>
      <c r="F680" t="s">
        <v>338</v>
      </c>
      <c r="G680" t="s">
        <v>339</v>
      </c>
    </row>
    <row r="681" spans="1:8" x14ac:dyDescent="0.3">
      <c r="A681" t="s">
        <v>349</v>
      </c>
      <c r="B681">
        <f>IFERROR(INDEX(MASTER_REGISTER!C:C,MATCH(C681,MASTER_REGISTER!E:E,0)),"")</f>
        <v>9</v>
      </c>
      <c r="C681" t="s">
        <v>158</v>
      </c>
      <c r="D681" t="str">
        <f>IFERROR(INDEX(MASTER_REGISTER!F:F,MATCH(C681,MASTER_REGISTER!E:E,0)),"")</f>
        <v>Sifiso Ramushu</v>
      </c>
      <c r="E681" t="s">
        <v>337</v>
      </c>
      <c r="F681" t="s">
        <v>338</v>
      </c>
      <c r="G681" t="s">
        <v>339</v>
      </c>
    </row>
    <row r="682" spans="1:8" x14ac:dyDescent="0.3">
      <c r="A682" t="s">
        <v>349</v>
      </c>
      <c r="B682">
        <f>IFERROR(INDEX(MASTER_REGISTER!C:C,MATCH(C682,MASTER_REGISTER!E:E,0)),"")</f>
        <v>9</v>
      </c>
      <c r="C682" t="s">
        <v>163</v>
      </c>
      <c r="D682" t="str">
        <f>IFERROR(INDEX(MASTER_REGISTER!F:F,MATCH(C682,MASTER_REGISTER!E:E,0)),"")</f>
        <v>Nandi Ngobeni</v>
      </c>
      <c r="E682" t="s">
        <v>337</v>
      </c>
      <c r="F682" t="s">
        <v>338</v>
      </c>
      <c r="G682" t="s">
        <v>339</v>
      </c>
    </row>
    <row r="683" spans="1:8" x14ac:dyDescent="0.3">
      <c r="A683" t="s">
        <v>349</v>
      </c>
      <c r="B683">
        <f>IFERROR(INDEX(MASTER_REGISTER!C:C,MATCH(C683,MASTER_REGISTER!E:E,0)),"")</f>
        <v>9</v>
      </c>
      <c r="C683" t="s">
        <v>168</v>
      </c>
      <c r="D683" t="str">
        <f>IFERROR(INDEX(MASTER_REGISTER!F:F,MATCH(C683,MASTER_REGISTER!E:E,0)),"")</f>
        <v>Karabo Mokgadi</v>
      </c>
      <c r="E683" t="s">
        <v>337</v>
      </c>
      <c r="F683" t="s">
        <v>338</v>
      </c>
      <c r="G683" t="s">
        <v>339</v>
      </c>
    </row>
    <row r="684" spans="1:8" x14ac:dyDescent="0.3">
      <c r="A684" t="s">
        <v>349</v>
      </c>
      <c r="B684">
        <f>IFERROR(INDEX(MASTER_REGISTER!C:C,MATCH(C684,MASTER_REGISTER!E:E,0)),"")</f>
        <v>9</v>
      </c>
      <c r="C684" t="s">
        <v>173</v>
      </c>
      <c r="D684" t="str">
        <f>IFERROR(INDEX(MASTER_REGISTER!F:F,MATCH(C684,MASTER_REGISTER!E:E,0)),"")</f>
        <v>Sifiso Mahlangu</v>
      </c>
      <c r="E684" t="s">
        <v>337</v>
      </c>
      <c r="F684" t="s">
        <v>338</v>
      </c>
      <c r="G684" t="s">
        <v>339</v>
      </c>
    </row>
    <row r="685" spans="1:8" x14ac:dyDescent="0.3">
      <c r="A685" t="s">
        <v>349</v>
      </c>
      <c r="B685">
        <f>IFERROR(INDEX(MASTER_REGISTER!C:C,MATCH(C685,MASTER_REGISTER!E:E,0)),"")</f>
        <v>9</v>
      </c>
      <c r="C685" t="s">
        <v>178</v>
      </c>
      <c r="D685" t="str">
        <f>IFERROR(INDEX(MASTER_REGISTER!F:F,MATCH(C685,MASTER_REGISTER!E:E,0)),"")</f>
        <v>Kgothatso Radebe</v>
      </c>
      <c r="E685" t="s">
        <v>337</v>
      </c>
      <c r="F685" t="s">
        <v>338</v>
      </c>
      <c r="G685" t="s">
        <v>339</v>
      </c>
    </row>
    <row r="686" spans="1:8" x14ac:dyDescent="0.3">
      <c r="A686" t="s">
        <v>349</v>
      </c>
      <c r="B686">
        <f>IFERROR(INDEX(MASTER_REGISTER!C:C,MATCH(C686,MASTER_REGISTER!E:E,0)),"")</f>
        <v>10</v>
      </c>
      <c r="C686" t="s">
        <v>183</v>
      </c>
      <c r="D686" t="str">
        <f>IFERROR(INDEX(MASTER_REGISTER!F:F,MATCH(C686,MASTER_REGISTER!E:E,0)),"")</f>
        <v>Lerato Maseko</v>
      </c>
      <c r="E686" t="s">
        <v>335</v>
      </c>
      <c r="H686" t="s">
        <v>342</v>
      </c>
    </row>
    <row r="687" spans="1:8" x14ac:dyDescent="0.3">
      <c r="A687" t="s">
        <v>349</v>
      </c>
      <c r="B687">
        <f>IFERROR(INDEX(MASTER_REGISTER!C:C,MATCH(C687,MASTER_REGISTER!E:E,0)),"")</f>
        <v>10</v>
      </c>
      <c r="C687" t="s">
        <v>188</v>
      </c>
      <c r="D687" t="str">
        <f>IFERROR(INDEX(MASTER_REGISTER!F:F,MATCH(C687,MASTER_REGISTER!E:E,0)),"")</f>
        <v>Sibusiso Molefe</v>
      </c>
      <c r="E687" t="s">
        <v>337</v>
      </c>
      <c r="F687" t="s">
        <v>338</v>
      </c>
      <c r="G687" t="s">
        <v>339</v>
      </c>
    </row>
    <row r="688" spans="1:8" x14ac:dyDescent="0.3">
      <c r="A688" t="s">
        <v>349</v>
      </c>
      <c r="B688">
        <f>IFERROR(INDEX(MASTER_REGISTER!C:C,MATCH(C688,MASTER_REGISTER!E:E,0)),"")</f>
        <v>10</v>
      </c>
      <c r="C688" t="s">
        <v>193</v>
      </c>
      <c r="D688" t="str">
        <f>IFERROR(INDEX(MASTER_REGISTER!F:F,MATCH(C688,MASTER_REGISTER!E:E,0)),"")</f>
        <v>Nandi Molefe</v>
      </c>
      <c r="E688" t="s">
        <v>337</v>
      </c>
      <c r="F688" t="s">
        <v>338</v>
      </c>
      <c r="G688" t="s">
        <v>339</v>
      </c>
    </row>
    <row r="689" spans="1:8" x14ac:dyDescent="0.3">
      <c r="A689" t="s">
        <v>349</v>
      </c>
      <c r="B689">
        <f>IFERROR(INDEX(MASTER_REGISTER!C:C,MATCH(C689,MASTER_REGISTER!E:E,0)),"")</f>
        <v>10</v>
      </c>
      <c r="C689" t="s">
        <v>198</v>
      </c>
      <c r="D689" t="str">
        <f>IFERROR(INDEX(MASTER_REGISTER!F:F,MATCH(C689,MASTER_REGISTER!E:E,0)),"")</f>
        <v>Kgothatso Baloyi</v>
      </c>
      <c r="E689" t="s">
        <v>337</v>
      </c>
      <c r="F689" t="s">
        <v>338</v>
      </c>
      <c r="G689" t="s">
        <v>339</v>
      </c>
    </row>
    <row r="690" spans="1:8" x14ac:dyDescent="0.3">
      <c r="A690" t="s">
        <v>349</v>
      </c>
      <c r="B690">
        <f>IFERROR(INDEX(MASTER_REGISTER!C:C,MATCH(C690,MASTER_REGISTER!E:E,0)),"")</f>
        <v>10</v>
      </c>
      <c r="C690" t="s">
        <v>202</v>
      </c>
      <c r="D690" t="str">
        <f>IFERROR(INDEX(MASTER_REGISTER!F:F,MATCH(C690,MASTER_REGISTER!E:E,0)),"")</f>
        <v>Ayanda Mokoena</v>
      </c>
      <c r="E690" t="s">
        <v>335</v>
      </c>
      <c r="H690" t="s">
        <v>341</v>
      </c>
    </row>
    <row r="691" spans="1:8" x14ac:dyDescent="0.3">
      <c r="A691" t="s">
        <v>349</v>
      </c>
      <c r="B691">
        <f>IFERROR(INDEX(MASTER_REGISTER!C:C,MATCH(C691,MASTER_REGISTER!E:E,0)),"")</f>
        <v>10</v>
      </c>
      <c r="C691" t="s">
        <v>206</v>
      </c>
      <c r="D691" t="str">
        <f>IFERROR(INDEX(MASTER_REGISTER!F:F,MATCH(C691,MASTER_REGISTER!E:E,0)),"")</f>
        <v>Lwazi Baloyi</v>
      </c>
      <c r="E691" t="s">
        <v>337</v>
      </c>
      <c r="F691" t="s">
        <v>338</v>
      </c>
      <c r="G691" t="s">
        <v>339</v>
      </c>
    </row>
    <row r="692" spans="1:8" x14ac:dyDescent="0.3">
      <c r="A692" t="s">
        <v>349</v>
      </c>
      <c r="B692">
        <f>IFERROR(INDEX(MASTER_REGISTER!C:C,MATCH(C692,MASTER_REGISTER!E:E,0)),"")</f>
        <v>10</v>
      </c>
      <c r="C692" t="s">
        <v>210</v>
      </c>
      <c r="D692" t="str">
        <f>IFERROR(INDEX(MASTER_REGISTER!F:F,MATCH(C692,MASTER_REGISTER!E:E,0)),"")</f>
        <v>Siyanda Mokoena</v>
      </c>
      <c r="E692" t="s">
        <v>337</v>
      </c>
      <c r="F692" t="s">
        <v>338</v>
      </c>
      <c r="G692" t="s">
        <v>339</v>
      </c>
    </row>
    <row r="693" spans="1:8" x14ac:dyDescent="0.3">
      <c r="A693" t="s">
        <v>349</v>
      </c>
      <c r="B693">
        <f>IFERROR(INDEX(MASTER_REGISTER!C:C,MATCH(C693,MASTER_REGISTER!E:E,0)),"")</f>
        <v>10</v>
      </c>
      <c r="C693" t="s">
        <v>214</v>
      </c>
      <c r="D693" t="str">
        <f>IFERROR(INDEX(MASTER_REGISTER!F:F,MATCH(C693,MASTER_REGISTER!E:E,0)),"")</f>
        <v>Mpho Ngobeni</v>
      </c>
      <c r="E693" t="s">
        <v>337</v>
      </c>
      <c r="F693" t="s">
        <v>338</v>
      </c>
      <c r="G693" t="s">
        <v>339</v>
      </c>
    </row>
    <row r="694" spans="1:8" x14ac:dyDescent="0.3">
      <c r="A694" t="s">
        <v>349</v>
      </c>
      <c r="B694">
        <f>IFERROR(INDEX(MASTER_REGISTER!C:C,MATCH(C694,MASTER_REGISTER!E:E,0)),"")</f>
        <v>10</v>
      </c>
      <c r="C694" t="s">
        <v>217</v>
      </c>
      <c r="D694" t="str">
        <f>IFERROR(INDEX(MASTER_REGISTER!F:F,MATCH(C694,MASTER_REGISTER!E:E,0)),"")</f>
        <v>Naledi Makhubela</v>
      </c>
      <c r="E694" t="s">
        <v>337</v>
      </c>
      <c r="F694" t="s">
        <v>338</v>
      </c>
      <c r="G694" t="s">
        <v>339</v>
      </c>
    </row>
    <row r="695" spans="1:8" x14ac:dyDescent="0.3">
      <c r="A695" t="s">
        <v>349</v>
      </c>
      <c r="B695">
        <f>IFERROR(INDEX(MASTER_REGISTER!C:C,MATCH(C695,MASTER_REGISTER!E:E,0)),"")</f>
        <v>10</v>
      </c>
      <c r="C695" t="s">
        <v>221</v>
      </c>
      <c r="D695" t="str">
        <f>IFERROR(INDEX(MASTER_REGISTER!F:F,MATCH(C695,MASTER_REGISTER!E:E,0)),"")</f>
        <v>Kgothatso Mokoena</v>
      </c>
      <c r="E695" t="s">
        <v>337</v>
      </c>
      <c r="F695" t="s">
        <v>338</v>
      </c>
      <c r="G695" t="s">
        <v>339</v>
      </c>
    </row>
    <row r="696" spans="1:8" x14ac:dyDescent="0.3">
      <c r="A696" t="s">
        <v>349</v>
      </c>
      <c r="B696">
        <f>IFERROR(INDEX(MASTER_REGISTER!C:C,MATCH(C696,MASTER_REGISTER!E:E,0)),"")</f>
        <v>10</v>
      </c>
      <c r="C696" t="s">
        <v>225</v>
      </c>
      <c r="D696" t="str">
        <f>IFERROR(INDEX(MASTER_REGISTER!F:F,MATCH(C696,MASTER_REGISTER!E:E,0)),"")</f>
        <v>Bongani Makhubela</v>
      </c>
      <c r="E696" t="s">
        <v>337</v>
      </c>
      <c r="F696" t="s">
        <v>338</v>
      </c>
      <c r="G696" t="s">
        <v>339</v>
      </c>
    </row>
    <row r="697" spans="1:8" x14ac:dyDescent="0.3">
      <c r="A697" t="s">
        <v>349</v>
      </c>
      <c r="B697">
        <f>IFERROR(INDEX(MASTER_REGISTER!C:C,MATCH(C697,MASTER_REGISTER!E:E,0)),"")</f>
        <v>10</v>
      </c>
      <c r="C697" t="s">
        <v>229</v>
      </c>
      <c r="D697" t="str">
        <f>IFERROR(INDEX(MASTER_REGISTER!F:F,MATCH(C697,MASTER_REGISTER!E:E,0)),"")</f>
        <v>Kagiso Kekana</v>
      </c>
      <c r="E697" t="s">
        <v>337</v>
      </c>
      <c r="F697" t="s">
        <v>338</v>
      </c>
      <c r="G697" t="s">
        <v>339</v>
      </c>
    </row>
    <row r="698" spans="1:8" x14ac:dyDescent="0.3">
      <c r="A698" t="s">
        <v>349</v>
      </c>
      <c r="B698">
        <f>IFERROR(INDEX(MASTER_REGISTER!C:C,MATCH(C698,MASTER_REGISTER!E:E,0)),"")</f>
        <v>11</v>
      </c>
      <c r="C698" t="s">
        <v>233</v>
      </c>
      <c r="D698" t="str">
        <f>IFERROR(INDEX(MASTER_REGISTER!F:F,MATCH(C698,MASTER_REGISTER!E:E,0)),"")</f>
        <v>Lwazi Makhubela</v>
      </c>
      <c r="E698" t="s">
        <v>337</v>
      </c>
      <c r="F698" t="s">
        <v>338</v>
      </c>
      <c r="G698" t="s">
        <v>339</v>
      </c>
    </row>
    <row r="699" spans="1:8" x14ac:dyDescent="0.3">
      <c r="A699" t="s">
        <v>349</v>
      </c>
      <c r="B699">
        <f>IFERROR(INDEX(MASTER_REGISTER!C:C,MATCH(C699,MASTER_REGISTER!E:E,0)),"")</f>
        <v>11</v>
      </c>
      <c r="C699" t="s">
        <v>237</v>
      </c>
      <c r="D699" t="str">
        <f>IFERROR(INDEX(MASTER_REGISTER!F:F,MATCH(C699,MASTER_REGISTER!E:E,0)),"")</f>
        <v>Lebogang Ramushu</v>
      </c>
      <c r="E699" t="s">
        <v>337</v>
      </c>
      <c r="F699" t="s">
        <v>338</v>
      </c>
      <c r="G699" t="s">
        <v>339</v>
      </c>
    </row>
    <row r="700" spans="1:8" x14ac:dyDescent="0.3">
      <c r="A700" t="s">
        <v>349</v>
      </c>
      <c r="B700">
        <f>IFERROR(INDEX(MASTER_REGISTER!C:C,MATCH(C700,MASTER_REGISTER!E:E,0)),"")</f>
        <v>11</v>
      </c>
      <c r="C700" t="s">
        <v>241</v>
      </c>
      <c r="D700" t="str">
        <f>IFERROR(INDEX(MASTER_REGISTER!F:F,MATCH(C700,MASTER_REGISTER!E:E,0)),"")</f>
        <v>Lerato Kekana</v>
      </c>
      <c r="E700" t="s">
        <v>337</v>
      </c>
      <c r="F700" t="s">
        <v>338</v>
      </c>
      <c r="G700" t="s">
        <v>339</v>
      </c>
    </row>
    <row r="701" spans="1:8" x14ac:dyDescent="0.3">
      <c r="A701" t="s">
        <v>349</v>
      </c>
      <c r="B701">
        <f>IFERROR(INDEX(MASTER_REGISTER!C:C,MATCH(C701,MASTER_REGISTER!E:E,0)),"")</f>
        <v>11</v>
      </c>
      <c r="C701" t="s">
        <v>244</v>
      </c>
      <c r="D701" t="str">
        <f>IFERROR(INDEX(MASTER_REGISTER!F:F,MATCH(C701,MASTER_REGISTER!E:E,0)),"")</f>
        <v>Bongani Ndlovu</v>
      </c>
      <c r="E701" t="s">
        <v>337</v>
      </c>
      <c r="F701" t="s">
        <v>338</v>
      </c>
      <c r="G701" t="s">
        <v>339</v>
      </c>
    </row>
    <row r="702" spans="1:8" x14ac:dyDescent="0.3">
      <c r="A702" t="s">
        <v>349</v>
      </c>
      <c r="B702">
        <f>IFERROR(INDEX(MASTER_REGISTER!C:C,MATCH(C702,MASTER_REGISTER!E:E,0)),"")</f>
        <v>11</v>
      </c>
      <c r="C702" t="s">
        <v>248</v>
      </c>
      <c r="D702" t="str">
        <f>IFERROR(INDEX(MASTER_REGISTER!F:F,MATCH(C702,MASTER_REGISTER!E:E,0)),"")</f>
        <v>Sifiso Dlamini</v>
      </c>
      <c r="E702" t="s">
        <v>337</v>
      </c>
      <c r="F702" t="s">
        <v>338</v>
      </c>
      <c r="G702" t="s">
        <v>339</v>
      </c>
    </row>
    <row r="703" spans="1:8" x14ac:dyDescent="0.3">
      <c r="A703" t="s">
        <v>349</v>
      </c>
      <c r="B703">
        <f>IFERROR(INDEX(MASTER_REGISTER!C:C,MATCH(C703,MASTER_REGISTER!E:E,0)),"")</f>
        <v>11</v>
      </c>
      <c r="C703" t="s">
        <v>252</v>
      </c>
      <c r="D703" t="str">
        <f>IFERROR(INDEX(MASTER_REGISTER!F:F,MATCH(C703,MASTER_REGISTER!E:E,0)),"")</f>
        <v>Refilwe Dlamini</v>
      </c>
      <c r="E703" t="s">
        <v>337</v>
      </c>
      <c r="F703" t="s">
        <v>338</v>
      </c>
      <c r="G703" t="s">
        <v>339</v>
      </c>
    </row>
    <row r="704" spans="1:8" x14ac:dyDescent="0.3">
      <c r="A704" t="s">
        <v>349</v>
      </c>
      <c r="B704">
        <f>IFERROR(INDEX(MASTER_REGISTER!C:C,MATCH(C704,MASTER_REGISTER!E:E,0)),"")</f>
        <v>11</v>
      </c>
      <c r="C704" t="s">
        <v>256</v>
      </c>
      <c r="D704" t="str">
        <f>IFERROR(INDEX(MASTER_REGISTER!F:F,MATCH(C704,MASTER_REGISTER!E:E,0)),"")</f>
        <v>Lwazi Maseko</v>
      </c>
      <c r="E704" t="s">
        <v>337</v>
      </c>
      <c r="F704" t="s">
        <v>338</v>
      </c>
      <c r="G704" t="s">
        <v>339</v>
      </c>
    </row>
    <row r="705" spans="1:8" x14ac:dyDescent="0.3">
      <c r="A705" t="s">
        <v>349</v>
      </c>
      <c r="B705">
        <f>IFERROR(INDEX(MASTER_REGISTER!C:C,MATCH(C705,MASTER_REGISTER!E:E,0)),"")</f>
        <v>11</v>
      </c>
      <c r="C705" t="s">
        <v>260</v>
      </c>
      <c r="D705" t="str">
        <f>IFERROR(INDEX(MASTER_REGISTER!F:F,MATCH(C705,MASTER_REGISTER!E:E,0)),"")</f>
        <v>Refilwe Mokgadi</v>
      </c>
      <c r="E705" t="s">
        <v>337</v>
      </c>
      <c r="F705" t="s">
        <v>338</v>
      </c>
      <c r="G705" t="s">
        <v>339</v>
      </c>
    </row>
    <row r="706" spans="1:8" x14ac:dyDescent="0.3">
      <c r="A706" t="s">
        <v>349</v>
      </c>
      <c r="B706">
        <f>IFERROR(INDEX(MASTER_REGISTER!C:C,MATCH(C706,MASTER_REGISTER!E:E,0)),"")</f>
        <v>11</v>
      </c>
      <c r="C706" t="s">
        <v>264</v>
      </c>
      <c r="D706" t="str">
        <f>IFERROR(INDEX(MASTER_REGISTER!F:F,MATCH(C706,MASTER_REGISTER!E:E,0)),"")</f>
        <v>Kgothatso Molefe</v>
      </c>
      <c r="E706" t="s">
        <v>335</v>
      </c>
      <c r="H706" t="s">
        <v>336</v>
      </c>
    </row>
    <row r="707" spans="1:8" x14ac:dyDescent="0.3">
      <c r="A707" t="s">
        <v>349</v>
      </c>
      <c r="B707">
        <f>IFERROR(INDEX(MASTER_REGISTER!C:C,MATCH(C707,MASTER_REGISTER!E:E,0)),"")</f>
        <v>11</v>
      </c>
      <c r="C707" t="s">
        <v>268</v>
      </c>
      <c r="D707" t="str">
        <f>IFERROR(INDEX(MASTER_REGISTER!F:F,MATCH(C707,MASTER_REGISTER!E:E,0)),"")</f>
        <v>Tshepo Mokgadi</v>
      </c>
      <c r="E707" t="s">
        <v>337</v>
      </c>
      <c r="F707" t="s">
        <v>338</v>
      </c>
      <c r="G707" t="s">
        <v>339</v>
      </c>
    </row>
    <row r="708" spans="1:8" x14ac:dyDescent="0.3">
      <c r="A708" t="s">
        <v>349</v>
      </c>
      <c r="B708">
        <f>IFERROR(INDEX(MASTER_REGISTER!C:C,MATCH(C708,MASTER_REGISTER!E:E,0)),"")</f>
        <v>11</v>
      </c>
      <c r="C708" t="s">
        <v>272</v>
      </c>
      <c r="D708" t="str">
        <f>IFERROR(INDEX(MASTER_REGISTER!F:F,MATCH(C708,MASTER_REGISTER!E:E,0)),"")</f>
        <v>Tshepo Phiri</v>
      </c>
      <c r="E708" t="s">
        <v>335</v>
      </c>
      <c r="H708" t="s">
        <v>340</v>
      </c>
    </row>
    <row r="709" spans="1:8" x14ac:dyDescent="0.3">
      <c r="A709" t="s">
        <v>349</v>
      </c>
      <c r="B709">
        <f>IFERROR(INDEX(MASTER_REGISTER!C:C,MATCH(C709,MASTER_REGISTER!E:E,0)),"")</f>
        <v>11</v>
      </c>
      <c r="C709" t="s">
        <v>276</v>
      </c>
      <c r="D709" t="str">
        <f>IFERROR(INDEX(MASTER_REGISTER!F:F,MATCH(C709,MASTER_REGISTER!E:E,0)),"")</f>
        <v>Zanele Ngobeni</v>
      </c>
      <c r="E709" t="s">
        <v>335</v>
      </c>
      <c r="H709" t="s">
        <v>341</v>
      </c>
    </row>
    <row r="710" spans="1:8" x14ac:dyDescent="0.3">
      <c r="A710" t="s">
        <v>349</v>
      </c>
      <c r="B710">
        <f>IFERROR(INDEX(MASTER_REGISTER!C:C,MATCH(C710,MASTER_REGISTER!E:E,0)),"")</f>
        <v>12</v>
      </c>
      <c r="C710" t="s">
        <v>280</v>
      </c>
      <c r="D710" t="str">
        <f>IFERROR(INDEX(MASTER_REGISTER!F:F,MATCH(C710,MASTER_REGISTER!E:E,0)),"")</f>
        <v>Palesa Mokoena</v>
      </c>
      <c r="E710" t="s">
        <v>337</v>
      </c>
      <c r="F710" t="s">
        <v>338</v>
      </c>
      <c r="G710" t="s">
        <v>339</v>
      </c>
    </row>
    <row r="711" spans="1:8" x14ac:dyDescent="0.3">
      <c r="A711" t="s">
        <v>349</v>
      </c>
      <c r="B711">
        <f>IFERROR(INDEX(MASTER_REGISTER!C:C,MATCH(C711,MASTER_REGISTER!E:E,0)),"")</f>
        <v>12</v>
      </c>
      <c r="C711" t="s">
        <v>284</v>
      </c>
      <c r="D711" t="str">
        <f>IFERROR(INDEX(MASTER_REGISTER!F:F,MATCH(C711,MASTER_REGISTER!E:E,0)),"")</f>
        <v>Thabo Ramushu</v>
      </c>
      <c r="E711" t="s">
        <v>337</v>
      </c>
      <c r="F711" t="s">
        <v>338</v>
      </c>
      <c r="G711" t="s">
        <v>339</v>
      </c>
    </row>
    <row r="712" spans="1:8" x14ac:dyDescent="0.3">
      <c r="A712" t="s">
        <v>349</v>
      </c>
      <c r="B712">
        <f>IFERROR(INDEX(MASTER_REGISTER!C:C,MATCH(C712,MASTER_REGISTER!E:E,0)),"")</f>
        <v>12</v>
      </c>
      <c r="C712" t="s">
        <v>288</v>
      </c>
      <c r="D712" t="str">
        <f>IFERROR(INDEX(MASTER_REGISTER!F:F,MATCH(C712,MASTER_REGISTER!E:E,0)),"")</f>
        <v>Lwazi Ndlovu</v>
      </c>
      <c r="E712" t="s">
        <v>337</v>
      </c>
      <c r="F712" t="s">
        <v>338</v>
      </c>
      <c r="G712" t="s">
        <v>339</v>
      </c>
    </row>
    <row r="713" spans="1:8" x14ac:dyDescent="0.3">
      <c r="A713" t="s">
        <v>349</v>
      </c>
      <c r="B713">
        <f>IFERROR(INDEX(MASTER_REGISTER!C:C,MATCH(C713,MASTER_REGISTER!E:E,0)),"")</f>
        <v>12</v>
      </c>
      <c r="C713" t="s">
        <v>292</v>
      </c>
      <c r="D713" t="str">
        <f>IFERROR(INDEX(MASTER_REGISTER!F:F,MATCH(C713,MASTER_REGISTER!E:E,0)),"")</f>
        <v>Ayanda Dlamini</v>
      </c>
      <c r="E713" t="s">
        <v>337</v>
      </c>
      <c r="F713" t="s">
        <v>338</v>
      </c>
      <c r="G713" t="s">
        <v>339</v>
      </c>
    </row>
    <row r="714" spans="1:8" x14ac:dyDescent="0.3">
      <c r="A714" t="s">
        <v>349</v>
      </c>
      <c r="B714">
        <f>IFERROR(INDEX(MASTER_REGISTER!C:C,MATCH(C714,MASTER_REGISTER!E:E,0)),"")</f>
        <v>12</v>
      </c>
      <c r="C714" t="s">
        <v>296</v>
      </c>
      <c r="D714" t="str">
        <f>IFERROR(INDEX(MASTER_REGISTER!F:F,MATCH(C714,MASTER_REGISTER!E:E,0)),"")</f>
        <v>Neo Ndlovu</v>
      </c>
      <c r="E714" t="s">
        <v>337</v>
      </c>
      <c r="F714" t="s">
        <v>338</v>
      </c>
      <c r="G714" t="s">
        <v>339</v>
      </c>
    </row>
    <row r="715" spans="1:8" x14ac:dyDescent="0.3">
      <c r="A715" t="s">
        <v>349</v>
      </c>
      <c r="B715">
        <f>IFERROR(INDEX(MASTER_REGISTER!C:C,MATCH(C715,MASTER_REGISTER!E:E,0)),"")</f>
        <v>12</v>
      </c>
      <c r="C715" t="s">
        <v>300</v>
      </c>
      <c r="D715" t="str">
        <f>IFERROR(INDEX(MASTER_REGISTER!F:F,MATCH(C715,MASTER_REGISTER!E:E,0)),"")</f>
        <v>Neo Ramushu</v>
      </c>
      <c r="E715" t="s">
        <v>337</v>
      </c>
      <c r="F715" t="s">
        <v>338</v>
      </c>
      <c r="G715" t="s">
        <v>339</v>
      </c>
    </row>
    <row r="716" spans="1:8" x14ac:dyDescent="0.3">
      <c r="A716" t="s">
        <v>349</v>
      </c>
      <c r="B716">
        <f>IFERROR(INDEX(MASTER_REGISTER!C:C,MATCH(C716,MASTER_REGISTER!E:E,0)),"")</f>
        <v>12</v>
      </c>
      <c r="C716" t="s">
        <v>304</v>
      </c>
      <c r="D716" t="str">
        <f>IFERROR(INDEX(MASTER_REGISTER!F:F,MATCH(C716,MASTER_REGISTER!E:E,0)),"")</f>
        <v>Karabo Baloyi</v>
      </c>
      <c r="E716" t="s">
        <v>337</v>
      </c>
      <c r="F716" t="s">
        <v>338</v>
      </c>
      <c r="G716" t="s">
        <v>339</v>
      </c>
    </row>
    <row r="717" spans="1:8" x14ac:dyDescent="0.3">
      <c r="A717" t="s">
        <v>349</v>
      </c>
      <c r="B717">
        <f>IFERROR(INDEX(MASTER_REGISTER!C:C,MATCH(C717,MASTER_REGISTER!E:E,0)),"")</f>
        <v>12</v>
      </c>
      <c r="C717" t="s">
        <v>308</v>
      </c>
      <c r="D717" t="str">
        <f>IFERROR(INDEX(MASTER_REGISTER!F:F,MATCH(C717,MASTER_REGISTER!E:E,0)),"")</f>
        <v>Tshepo Mokgadi</v>
      </c>
      <c r="E717" t="s">
        <v>335</v>
      </c>
      <c r="H717" t="s">
        <v>340</v>
      </c>
    </row>
    <row r="718" spans="1:8" x14ac:dyDescent="0.3">
      <c r="A718" t="s">
        <v>349</v>
      </c>
      <c r="B718">
        <f>IFERROR(INDEX(MASTER_REGISTER!C:C,MATCH(C718,MASTER_REGISTER!E:E,0)),"")</f>
        <v>12</v>
      </c>
      <c r="C718" t="s">
        <v>311</v>
      </c>
      <c r="D718" t="str">
        <f>IFERROR(INDEX(MASTER_REGISTER!F:F,MATCH(C718,MASTER_REGISTER!E:E,0)),"")</f>
        <v>Sifiso Mavuso</v>
      </c>
      <c r="E718" t="s">
        <v>337</v>
      </c>
      <c r="F718" t="s">
        <v>338</v>
      </c>
      <c r="G718" t="s">
        <v>339</v>
      </c>
    </row>
    <row r="719" spans="1:8" x14ac:dyDescent="0.3">
      <c r="A719" t="s">
        <v>349</v>
      </c>
      <c r="B719">
        <f>IFERROR(INDEX(MASTER_REGISTER!C:C,MATCH(C719,MASTER_REGISTER!E:E,0)),"")</f>
        <v>12</v>
      </c>
      <c r="C719" t="s">
        <v>315</v>
      </c>
      <c r="D719" t="str">
        <f>IFERROR(INDEX(MASTER_REGISTER!F:F,MATCH(C719,MASTER_REGISTER!E:E,0)),"")</f>
        <v>Refilwe Sithole</v>
      </c>
      <c r="E719" t="s">
        <v>337</v>
      </c>
      <c r="F719" t="s">
        <v>338</v>
      </c>
      <c r="G719" t="s">
        <v>339</v>
      </c>
    </row>
    <row r="720" spans="1:8" x14ac:dyDescent="0.3">
      <c r="A720" t="s">
        <v>349</v>
      </c>
      <c r="B720">
        <f>IFERROR(INDEX(MASTER_REGISTER!C:C,MATCH(C720,MASTER_REGISTER!E:E,0)),"")</f>
        <v>12</v>
      </c>
      <c r="C720" t="s">
        <v>319</v>
      </c>
      <c r="D720" t="str">
        <f>IFERROR(INDEX(MASTER_REGISTER!F:F,MATCH(C720,MASTER_REGISTER!E:E,0)),"")</f>
        <v>Lerato Sithole</v>
      </c>
      <c r="E720" t="s">
        <v>337</v>
      </c>
      <c r="F720" t="s">
        <v>338</v>
      </c>
      <c r="G720" t="s">
        <v>339</v>
      </c>
    </row>
    <row r="721" spans="1:8" x14ac:dyDescent="0.3">
      <c r="A721" t="s">
        <v>349</v>
      </c>
      <c r="B721">
        <f>IFERROR(INDEX(MASTER_REGISTER!C:C,MATCH(C721,MASTER_REGISTER!E:E,0)),"")</f>
        <v>12</v>
      </c>
      <c r="C721" t="s">
        <v>323</v>
      </c>
      <c r="D721" t="str">
        <f>IFERROR(INDEX(MASTER_REGISTER!F:F,MATCH(C721,MASTER_REGISTER!E:E,0)),"")</f>
        <v>Sibusiso Ngobeni</v>
      </c>
      <c r="E721" t="s">
        <v>337</v>
      </c>
      <c r="F721" t="s">
        <v>338</v>
      </c>
      <c r="G721" t="s">
        <v>339</v>
      </c>
    </row>
    <row r="722" spans="1:8" x14ac:dyDescent="0.3">
      <c r="A722" t="s">
        <v>350</v>
      </c>
      <c r="B722">
        <f>IFERROR(INDEX(MASTER_REGISTER!C:C,MATCH(C722,MASTER_REGISTER!E:E,0)),"")</f>
        <v>8</v>
      </c>
      <c r="C722" t="s">
        <v>50</v>
      </c>
      <c r="D722" t="str">
        <f>IFERROR(INDEX(MASTER_REGISTER!F:F,MATCH(C722,MASTER_REGISTER!E:E,0)),"")</f>
        <v>Lerato Nkosi</v>
      </c>
      <c r="E722" t="s">
        <v>335</v>
      </c>
      <c r="H722" t="s">
        <v>340</v>
      </c>
    </row>
    <row r="723" spans="1:8" x14ac:dyDescent="0.3">
      <c r="A723" t="s">
        <v>350</v>
      </c>
      <c r="B723">
        <f>IFERROR(INDEX(MASTER_REGISTER!C:C,MATCH(C723,MASTER_REGISTER!E:E,0)),"")</f>
        <v>8</v>
      </c>
      <c r="C723" t="s">
        <v>58</v>
      </c>
      <c r="D723" t="str">
        <f>IFERROR(INDEX(MASTER_REGISTER!F:F,MATCH(C723,MASTER_REGISTER!E:E,0)),"")</f>
        <v>Karabo Maseko</v>
      </c>
      <c r="E723" t="s">
        <v>337</v>
      </c>
      <c r="F723" t="s">
        <v>338</v>
      </c>
      <c r="G723" t="s">
        <v>339</v>
      </c>
    </row>
    <row r="724" spans="1:8" x14ac:dyDescent="0.3">
      <c r="A724" t="s">
        <v>350</v>
      </c>
      <c r="B724">
        <f>IFERROR(INDEX(MASTER_REGISTER!C:C,MATCH(C724,MASTER_REGISTER!E:E,0)),"")</f>
        <v>8</v>
      </c>
      <c r="C724" t="s">
        <v>64</v>
      </c>
      <c r="D724" t="str">
        <f>IFERROR(INDEX(MASTER_REGISTER!F:F,MATCH(C724,MASTER_REGISTER!E:E,0)),"")</f>
        <v>Sifiso Sithole</v>
      </c>
      <c r="E724" t="s">
        <v>337</v>
      </c>
      <c r="F724" t="s">
        <v>338</v>
      </c>
      <c r="G724" t="s">
        <v>339</v>
      </c>
    </row>
    <row r="725" spans="1:8" x14ac:dyDescent="0.3">
      <c r="A725" t="s">
        <v>350</v>
      </c>
      <c r="B725">
        <f>IFERROR(INDEX(MASTER_REGISTER!C:C,MATCH(C725,MASTER_REGISTER!E:E,0)),"")</f>
        <v>8</v>
      </c>
      <c r="C725" t="s">
        <v>70</v>
      </c>
      <c r="D725" t="str">
        <f>IFERROR(INDEX(MASTER_REGISTER!F:F,MATCH(C725,MASTER_REGISTER!E:E,0)),"")</f>
        <v>Tshepo Ndlovu</v>
      </c>
      <c r="E725" t="s">
        <v>337</v>
      </c>
      <c r="F725" t="s">
        <v>338</v>
      </c>
      <c r="G725" t="s">
        <v>339</v>
      </c>
    </row>
    <row r="726" spans="1:8" x14ac:dyDescent="0.3">
      <c r="A726" t="s">
        <v>350</v>
      </c>
      <c r="B726">
        <f>IFERROR(INDEX(MASTER_REGISTER!C:C,MATCH(C726,MASTER_REGISTER!E:E,0)),"")</f>
        <v>8</v>
      </c>
      <c r="C726" t="s">
        <v>76</v>
      </c>
      <c r="D726" t="str">
        <f>IFERROR(INDEX(MASTER_REGISTER!F:F,MATCH(C726,MASTER_REGISTER!E:E,0)),"")</f>
        <v>Lwazi Mthembu</v>
      </c>
      <c r="E726" t="s">
        <v>337</v>
      </c>
      <c r="F726" t="s">
        <v>338</v>
      </c>
      <c r="G726" t="s">
        <v>339</v>
      </c>
    </row>
    <row r="727" spans="1:8" x14ac:dyDescent="0.3">
      <c r="A727" t="s">
        <v>350</v>
      </c>
      <c r="B727">
        <f>IFERROR(INDEX(MASTER_REGISTER!C:C,MATCH(C727,MASTER_REGISTER!E:E,0)),"")</f>
        <v>8</v>
      </c>
      <c r="C727" t="s">
        <v>82</v>
      </c>
      <c r="D727" t="str">
        <f>IFERROR(INDEX(MASTER_REGISTER!F:F,MATCH(C727,MASTER_REGISTER!E:E,0)),"")</f>
        <v>Karabo Ngobeni</v>
      </c>
      <c r="E727" t="s">
        <v>337</v>
      </c>
      <c r="F727" t="s">
        <v>338</v>
      </c>
      <c r="G727" t="s">
        <v>339</v>
      </c>
    </row>
    <row r="728" spans="1:8" x14ac:dyDescent="0.3">
      <c r="A728" t="s">
        <v>350</v>
      </c>
      <c r="B728">
        <f>IFERROR(INDEX(MASTER_REGISTER!C:C,MATCH(C728,MASTER_REGISTER!E:E,0)),"")</f>
        <v>8</v>
      </c>
      <c r="C728" t="s">
        <v>88</v>
      </c>
      <c r="D728" t="str">
        <f>IFERROR(INDEX(MASTER_REGISTER!F:F,MATCH(C728,MASTER_REGISTER!E:E,0)),"")</f>
        <v>Mpho Sithole</v>
      </c>
      <c r="E728" t="s">
        <v>337</v>
      </c>
      <c r="F728" t="s">
        <v>338</v>
      </c>
      <c r="G728" t="s">
        <v>339</v>
      </c>
    </row>
    <row r="729" spans="1:8" x14ac:dyDescent="0.3">
      <c r="A729" t="s">
        <v>350</v>
      </c>
      <c r="B729">
        <f>IFERROR(INDEX(MASTER_REGISTER!C:C,MATCH(C729,MASTER_REGISTER!E:E,0)),"")</f>
        <v>8</v>
      </c>
      <c r="C729" t="s">
        <v>94</v>
      </c>
      <c r="D729" t="str">
        <f>IFERROR(INDEX(MASTER_REGISTER!F:F,MATCH(C729,MASTER_REGISTER!E:E,0)),"")</f>
        <v>Tshepo Ramushu</v>
      </c>
      <c r="E729" t="s">
        <v>337</v>
      </c>
      <c r="F729" t="s">
        <v>338</v>
      </c>
      <c r="G729" t="s">
        <v>339</v>
      </c>
    </row>
    <row r="730" spans="1:8" x14ac:dyDescent="0.3">
      <c r="A730" t="s">
        <v>350</v>
      </c>
      <c r="B730">
        <f>IFERROR(INDEX(MASTER_REGISTER!C:C,MATCH(C730,MASTER_REGISTER!E:E,0)),"")</f>
        <v>8</v>
      </c>
      <c r="C730" t="s">
        <v>100</v>
      </c>
      <c r="D730" t="str">
        <f>IFERROR(INDEX(MASTER_REGISTER!F:F,MATCH(C730,MASTER_REGISTER!E:E,0)),"")</f>
        <v>Lerato Kekana</v>
      </c>
      <c r="E730" t="s">
        <v>337</v>
      </c>
      <c r="F730" t="s">
        <v>338</v>
      </c>
      <c r="G730" t="s">
        <v>339</v>
      </c>
    </row>
    <row r="731" spans="1:8" x14ac:dyDescent="0.3">
      <c r="A731" t="s">
        <v>350</v>
      </c>
      <c r="B731">
        <f>IFERROR(INDEX(MASTER_REGISTER!C:C,MATCH(C731,MASTER_REGISTER!E:E,0)),"")</f>
        <v>8</v>
      </c>
      <c r="C731" t="s">
        <v>106</v>
      </c>
      <c r="D731" t="str">
        <f>IFERROR(INDEX(MASTER_REGISTER!F:F,MATCH(C731,MASTER_REGISTER!E:E,0)),"")</f>
        <v>Neo Ngobeni</v>
      </c>
      <c r="E731" t="s">
        <v>337</v>
      </c>
      <c r="F731" t="s">
        <v>338</v>
      </c>
      <c r="G731" t="s">
        <v>339</v>
      </c>
    </row>
    <row r="732" spans="1:8" x14ac:dyDescent="0.3">
      <c r="A732" t="s">
        <v>350</v>
      </c>
      <c r="B732">
        <f>IFERROR(INDEX(MASTER_REGISTER!C:C,MATCH(C732,MASTER_REGISTER!E:E,0)),"")</f>
        <v>8</v>
      </c>
      <c r="C732" t="s">
        <v>112</v>
      </c>
      <c r="D732" t="str">
        <f>IFERROR(INDEX(MASTER_REGISTER!F:F,MATCH(C732,MASTER_REGISTER!E:E,0)),"")</f>
        <v>Thabo Mokgadi</v>
      </c>
      <c r="E732" t="s">
        <v>337</v>
      </c>
      <c r="F732" t="s">
        <v>338</v>
      </c>
      <c r="G732" t="s">
        <v>339</v>
      </c>
    </row>
    <row r="733" spans="1:8" x14ac:dyDescent="0.3">
      <c r="A733" t="s">
        <v>350</v>
      </c>
      <c r="B733">
        <f>IFERROR(INDEX(MASTER_REGISTER!C:C,MATCH(C733,MASTER_REGISTER!E:E,0)),"")</f>
        <v>8</v>
      </c>
      <c r="C733" t="s">
        <v>118</v>
      </c>
      <c r="D733" t="str">
        <f>IFERROR(INDEX(MASTER_REGISTER!F:F,MATCH(C733,MASTER_REGISTER!E:E,0)),"")</f>
        <v>Sifiso Mthembu</v>
      </c>
      <c r="E733" t="s">
        <v>337</v>
      </c>
      <c r="F733" t="s">
        <v>338</v>
      </c>
      <c r="G733" t="s">
        <v>339</v>
      </c>
    </row>
    <row r="734" spans="1:8" x14ac:dyDescent="0.3">
      <c r="A734" t="s">
        <v>350</v>
      </c>
      <c r="B734">
        <f>IFERROR(INDEX(MASTER_REGISTER!C:C,MATCH(C734,MASTER_REGISTER!E:E,0)),"")</f>
        <v>9</v>
      </c>
      <c r="C734" t="s">
        <v>123</v>
      </c>
      <c r="D734" t="str">
        <f>IFERROR(INDEX(MASTER_REGISTER!F:F,MATCH(C734,MASTER_REGISTER!E:E,0)),"")</f>
        <v>Karabo Phiri</v>
      </c>
      <c r="E734" t="s">
        <v>337</v>
      </c>
      <c r="F734" t="s">
        <v>338</v>
      </c>
      <c r="G734" t="s">
        <v>339</v>
      </c>
    </row>
    <row r="735" spans="1:8" x14ac:dyDescent="0.3">
      <c r="A735" t="s">
        <v>350</v>
      </c>
      <c r="B735">
        <f>IFERROR(INDEX(MASTER_REGISTER!C:C,MATCH(C735,MASTER_REGISTER!E:E,0)),"")</f>
        <v>9</v>
      </c>
      <c r="C735" t="s">
        <v>128</v>
      </c>
      <c r="D735" t="str">
        <f>IFERROR(INDEX(MASTER_REGISTER!F:F,MATCH(C735,MASTER_REGISTER!E:E,0)),"")</f>
        <v>Lerato Mahlangu</v>
      </c>
      <c r="E735" t="s">
        <v>337</v>
      </c>
      <c r="F735" t="s">
        <v>338</v>
      </c>
      <c r="G735" t="s">
        <v>339</v>
      </c>
    </row>
    <row r="736" spans="1:8" x14ac:dyDescent="0.3">
      <c r="A736" t="s">
        <v>350</v>
      </c>
      <c r="B736">
        <f>IFERROR(INDEX(MASTER_REGISTER!C:C,MATCH(C736,MASTER_REGISTER!E:E,0)),"")</f>
        <v>9</v>
      </c>
      <c r="C736" t="s">
        <v>133</v>
      </c>
      <c r="D736" t="str">
        <f>IFERROR(INDEX(MASTER_REGISTER!F:F,MATCH(C736,MASTER_REGISTER!E:E,0)),"")</f>
        <v>Mpho Kekana</v>
      </c>
      <c r="E736" t="s">
        <v>335</v>
      </c>
      <c r="H736" t="s">
        <v>340</v>
      </c>
    </row>
    <row r="737" spans="1:8" x14ac:dyDescent="0.3">
      <c r="A737" t="s">
        <v>350</v>
      </c>
      <c r="B737">
        <f>IFERROR(INDEX(MASTER_REGISTER!C:C,MATCH(C737,MASTER_REGISTER!E:E,0)),"")</f>
        <v>9</v>
      </c>
      <c r="C737" t="s">
        <v>138</v>
      </c>
      <c r="D737" t="str">
        <f>IFERROR(INDEX(MASTER_REGISTER!F:F,MATCH(C737,MASTER_REGISTER!E:E,0)),"")</f>
        <v>Thabo Molefe</v>
      </c>
      <c r="E737" t="s">
        <v>337</v>
      </c>
      <c r="F737" t="s">
        <v>338</v>
      </c>
      <c r="G737" t="s">
        <v>339</v>
      </c>
    </row>
    <row r="738" spans="1:8" x14ac:dyDescent="0.3">
      <c r="A738" t="s">
        <v>350</v>
      </c>
      <c r="B738">
        <f>IFERROR(INDEX(MASTER_REGISTER!C:C,MATCH(C738,MASTER_REGISTER!E:E,0)),"")</f>
        <v>9</v>
      </c>
      <c r="C738" t="s">
        <v>143</v>
      </c>
      <c r="D738" t="str">
        <f>IFERROR(INDEX(MASTER_REGISTER!F:F,MATCH(C738,MASTER_REGISTER!E:E,0)),"")</f>
        <v>Mpho Ngobeni</v>
      </c>
      <c r="E738" t="s">
        <v>337</v>
      </c>
      <c r="F738" t="s">
        <v>338</v>
      </c>
      <c r="G738" t="s">
        <v>339</v>
      </c>
    </row>
    <row r="739" spans="1:8" x14ac:dyDescent="0.3">
      <c r="A739" t="s">
        <v>350</v>
      </c>
      <c r="B739">
        <f>IFERROR(INDEX(MASTER_REGISTER!C:C,MATCH(C739,MASTER_REGISTER!E:E,0)),"")</f>
        <v>9</v>
      </c>
      <c r="C739" t="s">
        <v>148</v>
      </c>
      <c r="D739" t="str">
        <f>IFERROR(INDEX(MASTER_REGISTER!F:F,MATCH(C739,MASTER_REGISTER!E:E,0)),"")</f>
        <v>Siyanda Mhlongo</v>
      </c>
      <c r="E739" t="s">
        <v>335</v>
      </c>
      <c r="H739" t="s">
        <v>336</v>
      </c>
    </row>
    <row r="740" spans="1:8" x14ac:dyDescent="0.3">
      <c r="A740" t="s">
        <v>350</v>
      </c>
      <c r="B740">
        <f>IFERROR(INDEX(MASTER_REGISTER!C:C,MATCH(C740,MASTER_REGISTER!E:E,0)),"")</f>
        <v>9</v>
      </c>
      <c r="C740" t="s">
        <v>153</v>
      </c>
      <c r="D740" t="str">
        <f>IFERROR(INDEX(MASTER_REGISTER!F:F,MATCH(C740,MASTER_REGISTER!E:E,0)),"")</f>
        <v>Siyanda Mahlangu</v>
      </c>
      <c r="E740" t="s">
        <v>337</v>
      </c>
      <c r="F740" t="s">
        <v>338</v>
      </c>
      <c r="G740" t="s">
        <v>339</v>
      </c>
    </row>
    <row r="741" spans="1:8" x14ac:dyDescent="0.3">
      <c r="A741" t="s">
        <v>350</v>
      </c>
      <c r="B741">
        <f>IFERROR(INDEX(MASTER_REGISTER!C:C,MATCH(C741,MASTER_REGISTER!E:E,0)),"")</f>
        <v>9</v>
      </c>
      <c r="C741" t="s">
        <v>158</v>
      </c>
      <c r="D741" t="str">
        <f>IFERROR(INDEX(MASTER_REGISTER!F:F,MATCH(C741,MASTER_REGISTER!E:E,0)),"")</f>
        <v>Sifiso Ramushu</v>
      </c>
      <c r="E741" t="s">
        <v>337</v>
      </c>
      <c r="F741" t="s">
        <v>338</v>
      </c>
      <c r="G741" t="s">
        <v>339</v>
      </c>
    </row>
    <row r="742" spans="1:8" x14ac:dyDescent="0.3">
      <c r="A742" t="s">
        <v>350</v>
      </c>
      <c r="B742">
        <f>IFERROR(INDEX(MASTER_REGISTER!C:C,MATCH(C742,MASTER_REGISTER!E:E,0)),"")</f>
        <v>9</v>
      </c>
      <c r="C742" t="s">
        <v>163</v>
      </c>
      <c r="D742" t="str">
        <f>IFERROR(INDEX(MASTER_REGISTER!F:F,MATCH(C742,MASTER_REGISTER!E:E,0)),"")</f>
        <v>Nandi Ngobeni</v>
      </c>
      <c r="E742" t="s">
        <v>337</v>
      </c>
      <c r="F742" t="s">
        <v>338</v>
      </c>
      <c r="G742" t="s">
        <v>339</v>
      </c>
    </row>
    <row r="743" spans="1:8" x14ac:dyDescent="0.3">
      <c r="A743" t="s">
        <v>350</v>
      </c>
      <c r="B743">
        <f>IFERROR(INDEX(MASTER_REGISTER!C:C,MATCH(C743,MASTER_REGISTER!E:E,0)),"")</f>
        <v>9</v>
      </c>
      <c r="C743" t="s">
        <v>168</v>
      </c>
      <c r="D743" t="str">
        <f>IFERROR(INDEX(MASTER_REGISTER!F:F,MATCH(C743,MASTER_REGISTER!E:E,0)),"")</f>
        <v>Karabo Mokgadi</v>
      </c>
      <c r="E743" t="s">
        <v>337</v>
      </c>
      <c r="F743" t="s">
        <v>338</v>
      </c>
      <c r="G743" t="s">
        <v>339</v>
      </c>
    </row>
    <row r="744" spans="1:8" x14ac:dyDescent="0.3">
      <c r="A744" t="s">
        <v>350</v>
      </c>
      <c r="B744">
        <f>IFERROR(INDEX(MASTER_REGISTER!C:C,MATCH(C744,MASTER_REGISTER!E:E,0)),"")</f>
        <v>9</v>
      </c>
      <c r="C744" t="s">
        <v>173</v>
      </c>
      <c r="D744" t="str">
        <f>IFERROR(INDEX(MASTER_REGISTER!F:F,MATCH(C744,MASTER_REGISTER!E:E,0)),"")</f>
        <v>Sifiso Mahlangu</v>
      </c>
      <c r="E744" t="s">
        <v>337</v>
      </c>
      <c r="F744" t="s">
        <v>338</v>
      </c>
      <c r="G744" t="s">
        <v>339</v>
      </c>
    </row>
    <row r="745" spans="1:8" x14ac:dyDescent="0.3">
      <c r="A745" t="s">
        <v>350</v>
      </c>
      <c r="B745">
        <f>IFERROR(INDEX(MASTER_REGISTER!C:C,MATCH(C745,MASTER_REGISTER!E:E,0)),"")</f>
        <v>9</v>
      </c>
      <c r="C745" t="s">
        <v>178</v>
      </c>
      <c r="D745" t="str">
        <f>IFERROR(INDEX(MASTER_REGISTER!F:F,MATCH(C745,MASTER_REGISTER!E:E,0)),"")</f>
        <v>Kgothatso Radebe</v>
      </c>
      <c r="E745" t="s">
        <v>337</v>
      </c>
      <c r="F745" t="s">
        <v>338</v>
      </c>
      <c r="G745" t="s">
        <v>339</v>
      </c>
    </row>
    <row r="746" spans="1:8" x14ac:dyDescent="0.3">
      <c r="A746" t="s">
        <v>350</v>
      </c>
      <c r="B746">
        <f>IFERROR(INDEX(MASTER_REGISTER!C:C,MATCH(C746,MASTER_REGISTER!E:E,0)),"")</f>
        <v>10</v>
      </c>
      <c r="C746" t="s">
        <v>183</v>
      </c>
      <c r="D746" t="str">
        <f>IFERROR(INDEX(MASTER_REGISTER!F:F,MATCH(C746,MASTER_REGISTER!E:E,0)),"")</f>
        <v>Lerato Maseko</v>
      </c>
      <c r="E746" t="s">
        <v>337</v>
      </c>
      <c r="F746" t="s">
        <v>338</v>
      </c>
      <c r="G746" t="s">
        <v>339</v>
      </c>
    </row>
    <row r="747" spans="1:8" x14ac:dyDescent="0.3">
      <c r="A747" t="s">
        <v>350</v>
      </c>
      <c r="B747">
        <f>IFERROR(INDEX(MASTER_REGISTER!C:C,MATCH(C747,MASTER_REGISTER!E:E,0)),"")</f>
        <v>10</v>
      </c>
      <c r="C747" t="s">
        <v>188</v>
      </c>
      <c r="D747" t="str">
        <f>IFERROR(INDEX(MASTER_REGISTER!F:F,MATCH(C747,MASTER_REGISTER!E:E,0)),"")</f>
        <v>Sibusiso Molefe</v>
      </c>
      <c r="E747" t="s">
        <v>337</v>
      </c>
      <c r="F747" t="s">
        <v>338</v>
      </c>
      <c r="G747" t="s">
        <v>339</v>
      </c>
    </row>
    <row r="748" spans="1:8" x14ac:dyDescent="0.3">
      <c r="A748" t="s">
        <v>350</v>
      </c>
      <c r="B748">
        <f>IFERROR(INDEX(MASTER_REGISTER!C:C,MATCH(C748,MASTER_REGISTER!E:E,0)),"")</f>
        <v>10</v>
      </c>
      <c r="C748" t="s">
        <v>193</v>
      </c>
      <c r="D748" t="str">
        <f>IFERROR(INDEX(MASTER_REGISTER!F:F,MATCH(C748,MASTER_REGISTER!E:E,0)),"")</f>
        <v>Nandi Molefe</v>
      </c>
      <c r="E748" t="s">
        <v>337</v>
      </c>
      <c r="F748" t="s">
        <v>338</v>
      </c>
      <c r="G748" t="s">
        <v>339</v>
      </c>
    </row>
    <row r="749" spans="1:8" x14ac:dyDescent="0.3">
      <c r="A749" t="s">
        <v>350</v>
      </c>
      <c r="B749">
        <f>IFERROR(INDEX(MASTER_REGISTER!C:C,MATCH(C749,MASTER_REGISTER!E:E,0)),"")</f>
        <v>10</v>
      </c>
      <c r="C749" t="s">
        <v>198</v>
      </c>
      <c r="D749" t="str">
        <f>IFERROR(INDEX(MASTER_REGISTER!F:F,MATCH(C749,MASTER_REGISTER!E:E,0)),"")</f>
        <v>Kgothatso Baloyi</v>
      </c>
      <c r="E749" t="s">
        <v>337</v>
      </c>
      <c r="F749" t="s">
        <v>338</v>
      </c>
      <c r="G749" t="s">
        <v>339</v>
      </c>
    </row>
    <row r="750" spans="1:8" x14ac:dyDescent="0.3">
      <c r="A750" t="s">
        <v>350</v>
      </c>
      <c r="B750">
        <f>IFERROR(INDEX(MASTER_REGISTER!C:C,MATCH(C750,MASTER_REGISTER!E:E,0)),"")</f>
        <v>10</v>
      </c>
      <c r="C750" t="s">
        <v>202</v>
      </c>
      <c r="D750" t="str">
        <f>IFERROR(INDEX(MASTER_REGISTER!F:F,MATCH(C750,MASTER_REGISTER!E:E,0)),"")</f>
        <v>Ayanda Mokoena</v>
      </c>
      <c r="E750" t="s">
        <v>337</v>
      </c>
      <c r="F750" t="s">
        <v>338</v>
      </c>
      <c r="G750" t="s">
        <v>339</v>
      </c>
    </row>
    <row r="751" spans="1:8" x14ac:dyDescent="0.3">
      <c r="A751" t="s">
        <v>350</v>
      </c>
      <c r="B751">
        <f>IFERROR(INDEX(MASTER_REGISTER!C:C,MATCH(C751,MASTER_REGISTER!E:E,0)),"")</f>
        <v>10</v>
      </c>
      <c r="C751" t="s">
        <v>206</v>
      </c>
      <c r="D751" t="str">
        <f>IFERROR(INDEX(MASTER_REGISTER!F:F,MATCH(C751,MASTER_REGISTER!E:E,0)),"")</f>
        <v>Lwazi Baloyi</v>
      </c>
      <c r="E751" t="s">
        <v>337</v>
      </c>
      <c r="F751" t="s">
        <v>338</v>
      </c>
      <c r="G751" t="s">
        <v>339</v>
      </c>
    </row>
    <row r="752" spans="1:8" x14ac:dyDescent="0.3">
      <c r="A752" t="s">
        <v>350</v>
      </c>
      <c r="B752">
        <f>IFERROR(INDEX(MASTER_REGISTER!C:C,MATCH(C752,MASTER_REGISTER!E:E,0)),"")</f>
        <v>10</v>
      </c>
      <c r="C752" t="s">
        <v>210</v>
      </c>
      <c r="D752" t="str">
        <f>IFERROR(INDEX(MASTER_REGISTER!F:F,MATCH(C752,MASTER_REGISTER!E:E,0)),"")</f>
        <v>Siyanda Mokoena</v>
      </c>
      <c r="E752" t="s">
        <v>337</v>
      </c>
      <c r="F752" t="s">
        <v>338</v>
      </c>
      <c r="G752" t="s">
        <v>339</v>
      </c>
    </row>
    <row r="753" spans="1:8" x14ac:dyDescent="0.3">
      <c r="A753" t="s">
        <v>350</v>
      </c>
      <c r="B753">
        <f>IFERROR(INDEX(MASTER_REGISTER!C:C,MATCH(C753,MASTER_REGISTER!E:E,0)),"")</f>
        <v>10</v>
      </c>
      <c r="C753" t="s">
        <v>214</v>
      </c>
      <c r="D753" t="str">
        <f>IFERROR(INDEX(MASTER_REGISTER!F:F,MATCH(C753,MASTER_REGISTER!E:E,0)),"")</f>
        <v>Mpho Ngobeni</v>
      </c>
      <c r="E753" t="s">
        <v>337</v>
      </c>
      <c r="F753" t="s">
        <v>338</v>
      </c>
      <c r="G753" t="s">
        <v>339</v>
      </c>
    </row>
    <row r="754" spans="1:8" x14ac:dyDescent="0.3">
      <c r="A754" t="s">
        <v>350</v>
      </c>
      <c r="B754">
        <f>IFERROR(INDEX(MASTER_REGISTER!C:C,MATCH(C754,MASTER_REGISTER!E:E,0)),"")</f>
        <v>10</v>
      </c>
      <c r="C754" t="s">
        <v>217</v>
      </c>
      <c r="D754" t="str">
        <f>IFERROR(INDEX(MASTER_REGISTER!F:F,MATCH(C754,MASTER_REGISTER!E:E,0)),"")</f>
        <v>Naledi Makhubela</v>
      </c>
      <c r="E754" t="s">
        <v>337</v>
      </c>
      <c r="F754" t="s">
        <v>338</v>
      </c>
      <c r="G754" t="s">
        <v>339</v>
      </c>
    </row>
    <row r="755" spans="1:8" x14ac:dyDescent="0.3">
      <c r="A755" t="s">
        <v>350</v>
      </c>
      <c r="B755">
        <f>IFERROR(INDEX(MASTER_REGISTER!C:C,MATCH(C755,MASTER_REGISTER!E:E,0)),"")</f>
        <v>10</v>
      </c>
      <c r="C755" t="s">
        <v>221</v>
      </c>
      <c r="D755" t="str">
        <f>IFERROR(INDEX(MASTER_REGISTER!F:F,MATCH(C755,MASTER_REGISTER!E:E,0)),"")</f>
        <v>Kgothatso Mokoena</v>
      </c>
      <c r="E755" t="s">
        <v>337</v>
      </c>
      <c r="F755" t="s">
        <v>338</v>
      </c>
      <c r="G755" t="s">
        <v>339</v>
      </c>
    </row>
    <row r="756" spans="1:8" x14ac:dyDescent="0.3">
      <c r="A756" t="s">
        <v>350</v>
      </c>
      <c r="B756">
        <f>IFERROR(INDEX(MASTER_REGISTER!C:C,MATCH(C756,MASTER_REGISTER!E:E,0)),"")</f>
        <v>10</v>
      </c>
      <c r="C756" t="s">
        <v>225</v>
      </c>
      <c r="D756" t="str">
        <f>IFERROR(INDEX(MASTER_REGISTER!F:F,MATCH(C756,MASTER_REGISTER!E:E,0)),"")</f>
        <v>Bongani Makhubela</v>
      </c>
      <c r="E756" t="s">
        <v>337</v>
      </c>
      <c r="F756" t="s">
        <v>338</v>
      </c>
      <c r="G756" t="s">
        <v>339</v>
      </c>
    </row>
    <row r="757" spans="1:8" x14ac:dyDescent="0.3">
      <c r="A757" t="s">
        <v>350</v>
      </c>
      <c r="B757">
        <f>IFERROR(INDEX(MASTER_REGISTER!C:C,MATCH(C757,MASTER_REGISTER!E:E,0)),"")</f>
        <v>10</v>
      </c>
      <c r="C757" t="s">
        <v>229</v>
      </c>
      <c r="D757" t="str">
        <f>IFERROR(INDEX(MASTER_REGISTER!F:F,MATCH(C757,MASTER_REGISTER!E:E,0)),"")</f>
        <v>Kagiso Kekana</v>
      </c>
      <c r="E757" t="s">
        <v>335</v>
      </c>
      <c r="H757" t="s">
        <v>336</v>
      </c>
    </row>
    <row r="758" spans="1:8" x14ac:dyDescent="0.3">
      <c r="A758" t="s">
        <v>350</v>
      </c>
      <c r="B758">
        <f>IFERROR(INDEX(MASTER_REGISTER!C:C,MATCH(C758,MASTER_REGISTER!E:E,0)),"")</f>
        <v>11</v>
      </c>
      <c r="C758" t="s">
        <v>233</v>
      </c>
      <c r="D758" t="str">
        <f>IFERROR(INDEX(MASTER_REGISTER!F:F,MATCH(C758,MASTER_REGISTER!E:E,0)),"")</f>
        <v>Lwazi Makhubela</v>
      </c>
      <c r="E758" t="s">
        <v>337</v>
      </c>
      <c r="F758" t="s">
        <v>338</v>
      </c>
      <c r="G758" t="s">
        <v>339</v>
      </c>
    </row>
    <row r="759" spans="1:8" x14ac:dyDescent="0.3">
      <c r="A759" t="s">
        <v>350</v>
      </c>
      <c r="B759">
        <f>IFERROR(INDEX(MASTER_REGISTER!C:C,MATCH(C759,MASTER_REGISTER!E:E,0)),"")</f>
        <v>11</v>
      </c>
      <c r="C759" t="s">
        <v>237</v>
      </c>
      <c r="D759" t="str">
        <f>IFERROR(INDEX(MASTER_REGISTER!F:F,MATCH(C759,MASTER_REGISTER!E:E,0)),"")</f>
        <v>Lebogang Ramushu</v>
      </c>
      <c r="E759" t="s">
        <v>337</v>
      </c>
      <c r="F759" t="s">
        <v>338</v>
      </c>
      <c r="G759" t="s">
        <v>339</v>
      </c>
    </row>
    <row r="760" spans="1:8" x14ac:dyDescent="0.3">
      <c r="A760" t="s">
        <v>350</v>
      </c>
      <c r="B760">
        <f>IFERROR(INDEX(MASTER_REGISTER!C:C,MATCH(C760,MASTER_REGISTER!E:E,0)),"")</f>
        <v>11</v>
      </c>
      <c r="C760" t="s">
        <v>241</v>
      </c>
      <c r="D760" t="str">
        <f>IFERROR(INDEX(MASTER_REGISTER!F:F,MATCH(C760,MASTER_REGISTER!E:E,0)),"")</f>
        <v>Lerato Kekana</v>
      </c>
      <c r="E760" t="s">
        <v>337</v>
      </c>
      <c r="F760" t="s">
        <v>338</v>
      </c>
      <c r="G760" t="s">
        <v>339</v>
      </c>
    </row>
    <row r="761" spans="1:8" x14ac:dyDescent="0.3">
      <c r="A761" t="s">
        <v>350</v>
      </c>
      <c r="B761">
        <f>IFERROR(INDEX(MASTER_REGISTER!C:C,MATCH(C761,MASTER_REGISTER!E:E,0)),"")</f>
        <v>11</v>
      </c>
      <c r="C761" t="s">
        <v>244</v>
      </c>
      <c r="D761" t="str">
        <f>IFERROR(INDEX(MASTER_REGISTER!F:F,MATCH(C761,MASTER_REGISTER!E:E,0)),"")</f>
        <v>Bongani Ndlovu</v>
      </c>
      <c r="E761" t="s">
        <v>337</v>
      </c>
      <c r="F761" t="s">
        <v>338</v>
      </c>
      <c r="G761" t="s">
        <v>339</v>
      </c>
    </row>
    <row r="762" spans="1:8" x14ac:dyDescent="0.3">
      <c r="A762" t="s">
        <v>350</v>
      </c>
      <c r="B762">
        <f>IFERROR(INDEX(MASTER_REGISTER!C:C,MATCH(C762,MASTER_REGISTER!E:E,0)),"")</f>
        <v>11</v>
      </c>
      <c r="C762" t="s">
        <v>248</v>
      </c>
      <c r="D762" t="str">
        <f>IFERROR(INDEX(MASTER_REGISTER!F:F,MATCH(C762,MASTER_REGISTER!E:E,0)),"")</f>
        <v>Sifiso Dlamini</v>
      </c>
      <c r="E762" t="s">
        <v>337</v>
      </c>
      <c r="F762" t="s">
        <v>338</v>
      </c>
      <c r="G762" t="s">
        <v>339</v>
      </c>
    </row>
    <row r="763" spans="1:8" x14ac:dyDescent="0.3">
      <c r="A763" t="s">
        <v>350</v>
      </c>
      <c r="B763">
        <f>IFERROR(INDEX(MASTER_REGISTER!C:C,MATCH(C763,MASTER_REGISTER!E:E,0)),"")</f>
        <v>11</v>
      </c>
      <c r="C763" t="s">
        <v>252</v>
      </c>
      <c r="D763" t="str">
        <f>IFERROR(INDEX(MASTER_REGISTER!F:F,MATCH(C763,MASTER_REGISTER!E:E,0)),"")</f>
        <v>Refilwe Dlamini</v>
      </c>
      <c r="E763" t="s">
        <v>337</v>
      </c>
      <c r="F763" t="s">
        <v>338</v>
      </c>
      <c r="G763" t="s">
        <v>339</v>
      </c>
    </row>
    <row r="764" spans="1:8" x14ac:dyDescent="0.3">
      <c r="A764" t="s">
        <v>350</v>
      </c>
      <c r="B764">
        <f>IFERROR(INDEX(MASTER_REGISTER!C:C,MATCH(C764,MASTER_REGISTER!E:E,0)),"")</f>
        <v>11</v>
      </c>
      <c r="C764" t="s">
        <v>256</v>
      </c>
      <c r="D764" t="str">
        <f>IFERROR(INDEX(MASTER_REGISTER!F:F,MATCH(C764,MASTER_REGISTER!E:E,0)),"")</f>
        <v>Lwazi Maseko</v>
      </c>
      <c r="E764" t="s">
        <v>337</v>
      </c>
      <c r="F764" t="s">
        <v>338</v>
      </c>
      <c r="G764" t="s">
        <v>339</v>
      </c>
    </row>
    <row r="765" spans="1:8" x14ac:dyDescent="0.3">
      <c r="A765" t="s">
        <v>350</v>
      </c>
      <c r="B765">
        <f>IFERROR(INDEX(MASTER_REGISTER!C:C,MATCH(C765,MASTER_REGISTER!E:E,0)),"")</f>
        <v>11</v>
      </c>
      <c r="C765" t="s">
        <v>260</v>
      </c>
      <c r="D765" t="str">
        <f>IFERROR(INDEX(MASTER_REGISTER!F:F,MATCH(C765,MASTER_REGISTER!E:E,0)),"")</f>
        <v>Refilwe Mokgadi</v>
      </c>
      <c r="E765" t="s">
        <v>337</v>
      </c>
      <c r="F765" t="s">
        <v>338</v>
      </c>
      <c r="G765" t="s">
        <v>339</v>
      </c>
    </row>
    <row r="766" spans="1:8" x14ac:dyDescent="0.3">
      <c r="A766" t="s">
        <v>350</v>
      </c>
      <c r="B766">
        <f>IFERROR(INDEX(MASTER_REGISTER!C:C,MATCH(C766,MASTER_REGISTER!E:E,0)),"")</f>
        <v>11</v>
      </c>
      <c r="C766" t="s">
        <v>264</v>
      </c>
      <c r="D766" t="str">
        <f>IFERROR(INDEX(MASTER_REGISTER!F:F,MATCH(C766,MASTER_REGISTER!E:E,0)),"")</f>
        <v>Kgothatso Molefe</v>
      </c>
      <c r="E766" t="s">
        <v>337</v>
      </c>
      <c r="F766" t="s">
        <v>338</v>
      </c>
      <c r="G766" t="s">
        <v>339</v>
      </c>
    </row>
    <row r="767" spans="1:8" x14ac:dyDescent="0.3">
      <c r="A767" t="s">
        <v>350</v>
      </c>
      <c r="B767">
        <f>IFERROR(INDEX(MASTER_REGISTER!C:C,MATCH(C767,MASTER_REGISTER!E:E,0)),"")</f>
        <v>11</v>
      </c>
      <c r="C767" t="s">
        <v>268</v>
      </c>
      <c r="D767" t="str">
        <f>IFERROR(INDEX(MASTER_REGISTER!F:F,MATCH(C767,MASTER_REGISTER!E:E,0)),"")</f>
        <v>Tshepo Mokgadi</v>
      </c>
      <c r="E767" t="s">
        <v>337</v>
      </c>
      <c r="F767" t="s">
        <v>338</v>
      </c>
      <c r="G767" t="s">
        <v>339</v>
      </c>
    </row>
    <row r="768" spans="1:8" x14ac:dyDescent="0.3">
      <c r="A768" t="s">
        <v>350</v>
      </c>
      <c r="B768">
        <f>IFERROR(INDEX(MASTER_REGISTER!C:C,MATCH(C768,MASTER_REGISTER!E:E,0)),"")</f>
        <v>11</v>
      </c>
      <c r="C768" t="s">
        <v>272</v>
      </c>
      <c r="D768" t="str">
        <f>IFERROR(INDEX(MASTER_REGISTER!F:F,MATCH(C768,MASTER_REGISTER!E:E,0)),"")</f>
        <v>Tshepo Phiri</v>
      </c>
      <c r="E768" t="s">
        <v>337</v>
      </c>
      <c r="F768" t="s">
        <v>338</v>
      </c>
      <c r="G768" t="s">
        <v>339</v>
      </c>
    </row>
    <row r="769" spans="1:8" x14ac:dyDescent="0.3">
      <c r="A769" t="s">
        <v>350</v>
      </c>
      <c r="B769">
        <f>IFERROR(INDEX(MASTER_REGISTER!C:C,MATCH(C769,MASTER_REGISTER!E:E,0)),"")</f>
        <v>11</v>
      </c>
      <c r="C769" t="s">
        <v>276</v>
      </c>
      <c r="D769" t="str">
        <f>IFERROR(INDEX(MASTER_REGISTER!F:F,MATCH(C769,MASTER_REGISTER!E:E,0)),"")</f>
        <v>Zanele Ngobeni</v>
      </c>
      <c r="E769" t="s">
        <v>337</v>
      </c>
      <c r="F769" t="s">
        <v>338</v>
      </c>
      <c r="G769" t="s">
        <v>339</v>
      </c>
    </row>
    <row r="770" spans="1:8" x14ac:dyDescent="0.3">
      <c r="A770" t="s">
        <v>350</v>
      </c>
      <c r="B770">
        <f>IFERROR(INDEX(MASTER_REGISTER!C:C,MATCH(C770,MASTER_REGISTER!E:E,0)),"")</f>
        <v>12</v>
      </c>
      <c r="C770" t="s">
        <v>280</v>
      </c>
      <c r="D770" t="str">
        <f>IFERROR(INDEX(MASTER_REGISTER!F:F,MATCH(C770,MASTER_REGISTER!E:E,0)),"")</f>
        <v>Palesa Mokoena</v>
      </c>
      <c r="E770" t="s">
        <v>337</v>
      </c>
      <c r="F770" t="s">
        <v>338</v>
      </c>
      <c r="G770" t="s">
        <v>339</v>
      </c>
    </row>
    <row r="771" spans="1:8" x14ac:dyDescent="0.3">
      <c r="A771" t="s">
        <v>350</v>
      </c>
      <c r="B771">
        <f>IFERROR(INDEX(MASTER_REGISTER!C:C,MATCH(C771,MASTER_REGISTER!E:E,0)),"")</f>
        <v>12</v>
      </c>
      <c r="C771" t="s">
        <v>284</v>
      </c>
      <c r="D771" t="str">
        <f>IFERROR(INDEX(MASTER_REGISTER!F:F,MATCH(C771,MASTER_REGISTER!E:E,0)),"")</f>
        <v>Thabo Ramushu</v>
      </c>
      <c r="E771" t="s">
        <v>337</v>
      </c>
      <c r="F771" t="s">
        <v>338</v>
      </c>
      <c r="G771" t="s">
        <v>339</v>
      </c>
    </row>
    <row r="772" spans="1:8" x14ac:dyDescent="0.3">
      <c r="A772" t="s">
        <v>350</v>
      </c>
      <c r="B772">
        <f>IFERROR(INDEX(MASTER_REGISTER!C:C,MATCH(C772,MASTER_REGISTER!E:E,0)),"")</f>
        <v>12</v>
      </c>
      <c r="C772" t="s">
        <v>288</v>
      </c>
      <c r="D772" t="str">
        <f>IFERROR(INDEX(MASTER_REGISTER!F:F,MATCH(C772,MASTER_REGISTER!E:E,0)),"")</f>
        <v>Lwazi Ndlovu</v>
      </c>
      <c r="E772" t="s">
        <v>337</v>
      </c>
      <c r="F772" t="s">
        <v>338</v>
      </c>
      <c r="G772" t="s">
        <v>339</v>
      </c>
    </row>
    <row r="773" spans="1:8" x14ac:dyDescent="0.3">
      <c r="A773" t="s">
        <v>350</v>
      </c>
      <c r="B773">
        <f>IFERROR(INDEX(MASTER_REGISTER!C:C,MATCH(C773,MASTER_REGISTER!E:E,0)),"")</f>
        <v>12</v>
      </c>
      <c r="C773" t="s">
        <v>292</v>
      </c>
      <c r="D773" t="str">
        <f>IFERROR(INDEX(MASTER_REGISTER!F:F,MATCH(C773,MASTER_REGISTER!E:E,0)),"")</f>
        <v>Ayanda Dlamini</v>
      </c>
      <c r="E773" t="s">
        <v>337</v>
      </c>
      <c r="F773" t="s">
        <v>338</v>
      </c>
      <c r="G773" t="s">
        <v>339</v>
      </c>
    </row>
    <row r="774" spans="1:8" x14ac:dyDescent="0.3">
      <c r="A774" t="s">
        <v>350</v>
      </c>
      <c r="B774">
        <f>IFERROR(INDEX(MASTER_REGISTER!C:C,MATCH(C774,MASTER_REGISTER!E:E,0)),"")</f>
        <v>12</v>
      </c>
      <c r="C774" t="s">
        <v>296</v>
      </c>
      <c r="D774" t="str">
        <f>IFERROR(INDEX(MASTER_REGISTER!F:F,MATCH(C774,MASTER_REGISTER!E:E,0)),"")</f>
        <v>Neo Ndlovu</v>
      </c>
      <c r="E774" t="s">
        <v>335</v>
      </c>
      <c r="H774" t="s">
        <v>342</v>
      </c>
    </row>
    <row r="775" spans="1:8" x14ac:dyDescent="0.3">
      <c r="A775" t="s">
        <v>350</v>
      </c>
      <c r="B775">
        <f>IFERROR(INDEX(MASTER_REGISTER!C:C,MATCH(C775,MASTER_REGISTER!E:E,0)),"")</f>
        <v>12</v>
      </c>
      <c r="C775" t="s">
        <v>300</v>
      </c>
      <c r="D775" t="str">
        <f>IFERROR(INDEX(MASTER_REGISTER!F:F,MATCH(C775,MASTER_REGISTER!E:E,0)),"")</f>
        <v>Neo Ramushu</v>
      </c>
      <c r="E775" t="s">
        <v>337</v>
      </c>
      <c r="F775" t="s">
        <v>338</v>
      </c>
      <c r="G775" t="s">
        <v>339</v>
      </c>
    </row>
    <row r="776" spans="1:8" x14ac:dyDescent="0.3">
      <c r="A776" t="s">
        <v>350</v>
      </c>
      <c r="B776">
        <f>IFERROR(INDEX(MASTER_REGISTER!C:C,MATCH(C776,MASTER_REGISTER!E:E,0)),"")</f>
        <v>12</v>
      </c>
      <c r="C776" t="s">
        <v>304</v>
      </c>
      <c r="D776" t="str">
        <f>IFERROR(INDEX(MASTER_REGISTER!F:F,MATCH(C776,MASTER_REGISTER!E:E,0)),"")</f>
        <v>Karabo Baloyi</v>
      </c>
      <c r="E776" t="s">
        <v>337</v>
      </c>
      <c r="F776" t="s">
        <v>338</v>
      </c>
      <c r="G776" t="s">
        <v>339</v>
      </c>
    </row>
    <row r="777" spans="1:8" x14ac:dyDescent="0.3">
      <c r="A777" t="s">
        <v>350</v>
      </c>
      <c r="B777">
        <f>IFERROR(INDEX(MASTER_REGISTER!C:C,MATCH(C777,MASTER_REGISTER!E:E,0)),"")</f>
        <v>12</v>
      </c>
      <c r="C777" t="s">
        <v>308</v>
      </c>
      <c r="D777" t="str">
        <f>IFERROR(INDEX(MASTER_REGISTER!F:F,MATCH(C777,MASTER_REGISTER!E:E,0)),"")</f>
        <v>Tshepo Mokgadi</v>
      </c>
      <c r="E777" t="s">
        <v>337</v>
      </c>
      <c r="F777" t="s">
        <v>338</v>
      </c>
      <c r="G777" t="s">
        <v>339</v>
      </c>
    </row>
    <row r="778" spans="1:8" x14ac:dyDescent="0.3">
      <c r="A778" t="s">
        <v>350</v>
      </c>
      <c r="B778">
        <f>IFERROR(INDEX(MASTER_REGISTER!C:C,MATCH(C778,MASTER_REGISTER!E:E,0)),"")</f>
        <v>12</v>
      </c>
      <c r="C778" t="s">
        <v>311</v>
      </c>
      <c r="D778" t="str">
        <f>IFERROR(INDEX(MASTER_REGISTER!F:F,MATCH(C778,MASTER_REGISTER!E:E,0)),"")</f>
        <v>Sifiso Mavuso</v>
      </c>
      <c r="E778" t="s">
        <v>337</v>
      </c>
      <c r="F778" t="s">
        <v>338</v>
      </c>
      <c r="G778" t="s">
        <v>339</v>
      </c>
    </row>
    <row r="779" spans="1:8" x14ac:dyDescent="0.3">
      <c r="A779" t="s">
        <v>350</v>
      </c>
      <c r="B779">
        <f>IFERROR(INDEX(MASTER_REGISTER!C:C,MATCH(C779,MASTER_REGISTER!E:E,0)),"")</f>
        <v>12</v>
      </c>
      <c r="C779" t="s">
        <v>315</v>
      </c>
      <c r="D779" t="str">
        <f>IFERROR(INDEX(MASTER_REGISTER!F:F,MATCH(C779,MASTER_REGISTER!E:E,0)),"")</f>
        <v>Refilwe Sithole</v>
      </c>
      <c r="E779" t="s">
        <v>337</v>
      </c>
      <c r="F779" t="s">
        <v>338</v>
      </c>
      <c r="G779" t="s">
        <v>339</v>
      </c>
    </row>
    <row r="780" spans="1:8" x14ac:dyDescent="0.3">
      <c r="A780" t="s">
        <v>350</v>
      </c>
      <c r="B780">
        <f>IFERROR(INDEX(MASTER_REGISTER!C:C,MATCH(C780,MASTER_REGISTER!E:E,0)),"")</f>
        <v>12</v>
      </c>
      <c r="C780" t="s">
        <v>319</v>
      </c>
      <c r="D780" t="str">
        <f>IFERROR(INDEX(MASTER_REGISTER!F:F,MATCH(C780,MASTER_REGISTER!E:E,0)),"")</f>
        <v>Lerato Sithole</v>
      </c>
      <c r="E780" t="s">
        <v>337</v>
      </c>
      <c r="F780" t="s">
        <v>338</v>
      </c>
      <c r="G780" t="s">
        <v>339</v>
      </c>
    </row>
    <row r="781" spans="1:8" x14ac:dyDescent="0.3">
      <c r="A781" t="s">
        <v>350</v>
      </c>
      <c r="B781">
        <f>IFERROR(INDEX(MASTER_REGISTER!C:C,MATCH(C781,MASTER_REGISTER!E:E,0)),"")</f>
        <v>12</v>
      </c>
      <c r="C781" t="s">
        <v>323</v>
      </c>
      <c r="D781" t="str">
        <f>IFERROR(INDEX(MASTER_REGISTER!F:F,MATCH(C781,MASTER_REGISTER!E:E,0)),"")</f>
        <v>Sibusiso Ngobeni</v>
      </c>
      <c r="E781" t="s">
        <v>337</v>
      </c>
      <c r="F781" t="s">
        <v>338</v>
      </c>
      <c r="G781" t="s">
        <v>339</v>
      </c>
    </row>
    <row r="782" spans="1:8" x14ac:dyDescent="0.3">
      <c r="A782" t="s">
        <v>351</v>
      </c>
      <c r="B782">
        <f>IFERROR(INDEX(MASTER_REGISTER!C:C,MATCH(C782,MASTER_REGISTER!E:E,0)),"")</f>
        <v>8</v>
      </c>
      <c r="C782" t="s">
        <v>50</v>
      </c>
      <c r="D782" t="str">
        <f>IFERROR(INDEX(MASTER_REGISTER!F:F,MATCH(C782,MASTER_REGISTER!E:E,0)),"")</f>
        <v>Lerato Nkosi</v>
      </c>
      <c r="E782" t="s">
        <v>337</v>
      </c>
      <c r="F782" t="s">
        <v>338</v>
      </c>
      <c r="G782" t="s">
        <v>339</v>
      </c>
    </row>
    <row r="783" spans="1:8" x14ac:dyDescent="0.3">
      <c r="A783" t="s">
        <v>351</v>
      </c>
      <c r="B783">
        <f>IFERROR(INDEX(MASTER_REGISTER!C:C,MATCH(C783,MASTER_REGISTER!E:E,0)),"")</f>
        <v>8</v>
      </c>
      <c r="C783" t="s">
        <v>58</v>
      </c>
      <c r="D783" t="str">
        <f>IFERROR(INDEX(MASTER_REGISTER!F:F,MATCH(C783,MASTER_REGISTER!E:E,0)),"")</f>
        <v>Karabo Maseko</v>
      </c>
      <c r="E783" t="s">
        <v>337</v>
      </c>
      <c r="F783" t="s">
        <v>338</v>
      </c>
      <c r="G783" t="s">
        <v>339</v>
      </c>
    </row>
    <row r="784" spans="1:8" x14ac:dyDescent="0.3">
      <c r="A784" t="s">
        <v>351</v>
      </c>
      <c r="B784">
        <f>IFERROR(INDEX(MASTER_REGISTER!C:C,MATCH(C784,MASTER_REGISTER!E:E,0)),"")</f>
        <v>8</v>
      </c>
      <c r="C784" t="s">
        <v>64</v>
      </c>
      <c r="D784" t="str">
        <f>IFERROR(INDEX(MASTER_REGISTER!F:F,MATCH(C784,MASTER_REGISTER!E:E,0)),"")</f>
        <v>Sifiso Sithole</v>
      </c>
      <c r="E784" t="s">
        <v>337</v>
      </c>
      <c r="F784" t="s">
        <v>338</v>
      </c>
      <c r="G784" t="s">
        <v>339</v>
      </c>
    </row>
    <row r="785" spans="1:8" x14ac:dyDescent="0.3">
      <c r="A785" t="s">
        <v>351</v>
      </c>
      <c r="B785">
        <f>IFERROR(INDEX(MASTER_REGISTER!C:C,MATCH(C785,MASTER_REGISTER!E:E,0)),"")</f>
        <v>8</v>
      </c>
      <c r="C785" t="s">
        <v>70</v>
      </c>
      <c r="D785" t="str">
        <f>IFERROR(INDEX(MASTER_REGISTER!F:F,MATCH(C785,MASTER_REGISTER!E:E,0)),"")</f>
        <v>Tshepo Ndlovu</v>
      </c>
      <c r="E785" t="s">
        <v>337</v>
      </c>
      <c r="F785" t="s">
        <v>338</v>
      </c>
      <c r="G785" t="s">
        <v>339</v>
      </c>
    </row>
    <row r="786" spans="1:8" x14ac:dyDescent="0.3">
      <c r="A786" t="s">
        <v>351</v>
      </c>
      <c r="B786">
        <f>IFERROR(INDEX(MASTER_REGISTER!C:C,MATCH(C786,MASTER_REGISTER!E:E,0)),"")</f>
        <v>8</v>
      </c>
      <c r="C786" t="s">
        <v>76</v>
      </c>
      <c r="D786" t="str">
        <f>IFERROR(INDEX(MASTER_REGISTER!F:F,MATCH(C786,MASTER_REGISTER!E:E,0)),"")</f>
        <v>Lwazi Mthembu</v>
      </c>
      <c r="E786" t="s">
        <v>337</v>
      </c>
      <c r="F786" t="s">
        <v>338</v>
      </c>
      <c r="G786" t="s">
        <v>339</v>
      </c>
    </row>
    <row r="787" spans="1:8" x14ac:dyDescent="0.3">
      <c r="A787" t="s">
        <v>351</v>
      </c>
      <c r="B787">
        <f>IFERROR(INDEX(MASTER_REGISTER!C:C,MATCH(C787,MASTER_REGISTER!E:E,0)),"")</f>
        <v>8</v>
      </c>
      <c r="C787" t="s">
        <v>82</v>
      </c>
      <c r="D787" t="str">
        <f>IFERROR(INDEX(MASTER_REGISTER!F:F,MATCH(C787,MASTER_REGISTER!E:E,0)),"")</f>
        <v>Karabo Ngobeni</v>
      </c>
      <c r="E787" t="s">
        <v>337</v>
      </c>
      <c r="F787" t="s">
        <v>338</v>
      </c>
      <c r="G787" t="s">
        <v>339</v>
      </c>
    </row>
    <row r="788" spans="1:8" x14ac:dyDescent="0.3">
      <c r="A788" t="s">
        <v>351</v>
      </c>
      <c r="B788">
        <f>IFERROR(INDEX(MASTER_REGISTER!C:C,MATCH(C788,MASTER_REGISTER!E:E,0)),"")</f>
        <v>8</v>
      </c>
      <c r="C788" t="s">
        <v>88</v>
      </c>
      <c r="D788" t="str">
        <f>IFERROR(INDEX(MASTER_REGISTER!F:F,MATCH(C788,MASTER_REGISTER!E:E,0)),"")</f>
        <v>Mpho Sithole</v>
      </c>
      <c r="E788" t="s">
        <v>337</v>
      </c>
      <c r="F788" t="s">
        <v>338</v>
      </c>
      <c r="G788" t="s">
        <v>339</v>
      </c>
    </row>
    <row r="789" spans="1:8" x14ac:dyDescent="0.3">
      <c r="A789" t="s">
        <v>351</v>
      </c>
      <c r="B789">
        <f>IFERROR(INDEX(MASTER_REGISTER!C:C,MATCH(C789,MASTER_REGISTER!E:E,0)),"")</f>
        <v>8</v>
      </c>
      <c r="C789" t="s">
        <v>94</v>
      </c>
      <c r="D789" t="str">
        <f>IFERROR(INDEX(MASTER_REGISTER!F:F,MATCH(C789,MASTER_REGISTER!E:E,0)),"")</f>
        <v>Tshepo Ramushu</v>
      </c>
      <c r="E789" t="s">
        <v>337</v>
      </c>
      <c r="F789" t="s">
        <v>338</v>
      </c>
      <c r="G789" t="s">
        <v>339</v>
      </c>
    </row>
    <row r="790" spans="1:8" x14ac:dyDescent="0.3">
      <c r="A790" t="s">
        <v>351</v>
      </c>
      <c r="B790">
        <f>IFERROR(INDEX(MASTER_REGISTER!C:C,MATCH(C790,MASTER_REGISTER!E:E,0)),"")</f>
        <v>8</v>
      </c>
      <c r="C790" t="s">
        <v>100</v>
      </c>
      <c r="D790" t="str">
        <f>IFERROR(INDEX(MASTER_REGISTER!F:F,MATCH(C790,MASTER_REGISTER!E:E,0)),"")</f>
        <v>Lerato Kekana</v>
      </c>
      <c r="E790" t="s">
        <v>337</v>
      </c>
      <c r="F790" t="s">
        <v>338</v>
      </c>
      <c r="G790" t="s">
        <v>339</v>
      </c>
    </row>
    <row r="791" spans="1:8" x14ac:dyDescent="0.3">
      <c r="A791" t="s">
        <v>351</v>
      </c>
      <c r="B791">
        <f>IFERROR(INDEX(MASTER_REGISTER!C:C,MATCH(C791,MASTER_REGISTER!E:E,0)),"")</f>
        <v>8</v>
      </c>
      <c r="C791" t="s">
        <v>106</v>
      </c>
      <c r="D791" t="str">
        <f>IFERROR(INDEX(MASTER_REGISTER!F:F,MATCH(C791,MASTER_REGISTER!E:E,0)),"")</f>
        <v>Neo Ngobeni</v>
      </c>
      <c r="E791" t="s">
        <v>337</v>
      </c>
      <c r="F791" t="s">
        <v>338</v>
      </c>
      <c r="G791" t="s">
        <v>339</v>
      </c>
    </row>
    <row r="792" spans="1:8" x14ac:dyDescent="0.3">
      <c r="A792" t="s">
        <v>351</v>
      </c>
      <c r="B792">
        <f>IFERROR(INDEX(MASTER_REGISTER!C:C,MATCH(C792,MASTER_REGISTER!E:E,0)),"")</f>
        <v>8</v>
      </c>
      <c r="C792" t="s">
        <v>112</v>
      </c>
      <c r="D792" t="str">
        <f>IFERROR(INDEX(MASTER_REGISTER!F:F,MATCH(C792,MASTER_REGISTER!E:E,0)),"")</f>
        <v>Thabo Mokgadi</v>
      </c>
      <c r="E792" t="s">
        <v>337</v>
      </c>
      <c r="F792" t="s">
        <v>338</v>
      </c>
      <c r="G792" t="s">
        <v>339</v>
      </c>
    </row>
    <row r="793" spans="1:8" x14ac:dyDescent="0.3">
      <c r="A793" t="s">
        <v>351</v>
      </c>
      <c r="B793">
        <f>IFERROR(INDEX(MASTER_REGISTER!C:C,MATCH(C793,MASTER_REGISTER!E:E,0)),"")</f>
        <v>8</v>
      </c>
      <c r="C793" t="s">
        <v>118</v>
      </c>
      <c r="D793" t="str">
        <f>IFERROR(INDEX(MASTER_REGISTER!F:F,MATCH(C793,MASTER_REGISTER!E:E,0)),"")</f>
        <v>Sifiso Mthembu</v>
      </c>
      <c r="E793" t="s">
        <v>335</v>
      </c>
      <c r="H793" t="s">
        <v>340</v>
      </c>
    </row>
    <row r="794" spans="1:8" x14ac:dyDescent="0.3">
      <c r="A794" t="s">
        <v>351</v>
      </c>
      <c r="B794">
        <f>IFERROR(INDEX(MASTER_REGISTER!C:C,MATCH(C794,MASTER_REGISTER!E:E,0)),"")</f>
        <v>9</v>
      </c>
      <c r="C794" t="s">
        <v>123</v>
      </c>
      <c r="D794" t="str">
        <f>IFERROR(INDEX(MASTER_REGISTER!F:F,MATCH(C794,MASTER_REGISTER!E:E,0)),"")</f>
        <v>Karabo Phiri</v>
      </c>
      <c r="E794" t="s">
        <v>337</v>
      </c>
      <c r="F794" t="s">
        <v>338</v>
      </c>
      <c r="G794" t="s">
        <v>339</v>
      </c>
    </row>
    <row r="795" spans="1:8" x14ac:dyDescent="0.3">
      <c r="A795" t="s">
        <v>351</v>
      </c>
      <c r="B795">
        <f>IFERROR(INDEX(MASTER_REGISTER!C:C,MATCH(C795,MASTER_REGISTER!E:E,0)),"")</f>
        <v>9</v>
      </c>
      <c r="C795" t="s">
        <v>128</v>
      </c>
      <c r="D795" t="str">
        <f>IFERROR(INDEX(MASTER_REGISTER!F:F,MATCH(C795,MASTER_REGISTER!E:E,0)),"")</f>
        <v>Lerato Mahlangu</v>
      </c>
      <c r="E795" t="s">
        <v>337</v>
      </c>
      <c r="F795" t="s">
        <v>338</v>
      </c>
      <c r="G795" t="s">
        <v>339</v>
      </c>
    </row>
    <row r="796" spans="1:8" x14ac:dyDescent="0.3">
      <c r="A796" t="s">
        <v>351</v>
      </c>
      <c r="B796">
        <f>IFERROR(INDEX(MASTER_REGISTER!C:C,MATCH(C796,MASTER_REGISTER!E:E,0)),"")</f>
        <v>9</v>
      </c>
      <c r="C796" t="s">
        <v>133</v>
      </c>
      <c r="D796" t="str">
        <f>IFERROR(INDEX(MASTER_REGISTER!F:F,MATCH(C796,MASTER_REGISTER!E:E,0)),"")</f>
        <v>Mpho Kekana</v>
      </c>
      <c r="E796" t="s">
        <v>335</v>
      </c>
      <c r="H796" t="s">
        <v>336</v>
      </c>
    </row>
    <row r="797" spans="1:8" x14ac:dyDescent="0.3">
      <c r="A797" t="s">
        <v>351</v>
      </c>
      <c r="B797">
        <f>IFERROR(INDEX(MASTER_REGISTER!C:C,MATCH(C797,MASTER_REGISTER!E:E,0)),"")</f>
        <v>9</v>
      </c>
      <c r="C797" t="s">
        <v>138</v>
      </c>
      <c r="D797" t="str">
        <f>IFERROR(INDEX(MASTER_REGISTER!F:F,MATCH(C797,MASTER_REGISTER!E:E,0)),"")</f>
        <v>Thabo Molefe</v>
      </c>
      <c r="E797" t="s">
        <v>337</v>
      </c>
      <c r="F797" t="s">
        <v>338</v>
      </c>
      <c r="G797" t="s">
        <v>339</v>
      </c>
    </row>
    <row r="798" spans="1:8" x14ac:dyDescent="0.3">
      <c r="A798" t="s">
        <v>351</v>
      </c>
      <c r="B798">
        <f>IFERROR(INDEX(MASTER_REGISTER!C:C,MATCH(C798,MASTER_REGISTER!E:E,0)),"")</f>
        <v>9</v>
      </c>
      <c r="C798" t="s">
        <v>143</v>
      </c>
      <c r="D798" t="str">
        <f>IFERROR(INDEX(MASTER_REGISTER!F:F,MATCH(C798,MASTER_REGISTER!E:E,0)),"")</f>
        <v>Mpho Ngobeni</v>
      </c>
      <c r="E798" t="s">
        <v>337</v>
      </c>
      <c r="F798" t="s">
        <v>338</v>
      </c>
      <c r="G798" t="s">
        <v>339</v>
      </c>
    </row>
    <row r="799" spans="1:8" x14ac:dyDescent="0.3">
      <c r="A799" t="s">
        <v>351</v>
      </c>
      <c r="B799">
        <f>IFERROR(INDEX(MASTER_REGISTER!C:C,MATCH(C799,MASTER_REGISTER!E:E,0)),"")</f>
        <v>9</v>
      </c>
      <c r="C799" t="s">
        <v>148</v>
      </c>
      <c r="D799" t="str">
        <f>IFERROR(INDEX(MASTER_REGISTER!F:F,MATCH(C799,MASTER_REGISTER!E:E,0)),"")</f>
        <v>Siyanda Mhlongo</v>
      </c>
      <c r="E799" t="s">
        <v>337</v>
      </c>
      <c r="F799" t="s">
        <v>338</v>
      </c>
      <c r="G799" t="s">
        <v>339</v>
      </c>
    </row>
    <row r="800" spans="1:8" x14ac:dyDescent="0.3">
      <c r="A800" t="s">
        <v>351</v>
      </c>
      <c r="B800">
        <f>IFERROR(INDEX(MASTER_REGISTER!C:C,MATCH(C800,MASTER_REGISTER!E:E,0)),"")</f>
        <v>9</v>
      </c>
      <c r="C800" t="s">
        <v>153</v>
      </c>
      <c r="D800" t="str">
        <f>IFERROR(INDEX(MASTER_REGISTER!F:F,MATCH(C800,MASTER_REGISTER!E:E,0)),"")</f>
        <v>Siyanda Mahlangu</v>
      </c>
      <c r="E800" t="s">
        <v>335</v>
      </c>
      <c r="H800" t="s">
        <v>342</v>
      </c>
    </row>
    <row r="801" spans="1:8" x14ac:dyDescent="0.3">
      <c r="A801" t="s">
        <v>351</v>
      </c>
      <c r="B801">
        <f>IFERROR(INDEX(MASTER_REGISTER!C:C,MATCH(C801,MASTER_REGISTER!E:E,0)),"")</f>
        <v>9</v>
      </c>
      <c r="C801" t="s">
        <v>158</v>
      </c>
      <c r="D801" t="str">
        <f>IFERROR(INDEX(MASTER_REGISTER!F:F,MATCH(C801,MASTER_REGISTER!E:E,0)),"")</f>
        <v>Sifiso Ramushu</v>
      </c>
      <c r="E801" t="s">
        <v>337</v>
      </c>
      <c r="F801" t="s">
        <v>338</v>
      </c>
      <c r="G801" t="s">
        <v>339</v>
      </c>
    </row>
    <row r="802" spans="1:8" x14ac:dyDescent="0.3">
      <c r="A802" t="s">
        <v>351</v>
      </c>
      <c r="B802">
        <f>IFERROR(INDEX(MASTER_REGISTER!C:C,MATCH(C802,MASTER_REGISTER!E:E,0)),"")</f>
        <v>9</v>
      </c>
      <c r="C802" t="s">
        <v>163</v>
      </c>
      <c r="D802" t="str">
        <f>IFERROR(INDEX(MASTER_REGISTER!F:F,MATCH(C802,MASTER_REGISTER!E:E,0)),"")</f>
        <v>Nandi Ngobeni</v>
      </c>
      <c r="E802" t="s">
        <v>337</v>
      </c>
      <c r="F802" t="s">
        <v>338</v>
      </c>
      <c r="G802" t="s">
        <v>339</v>
      </c>
    </row>
    <row r="803" spans="1:8" x14ac:dyDescent="0.3">
      <c r="A803" t="s">
        <v>351</v>
      </c>
      <c r="B803">
        <f>IFERROR(INDEX(MASTER_REGISTER!C:C,MATCH(C803,MASTER_REGISTER!E:E,0)),"")</f>
        <v>9</v>
      </c>
      <c r="C803" t="s">
        <v>168</v>
      </c>
      <c r="D803" t="str">
        <f>IFERROR(INDEX(MASTER_REGISTER!F:F,MATCH(C803,MASTER_REGISTER!E:E,0)),"")</f>
        <v>Karabo Mokgadi</v>
      </c>
      <c r="E803" t="s">
        <v>337</v>
      </c>
      <c r="F803" t="s">
        <v>338</v>
      </c>
      <c r="G803" t="s">
        <v>339</v>
      </c>
    </row>
    <row r="804" spans="1:8" x14ac:dyDescent="0.3">
      <c r="A804" t="s">
        <v>351</v>
      </c>
      <c r="B804">
        <f>IFERROR(INDEX(MASTER_REGISTER!C:C,MATCH(C804,MASTER_REGISTER!E:E,0)),"")</f>
        <v>9</v>
      </c>
      <c r="C804" t="s">
        <v>173</v>
      </c>
      <c r="D804" t="str">
        <f>IFERROR(INDEX(MASTER_REGISTER!F:F,MATCH(C804,MASTER_REGISTER!E:E,0)),"")</f>
        <v>Sifiso Mahlangu</v>
      </c>
      <c r="E804" t="s">
        <v>337</v>
      </c>
      <c r="F804" t="s">
        <v>338</v>
      </c>
      <c r="G804" t="s">
        <v>339</v>
      </c>
    </row>
    <row r="805" spans="1:8" x14ac:dyDescent="0.3">
      <c r="A805" t="s">
        <v>351</v>
      </c>
      <c r="B805">
        <f>IFERROR(INDEX(MASTER_REGISTER!C:C,MATCH(C805,MASTER_REGISTER!E:E,0)),"")</f>
        <v>9</v>
      </c>
      <c r="C805" t="s">
        <v>178</v>
      </c>
      <c r="D805" t="str">
        <f>IFERROR(INDEX(MASTER_REGISTER!F:F,MATCH(C805,MASTER_REGISTER!E:E,0)),"")</f>
        <v>Kgothatso Radebe</v>
      </c>
      <c r="E805" t="s">
        <v>337</v>
      </c>
      <c r="F805" t="s">
        <v>338</v>
      </c>
      <c r="G805" t="s">
        <v>339</v>
      </c>
    </row>
    <row r="806" spans="1:8" x14ac:dyDescent="0.3">
      <c r="A806" t="s">
        <v>351</v>
      </c>
      <c r="B806">
        <f>IFERROR(INDEX(MASTER_REGISTER!C:C,MATCH(C806,MASTER_REGISTER!E:E,0)),"")</f>
        <v>10</v>
      </c>
      <c r="C806" t="s">
        <v>183</v>
      </c>
      <c r="D806" t="str">
        <f>IFERROR(INDEX(MASTER_REGISTER!F:F,MATCH(C806,MASTER_REGISTER!E:E,0)),"")</f>
        <v>Lerato Maseko</v>
      </c>
      <c r="E806" t="s">
        <v>337</v>
      </c>
      <c r="F806" t="s">
        <v>338</v>
      </c>
      <c r="G806" t="s">
        <v>339</v>
      </c>
    </row>
    <row r="807" spans="1:8" x14ac:dyDescent="0.3">
      <c r="A807" t="s">
        <v>351</v>
      </c>
      <c r="B807">
        <f>IFERROR(INDEX(MASTER_REGISTER!C:C,MATCH(C807,MASTER_REGISTER!E:E,0)),"")</f>
        <v>10</v>
      </c>
      <c r="C807" t="s">
        <v>188</v>
      </c>
      <c r="D807" t="str">
        <f>IFERROR(INDEX(MASTER_REGISTER!F:F,MATCH(C807,MASTER_REGISTER!E:E,0)),"")</f>
        <v>Sibusiso Molefe</v>
      </c>
      <c r="E807" t="s">
        <v>337</v>
      </c>
      <c r="F807" t="s">
        <v>338</v>
      </c>
      <c r="G807" t="s">
        <v>339</v>
      </c>
    </row>
    <row r="808" spans="1:8" x14ac:dyDescent="0.3">
      <c r="A808" t="s">
        <v>351</v>
      </c>
      <c r="B808">
        <f>IFERROR(INDEX(MASTER_REGISTER!C:C,MATCH(C808,MASTER_REGISTER!E:E,0)),"")</f>
        <v>10</v>
      </c>
      <c r="C808" t="s">
        <v>193</v>
      </c>
      <c r="D808" t="str">
        <f>IFERROR(INDEX(MASTER_REGISTER!F:F,MATCH(C808,MASTER_REGISTER!E:E,0)),"")</f>
        <v>Nandi Molefe</v>
      </c>
      <c r="E808" t="s">
        <v>337</v>
      </c>
      <c r="F808" t="s">
        <v>338</v>
      </c>
      <c r="G808" t="s">
        <v>339</v>
      </c>
    </row>
    <row r="809" spans="1:8" x14ac:dyDescent="0.3">
      <c r="A809" t="s">
        <v>351</v>
      </c>
      <c r="B809">
        <f>IFERROR(INDEX(MASTER_REGISTER!C:C,MATCH(C809,MASTER_REGISTER!E:E,0)),"")</f>
        <v>10</v>
      </c>
      <c r="C809" t="s">
        <v>198</v>
      </c>
      <c r="D809" t="str">
        <f>IFERROR(INDEX(MASTER_REGISTER!F:F,MATCH(C809,MASTER_REGISTER!E:E,0)),"")</f>
        <v>Kgothatso Baloyi</v>
      </c>
      <c r="E809" t="s">
        <v>337</v>
      </c>
      <c r="F809" t="s">
        <v>338</v>
      </c>
      <c r="G809" t="s">
        <v>339</v>
      </c>
    </row>
    <row r="810" spans="1:8" x14ac:dyDescent="0.3">
      <c r="A810" t="s">
        <v>351</v>
      </c>
      <c r="B810">
        <f>IFERROR(INDEX(MASTER_REGISTER!C:C,MATCH(C810,MASTER_REGISTER!E:E,0)),"")</f>
        <v>10</v>
      </c>
      <c r="C810" t="s">
        <v>202</v>
      </c>
      <c r="D810" t="str">
        <f>IFERROR(INDEX(MASTER_REGISTER!F:F,MATCH(C810,MASTER_REGISTER!E:E,0)),"")</f>
        <v>Ayanda Mokoena</v>
      </c>
      <c r="E810" t="s">
        <v>335</v>
      </c>
      <c r="H810" t="s">
        <v>342</v>
      </c>
    </row>
    <row r="811" spans="1:8" x14ac:dyDescent="0.3">
      <c r="A811" t="s">
        <v>351</v>
      </c>
      <c r="B811">
        <f>IFERROR(INDEX(MASTER_REGISTER!C:C,MATCH(C811,MASTER_REGISTER!E:E,0)),"")</f>
        <v>10</v>
      </c>
      <c r="C811" t="s">
        <v>206</v>
      </c>
      <c r="D811" t="str">
        <f>IFERROR(INDEX(MASTER_REGISTER!F:F,MATCH(C811,MASTER_REGISTER!E:E,0)),"")</f>
        <v>Lwazi Baloyi</v>
      </c>
      <c r="E811" t="s">
        <v>337</v>
      </c>
      <c r="F811" t="s">
        <v>338</v>
      </c>
      <c r="G811" t="s">
        <v>339</v>
      </c>
    </row>
    <row r="812" spans="1:8" x14ac:dyDescent="0.3">
      <c r="A812" t="s">
        <v>351</v>
      </c>
      <c r="B812">
        <f>IFERROR(INDEX(MASTER_REGISTER!C:C,MATCH(C812,MASTER_REGISTER!E:E,0)),"")</f>
        <v>10</v>
      </c>
      <c r="C812" t="s">
        <v>210</v>
      </c>
      <c r="D812" t="str">
        <f>IFERROR(INDEX(MASTER_REGISTER!F:F,MATCH(C812,MASTER_REGISTER!E:E,0)),"")</f>
        <v>Siyanda Mokoena</v>
      </c>
      <c r="E812" t="s">
        <v>337</v>
      </c>
      <c r="F812" t="s">
        <v>338</v>
      </c>
      <c r="G812" t="s">
        <v>339</v>
      </c>
    </row>
    <row r="813" spans="1:8" x14ac:dyDescent="0.3">
      <c r="A813" t="s">
        <v>351</v>
      </c>
      <c r="B813">
        <f>IFERROR(INDEX(MASTER_REGISTER!C:C,MATCH(C813,MASTER_REGISTER!E:E,0)),"")</f>
        <v>10</v>
      </c>
      <c r="C813" t="s">
        <v>214</v>
      </c>
      <c r="D813" t="str">
        <f>IFERROR(INDEX(MASTER_REGISTER!F:F,MATCH(C813,MASTER_REGISTER!E:E,0)),"")</f>
        <v>Mpho Ngobeni</v>
      </c>
      <c r="E813" t="s">
        <v>337</v>
      </c>
      <c r="F813" t="s">
        <v>338</v>
      </c>
      <c r="G813" t="s">
        <v>339</v>
      </c>
    </row>
    <row r="814" spans="1:8" x14ac:dyDescent="0.3">
      <c r="A814" t="s">
        <v>351</v>
      </c>
      <c r="B814">
        <f>IFERROR(INDEX(MASTER_REGISTER!C:C,MATCH(C814,MASTER_REGISTER!E:E,0)),"")</f>
        <v>10</v>
      </c>
      <c r="C814" t="s">
        <v>217</v>
      </c>
      <c r="D814" t="str">
        <f>IFERROR(INDEX(MASTER_REGISTER!F:F,MATCH(C814,MASTER_REGISTER!E:E,0)),"")</f>
        <v>Naledi Makhubela</v>
      </c>
      <c r="E814" t="s">
        <v>337</v>
      </c>
      <c r="F814" t="s">
        <v>338</v>
      </c>
      <c r="G814" t="s">
        <v>339</v>
      </c>
    </row>
    <row r="815" spans="1:8" x14ac:dyDescent="0.3">
      <c r="A815" t="s">
        <v>351</v>
      </c>
      <c r="B815">
        <f>IFERROR(INDEX(MASTER_REGISTER!C:C,MATCH(C815,MASTER_REGISTER!E:E,0)),"")</f>
        <v>10</v>
      </c>
      <c r="C815" t="s">
        <v>221</v>
      </c>
      <c r="D815" t="str">
        <f>IFERROR(INDEX(MASTER_REGISTER!F:F,MATCH(C815,MASTER_REGISTER!E:E,0)),"")</f>
        <v>Kgothatso Mokoena</v>
      </c>
      <c r="E815" t="s">
        <v>335</v>
      </c>
      <c r="H815" t="s">
        <v>342</v>
      </c>
    </row>
    <row r="816" spans="1:8" x14ac:dyDescent="0.3">
      <c r="A816" t="s">
        <v>351</v>
      </c>
      <c r="B816">
        <f>IFERROR(INDEX(MASTER_REGISTER!C:C,MATCH(C816,MASTER_REGISTER!E:E,0)),"")</f>
        <v>10</v>
      </c>
      <c r="C816" t="s">
        <v>225</v>
      </c>
      <c r="D816" t="str">
        <f>IFERROR(INDEX(MASTER_REGISTER!F:F,MATCH(C816,MASTER_REGISTER!E:E,0)),"")</f>
        <v>Bongani Makhubela</v>
      </c>
      <c r="E816" t="s">
        <v>337</v>
      </c>
      <c r="F816" t="s">
        <v>338</v>
      </c>
      <c r="G816" t="s">
        <v>339</v>
      </c>
    </row>
    <row r="817" spans="1:8" x14ac:dyDescent="0.3">
      <c r="A817" t="s">
        <v>351</v>
      </c>
      <c r="B817">
        <f>IFERROR(INDEX(MASTER_REGISTER!C:C,MATCH(C817,MASTER_REGISTER!E:E,0)),"")</f>
        <v>10</v>
      </c>
      <c r="C817" t="s">
        <v>229</v>
      </c>
      <c r="D817" t="str">
        <f>IFERROR(INDEX(MASTER_REGISTER!F:F,MATCH(C817,MASTER_REGISTER!E:E,0)),"")</f>
        <v>Kagiso Kekana</v>
      </c>
      <c r="E817" t="s">
        <v>337</v>
      </c>
      <c r="F817" t="s">
        <v>338</v>
      </c>
      <c r="G817" t="s">
        <v>339</v>
      </c>
    </row>
    <row r="818" spans="1:8" x14ac:dyDescent="0.3">
      <c r="A818" t="s">
        <v>351</v>
      </c>
      <c r="B818">
        <f>IFERROR(INDEX(MASTER_REGISTER!C:C,MATCH(C818,MASTER_REGISTER!E:E,0)),"")</f>
        <v>11</v>
      </c>
      <c r="C818" t="s">
        <v>233</v>
      </c>
      <c r="D818" t="str">
        <f>IFERROR(INDEX(MASTER_REGISTER!F:F,MATCH(C818,MASTER_REGISTER!E:E,0)),"")</f>
        <v>Lwazi Makhubela</v>
      </c>
      <c r="E818" t="s">
        <v>337</v>
      </c>
      <c r="F818" t="s">
        <v>338</v>
      </c>
      <c r="G818" t="s">
        <v>339</v>
      </c>
    </row>
    <row r="819" spans="1:8" x14ac:dyDescent="0.3">
      <c r="A819" t="s">
        <v>351</v>
      </c>
      <c r="B819">
        <f>IFERROR(INDEX(MASTER_REGISTER!C:C,MATCH(C819,MASTER_REGISTER!E:E,0)),"")</f>
        <v>11</v>
      </c>
      <c r="C819" t="s">
        <v>237</v>
      </c>
      <c r="D819" t="str">
        <f>IFERROR(INDEX(MASTER_REGISTER!F:F,MATCH(C819,MASTER_REGISTER!E:E,0)),"")</f>
        <v>Lebogang Ramushu</v>
      </c>
      <c r="E819" t="s">
        <v>337</v>
      </c>
      <c r="F819" t="s">
        <v>338</v>
      </c>
      <c r="G819" t="s">
        <v>339</v>
      </c>
    </row>
    <row r="820" spans="1:8" x14ac:dyDescent="0.3">
      <c r="A820" t="s">
        <v>351</v>
      </c>
      <c r="B820">
        <f>IFERROR(INDEX(MASTER_REGISTER!C:C,MATCH(C820,MASTER_REGISTER!E:E,0)),"")</f>
        <v>11</v>
      </c>
      <c r="C820" t="s">
        <v>241</v>
      </c>
      <c r="D820" t="str">
        <f>IFERROR(INDEX(MASTER_REGISTER!F:F,MATCH(C820,MASTER_REGISTER!E:E,0)),"")</f>
        <v>Lerato Kekana</v>
      </c>
      <c r="E820" t="s">
        <v>335</v>
      </c>
      <c r="H820" t="s">
        <v>336</v>
      </c>
    </row>
    <row r="821" spans="1:8" x14ac:dyDescent="0.3">
      <c r="A821" t="s">
        <v>351</v>
      </c>
      <c r="B821">
        <f>IFERROR(INDEX(MASTER_REGISTER!C:C,MATCH(C821,MASTER_REGISTER!E:E,0)),"")</f>
        <v>11</v>
      </c>
      <c r="C821" t="s">
        <v>244</v>
      </c>
      <c r="D821" t="str">
        <f>IFERROR(INDEX(MASTER_REGISTER!F:F,MATCH(C821,MASTER_REGISTER!E:E,0)),"")</f>
        <v>Bongani Ndlovu</v>
      </c>
      <c r="E821" t="s">
        <v>335</v>
      </c>
      <c r="H821" t="s">
        <v>342</v>
      </c>
    </row>
    <row r="822" spans="1:8" x14ac:dyDescent="0.3">
      <c r="A822" t="s">
        <v>351</v>
      </c>
      <c r="B822">
        <f>IFERROR(INDEX(MASTER_REGISTER!C:C,MATCH(C822,MASTER_REGISTER!E:E,0)),"")</f>
        <v>11</v>
      </c>
      <c r="C822" t="s">
        <v>248</v>
      </c>
      <c r="D822" t="str">
        <f>IFERROR(INDEX(MASTER_REGISTER!F:F,MATCH(C822,MASTER_REGISTER!E:E,0)),"")</f>
        <v>Sifiso Dlamini</v>
      </c>
      <c r="E822" t="s">
        <v>337</v>
      </c>
      <c r="F822" t="s">
        <v>338</v>
      </c>
      <c r="G822" t="s">
        <v>339</v>
      </c>
    </row>
    <row r="823" spans="1:8" x14ac:dyDescent="0.3">
      <c r="A823" t="s">
        <v>351</v>
      </c>
      <c r="B823">
        <f>IFERROR(INDEX(MASTER_REGISTER!C:C,MATCH(C823,MASTER_REGISTER!E:E,0)),"")</f>
        <v>11</v>
      </c>
      <c r="C823" t="s">
        <v>252</v>
      </c>
      <c r="D823" t="str">
        <f>IFERROR(INDEX(MASTER_REGISTER!F:F,MATCH(C823,MASTER_REGISTER!E:E,0)),"")</f>
        <v>Refilwe Dlamini</v>
      </c>
      <c r="E823" t="s">
        <v>337</v>
      </c>
      <c r="F823" t="s">
        <v>338</v>
      </c>
      <c r="G823" t="s">
        <v>339</v>
      </c>
    </row>
    <row r="824" spans="1:8" x14ac:dyDescent="0.3">
      <c r="A824" t="s">
        <v>351</v>
      </c>
      <c r="B824">
        <f>IFERROR(INDEX(MASTER_REGISTER!C:C,MATCH(C824,MASTER_REGISTER!E:E,0)),"")</f>
        <v>11</v>
      </c>
      <c r="C824" t="s">
        <v>256</v>
      </c>
      <c r="D824" t="str">
        <f>IFERROR(INDEX(MASTER_REGISTER!F:F,MATCH(C824,MASTER_REGISTER!E:E,0)),"")</f>
        <v>Lwazi Maseko</v>
      </c>
      <c r="E824" t="s">
        <v>337</v>
      </c>
      <c r="F824" t="s">
        <v>338</v>
      </c>
      <c r="G824" t="s">
        <v>339</v>
      </c>
    </row>
    <row r="825" spans="1:8" x14ac:dyDescent="0.3">
      <c r="A825" t="s">
        <v>351</v>
      </c>
      <c r="B825">
        <f>IFERROR(INDEX(MASTER_REGISTER!C:C,MATCH(C825,MASTER_REGISTER!E:E,0)),"")</f>
        <v>11</v>
      </c>
      <c r="C825" t="s">
        <v>260</v>
      </c>
      <c r="D825" t="str">
        <f>IFERROR(INDEX(MASTER_REGISTER!F:F,MATCH(C825,MASTER_REGISTER!E:E,0)),"")</f>
        <v>Refilwe Mokgadi</v>
      </c>
      <c r="E825" t="s">
        <v>337</v>
      </c>
      <c r="F825" t="s">
        <v>338</v>
      </c>
      <c r="G825" t="s">
        <v>339</v>
      </c>
    </row>
    <row r="826" spans="1:8" x14ac:dyDescent="0.3">
      <c r="A826" t="s">
        <v>351</v>
      </c>
      <c r="B826">
        <f>IFERROR(INDEX(MASTER_REGISTER!C:C,MATCH(C826,MASTER_REGISTER!E:E,0)),"")</f>
        <v>11</v>
      </c>
      <c r="C826" t="s">
        <v>264</v>
      </c>
      <c r="D826" t="str">
        <f>IFERROR(INDEX(MASTER_REGISTER!F:F,MATCH(C826,MASTER_REGISTER!E:E,0)),"")</f>
        <v>Kgothatso Molefe</v>
      </c>
      <c r="E826" t="s">
        <v>337</v>
      </c>
      <c r="F826" t="s">
        <v>338</v>
      </c>
      <c r="G826" t="s">
        <v>339</v>
      </c>
    </row>
    <row r="827" spans="1:8" x14ac:dyDescent="0.3">
      <c r="A827" t="s">
        <v>351</v>
      </c>
      <c r="B827">
        <f>IFERROR(INDEX(MASTER_REGISTER!C:C,MATCH(C827,MASTER_REGISTER!E:E,0)),"")</f>
        <v>11</v>
      </c>
      <c r="C827" t="s">
        <v>268</v>
      </c>
      <c r="D827" t="str">
        <f>IFERROR(INDEX(MASTER_REGISTER!F:F,MATCH(C827,MASTER_REGISTER!E:E,0)),"")</f>
        <v>Tshepo Mokgadi</v>
      </c>
      <c r="E827" t="s">
        <v>337</v>
      </c>
      <c r="F827" t="s">
        <v>338</v>
      </c>
      <c r="G827" t="s">
        <v>339</v>
      </c>
    </row>
    <row r="828" spans="1:8" x14ac:dyDescent="0.3">
      <c r="A828" t="s">
        <v>351</v>
      </c>
      <c r="B828">
        <f>IFERROR(INDEX(MASTER_REGISTER!C:C,MATCH(C828,MASTER_REGISTER!E:E,0)),"")</f>
        <v>11</v>
      </c>
      <c r="C828" t="s">
        <v>272</v>
      </c>
      <c r="D828" t="str">
        <f>IFERROR(INDEX(MASTER_REGISTER!F:F,MATCH(C828,MASTER_REGISTER!E:E,0)),"")</f>
        <v>Tshepo Phiri</v>
      </c>
      <c r="E828" t="s">
        <v>337</v>
      </c>
      <c r="F828" t="s">
        <v>338</v>
      </c>
      <c r="G828" t="s">
        <v>339</v>
      </c>
    </row>
    <row r="829" spans="1:8" x14ac:dyDescent="0.3">
      <c r="A829" t="s">
        <v>351</v>
      </c>
      <c r="B829">
        <f>IFERROR(INDEX(MASTER_REGISTER!C:C,MATCH(C829,MASTER_REGISTER!E:E,0)),"")</f>
        <v>11</v>
      </c>
      <c r="C829" t="s">
        <v>276</v>
      </c>
      <c r="D829" t="str">
        <f>IFERROR(INDEX(MASTER_REGISTER!F:F,MATCH(C829,MASTER_REGISTER!E:E,0)),"")</f>
        <v>Zanele Ngobeni</v>
      </c>
      <c r="E829" t="s">
        <v>337</v>
      </c>
      <c r="F829" t="s">
        <v>338</v>
      </c>
      <c r="G829" t="s">
        <v>339</v>
      </c>
    </row>
    <row r="830" spans="1:8" x14ac:dyDescent="0.3">
      <c r="A830" t="s">
        <v>351</v>
      </c>
      <c r="B830">
        <f>IFERROR(INDEX(MASTER_REGISTER!C:C,MATCH(C830,MASTER_REGISTER!E:E,0)),"")</f>
        <v>12</v>
      </c>
      <c r="C830" t="s">
        <v>280</v>
      </c>
      <c r="D830" t="str">
        <f>IFERROR(INDEX(MASTER_REGISTER!F:F,MATCH(C830,MASTER_REGISTER!E:E,0)),"")</f>
        <v>Palesa Mokoena</v>
      </c>
      <c r="E830" t="s">
        <v>337</v>
      </c>
      <c r="F830" t="s">
        <v>338</v>
      </c>
      <c r="G830" t="s">
        <v>339</v>
      </c>
    </row>
    <row r="831" spans="1:8" x14ac:dyDescent="0.3">
      <c r="A831" t="s">
        <v>351</v>
      </c>
      <c r="B831">
        <f>IFERROR(INDEX(MASTER_REGISTER!C:C,MATCH(C831,MASTER_REGISTER!E:E,0)),"")</f>
        <v>12</v>
      </c>
      <c r="C831" t="s">
        <v>284</v>
      </c>
      <c r="D831" t="str">
        <f>IFERROR(INDEX(MASTER_REGISTER!F:F,MATCH(C831,MASTER_REGISTER!E:E,0)),"")</f>
        <v>Thabo Ramushu</v>
      </c>
      <c r="E831" t="s">
        <v>337</v>
      </c>
      <c r="F831" t="s">
        <v>338</v>
      </c>
      <c r="G831" t="s">
        <v>339</v>
      </c>
    </row>
    <row r="832" spans="1:8" x14ac:dyDescent="0.3">
      <c r="A832" t="s">
        <v>351</v>
      </c>
      <c r="B832">
        <f>IFERROR(INDEX(MASTER_REGISTER!C:C,MATCH(C832,MASTER_REGISTER!E:E,0)),"")</f>
        <v>12</v>
      </c>
      <c r="C832" t="s">
        <v>288</v>
      </c>
      <c r="D832" t="str">
        <f>IFERROR(INDEX(MASTER_REGISTER!F:F,MATCH(C832,MASTER_REGISTER!E:E,0)),"")</f>
        <v>Lwazi Ndlovu</v>
      </c>
      <c r="E832" t="s">
        <v>337</v>
      </c>
      <c r="F832" t="s">
        <v>338</v>
      </c>
      <c r="G832" t="s">
        <v>339</v>
      </c>
    </row>
    <row r="833" spans="1:8" x14ac:dyDescent="0.3">
      <c r="A833" t="s">
        <v>351</v>
      </c>
      <c r="B833">
        <f>IFERROR(INDEX(MASTER_REGISTER!C:C,MATCH(C833,MASTER_REGISTER!E:E,0)),"")</f>
        <v>12</v>
      </c>
      <c r="C833" t="s">
        <v>292</v>
      </c>
      <c r="D833" t="str">
        <f>IFERROR(INDEX(MASTER_REGISTER!F:F,MATCH(C833,MASTER_REGISTER!E:E,0)),"")</f>
        <v>Ayanda Dlamini</v>
      </c>
      <c r="E833" t="s">
        <v>337</v>
      </c>
      <c r="F833" t="s">
        <v>338</v>
      </c>
      <c r="G833" t="s">
        <v>339</v>
      </c>
    </row>
    <row r="834" spans="1:8" x14ac:dyDescent="0.3">
      <c r="A834" t="s">
        <v>351</v>
      </c>
      <c r="B834">
        <f>IFERROR(INDEX(MASTER_REGISTER!C:C,MATCH(C834,MASTER_REGISTER!E:E,0)),"")</f>
        <v>12</v>
      </c>
      <c r="C834" t="s">
        <v>296</v>
      </c>
      <c r="D834" t="str">
        <f>IFERROR(INDEX(MASTER_REGISTER!F:F,MATCH(C834,MASTER_REGISTER!E:E,0)),"")</f>
        <v>Neo Ndlovu</v>
      </c>
      <c r="E834" t="s">
        <v>337</v>
      </c>
      <c r="F834" t="s">
        <v>338</v>
      </c>
      <c r="G834" t="s">
        <v>339</v>
      </c>
    </row>
    <row r="835" spans="1:8" x14ac:dyDescent="0.3">
      <c r="A835" t="s">
        <v>351</v>
      </c>
      <c r="B835">
        <f>IFERROR(INDEX(MASTER_REGISTER!C:C,MATCH(C835,MASTER_REGISTER!E:E,0)),"")</f>
        <v>12</v>
      </c>
      <c r="C835" t="s">
        <v>300</v>
      </c>
      <c r="D835" t="str">
        <f>IFERROR(INDEX(MASTER_REGISTER!F:F,MATCH(C835,MASTER_REGISTER!E:E,0)),"")</f>
        <v>Neo Ramushu</v>
      </c>
      <c r="E835" t="s">
        <v>335</v>
      </c>
      <c r="H835" t="s">
        <v>336</v>
      </c>
    </row>
    <row r="836" spans="1:8" x14ac:dyDescent="0.3">
      <c r="A836" t="s">
        <v>351</v>
      </c>
      <c r="B836">
        <f>IFERROR(INDEX(MASTER_REGISTER!C:C,MATCH(C836,MASTER_REGISTER!E:E,0)),"")</f>
        <v>12</v>
      </c>
      <c r="C836" t="s">
        <v>304</v>
      </c>
      <c r="D836" t="str">
        <f>IFERROR(INDEX(MASTER_REGISTER!F:F,MATCH(C836,MASTER_REGISTER!E:E,0)),"")</f>
        <v>Karabo Baloyi</v>
      </c>
      <c r="E836" t="s">
        <v>337</v>
      </c>
      <c r="F836" t="s">
        <v>338</v>
      </c>
      <c r="G836" t="s">
        <v>339</v>
      </c>
    </row>
    <row r="837" spans="1:8" x14ac:dyDescent="0.3">
      <c r="A837" t="s">
        <v>351</v>
      </c>
      <c r="B837">
        <f>IFERROR(INDEX(MASTER_REGISTER!C:C,MATCH(C837,MASTER_REGISTER!E:E,0)),"")</f>
        <v>12</v>
      </c>
      <c r="C837" t="s">
        <v>308</v>
      </c>
      <c r="D837" t="str">
        <f>IFERROR(INDEX(MASTER_REGISTER!F:F,MATCH(C837,MASTER_REGISTER!E:E,0)),"")</f>
        <v>Tshepo Mokgadi</v>
      </c>
      <c r="E837" t="s">
        <v>337</v>
      </c>
      <c r="F837" t="s">
        <v>338</v>
      </c>
      <c r="G837" t="s">
        <v>339</v>
      </c>
    </row>
    <row r="838" spans="1:8" x14ac:dyDescent="0.3">
      <c r="A838" t="s">
        <v>351</v>
      </c>
      <c r="B838">
        <f>IFERROR(INDEX(MASTER_REGISTER!C:C,MATCH(C838,MASTER_REGISTER!E:E,0)),"")</f>
        <v>12</v>
      </c>
      <c r="C838" t="s">
        <v>311</v>
      </c>
      <c r="D838" t="str">
        <f>IFERROR(INDEX(MASTER_REGISTER!F:F,MATCH(C838,MASTER_REGISTER!E:E,0)),"")</f>
        <v>Sifiso Mavuso</v>
      </c>
      <c r="E838" t="s">
        <v>335</v>
      </c>
      <c r="H838" t="s">
        <v>336</v>
      </c>
    </row>
    <row r="839" spans="1:8" x14ac:dyDescent="0.3">
      <c r="A839" t="s">
        <v>351</v>
      </c>
      <c r="B839">
        <f>IFERROR(INDEX(MASTER_REGISTER!C:C,MATCH(C839,MASTER_REGISTER!E:E,0)),"")</f>
        <v>12</v>
      </c>
      <c r="C839" t="s">
        <v>315</v>
      </c>
      <c r="D839" t="str">
        <f>IFERROR(INDEX(MASTER_REGISTER!F:F,MATCH(C839,MASTER_REGISTER!E:E,0)),"")</f>
        <v>Refilwe Sithole</v>
      </c>
      <c r="E839" t="s">
        <v>337</v>
      </c>
      <c r="F839" t="s">
        <v>338</v>
      </c>
      <c r="G839" t="s">
        <v>339</v>
      </c>
    </row>
    <row r="840" spans="1:8" x14ac:dyDescent="0.3">
      <c r="A840" t="s">
        <v>351</v>
      </c>
      <c r="B840">
        <f>IFERROR(INDEX(MASTER_REGISTER!C:C,MATCH(C840,MASTER_REGISTER!E:E,0)),"")</f>
        <v>12</v>
      </c>
      <c r="C840" t="s">
        <v>319</v>
      </c>
      <c r="D840" t="str">
        <f>IFERROR(INDEX(MASTER_REGISTER!F:F,MATCH(C840,MASTER_REGISTER!E:E,0)),"")</f>
        <v>Lerato Sithole</v>
      </c>
      <c r="E840" t="s">
        <v>337</v>
      </c>
      <c r="F840" t="s">
        <v>338</v>
      </c>
      <c r="G840" t="s">
        <v>339</v>
      </c>
    </row>
    <row r="841" spans="1:8" x14ac:dyDescent="0.3">
      <c r="A841" t="s">
        <v>351</v>
      </c>
      <c r="B841">
        <f>IFERROR(INDEX(MASTER_REGISTER!C:C,MATCH(C841,MASTER_REGISTER!E:E,0)),"")</f>
        <v>12</v>
      </c>
      <c r="C841" t="s">
        <v>323</v>
      </c>
      <c r="D841" t="str">
        <f>IFERROR(INDEX(MASTER_REGISTER!F:F,MATCH(C841,MASTER_REGISTER!E:E,0)),"")</f>
        <v>Sibusiso Ngobeni</v>
      </c>
      <c r="E841" t="s">
        <v>337</v>
      </c>
      <c r="F841" t="s">
        <v>338</v>
      </c>
      <c r="G841" t="s">
        <v>339</v>
      </c>
    </row>
    <row r="842" spans="1:8" x14ac:dyDescent="0.3">
      <c r="A842" t="s">
        <v>352</v>
      </c>
      <c r="B842">
        <f>IFERROR(INDEX(MASTER_REGISTER!C:C,MATCH(C842,MASTER_REGISTER!E:E,0)),"")</f>
        <v>8</v>
      </c>
      <c r="C842" t="s">
        <v>50</v>
      </c>
      <c r="D842" t="str">
        <f>IFERROR(INDEX(MASTER_REGISTER!F:F,MATCH(C842,MASTER_REGISTER!E:E,0)),"")</f>
        <v>Lerato Nkosi</v>
      </c>
      <c r="E842" t="s">
        <v>335</v>
      </c>
      <c r="H842" t="s">
        <v>341</v>
      </c>
    </row>
    <row r="843" spans="1:8" x14ac:dyDescent="0.3">
      <c r="A843" t="s">
        <v>352</v>
      </c>
      <c r="B843">
        <f>IFERROR(INDEX(MASTER_REGISTER!C:C,MATCH(C843,MASTER_REGISTER!E:E,0)),"")</f>
        <v>8</v>
      </c>
      <c r="C843" t="s">
        <v>58</v>
      </c>
      <c r="D843" t="str">
        <f>IFERROR(INDEX(MASTER_REGISTER!F:F,MATCH(C843,MASTER_REGISTER!E:E,0)),"")</f>
        <v>Karabo Maseko</v>
      </c>
      <c r="E843" t="s">
        <v>337</v>
      </c>
      <c r="F843" t="s">
        <v>338</v>
      </c>
      <c r="G843" t="s">
        <v>339</v>
      </c>
    </row>
    <row r="844" spans="1:8" x14ac:dyDescent="0.3">
      <c r="A844" t="s">
        <v>352</v>
      </c>
      <c r="B844">
        <f>IFERROR(INDEX(MASTER_REGISTER!C:C,MATCH(C844,MASTER_REGISTER!E:E,0)),"")</f>
        <v>8</v>
      </c>
      <c r="C844" t="s">
        <v>64</v>
      </c>
      <c r="D844" t="str">
        <f>IFERROR(INDEX(MASTER_REGISTER!F:F,MATCH(C844,MASTER_REGISTER!E:E,0)),"")</f>
        <v>Sifiso Sithole</v>
      </c>
      <c r="E844" t="s">
        <v>337</v>
      </c>
      <c r="F844" t="s">
        <v>338</v>
      </c>
      <c r="G844" t="s">
        <v>339</v>
      </c>
    </row>
    <row r="845" spans="1:8" x14ac:dyDescent="0.3">
      <c r="A845" t="s">
        <v>352</v>
      </c>
      <c r="B845">
        <f>IFERROR(INDEX(MASTER_REGISTER!C:C,MATCH(C845,MASTER_REGISTER!E:E,0)),"")</f>
        <v>8</v>
      </c>
      <c r="C845" t="s">
        <v>70</v>
      </c>
      <c r="D845" t="str">
        <f>IFERROR(INDEX(MASTER_REGISTER!F:F,MATCH(C845,MASTER_REGISTER!E:E,0)),"")</f>
        <v>Tshepo Ndlovu</v>
      </c>
      <c r="E845" t="s">
        <v>337</v>
      </c>
      <c r="F845" t="s">
        <v>338</v>
      </c>
      <c r="G845" t="s">
        <v>339</v>
      </c>
    </row>
    <row r="846" spans="1:8" x14ac:dyDescent="0.3">
      <c r="A846" t="s">
        <v>352</v>
      </c>
      <c r="B846">
        <f>IFERROR(INDEX(MASTER_REGISTER!C:C,MATCH(C846,MASTER_REGISTER!E:E,0)),"")</f>
        <v>8</v>
      </c>
      <c r="C846" t="s">
        <v>76</v>
      </c>
      <c r="D846" t="str">
        <f>IFERROR(INDEX(MASTER_REGISTER!F:F,MATCH(C846,MASTER_REGISTER!E:E,0)),"")</f>
        <v>Lwazi Mthembu</v>
      </c>
      <c r="E846" t="s">
        <v>337</v>
      </c>
      <c r="F846" t="s">
        <v>338</v>
      </c>
      <c r="G846" t="s">
        <v>339</v>
      </c>
    </row>
    <row r="847" spans="1:8" x14ac:dyDescent="0.3">
      <c r="A847" t="s">
        <v>352</v>
      </c>
      <c r="B847">
        <f>IFERROR(INDEX(MASTER_REGISTER!C:C,MATCH(C847,MASTER_REGISTER!E:E,0)),"")</f>
        <v>8</v>
      </c>
      <c r="C847" t="s">
        <v>82</v>
      </c>
      <c r="D847" t="str">
        <f>IFERROR(INDEX(MASTER_REGISTER!F:F,MATCH(C847,MASTER_REGISTER!E:E,0)),"")</f>
        <v>Karabo Ngobeni</v>
      </c>
      <c r="E847" t="s">
        <v>337</v>
      </c>
      <c r="F847" t="s">
        <v>338</v>
      </c>
      <c r="G847" t="s">
        <v>339</v>
      </c>
    </row>
    <row r="848" spans="1:8" x14ac:dyDescent="0.3">
      <c r="A848" t="s">
        <v>352</v>
      </c>
      <c r="B848">
        <f>IFERROR(INDEX(MASTER_REGISTER!C:C,MATCH(C848,MASTER_REGISTER!E:E,0)),"")</f>
        <v>8</v>
      </c>
      <c r="C848" t="s">
        <v>88</v>
      </c>
      <c r="D848" t="str">
        <f>IFERROR(INDEX(MASTER_REGISTER!F:F,MATCH(C848,MASTER_REGISTER!E:E,0)),"")</f>
        <v>Mpho Sithole</v>
      </c>
      <c r="E848" t="s">
        <v>337</v>
      </c>
      <c r="F848" t="s">
        <v>338</v>
      </c>
      <c r="G848" t="s">
        <v>339</v>
      </c>
    </row>
    <row r="849" spans="1:8" x14ac:dyDescent="0.3">
      <c r="A849" t="s">
        <v>352</v>
      </c>
      <c r="B849">
        <f>IFERROR(INDEX(MASTER_REGISTER!C:C,MATCH(C849,MASTER_REGISTER!E:E,0)),"")</f>
        <v>8</v>
      </c>
      <c r="C849" t="s">
        <v>94</v>
      </c>
      <c r="D849" t="str">
        <f>IFERROR(INDEX(MASTER_REGISTER!F:F,MATCH(C849,MASTER_REGISTER!E:E,0)),"")</f>
        <v>Tshepo Ramushu</v>
      </c>
      <c r="E849" t="s">
        <v>337</v>
      </c>
      <c r="F849" t="s">
        <v>338</v>
      </c>
      <c r="G849" t="s">
        <v>339</v>
      </c>
    </row>
    <row r="850" spans="1:8" x14ac:dyDescent="0.3">
      <c r="A850" t="s">
        <v>352</v>
      </c>
      <c r="B850">
        <f>IFERROR(INDEX(MASTER_REGISTER!C:C,MATCH(C850,MASTER_REGISTER!E:E,0)),"")</f>
        <v>8</v>
      </c>
      <c r="C850" t="s">
        <v>100</v>
      </c>
      <c r="D850" t="str">
        <f>IFERROR(INDEX(MASTER_REGISTER!F:F,MATCH(C850,MASTER_REGISTER!E:E,0)),"")</f>
        <v>Lerato Kekana</v>
      </c>
      <c r="E850" t="s">
        <v>337</v>
      </c>
      <c r="F850" t="s">
        <v>338</v>
      </c>
      <c r="G850" t="s">
        <v>339</v>
      </c>
    </row>
    <row r="851" spans="1:8" x14ac:dyDescent="0.3">
      <c r="A851" t="s">
        <v>352</v>
      </c>
      <c r="B851">
        <f>IFERROR(INDEX(MASTER_REGISTER!C:C,MATCH(C851,MASTER_REGISTER!E:E,0)),"")</f>
        <v>8</v>
      </c>
      <c r="C851" t="s">
        <v>106</v>
      </c>
      <c r="D851" t="str">
        <f>IFERROR(INDEX(MASTER_REGISTER!F:F,MATCH(C851,MASTER_REGISTER!E:E,0)),"")</f>
        <v>Neo Ngobeni</v>
      </c>
      <c r="E851" t="s">
        <v>335</v>
      </c>
      <c r="H851" t="s">
        <v>340</v>
      </c>
    </row>
    <row r="852" spans="1:8" x14ac:dyDescent="0.3">
      <c r="A852" t="s">
        <v>352</v>
      </c>
      <c r="B852">
        <f>IFERROR(INDEX(MASTER_REGISTER!C:C,MATCH(C852,MASTER_REGISTER!E:E,0)),"")</f>
        <v>8</v>
      </c>
      <c r="C852" t="s">
        <v>112</v>
      </c>
      <c r="D852" t="str">
        <f>IFERROR(INDEX(MASTER_REGISTER!F:F,MATCH(C852,MASTER_REGISTER!E:E,0)),"")</f>
        <v>Thabo Mokgadi</v>
      </c>
      <c r="E852" t="s">
        <v>335</v>
      </c>
      <c r="H852" t="s">
        <v>336</v>
      </c>
    </row>
    <row r="853" spans="1:8" x14ac:dyDescent="0.3">
      <c r="A853" t="s">
        <v>352</v>
      </c>
      <c r="B853">
        <f>IFERROR(INDEX(MASTER_REGISTER!C:C,MATCH(C853,MASTER_REGISTER!E:E,0)),"")</f>
        <v>8</v>
      </c>
      <c r="C853" t="s">
        <v>118</v>
      </c>
      <c r="D853" t="str">
        <f>IFERROR(INDEX(MASTER_REGISTER!F:F,MATCH(C853,MASTER_REGISTER!E:E,0)),"")</f>
        <v>Sifiso Mthembu</v>
      </c>
      <c r="E853" t="s">
        <v>337</v>
      </c>
      <c r="F853" t="s">
        <v>338</v>
      </c>
      <c r="G853" t="s">
        <v>339</v>
      </c>
    </row>
    <row r="854" spans="1:8" x14ac:dyDescent="0.3">
      <c r="A854" t="s">
        <v>352</v>
      </c>
      <c r="B854">
        <f>IFERROR(INDEX(MASTER_REGISTER!C:C,MATCH(C854,MASTER_REGISTER!E:E,0)),"")</f>
        <v>9</v>
      </c>
      <c r="C854" t="s">
        <v>123</v>
      </c>
      <c r="D854" t="str">
        <f>IFERROR(INDEX(MASTER_REGISTER!F:F,MATCH(C854,MASTER_REGISTER!E:E,0)),"")</f>
        <v>Karabo Phiri</v>
      </c>
      <c r="E854" t="s">
        <v>337</v>
      </c>
      <c r="F854" t="s">
        <v>338</v>
      </c>
      <c r="G854" t="s">
        <v>339</v>
      </c>
    </row>
    <row r="855" spans="1:8" x14ac:dyDescent="0.3">
      <c r="A855" t="s">
        <v>352</v>
      </c>
      <c r="B855">
        <f>IFERROR(INDEX(MASTER_REGISTER!C:C,MATCH(C855,MASTER_REGISTER!E:E,0)),"")</f>
        <v>9</v>
      </c>
      <c r="C855" t="s">
        <v>128</v>
      </c>
      <c r="D855" t="str">
        <f>IFERROR(INDEX(MASTER_REGISTER!F:F,MATCH(C855,MASTER_REGISTER!E:E,0)),"")</f>
        <v>Lerato Mahlangu</v>
      </c>
      <c r="E855" t="s">
        <v>337</v>
      </c>
      <c r="F855" t="s">
        <v>338</v>
      </c>
      <c r="G855" t="s">
        <v>339</v>
      </c>
    </row>
    <row r="856" spans="1:8" x14ac:dyDescent="0.3">
      <c r="A856" t="s">
        <v>352</v>
      </c>
      <c r="B856">
        <f>IFERROR(INDEX(MASTER_REGISTER!C:C,MATCH(C856,MASTER_REGISTER!E:E,0)),"")</f>
        <v>9</v>
      </c>
      <c r="C856" t="s">
        <v>133</v>
      </c>
      <c r="D856" t="str">
        <f>IFERROR(INDEX(MASTER_REGISTER!F:F,MATCH(C856,MASTER_REGISTER!E:E,0)),"")</f>
        <v>Mpho Kekana</v>
      </c>
      <c r="E856" t="s">
        <v>337</v>
      </c>
      <c r="F856" t="s">
        <v>338</v>
      </c>
      <c r="G856" t="s">
        <v>339</v>
      </c>
    </row>
    <row r="857" spans="1:8" x14ac:dyDescent="0.3">
      <c r="A857" t="s">
        <v>352</v>
      </c>
      <c r="B857">
        <f>IFERROR(INDEX(MASTER_REGISTER!C:C,MATCH(C857,MASTER_REGISTER!E:E,0)),"")</f>
        <v>9</v>
      </c>
      <c r="C857" t="s">
        <v>138</v>
      </c>
      <c r="D857" t="str">
        <f>IFERROR(INDEX(MASTER_REGISTER!F:F,MATCH(C857,MASTER_REGISTER!E:E,0)),"")</f>
        <v>Thabo Molefe</v>
      </c>
      <c r="E857" t="s">
        <v>337</v>
      </c>
      <c r="F857" t="s">
        <v>338</v>
      </c>
      <c r="G857" t="s">
        <v>339</v>
      </c>
    </row>
    <row r="858" spans="1:8" x14ac:dyDescent="0.3">
      <c r="A858" t="s">
        <v>352</v>
      </c>
      <c r="B858">
        <f>IFERROR(INDEX(MASTER_REGISTER!C:C,MATCH(C858,MASTER_REGISTER!E:E,0)),"")</f>
        <v>9</v>
      </c>
      <c r="C858" t="s">
        <v>143</v>
      </c>
      <c r="D858" t="str">
        <f>IFERROR(INDEX(MASTER_REGISTER!F:F,MATCH(C858,MASTER_REGISTER!E:E,0)),"")</f>
        <v>Mpho Ngobeni</v>
      </c>
      <c r="E858" t="s">
        <v>337</v>
      </c>
      <c r="F858" t="s">
        <v>338</v>
      </c>
      <c r="G858" t="s">
        <v>339</v>
      </c>
    </row>
    <row r="859" spans="1:8" x14ac:dyDescent="0.3">
      <c r="A859" t="s">
        <v>352</v>
      </c>
      <c r="B859">
        <f>IFERROR(INDEX(MASTER_REGISTER!C:C,MATCH(C859,MASTER_REGISTER!E:E,0)),"")</f>
        <v>9</v>
      </c>
      <c r="C859" t="s">
        <v>148</v>
      </c>
      <c r="D859" t="str">
        <f>IFERROR(INDEX(MASTER_REGISTER!F:F,MATCH(C859,MASTER_REGISTER!E:E,0)),"")</f>
        <v>Siyanda Mhlongo</v>
      </c>
      <c r="E859" t="s">
        <v>337</v>
      </c>
      <c r="F859" t="s">
        <v>338</v>
      </c>
      <c r="G859" t="s">
        <v>339</v>
      </c>
    </row>
    <row r="860" spans="1:8" x14ac:dyDescent="0.3">
      <c r="A860" t="s">
        <v>352</v>
      </c>
      <c r="B860">
        <f>IFERROR(INDEX(MASTER_REGISTER!C:C,MATCH(C860,MASTER_REGISTER!E:E,0)),"")</f>
        <v>9</v>
      </c>
      <c r="C860" t="s">
        <v>153</v>
      </c>
      <c r="D860" t="str">
        <f>IFERROR(INDEX(MASTER_REGISTER!F:F,MATCH(C860,MASTER_REGISTER!E:E,0)),"")</f>
        <v>Siyanda Mahlangu</v>
      </c>
      <c r="E860" t="s">
        <v>337</v>
      </c>
      <c r="F860" t="s">
        <v>338</v>
      </c>
      <c r="G860" t="s">
        <v>339</v>
      </c>
    </row>
    <row r="861" spans="1:8" x14ac:dyDescent="0.3">
      <c r="A861" t="s">
        <v>352</v>
      </c>
      <c r="B861">
        <f>IFERROR(INDEX(MASTER_REGISTER!C:C,MATCH(C861,MASTER_REGISTER!E:E,0)),"")</f>
        <v>9</v>
      </c>
      <c r="C861" t="s">
        <v>158</v>
      </c>
      <c r="D861" t="str">
        <f>IFERROR(INDEX(MASTER_REGISTER!F:F,MATCH(C861,MASTER_REGISTER!E:E,0)),"")</f>
        <v>Sifiso Ramushu</v>
      </c>
      <c r="E861" t="s">
        <v>337</v>
      </c>
      <c r="F861" t="s">
        <v>338</v>
      </c>
      <c r="G861" t="s">
        <v>339</v>
      </c>
    </row>
    <row r="862" spans="1:8" x14ac:dyDescent="0.3">
      <c r="A862" t="s">
        <v>352</v>
      </c>
      <c r="B862">
        <f>IFERROR(INDEX(MASTER_REGISTER!C:C,MATCH(C862,MASTER_REGISTER!E:E,0)),"")</f>
        <v>9</v>
      </c>
      <c r="C862" t="s">
        <v>163</v>
      </c>
      <c r="D862" t="str">
        <f>IFERROR(INDEX(MASTER_REGISTER!F:F,MATCH(C862,MASTER_REGISTER!E:E,0)),"")</f>
        <v>Nandi Ngobeni</v>
      </c>
      <c r="E862" t="s">
        <v>337</v>
      </c>
      <c r="F862" t="s">
        <v>338</v>
      </c>
      <c r="G862" t="s">
        <v>339</v>
      </c>
    </row>
    <row r="863" spans="1:8" x14ac:dyDescent="0.3">
      <c r="A863" t="s">
        <v>352</v>
      </c>
      <c r="B863">
        <f>IFERROR(INDEX(MASTER_REGISTER!C:C,MATCH(C863,MASTER_REGISTER!E:E,0)),"")</f>
        <v>9</v>
      </c>
      <c r="C863" t="s">
        <v>168</v>
      </c>
      <c r="D863" t="str">
        <f>IFERROR(INDEX(MASTER_REGISTER!F:F,MATCH(C863,MASTER_REGISTER!E:E,0)),"")</f>
        <v>Karabo Mokgadi</v>
      </c>
      <c r="E863" t="s">
        <v>337</v>
      </c>
      <c r="F863" t="s">
        <v>338</v>
      </c>
      <c r="G863" t="s">
        <v>339</v>
      </c>
    </row>
    <row r="864" spans="1:8" x14ac:dyDescent="0.3">
      <c r="A864" t="s">
        <v>352</v>
      </c>
      <c r="B864">
        <f>IFERROR(INDEX(MASTER_REGISTER!C:C,MATCH(C864,MASTER_REGISTER!E:E,0)),"")</f>
        <v>9</v>
      </c>
      <c r="C864" t="s">
        <v>173</v>
      </c>
      <c r="D864" t="str">
        <f>IFERROR(INDEX(MASTER_REGISTER!F:F,MATCH(C864,MASTER_REGISTER!E:E,0)),"")</f>
        <v>Sifiso Mahlangu</v>
      </c>
      <c r="E864" t="s">
        <v>337</v>
      </c>
      <c r="F864" t="s">
        <v>338</v>
      </c>
      <c r="G864" t="s">
        <v>339</v>
      </c>
    </row>
    <row r="865" spans="1:8" x14ac:dyDescent="0.3">
      <c r="A865" t="s">
        <v>352</v>
      </c>
      <c r="B865">
        <f>IFERROR(INDEX(MASTER_REGISTER!C:C,MATCH(C865,MASTER_REGISTER!E:E,0)),"")</f>
        <v>9</v>
      </c>
      <c r="C865" t="s">
        <v>178</v>
      </c>
      <c r="D865" t="str">
        <f>IFERROR(INDEX(MASTER_REGISTER!F:F,MATCH(C865,MASTER_REGISTER!E:E,0)),"")</f>
        <v>Kgothatso Radebe</v>
      </c>
      <c r="E865" t="s">
        <v>335</v>
      </c>
      <c r="H865" t="s">
        <v>336</v>
      </c>
    </row>
    <row r="866" spans="1:8" x14ac:dyDescent="0.3">
      <c r="A866" t="s">
        <v>352</v>
      </c>
      <c r="B866">
        <f>IFERROR(INDEX(MASTER_REGISTER!C:C,MATCH(C866,MASTER_REGISTER!E:E,0)),"")</f>
        <v>10</v>
      </c>
      <c r="C866" t="s">
        <v>183</v>
      </c>
      <c r="D866" t="str">
        <f>IFERROR(INDEX(MASTER_REGISTER!F:F,MATCH(C866,MASTER_REGISTER!E:E,0)),"")</f>
        <v>Lerato Maseko</v>
      </c>
      <c r="E866" t="s">
        <v>337</v>
      </c>
      <c r="F866" t="s">
        <v>338</v>
      </c>
      <c r="G866" t="s">
        <v>339</v>
      </c>
    </row>
    <row r="867" spans="1:8" x14ac:dyDescent="0.3">
      <c r="A867" t="s">
        <v>352</v>
      </c>
      <c r="B867">
        <f>IFERROR(INDEX(MASTER_REGISTER!C:C,MATCH(C867,MASTER_REGISTER!E:E,0)),"")</f>
        <v>10</v>
      </c>
      <c r="C867" t="s">
        <v>188</v>
      </c>
      <c r="D867" t="str">
        <f>IFERROR(INDEX(MASTER_REGISTER!F:F,MATCH(C867,MASTER_REGISTER!E:E,0)),"")</f>
        <v>Sibusiso Molefe</v>
      </c>
      <c r="E867" t="s">
        <v>337</v>
      </c>
      <c r="F867" t="s">
        <v>338</v>
      </c>
      <c r="G867" t="s">
        <v>339</v>
      </c>
    </row>
    <row r="868" spans="1:8" x14ac:dyDescent="0.3">
      <c r="A868" t="s">
        <v>352</v>
      </c>
      <c r="B868">
        <f>IFERROR(INDEX(MASTER_REGISTER!C:C,MATCH(C868,MASTER_REGISTER!E:E,0)),"")</f>
        <v>10</v>
      </c>
      <c r="C868" t="s">
        <v>193</v>
      </c>
      <c r="D868" t="str">
        <f>IFERROR(INDEX(MASTER_REGISTER!F:F,MATCH(C868,MASTER_REGISTER!E:E,0)),"")</f>
        <v>Nandi Molefe</v>
      </c>
      <c r="E868" t="s">
        <v>335</v>
      </c>
      <c r="H868" t="s">
        <v>341</v>
      </c>
    </row>
    <row r="869" spans="1:8" x14ac:dyDescent="0.3">
      <c r="A869" t="s">
        <v>352</v>
      </c>
      <c r="B869">
        <f>IFERROR(INDEX(MASTER_REGISTER!C:C,MATCH(C869,MASTER_REGISTER!E:E,0)),"")</f>
        <v>10</v>
      </c>
      <c r="C869" t="s">
        <v>198</v>
      </c>
      <c r="D869" t="str">
        <f>IFERROR(INDEX(MASTER_REGISTER!F:F,MATCH(C869,MASTER_REGISTER!E:E,0)),"")</f>
        <v>Kgothatso Baloyi</v>
      </c>
      <c r="E869" t="s">
        <v>337</v>
      </c>
      <c r="F869" t="s">
        <v>338</v>
      </c>
      <c r="G869" t="s">
        <v>339</v>
      </c>
    </row>
    <row r="870" spans="1:8" x14ac:dyDescent="0.3">
      <c r="A870" t="s">
        <v>352</v>
      </c>
      <c r="B870">
        <f>IFERROR(INDEX(MASTER_REGISTER!C:C,MATCH(C870,MASTER_REGISTER!E:E,0)),"")</f>
        <v>10</v>
      </c>
      <c r="C870" t="s">
        <v>202</v>
      </c>
      <c r="D870" t="str">
        <f>IFERROR(INDEX(MASTER_REGISTER!F:F,MATCH(C870,MASTER_REGISTER!E:E,0)),"")</f>
        <v>Ayanda Mokoena</v>
      </c>
      <c r="E870" t="s">
        <v>337</v>
      </c>
      <c r="F870" t="s">
        <v>338</v>
      </c>
      <c r="G870" t="s">
        <v>339</v>
      </c>
    </row>
    <row r="871" spans="1:8" x14ac:dyDescent="0.3">
      <c r="A871" t="s">
        <v>352</v>
      </c>
      <c r="B871">
        <f>IFERROR(INDEX(MASTER_REGISTER!C:C,MATCH(C871,MASTER_REGISTER!E:E,0)),"")</f>
        <v>10</v>
      </c>
      <c r="C871" t="s">
        <v>206</v>
      </c>
      <c r="D871" t="str">
        <f>IFERROR(INDEX(MASTER_REGISTER!F:F,MATCH(C871,MASTER_REGISTER!E:E,0)),"")</f>
        <v>Lwazi Baloyi</v>
      </c>
      <c r="E871" t="s">
        <v>337</v>
      </c>
      <c r="F871" t="s">
        <v>338</v>
      </c>
      <c r="G871" t="s">
        <v>339</v>
      </c>
    </row>
    <row r="872" spans="1:8" x14ac:dyDescent="0.3">
      <c r="A872" t="s">
        <v>352</v>
      </c>
      <c r="B872">
        <f>IFERROR(INDEX(MASTER_REGISTER!C:C,MATCH(C872,MASTER_REGISTER!E:E,0)),"")</f>
        <v>10</v>
      </c>
      <c r="C872" t="s">
        <v>210</v>
      </c>
      <c r="D872" t="str">
        <f>IFERROR(INDEX(MASTER_REGISTER!F:F,MATCH(C872,MASTER_REGISTER!E:E,0)),"")</f>
        <v>Siyanda Mokoena</v>
      </c>
      <c r="E872" t="s">
        <v>337</v>
      </c>
      <c r="F872" t="s">
        <v>338</v>
      </c>
      <c r="G872" t="s">
        <v>339</v>
      </c>
    </row>
    <row r="873" spans="1:8" x14ac:dyDescent="0.3">
      <c r="A873" t="s">
        <v>352</v>
      </c>
      <c r="B873">
        <f>IFERROR(INDEX(MASTER_REGISTER!C:C,MATCH(C873,MASTER_REGISTER!E:E,0)),"")</f>
        <v>10</v>
      </c>
      <c r="C873" t="s">
        <v>214</v>
      </c>
      <c r="D873" t="str">
        <f>IFERROR(INDEX(MASTER_REGISTER!F:F,MATCH(C873,MASTER_REGISTER!E:E,0)),"")</f>
        <v>Mpho Ngobeni</v>
      </c>
      <c r="E873" t="s">
        <v>337</v>
      </c>
      <c r="F873" t="s">
        <v>338</v>
      </c>
      <c r="G873" t="s">
        <v>339</v>
      </c>
    </row>
    <row r="874" spans="1:8" x14ac:dyDescent="0.3">
      <c r="A874" t="s">
        <v>352</v>
      </c>
      <c r="B874">
        <f>IFERROR(INDEX(MASTER_REGISTER!C:C,MATCH(C874,MASTER_REGISTER!E:E,0)),"")</f>
        <v>10</v>
      </c>
      <c r="C874" t="s">
        <v>217</v>
      </c>
      <c r="D874" t="str">
        <f>IFERROR(INDEX(MASTER_REGISTER!F:F,MATCH(C874,MASTER_REGISTER!E:E,0)),"")</f>
        <v>Naledi Makhubela</v>
      </c>
      <c r="E874" t="s">
        <v>337</v>
      </c>
      <c r="F874" t="s">
        <v>338</v>
      </c>
      <c r="G874" t="s">
        <v>339</v>
      </c>
    </row>
    <row r="875" spans="1:8" x14ac:dyDescent="0.3">
      <c r="A875" t="s">
        <v>352</v>
      </c>
      <c r="B875">
        <f>IFERROR(INDEX(MASTER_REGISTER!C:C,MATCH(C875,MASTER_REGISTER!E:E,0)),"")</f>
        <v>10</v>
      </c>
      <c r="C875" t="s">
        <v>221</v>
      </c>
      <c r="D875" t="str">
        <f>IFERROR(INDEX(MASTER_REGISTER!F:F,MATCH(C875,MASTER_REGISTER!E:E,0)),"")</f>
        <v>Kgothatso Mokoena</v>
      </c>
      <c r="E875" t="s">
        <v>337</v>
      </c>
      <c r="F875" t="s">
        <v>338</v>
      </c>
      <c r="G875" t="s">
        <v>339</v>
      </c>
    </row>
    <row r="876" spans="1:8" x14ac:dyDescent="0.3">
      <c r="A876" t="s">
        <v>352</v>
      </c>
      <c r="B876">
        <f>IFERROR(INDEX(MASTER_REGISTER!C:C,MATCH(C876,MASTER_REGISTER!E:E,0)),"")</f>
        <v>10</v>
      </c>
      <c r="C876" t="s">
        <v>225</v>
      </c>
      <c r="D876" t="str">
        <f>IFERROR(INDEX(MASTER_REGISTER!F:F,MATCH(C876,MASTER_REGISTER!E:E,0)),"")</f>
        <v>Bongani Makhubela</v>
      </c>
      <c r="E876" t="s">
        <v>337</v>
      </c>
      <c r="F876" t="s">
        <v>338</v>
      </c>
      <c r="G876" t="s">
        <v>339</v>
      </c>
    </row>
    <row r="877" spans="1:8" x14ac:dyDescent="0.3">
      <c r="A877" t="s">
        <v>352</v>
      </c>
      <c r="B877">
        <f>IFERROR(INDEX(MASTER_REGISTER!C:C,MATCH(C877,MASTER_REGISTER!E:E,0)),"")</f>
        <v>10</v>
      </c>
      <c r="C877" t="s">
        <v>229</v>
      </c>
      <c r="D877" t="str">
        <f>IFERROR(INDEX(MASTER_REGISTER!F:F,MATCH(C877,MASTER_REGISTER!E:E,0)),"")</f>
        <v>Kagiso Kekana</v>
      </c>
      <c r="E877" t="s">
        <v>337</v>
      </c>
      <c r="F877" t="s">
        <v>338</v>
      </c>
      <c r="G877" t="s">
        <v>339</v>
      </c>
    </row>
    <row r="878" spans="1:8" x14ac:dyDescent="0.3">
      <c r="A878" t="s">
        <v>352</v>
      </c>
      <c r="B878">
        <f>IFERROR(INDEX(MASTER_REGISTER!C:C,MATCH(C878,MASTER_REGISTER!E:E,0)),"")</f>
        <v>11</v>
      </c>
      <c r="C878" t="s">
        <v>233</v>
      </c>
      <c r="D878" t="str">
        <f>IFERROR(INDEX(MASTER_REGISTER!F:F,MATCH(C878,MASTER_REGISTER!E:E,0)),"")</f>
        <v>Lwazi Makhubela</v>
      </c>
      <c r="E878" t="s">
        <v>337</v>
      </c>
      <c r="F878" t="s">
        <v>338</v>
      </c>
      <c r="G878" t="s">
        <v>339</v>
      </c>
    </row>
    <row r="879" spans="1:8" x14ac:dyDescent="0.3">
      <c r="A879" t="s">
        <v>352</v>
      </c>
      <c r="B879">
        <f>IFERROR(INDEX(MASTER_REGISTER!C:C,MATCH(C879,MASTER_REGISTER!E:E,0)),"")</f>
        <v>11</v>
      </c>
      <c r="C879" t="s">
        <v>237</v>
      </c>
      <c r="D879" t="str">
        <f>IFERROR(INDEX(MASTER_REGISTER!F:F,MATCH(C879,MASTER_REGISTER!E:E,0)),"")</f>
        <v>Lebogang Ramushu</v>
      </c>
      <c r="E879" t="s">
        <v>337</v>
      </c>
      <c r="F879" t="s">
        <v>338</v>
      </c>
      <c r="G879" t="s">
        <v>339</v>
      </c>
    </row>
    <row r="880" spans="1:8" x14ac:dyDescent="0.3">
      <c r="A880" t="s">
        <v>352</v>
      </c>
      <c r="B880">
        <f>IFERROR(INDEX(MASTER_REGISTER!C:C,MATCH(C880,MASTER_REGISTER!E:E,0)),"")</f>
        <v>11</v>
      </c>
      <c r="C880" t="s">
        <v>241</v>
      </c>
      <c r="D880" t="str">
        <f>IFERROR(INDEX(MASTER_REGISTER!F:F,MATCH(C880,MASTER_REGISTER!E:E,0)),"")</f>
        <v>Lerato Kekana</v>
      </c>
      <c r="E880" t="s">
        <v>337</v>
      </c>
      <c r="F880" t="s">
        <v>338</v>
      </c>
      <c r="G880" t="s">
        <v>339</v>
      </c>
    </row>
    <row r="881" spans="1:8" x14ac:dyDescent="0.3">
      <c r="A881" t="s">
        <v>352</v>
      </c>
      <c r="B881">
        <f>IFERROR(INDEX(MASTER_REGISTER!C:C,MATCH(C881,MASTER_REGISTER!E:E,0)),"")</f>
        <v>11</v>
      </c>
      <c r="C881" t="s">
        <v>244</v>
      </c>
      <c r="D881" t="str">
        <f>IFERROR(INDEX(MASTER_REGISTER!F:F,MATCH(C881,MASTER_REGISTER!E:E,0)),"")</f>
        <v>Bongani Ndlovu</v>
      </c>
      <c r="E881" t="s">
        <v>337</v>
      </c>
      <c r="F881" t="s">
        <v>338</v>
      </c>
      <c r="G881" t="s">
        <v>339</v>
      </c>
    </row>
    <row r="882" spans="1:8" x14ac:dyDescent="0.3">
      <c r="A882" t="s">
        <v>352</v>
      </c>
      <c r="B882">
        <f>IFERROR(INDEX(MASTER_REGISTER!C:C,MATCH(C882,MASTER_REGISTER!E:E,0)),"")</f>
        <v>11</v>
      </c>
      <c r="C882" t="s">
        <v>248</v>
      </c>
      <c r="D882" t="str">
        <f>IFERROR(INDEX(MASTER_REGISTER!F:F,MATCH(C882,MASTER_REGISTER!E:E,0)),"")</f>
        <v>Sifiso Dlamini</v>
      </c>
      <c r="E882" t="s">
        <v>337</v>
      </c>
      <c r="F882" t="s">
        <v>338</v>
      </c>
      <c r="G882" t="s">
        <v>339</v>
      </c>
    </row>
    <row r="883" spans="1:8" x14ac:dyDescent="0.3">
      <c r="A883" t="s">
        <v>352</v>
      </c>
      <c r="B883">
        <f>IFERROR(INDEX(MASTER_REGISTER!C:C,MATCH(C883,MASTER_REGISTER!E:E,0)),"")</f>
        <v>11</v>
      </c>
      <c r="C883" t="s">
        <v>252</v>
      </c>
      <c r="D883" t="str">
        <f>IFERROR(INDEX(MASTER_REGISTER!F:F,MATCH(C883,MASTER_REGISTER!E:E,0)),"")</f>
        <v>Refilwe Dlamini</v>
      </c>
      <c r="E883" t="s">
        <v>337</v>
      </c>
      <c r="F883" t="s">
        <v>338</v>
      </c>
      <c r="G883" t="s">
        <v>339</v>
      </c>
    </row>
    <row r="884" spans="1:8" x14ac:dyDescent="0.3">
      <c r="A884" t="s">
        <v>352</v>
      </c>
      <c r="B884">
        <f>IFERROR(INDEX(MASTER_REGISTER!C:C,MATCH(C884,MASTER_REGISTER!E:E,0)),"")</f>
        <v>11</v>
      </c>
      <c r="C884" t="s">
        <v>256</v>
      </c>
      <c r="D884" t="str">
        <f>IFERROR(INDEX(MASTER_REGISTER!F:F,MATCH(C884,MASTER_REGISTER!E:E,0)),"")</f>
        <v>Lwazi Maseko</v>
      </c>
      <c r="E884" t="s">
        <v>337</v>
      </c>
      <c r="F884" t="s">
        <v>338</v>
      </c>
      <c r="G884" t="s">
        <v>339</v>
      </c>
    </row>
    <row r="885" spans="1:8" x14ac:dyDescent="0.3">
      <c r="A885" t="s">
        <v>352</v>
      </c>
      <c r="B885">
        <f>IFERROR(INDEX(MASTER_REGISTER!C:C,MATCH(C885,MASTER_REGISTER!E:E,0)),"")</f>
        <v>11</v>
      </c>
      <c r="C885" t="s">
        <v>260</v>
      </c>
      <c r="D885" t="str">
        <f>IFERROR(INDEX(MASTER_REGISTER!F:F,MATCH(C885,MASTER_REGISTER!E:E,0)),"")</f>
        <v>Refilwe Mokgadi</v>
      </c>
      <c r="E885" t="s">
        <v>337</v>
      </c>
      <c r="F885" t="s">
        <v>338</v>
      </c>
      <c r="G885" t="s">
        <v>339</v>
      </c>
    </row>
    <row r="886" spans="1:8" x14ac:dyDescent="0.3">
      <c r="A886" t="s">
        <v>352</v>
      </c>
      <c r="B886">
        <f>IFERROR(INDEX(MASTER_REGISTER!C:C,MATCH(C886,MASTER_REGISTER!E:E,0)),"")</f>
        <v>11</v>
      </c>
      <c r="C886" t="s">
        <v>264</v>
      </c>
      <c r="D886" t="str">
        <f>IFERROR(INDEX(MASTER_REGISTER!F:F,MATCH(C886,MASTER_REGISTER!E:E,0)),"")</f>
        <v>Kgothatso Molefe</v>
      </c>
      <c r="E886" t="s">
        <v>335</v>
      </c>
      <c r="H886" t="s">
        <v>342</v>
      </c>
    </row>
    <row r="887" spans="1:8" x14ac:dyDescent="0.3">
      <c r="A887" t="s">
        <v>352</v>
      </c>
      <c r="B887">
        <f>IFERROR(INDEX(MASTER_REGISTER!C:C,MATCH(C887,MASTER_REGISTER!E:E,0)),"")</f>
        <v>11</v>
      </c>
      <c r="C887" t="s">
        <v>268</v>
      </c>
      <c r="D887" t="str">
        <f>IFERROR(INDEX(MASTER_REGISTER!F:F,MATCH(C887,MASTER_REGISTER!E:E,0)),"")</f>
        <v>Tshepo Mokgadi</v>
      </c>
      <c r="E887" t="s">
        <v>337</v>
      </c>
      <c r="F887" t="s">
        <v>338</v>
      </c>
      <c r="G887" t="s">
        <v>339</v>
      </c>
    </row>
    <row r="888" spans="1:8" x14ac:dyDescent="0.3">
      <c r="A888" t="s">
        <v>352</v>
      </c>
      <c r="B888">
        <f>IFERROR(INDEX(MASTER_REGISTER!C:C,MATCH(C888,MASTER_REGISTER!E:E,0)),"")</f>
        <v>11</v>
      </c>
      <c r="C888" t="s">
        <v>272</v>
      </c>
      <c r="D888" t="str">
        <f>IFERROR(INDEX(MASTER_REGISTER!F:F,MATCH(C888,MASTER_REGISTER!E:E,0)),"")</f>
        <v>Tshepo Phiri</v>
      </c>
      <c r="E888" t="s">
        <v>337</v>
      </c>
      <c r="F888" t="s">
        <v>338</v>
      </c>
      <c r="G888" t="s">
        <v>339</v>
      </c>
    </row>
    <row r="889" spans="1:8" x14ac:dyDescent="0.3">
      <c r="A889" t="s">
        <v>352</v>
      </c>
      <c r="B889">
        <f>IFERROR(INDEX(MASTER_REGISTER!C:C,MATCH(C889,MASTER_REGISTER!E:E,0)),"")</f>
        <v>11</v>
      </c>
      <c r="C889" t="s">
        <v>276</v>
      </c>
      <c r="D889" t="str">
        <f>IFERROR(INDEX(MASTER_REGISTER!F:F,MATCH(C889,MASTER_REGISTER!E:E,0)),"")</f>
        <v>Zanele Ngobeni</v>
      </c>
      <c r="E889" t="s">
        <v>337</v>
      </c>
      <c r="F889" t="s">
        <v>338</v>
      </c>
      <c r="G889" t="s">
        <v>339</v>
      </c>
    </row>
    <row r="890" spans="1:8" x14ac:dyDescent="0.3">
      <c r="A890" t="s">
        <v>352</v>
      </c>
      <c r="B890">
        <f>IFERROR(INDEX(MASTER_REGISTER!C:C,MATCH(C890,MASTER_REGISTER!E:E,0)),"")</f>
        <v>12</v>
      </c>
      <c r="C890" t="s">
        <v>280</v>
      </c>
      <c r="D890" t="str">
        <f>IFERROR(INDEX(MASTER_REGISTER!F:F,MATCH(C890,MASTER_REGISTER!E:E,0)),"")</f>
        <v>Palesa Mokoena</v>
      </c>
      <c r="E890" t="s">
        <v>337</v>
      </c>
      <c r="F890" t="s">
        <v>338</v>
      </c>
      <c r="G890" t="s">
        <v>339</v>
      </c>
    </row>
    <row r="891" spans="1:8" x14ac:dyDescent="0.3">
      <c r="A891" t="s">
        <v>352</v>
      </c>
      <c r="B891">
        <f>IFERROR(INDEX(MASTER_REGISTER!C:C,MATCH(C891,MASTER_REGISTER!E:E,0)),"")</f>
        <v>12</v>
      </c>
      <c r="C891" t="s">
        <v>284</v>
      </c>
      <c r="D891" t="str">
        <f>IFERROR(INDEX(MASTER_REGISTER!F:F,MATCH(C891,MASTER_REGISTER!E:E,0)),"")</f>
        <v>Thabo Ramushu</v>
      </c>
      <c r="E891" t="s">
        <v>337</v>
      </c>
      <c r="F891" t="s">
        <v>338</v>
      </c>
      <c r="G891" t="s">
        <v>339</v>
      </c>
    </row>
    <row r="892" spans="1:8" x14ac:dyDescent="0.3">
      <c r="A892" t="s">
        <v>352</v>
      </c>
      <c r="B892">
        <f>IFERROR(INDEX(MASTER_REGISTER!C:C,MATCH(C892,MASTER_REGISTER!E:E,0)),"")</f>
        <v>12</v>
      </c>
      <c r="C892" t="s">
        <v>288</v>
      </c>
      <c r="D892" t="str">
        <f>IFERROR(INDEX(MASTER_REGISTER!F:F,MATCH(C892,MASTER_REGISTER!E:E,0)),"")</f>
        <v>Lwazi Ndlovu</v>
      </c>
      <c r="E892" t="s">
        <v>337</v>
      </c>
      <c r="F892" t="s">
        <v>338</v>
      </c>
      <c r="G892" t="s">
        <v>339</v>
      </c>
    </row>
    <row r="893" spans="1:8" x14ac:dyDescent="0.3">
      <c r="A893" t="s">
        <v>352</v>
      </c>
      <c r="B893">
        <f>IFERROR(INDEX(MASTER_REGISTER!C:C,MATCH(C893,MASTER_REGISTER!E:E,0)),"")</f>
        <v>12</v>
      </c>
      <c r="C893" t="s">
        <v>292</v>
      </c>
      <c r="D893" t="str">
        <f>IFERROR(INDEX(MASTER_REGISTER!F:F,MATCH(C893,MASTER_REGISTER!E:E,0)),"")</f>
        <v>Ayanda Dlamini</v>
      </c>
      <c r="E893" t="s">
        <v>337</v>
      </c>
      <c r="F893" t="s">
        <v>338</v>
      </c>
      <c r="G893" t="s">
        <v>339</v>
      </c>
    </row>
    <row r="894" spans="1:8" x14ac:dyDescent="0.3">
      <c r="A894" t="s">
        <v>352</v>
      </c>
      <c r="B894">
        <f>IFERROR(INDEX(MASTER_REGISTER!C:C,MATCH(C894,MASTER_REGISTER!E:E,0)),"")</f>
        <v>12</v>
      </c>
      <c r="C894" t="s">
        <v>296</v>
      </c>
      <c r="D894" t="str">
        <f>IFERROR(INDEX(MASTER_REGISTER!F:F,MATCH(C894,MASTER_REGISTER!E:E,0)),"")</f>
        <v>Neo Ndlovu</v>
      </c>
      <c r="E894" t="s">
        <v>337</v>
      </c>
      <c r="F894" t="s">
        <v>338</v>
      </c>
      <c r="G894" t="s">
        <v>339</v>
      </c>
    </row>
    <row r="895" spans="1:8" x14ac:dyDescent="0.3">
      <c r="A895" t="s">
        <v>352</v>
      </c>
      <c r="B895">
        <f>IFERROR(INDEX(MASTER_REGISTER!C:C,MATCH(C895,MASTER_REGISTER!E:E,0)),"")</f>
        <v>12</v>
      </c>
      <c r="C895" t="s">
        <v>300</v>
      </c>
      <c r="D895" t="str">
        <f>IFERROR(INDEX(MASTER_REGISTER!F:F,MATCH(C895,MASTER_REGISTER!E:E,0)),"")</f>
        <v>Neo Ramushu</v>
      </c>
      <c r="E895" t="s">
        <v>337</v>
      </c>
      <c r="F895" t="s">
        <v>338</v>
      </c>
      <c r="G895" t="s">
        <v>339</v>
      </c>
    </row>
    <row r="896" spans="1:8" x14ac:dyDescent="0.3">
      <c r="A896" t="s">
        <v>352</v>
      </c>
      <c r="B896">
        <f>IFERROR(INDEX(MASTER_REGISTER!C:C,MATCH(C896,MASTER_REGISTER!E:E,0)),"")</f>
        <v>12</v>
      </c>
      <c r="C896" t="s">
        <v>304</v>
      </c>
      <c r="D896" t="str">
        <f>IFERROR(INDEX(MASTER_REGISTER!F:F,MATCH(C896,MASTER_REGISTER!E:E,0)),"")</f>
        <v>Karabo Baloyi</v>
      </c>
      <c r="E896" t="s">
        <v>337</v>
      </c>
      <c r="F896" t="s">
        <v>338</v>
      </c>
      <c r="G896" t="s">
        <v>339</v>
      </c>
    </row>
    <row r="897" spans="1:8" x14ac:dyDescent="0.3">
      <c r="A897" t="s">
        <v>352</v>
      </c>
      <c r="B897">
        <f>IFERROR(INDEX(MASTER_REGISTER!C:C,MATCH(C897,MASTER_REGISTER!E:E,0)),"")</f>
        <v>12</v>
      </c>
      <c r="C897" t="s">
        <v>308</v>
      </c>
      <c r="D897" t="str">
        <f>IFERROR(INDEX(MASTER_REGISTER!F:F,MATCH(C897,MASTER_REGISTER!E:E,0)),"")</f>
        <v>Tshepo Mokgadi</v>
      </c>
      <c r="E897" t="s">
        <v>337</v>
      </c>
      <c r="F897" t="s">
        <v>338</v>
      </c>
      <c r="G897" t="s">
        <v>339</v>
      </c>
    </row>
    <row r="898" spans="1:8" x14ac:dyDescent="0.3">
      <c r="A898" t="s">
        <v>352</v>
      </c>
      <c r="B898">
        <f>IFERROR(INDEX(MASTER_REGISTER!C:C,MATCH(C898,MASTER_REGISTER!E:E,0)),"")</f>
        <v>12</v>
      </c>
      <c r="C898" t="s">
        <v>311</v>
      </c>
      <c r="D898" t="str">
        <f>IFERROR(INDEX(MASTER_REGISTER!F:F,MATCH(C898,MASTER_REGISTER!E:E,0)),"")</f>
        <v>Sifiso Mavuso</v>
      </c>
      <c r="E898" t="s">
        <v>335</v>
      </c>
      <c r="H898" t="s">
        <v>336</v>
      </c>
    </row>
    <row r="899" spans="1:8" x14ac:dyDescent="0.3">
      <c r="A899" t="s">
        <v>352</v>
      </c>
      <c r="B899">
        <f>IFERROR(INDEX(MASTER_REGISTER!C:C,MATCH(C899,MASTER_REGISTER!E:E,0)),"")</f>
        <v>12</v>
      </c>
      <c r="C899" t="s">
        <v>315</v>
      </c>
      <c r="D899" t="str">
        <f>IFERROR(INDEX(MASTER_REGISTER!F:F,MATCH(C899,MASTER_REGISTER!E:E,0)),"")</f>
        <v>Refilwe Sithole</v>
      </c>
      <c r="E899" t="s">
        <v>337</v>
      </c>
      <c r="F899" t="s">
        <v>338</v>
      </c>
      <c r="G899" t="s">
        <v>339</v>
      </c>
    </row>
    <row r="900" spans="1:8" x14ac:dyDescent="0.3">
      <c r="A900" t="s">
        <v>352</v>
      </c>
      <c r="B900">
        <f>IFERROR(INDEX(MASTER_REGISTER!C:C,MATCH(C900,MASTER_REGISTER!E:E,0)),"")</f>
        <v>12</v>
      </c>
      <c r="C900" t="s">
        <v>319</v>
      </c>
      <c r="D900" t="str">
        <f>IFERROR(INDEX(MASTER_REGISTER!F:F,MATCH(C900,MASTER_REGISTER!E:E,0)),"")</f>
        <v>Lerato Sithole</v>
      </c>
      <c r="E900" t="s">
        <v>337</v>
      </c>
      <c r="F900" t="s">
        <v>338</v>
      </c>
      <c r="G900" t="s">
        <v>339</v>
      </c>
    </row>
    <row r="901" spans="1:8" x14ac:dyDescent="0.3">
      <c r="A901" t="s">
        <v>352</v>
      </c>
      <c r="B901">
        <f>IFERROR(INDEX(MASTER_REGISTER!C:C,MATCH(C901,MASTER_REGISTER!E:E,0)),"")</f>
        <v>12</v>
      </c>
      <c r="C901" t="s">
        <v>323</v>
      </c>
      <c r="D901" t="str">
        <f>IFERROR(INDEX(MASTER_REGISTER!F:F,MATCH(C901,MASTER_REGISTER!E:E,0)),"")</f>
        <v>Sibusiso Ngobeni</v>
      </c>
      <c r="E901" t="s">
        <v>337</v>
      </c>
      <c r="F901" t="s">
        <v>338</v>
      </c>
      <c r="G901" t="s">
        <v>339</v>
      </c>
    </row>
    <row r="902" spans="1:8" x14ac:dyDescent="0.3">
      <c r="A902" t="s">
        <v>353</v>
      </c>
      <c r="B902">
        <f>IFERROR(INDEX(MASTER_REGISTER!C:C,MATCH(C902,MASTER_REGISTER!E:E,0)),"")</f>
        <v>8</v>
      </c>
      <c r="C902" t="s">
        <v>50</v>
      </c>
      <c r="D902" t="str">
        <f>IFERROR(INDEX(MASTER_REGISTER!F:F,MATCH(C902,MASTER_REGISTER!E:E,0)),"")</f>
        <v>Lerato Nkosi</v>
      </c>
      <c r="E902" t="s">
        <v>337</v>
      </c>
      <c r="F902" t="s">
        <v>338</v>
      </c>
      <c r="G902" t="s">
        <v>339</v>
      </c>
    </row>
    <row r="903" spans="1:8" x14ac:dyDescent="0.3">
      <c r="A903" t="s">
        <v>353</v>
      </c>
      <c r="B903">
        <f>IFERROR(INDEX(MASTER_REGISTER!C:C,MATCH(C903,MASTER_REGISTER!E:E,0)),"")</f>
        <v>8</v>
      </c>
      <c r="C903" t="s">
        <v>58</v>
      </c>
      <c r="D903" t="str">
        <f>IFERROR(INDEX(MASTER_REGISTER!F:F,MATCH(C903,MASTER_REGISTER!E:E,0)),"")</f>
        <v>Karabo Maseko</v>
      </c>
      <c r="E903" t="s">
        <v>337</v>
      </c>
      <c r="F903" t="s">
        <v>338</v>
      </c>
      <c r="G903" t="s">
        <v>339</v>
      </c>
    </row>
    <row r="904" spans="1:8" x14ac:dyDescent="0.3">
      <c r="A904" t="s">
        <v>353</v>
      </c>
      <c r="B904">
        <f>IFERROR(INDEX(MASTER_REGISTER!C:C,MATCH(C904,MASTER_REGISTER!E:E,0)),"")</f>
        <v>8</v>
      </c>
      <c r="C904" t="s">
        <v>64</v>
      </c>
      <c r="D904" t="str">
        <f>IFERROR(INDEX(MASTER_REGISTER!F:F,MATCH(C904,MASTER_REGISTER!E:E,0)),"")</f>
        <v>Sifiso Sithole</v>
      </c>
      <c r="E904" t="s">
        <v>337</v>
      </c>
      <c r="F904" t="s">
        <v>338</v>
      </c>
      <c r="G904" t="s">
        <v>339</v>
      </c>
    </row>
    <row r="905" spans="1:8" x14ac:dyDescent="0.3">
      <c r="A905" t="s">
        <v>353</v>
      </c>
      <c r="B905">
        <f>IFERROR(INDEX(MASTER_REGISTER!C:C,MATCH(C905,MASTER_REGISTER!E:E,0)),"")</f>
        <v>8</v>
      </c>
      <c r="C905" t="s">
        <v>70</v>
      </c>
      <c r="D905" t="str">
        <f>IFERROR(INDEX(MASTER_REGISTER!F:F,MATCH(C905,MASTER_REGISTER!E:E,0)),"")</f>
        <v>Tshepo Ndlovu</v>
      </c>
      <c r="E905" t="s">
        <v>337</v>
      </c>
      <c r="F905" t="s">
        <v>338</v>
      </c>
      <c r="G905" t="s">
        <v>339</v>
      </c>
    </row>
    <row r="906" spans="1:8" x14ac:dyDescent="0.3">
      <c r="A906" t="s">
        <v>353</v>
      </c>
      <c r="B906">
        <f>IFERROR(INDEX(MASTER_REGISTER!C:C,MATCH(C906,MASTER_REGISTER!E:E,0)),"")</f>
        <v>8</v>
      </c>
      <c r="C906" t="s">
        <v>76</v>
      </c>
      <c r="D906" t="str">
        <f>IFERROR(INDEX(MASTER_REGISTER!F:F,MATCH(C906,MASTER_REGISTER!E:E,0)),"")</f>
        <v>Lwazi Mthembu</v>
      </c>
      <c r="E906" t="s">
        <v>337</v>
      </c>
      <c r="F906" t="s">
        <v>338</v>
      </c>
      <c r="G906" t="s">
        <v>339</v>
      </c>
    </row>
    <row r="907" spans="1:8" x14ac:dyDescent="0.3">
      <c r="A907" t="s">
        <v>353</v>
      </c>
      <c r="B907">
        <f>IFERROR(INDEX(MASTER_REGISTER!C:C,MATCH(C907,MASTER_REGISTER!E:E,0)),"")</f>
        <v>8</v>
      </c>
      <c r="C907" t="s">
        <v>82</v>
      </c>
      <c r="D907" t="str">
        <f>IFERROR(INDEX(MASTER_REGISTER!F:F,MATCH(C907,MASTER_REGISTER!E:E,0)),"")</f>
        <v>Karabo Ngobeni</v>
      </c>
      <c r="E907" t="s">
        <v>335</v>
      </c>
      <c r="H907" t="s">
        <v>342</v>
      </c>
    </row>
    <row r="908" spans="1:8" x14ac:dyDescent="0.3">
      <c r="A908" t="s">
        <v>353</v>
      </c>
      <c r="B908">
        <f>IFERROR(INDEX(MASTER_REGISTER!C:C,MATCH(C908,MASTER_REGISTER!E:E,0)),"")</f>
        <v>8</v>
      </c>
      <c r="C908" t="s">
        <v>88</v>
      </c>
      <c r="D908" t="str">
        <f>IFERROR(INDEX(MASTER_REGISTER!F:F,MATCH(C908,MASTER_REGISTER!E:E,0)),"")</f>
        <v>Mpho Sithole</v>
      </c>
      <c r="E908" t="s">
        <v>337</v>
      </c>
      <c r="F908" t="s">
        <v>338</v>
      </c>
      <c r="G908" t="s">
        <v>339</v>
      </c>
    </row>
    <row r="909" spans="1:8" x14ac:dyDescent="0.3">
      <c r="A909" t="s">
        <v>353</v>
      </c>
      <c r="B909">
        <f>IFERROR(INDEX(MASTER_REGISTER!C:C,MATCH(C909,MASTER_REGISTER!E:E,0)),"")</f>
        <v>8</v>
      </c>
      <c r="C909" t="s">
        <v>94</v>
      </c>
      <c r="D909" t="str">
        <f>IFERROR(INDEX(MASTER_REGISTER!F:F,MATCH(C909,MASTER_REGISTER!E:E,0)),"")</f>
        <v>Tshepo Ramushu</v>
      </c>
      <c r="E909" t="s">
        <v>337</v>
      </c>
      <c r="F909" t="s">
        <v>338</v>
      </c>
      <c r="G909" t="s">
        <v>339</v>
      </c>
    </row>
    <row r="910" spans="1:8" x14ac:dyDescent="0.3">
      <c r="A910" t="s">
        <v>353</v>
      </c>
      <c r="B910">
        <f>IFERROR(INDEX(MASTER_REGISTER!C:C,MATCH(C910,MASTER_REGISTER!E:E,0)),"")</f>
        <v>8</v>
      </c>
      <c r="C910" t="s">
        <v>100</v>
      </c>
      <c r="D910" t="str">
        <f>IFERROR(INDEX(MASTER_REGISTER!F:F,MATCH(C910,MASTER_REGISTER!E:E,0)),"")</f>
        <v>Lerato Kekana</v>
      </c>
      <c r="E910" t="s">
        <v>337</v>
      </c>
      <c r="F910" t="s">
        <v>338</v>
      </c>
      <c r="G910" t="s">
        <v>339</v>
      </c>
    </row>
    <row r="911" spans="1:8" x14ac:dyDescent="0.3">
      <c r="A911" t="s">
        <v>353</v>
      </c>
      <c r="B911">
        <f>IFERROR(INDEX(MASTER_REGISTER!C:C,MATCH(C911,MASTER_REGISTER!E:E,0)),"")</f>
        <v>8</v>
      </c>
      <c r="C911" t="s">
        <v>106</v>
      </c>
      <c r="D911" t="str">
        <f>IFERROR(INDEX(MASTER_REGISTER!F:F,MATCH(C911,MASTER_REGISTER!E:E,0)),"")</f>
        <v>Neo Ngobeni</v>
      </c>
      <c r="E911" t="s">
        <v>337</v>
      </c>
      <c r="F911" t="s">
        <v>338</v>
      </c>
      <c r="G911" t="s">
        <v>339</v>
      </c>
    </row>
    <row r="912" spans="1:8" x14ac:dyDescent="0.3">
      <c r="A912" t="s">
        <v>353</v>
      </c>
      <c r="B912">
        <f>IFERROR(INDEX(MASTER_REGISTER!C:C,MATCH(C912,MASTER_REGISTER!E:E,0)),"")</f>
        <v>8</v>
      </c>
      <c r="C912" t="s">
        <v>112</v>
      </c>
      <c r="D912" t="str">
        <f>IFERROR(INDEX(MASTER_REGISTER!F:F,MATCH(C912,MASTER_REGISTER!E:E,0)),"")</f>
        <v>Thabo Mokgadi</v>
      </c>
      <c r="E912" t="s">
        <v>337</v>
      </c>
      <c r="F912" t="s">
        <v>338</v>
      </c>
      <c r="G912" t="s">
        <v>339</v>
      </c>
    </row>
    <row r="913" spans="1:8" x14ac:dyDescent="0.3">
      <c r="A913" t="s">
        <v>353</v>
      </c>
      <c r="B913">
        <f>IFERROR(INDEX(MASTER_REGISTER!C:C,MATCH(C913,MASTER_REGISTER!E:E,0)),"")</f>
        <v>8</v>
      </c>
      <c r="C913" t="s">
        <v>118</v>
      </c>
      <c r="D913" t="str">
        <f>IFERROR(INDEX(MASTER_REGISTER!F:F,MATCH(C913,MASTER_REGISTER!E:E,0)),"")</f>
        <v>Sifiso Mthembu</v>
      </c>
      <c r="E913" t="s">
        <v>335</v>
      </c>
      <c r="H913" t="s">
        <v>340</v>
      </c>
    </row>
    <row r="914" spans="1:8" x14ac:dyDescent="0.3">
      <c r="A914" t="s">
        <v>353</v>
      </c>
      <c r="B914">
        <f>IFERROR(INDEX(MASTER_REGISTER!C:C,MATCH(C914,MASTER_REGISTER!E:E,0)),"")</f>
        <v>9</v>
      </c>
      <c r="C914" t="s">
        <v>123</v>
      </c>
      <c r="D914" t="str">
        <f>IFERROR(INDEX(MASTER_REGISTER!F:F,MATCH(C914,MASTER_REGISTER!E:E,0)),"")</f>
        <v>Karabo Phiri</v>
      </c>
      <c r="E914" t="s">
        <v>337</v>
      </c>
      <c r="F914" t="s">
        <v>338</v>
      </c>
      <c r="G914" t="s">
        <v>339</v>
      </c>
    </row>
    <row r="915" spans="1:8" x14ac:dyDescent="0.3">
      <c r="A915" t="s">
        <v>353</v>
      </c>
      <c r="B915">
        <f>IFERROR(INDEX(MASTER_REGISTER!C:C,MATCH(C915,MASTER_REGISTER!E:E,0)),"")</f>
        <v>9</v>
      </c>
      <c r="C915" t="s">
        <v>128</v>
      </c>
      <c r="D915" t="str">
        <f>IFERROR(INDEX(MASTER_REGISTER!F:F,MATCH(C915,MASTER_REGISTER!E:E,0)),"")</f>
        <v>Lerato Mahlangu</v>
      </c>
      <c r="E915" t="s">
        <v>337</v>
      </c>
      <c r="F915" t="s">
        <v>338</v>
      </c>
      <c r="G915" t="s">
        <v>339</v>
      </c>
    </row>
    <row r="916" spans="1:8" x14ac:dyDescent="0.3">
      <c r="A916" t="s">
        <v>353</v>
      </c>
      <c r="B916">
        <f>IFERROR(INDEX(MASTER_REGISTER!C:C,MATCH(C916,MASTER_REGISTER!E:E,0)),"")</f>
        <v>9</v>
      </c>
      <c r="C916" t="s">
        <v>133</v>
      </c>
      <c r="D916" t="str">
        <f>IFERROR(INDEX(MASTER_REGISTER!F:F,MATCH(C916,MASTER_REGISTER!E:E,0)),"")</f>
        <v>Mpho Kekana</v>
      </c>
      <c r="E916" t="s">
        <v>337</v>
      </c>
      <c r="F916" t="s">
        <v>338</v>
      </c>
      <c r="G916" t="s">
        <v>339</v>
      </c>
    </row>
    <row r="917" spans="1:8" x14ac:dyDescent="0.3">
      <c r="A917" t="s">
        <v>353</v>
      </c>
      <c r="B917">
        <f>IFERROR(INDEX(MASTER_REGISTER!C:C,MATCH(C917,MASTER_REGISTER!E:E,0)),"")</f>
        <v>9</v>
      </c>
      <c r="C917" t="s">
        <v>138</v>
      </c>
      <c r="D917" t="str">
        <f>IFERROR(INDEX(MASTER_REGISTER!F:F,MATCH(C917,MASTER_REGISTER!E:E,0)),"")</f>
        <v>Thabo Molefe</v>
      </c>
      <c r="E917" t="s">
        <v>337</v>
      </c>
      <c r="F917" t="s">
        <v>338</v>
      </c>
      <c r="G917" t="s">
        <v>339</v>
      </c>
    </row>
    <row r="918" spans="1:8" x14ac:dyDescent="0.3">
      <c r="A918" t="s">
        <v>353</v>
      </c>
      <c r="B918">
        <f>IFERROR(INDEX(MASTER_REGISTER!C:C,MATCH(C918,MASTER_REGISTER!E:E,0)),"")</f>
        <v>9</v>
      </c>
      <c r="C918" t="s">
        <v>143</v>
      </c>
      <c r="D918" t="str">
        <f>IFERROR(INDEX(MASTER_REGISTER!F:F,MATCH(C918,MASTER_REGISTER!E:E,0)),"")</f>
        <v>Mpho Ngobeni</v>
      </c>
      <c r="E918" t="s">
        <v>337</v>
      </c>
      <c r="F918" t="s">
        <v>338</v>
      </c>
      <c r="G918" t="s">
        <v>339</v>
      </c>
    </row>
    <row r="919" spans="1:8" x14ac:dyDescent="0.3">
      <c r="A919" t="s">
        <v>353</v>
      </c>
      <c r="B919">
        <f>IFERROR(INDEX(MASTER_REGISTER!C:C,MATCH(C919,MASTER_REGISTER!E:E,0)),"")</f>
        <v>9</v>
      </c>
      <c r="C919" t="s">
        <v>148</v>
      </c>
      <c r="D919" t="str">
        <f>IFERROR(INDEX(MASTER_REGISTER!F:F,MATCH(C919,MASTER_REGISTER!E:E,0)),"")</f>
        <v>Siyanda Mhlongo</v>
      </c>
      <c r="E919" t="s">
        <v>337</v>
      </c>
      <c r="F919" t="s">
        <v>338</v>
      </c>
      <c r="G919" t="s">
        <v>339</v>
      </c>
    </row>
    <row r="920" spans="1:8" x14ac:dyDescent="0.3">
      <c r="A920" t="s">
        <v>353</v>
      </c>
      <c r="B920">
        <f>IFERROR(INDEX(MASTER_REGISTER!C:C,MATCH(C920,MASTER_REGISTER!E:E,0)),"")</f>
        <v>9</v>
      </c>
      <c r="C920" t="s">
        <v>153</v>
      </c>
      <c r="D920" t="str">
        <f>IFERROR(INDEX(MASTER_REGISTER!F:F,MATCH(C920,MASTER_REGISTER!E:E,0)),"")</f>
        <v>Siyanda Mahlangu</v>
      </c>
      <c r="E920" t="s">
        <v>337</v>
      </c>
      <c r="F920" t="s">
        <v>338</v>
      </c>
      <c r="G920" t="s">
        <v>339</v>
      </c>
    </row>
    <row r="921" spans="1:8" x14ac:dyDescent="0.3">
      <c r="A921" t="s">
        <v>353</v>
      </c>
      <c r="B921">
        <f>IFERROR(INDEX(MASTER_REGISTER!C:C,MATCH(C921,MASTER_REGISTER!E:E,0)),"")</f>
        <v>9</v>
      </c>
      <c r="C921" t="s">
        <v>158</v>
      </c>
      <c r="D921" t="str">
        <f>IFERROR(INDEX(MASTER_REGISTER!F:F,MATCH(C921,MASTER_REGISTER!E:E,0)),"")</f>
        <v>Sifiso Ramushu</v>
      </c>
      <c r="E921" t="s">
        <v>337</v>
      </c>
      <c r="F921" t="s">
        <v>338</v>
      </c>
      <c r="G921" t="s">
        <v>339</v>
      </c>
    </row>
    <row r="922" spans="1:8" x14ac:dyDescent="0.3">
      <c r="A922" t="s">
        <v>353</v>
      </c>
      <c r="B922">
        <f>IFERROR(INDEX(MASTER_REGISTER!C:C,MATCH(C922,MASTER_REGISTER!E:E,0)),"")</f>
        <v>9</v>
      </c>
      <c r="C922" t="s">
        <v>163</v>
      </c>
      <c r="D922" t="str">
        <f>IFERROR(INDEX(MASTER_REGISTER!F:F,MATCH(C922,MASTER_REGISTER!E:E,0)),"")</f>
        <v>Nandi Ngobeni</v>
      </c>
      <c r="E922" t="s">
        <v>337</v>
      </c>
      <c r="F922" t="s">
        <v>338</v>
      </c>
      <c r="G922" t="s">
        <v>339</v>
      </c>
    </row>
    <row r="923" spans="1:8" x14ac:dyDescent="0.3">
      <c r="A923" t="s">
        <v>353</v>
      </c>
      <c r="B923">
        <f>IFERROR(INDEX(MASTER_REGISTER!C:C,MATCH(C923,MASTER_REGISTER!E:E,0)),"")</f>
        <v>9</v>
      </c>
      <c r="C923" t="s">
        <v>168</v>
      </c>
      <c r="D923" t="str">
        <f>IFERROR(INDEX(MASTER_REGISTER!F:F,MATCH(C923,MASTER_REGISTER!E:E,0)),"")</f>
        <v>Karabo Mokgadi</v>
      </c>
      <c r="E923" t="s">
        <v>337</v>
      </c>
      <c r="F923" t="s">
        <v>338</v>
      </c>
      <c r="G923" t="s">
        <v>339</v>
      </c>
    </row>
    <row r="924" spans="1:8" x14ac:dyDescent="0.3">
      <c r="A924" t="s">
        <v>353</v>
      </c>
      <c r="B924">
        <f>IFERROR(INDEX(MASTER_REGISTER!C:C,MATCH(C924,MASTER_REGISTER!E:E,0)),"")</f>
        <v>9</v>
      </c>
      <c r="C924" t="s">
        <v>173</v>
      </c>
      <c r="D924" t="str">
        <f>IFERROR(INDEX(MASTER_REGISTER!F:F,MATCH(C924,MASTER_REGISTER!E:E,0)),"")</f>
        <v>Sifiso Mahlangu</v>
      </c>
      <c r="E924" t="s">
        <v>337</v>
      </c>
      <c r="F924" t="s">
        <v>338</v>
      </c>
      <c r="G924" t="s">
        <v>339</v>
      </c>
    </row>
    <row r="925" spans="1:8" x14ac:dyDescent="0.3">
      <c r="A925" t="s">
        <v>353</v>
      </c>
      <c r="B925">
        <f>IFERROR(INDEX(MASTER_REGISTER!C:C,MATCH(C925,MASTER_REGISTER!E:E,0)),"")</f>
        <v>9</v>
      </c>
      <c r="C925" t="s">
        <v>178</v>
      </c>
      <c r="D925" t="str">
        <f>IFERROR(INDEX(MASTER_REGISTER!F:F,MATCH(C925,MASTER_REGISTER!E:E,0)),"")</f>
        <v>Kgothatso Radebe</v>
      </c>
      <c r="E925" t="s">
        <v>337</v>
      </c>
      <c r="F925" t="s">
        <v>338</v>
      </c>
      <c r="G925" t="s">
        <v>339</v>
      </c>
    </row>
    <row r="926" spans="1:8" x14ac:dyDescent="0.3">
      <c r="A926" t="s">
        <v>353</v>
      </c>
      <c r="B926">
        <f>IFERROR(INDEX(MASTER_REGISTER!C:C,MATCH(C926,MASTER_REGISTER!E:E,0)),"")</f>
        <v>10</v>
      </c>
      <c r="C926" t="s">
        <v>183</v>
      </c>
      <c r="D926" t="str">
        <f>IFERROR(INDEX(MASTER_REGISTER!F:F,MATCH(C926,MASTER_REGISTER!E:E,0)),"")</f>
        <v>Lerato Maseko</v>
      </c>
      <c r="E926" t="s">
        <v>337</v>
      </c>
      <c r="F926" t="s">
        <v>338</v>
      </c>
      <c r="G926" t="s">
        <v>339</v>
      </c>
    </row>
    <row r="927" spans="1:8" x14ac:dyDescent="0.3">
      <c r="A927" t="s">
        <v>353</v>
      </c>
      <c r="B927">
        <f>IFERROR(INDEX(MASTER_REGISTER!C:C,MATCH(C927,MASTER_REGISTER!E:E,0)),"")</f>
        <v>10</v>
      </c>
      <c r="C927" t="s">
        <v>188</v>
      </c>
      <c r="D927" t="str">
        <f>IFERROR(INDEX(MASTER_REGISTER!F:F,MATCH(C927,MASTER_REGISTER!E:E,0)),"")</f>
        <v>Sibusiso Molefe</v>
      </c>
      <c r="E927" t="s">
        <v>337</v>
      </c>
      <c r="F927" t="s">
        <v>338</v>
      </c>
      <c r="G927" t="s">
        <v>339</v>
      </c>
    </row>
    <row r="928" spans="1:8" x14ac:dyDescent="0.3">
      <c r="A928" t="s">
        <v>353</v>
      </c>
      <c r="B928">
        <f>IFERROR(INDEX(MASTER_REGISTER!C:C,MATCH(C928,MASTER_REGISTER!E:E,0)),"")</f>
        <v>10</v>
      </c>
      <c r="C928" t="s">
        <v>193</v>
      </c>
      <c r="D928" t="str">
        <f>IFERROR(INDEX(MASTER_REGISTER!F:F,MATCH(C928,MASTER_REGISTER!E:E,0)),"")</f>
        <v>Nandi Molefe</v>
      </c>
      <c r="E928" t="s">
        <v>337</v>
      </c>
      <c r="F928" t="s">
        <v>338</v>
      </c>
      <c r="G928" t="s">
        <v>339</v>
      </c>
    </row>
    <row r="929" spans="1:8" x14ac:dyDescent="0.3">
      <c r="A929" t="s">
        <v>353</v>
      </c>
      <c r="B929">
        <f>IFERROR(INDEX(MASTER_REGISTER!C:C,MATCH(C929,MASTER_REGISTER!E:E,0)),"")</f>
        <v>10</v>
      </c>
      <c r="C929" t="s">
        <v>198</v>
      </c>
      <c r="D929" t="str">
        <f>IFERROR(INDEX(MASTER_REGISTER!F:F,MATCH(C929,MASTER_REGISTER!E:E,0)),"")</f>
        <v>Kgothatso Baloyi</v>
      </c>
      <c r="E929" t="s">
        <v>337</v>
      </c>
      <c r="F929" t="s">
        <v>338</v>
      </c>
      <c r="G929" t="s">
        <v>339</v>
      </c>
    </row>
    <row r="930" spans="1:8" x14ac:dyDescent="0.3">
      <c r="A930" t="s">
        <v>353</v>
      </c>
      <c r="B930">
        <f>IFERROR(INDEX(MASTER_REGISTER!C:C,MATCH(C930,MASTER_REGISTER!E:E,0)),"")</f>
        <v>10</v>
      </c>
      <c r="C930" t="s">
        <v>202</v>
      </c>
      <c r="D930" t="str">
        <f>IFERROR(INDEX(MASTER_REGISTER!F:F,MATCH(C930,MASTER_REGISTER!E:E,0)),"")</f>
        <v>Ayanda Mokoena</v>
      </c>
      <c r="E930" t="s">
        <v>337</v>
      </c>
      <c r="F930" t="s">
        <v>338</v>
      </c>
      <c r="G930" t="s">
        <v>339</v>
      </c>
    </row>
    <row r="931" spans="1:8" x14ac:dyDescent="0.3">
      <c r="A931" t="s">
        <v>353</v>
      </c>
      <c r="B931">
        <f>IFERROR(INDEX(MASTER_REGISTER!C:C,MATCH(C931,MASTER_REGISTER!E:E,0)),"")</f>
        <v>10</v>
      </c>
      <c r="C931" t="s">
        <v>206</v>
      </c>
      <c r="D931" t="str">
        <f>IFERROR(INDEX(MASTER_REGISTER!F:F,MATCH(C931,MASTER_REGISTER!E:E,0)),"")</f>
        <v>Lwazi Baloyi</v>
      </c>
      <c r="E931" t="s">
        <v>337</v>
      </c>
      <c r="F931" t="s">
        <v>338</v>
      </c>
      <c r="G931" t="s">
        <v>339</v>
      </c>
    </row>
    <row r="932" spans="1:8" x14ac:dyDescent="0.3">
      <c r="A932" t="s">
        <v>353</v>
      </c>
      <c r="B932">
        <f>IFERROR(INDEX(MASTER_REGISTER!C:C,MATCH(C932,MASTER_REGISTER!E:E,0)),"")</f>
        <v>10</v>
      </c>
      <c r="C932" t="s">
        <v>210</v>
      </c>
      <c r="D932" t="str">
        <f>IFERROR(INDEX(MASTER_REGISTER!F:F,MATCH(C932,MASTER_REGISTER!E:E,0)),"")</f>
        <v>Siyanda Mokoena</v>
      </c>
      <c r="E932" t="s">
        <v>337</v>
      </c>
      <c r="F932" t="s">
        <v>338</v>
      </c>
      <c r="G932" t="s">
        <v>339</v>
      </c>
    </row>
    <row r="933" spans="1:8" x14ac:dyDescent="0.3">
      <c r="A933" t="s">
        <v>353</v>
      </c>
      <c r="B933">
        <f>IFERROR(INDEX(MASTER_REGISTER!C:C,MATCH(C933,MASTER_REGISTER!E:E,0)),"")</f>
        <v>10</v>
      </c>
      <c r="C933" t="s">
        <v>214</v>
      </c>
      <c r="D933" t="str">
        <f>IFERROR(INDEX(MASTER_REGISTER!F:F,MATCH(C933,MASTER_REGISTER!E:E,0)),"")</f>
        <v>Mpho Ngobeni</v>
      </c>
      <c r="E933" t="s">
        <v>337</v>
      </c>
      <c r="F933" t="s">
        <v>338</v>
      </c>
      <c r="G933" t="s">
        <v>339</v>
      </c>
    </row>
    <row r="934" spans="1:8" x14ac:dyDescent="0.3">
      <c r="A934" t="s">
        <v>353</v>
      </c>
      <c r="B934">
        <f>IFERROR(INDEX(MASTER_REGISTER!C:C,MATCH(C934,MASTER_REGISTER!E:E,0)),"")</f>
        <v>10</v>
      </c>
      <c r="C934" t="s">
        <v>217</v>
      </c>
      <c r="D934" t="str">
        <f>IFERROR(INDEX(MASTER_REGISTER!F:F,MATCH(C934,MASTER_REGISTER!E:E,0)),"")</f>
        <v>Naledi Makhubela</v>
      </c>
      <c r="E934" t="s">
        <v>337</v>
      </c>
      <c r="F934" t="s">
        <v>338</v>
      </c>
      <c r="G934" t="s">
        <v>339</v>
      </c>
    </row>
    <row r="935" spans="1:8" x14ac:dyDescent="0.3">
      <c r="A935" t="s">
        <v>353</v>
      </c>
      <c r="B935">
        <f>IFERROR(INDEX(MASTER_REGISTER!C:C,MATCH(C935,MASTER_REGISTER!E:E,0)),"")</f>
        <v>10</v>
      </c>
      <c r="C935" t="s">
        <v>221</v>
      </c>
      <c r="D935" t="str">
        <f>IFERROR(INDEX(MASTER_REGISTER!F:F,MATCH(C935,MASTER_REGISTER!E:E,0)),"")</f>
        <v>Kgothatso Mokoena</v>
      </c>
      <c r="E935" t="s">
        <v>337</v>
      </c>
      <c r="F935" t="s">
        <v>338</v>
      </c>
      <c r="G935" t="s">
        <v>339</v>
      </c>
    </row>
    <row r="936" spans="1:8" x14ac:dyDescent="0.3">
      <c r="A936" t="s">
        <v>353</v>
      </c>
      <c r="B936">
        <f>IFERROR(INDEX(MASTER_REGISTER!C:C,MATCH(C936,MASTER_REGISTER!E:E,0)),"")</f>
        <v>10</v>
      </c>
      <c r="C936" t="s">
        <v>225</v>
      </c>
      <c r="D936" t="str">
        <f>IFERROR(INDEX(MASTER_REGISTER!F:F,MATCH(C936,MASTER_REGISTER!E:E,0)),"")</f>
        <v>Bongani Makhubela</v>
      </c>
      <c r="E936" t="s">
        <v>337</v>
      </c>
      <c r="F936" t="s">
        <v>338</v>
      </c>
      <c r="G936" t="s">
        <v>339</v>
      </c>
    </row>
    <row r="937" spans="1:8" x14ac:dyDescent="0.3">
      <c r="A937" t="s">
        <v>353</v>
      </c>
      <c r="B937">
        <f>IFERROR(INDEX(MASTER_REGISTER!C:C,MATCH(C937,MASTER_REGISTER!E:E,0)),"")</f>
        <v>10</v>
      </c>
      <c r="C937" t="s">
        <v>229</v>
      </c>
      <c r="D937" t="str">
        <f>IFERROR(INDEX(MASTER_REGISTER!F:F,MATCH(C937,MASTER_REGISTER!E:E,0)),"")</f>
        <v>Kagiso Kekana</v>
      </c>
      <c r="E937" t="s">
        <v>337</v>
      </c>
      <c r="F937" t="s">
        <v>338</v>
      </c>
      <c r="G937" t="s">
        <v>339</v>
      </c>
    </row>
    <row r="938" spans="1:8" x14ac:dyDescent="0.3">
      <c r="A938" t="s">
        <v>353</v>
      </c>
      <c r="B938">
        <f>IFERROR(INDEX(MASTER_REGISTER!C:C,MATCH(C938,MASTER_REGISTER!E:E,0)),"")</f>
        <v>11</v>
      </c>
      <c r="C938" t="s">
        <v>233</v>
      </c>
      <c r="D938" t="str">
        <f>IFERROR(INDEX(MASTER_REGISTER!F:F,MATCH(C938,MASTER_REGISTER!E:E,0)),"")</f>
        <v>Lwazi Makhubela</v>
      </c>
      <c r="E938" t="s">
        <v>335</v>
      </c>
      <c r="H938" t="s">
        <v>342</v>
      </c>
    </row>
    <row r="939" spans="1:8" x14ac:dyDescent="0.3">
      <c r="A939" t="s">
        <v>353</v>
      </c>
      <c r="B939">
        <f>IFERROR(INDEX(MASTER_REGISTER!C:C,MATCH(C939,MASTER_REGISTER!E:E,0)),"")</f>
        <v>11</v>
      </c>
      <c r="C939" t="s">
        <v>237</v>
      </c>
      <c r="D939" t="str">
        <f>IFERROR(INDEX(MASTER_REGISTER!F:F,MATCH(C939,MASTER_REGISTER!E:E,0)),"")</f>
        <v>Lebogang Ramushu</v>
      </c>
      <c r="E939" t="s">
        <v>337</v>
      </c>
      <c r="F939" t="s">
        <v>338</v>
      </c>
      <c r="G939" t="s">
        <v>339</v>
      </c>
    </row>
    <row r="940" spans="1:8" x14ac:dyDescent="0.3">
      <c r="A940" t="s">
        <v>353</v>
      </c>
      <c r="B940">
        <f>IFERROR(INDEX(MASTER_REGISTER!C:C,MATCH(C940,MASTER_REGISTER!E:E,0)),"")</f>
        <v>11</v>
      </c>
      <c r="C940" t="s">
        <v>241</v>
      </c>
      <c r="D940" t="str">
        <f>IFERROR(INDEX(MASTER_REGISTER!F:F,MATCH(C940,MASTER_REGISTER!E:E,0)),"")</f>
        <v>Lerato Kekana</v>
      </c>
      <c r="E940" t="s">
        <v>337</v>
      </c>
      <c r="F940" t="s">
        <v>338</v>
      </c>
      <c r="G940" t="s">
        <v>339</v>
      </c>
    </row>
    <row r="941" spans="1:8" x14ac:dyDescent="0.3">
      <c r="A941" t="s">
        <v>353</v>
      </c>
      <c r="B941">
        <f>IFERROR(INDEX(MASTER_REGISTER!C:C,MATCH(C941,MASTER_REGISTER!E:E,0)),"")</f>
        <v>11</v>
      </c>
      <c r="C941" t="s">
        <v>244</v>
      </c>
      <c r="D941" t="str">
        <f>IFERROR(INDEX(MASTER_REGISTER!F:F,MATCH(C941,MASTER_REGISTER!E:E,0)),"")</f>
        <v>Bongani Ndlovu</v>
      </c>
      <c r="E941" t="s">
        <v>337</v>
      </c>
      <c r="F941" t="s">
        <v>338</v>
      </c>
      <c r="G941" t="s">
        <v>339</v>
      </c>
    </row>
    <row r="942" spans="1:8" x14ac:dyDescent="0.3">
      <c r="A942" t="s">
        <v>353</v>
      </c>
      <c r="B942">
        <f>IFERROR(INDEX(MASTER_REGISTER!C:C,MATCH(C942,MASTER_REGISTER!E:E,0)),"")</f>
        <v>11</v>
      </c>
      <c r="C942" t="s">
        <v>248</v>
      </c>
      <c r="D942" t="str">
        <f>IFERROR(INDEX(MASTER_REGISTER!F:F,MATCH(C942,MASTER_REGISTER!E:E,0)),"")</f>
        <v>Sifiso Dlamini</v>
      </c>
      <c r="E942" t="s">
        <v>337</v>
      </c>
      <c r="F942" t="s">
        <v>338</v>
      </c>
      <c r="G942" t="s">
        <v>339</v>
      </c>
    </row>
    <row r="943" spans="1:8" x14ac:dyDescent="0.3">
      <c r="A943" t="s">
        <v>353</v>
      </c>
      <c r="B943">
        <f>IFERROR(INDEX(MASTER_REGISTER!C:C,MATCH(C943,MASTER_REGISTER!E:E,0)),"")</f>
        <v>11</v>
      </c>
      <c r="C943" t="s">
        <v>252</v>
      </c>
      <c r="D943" t="str">
        <f>IFERROR(INDEX(MASTER_REGISTER!F:F,MATCH(C943,MASTER_REGISTER!E:E,0)),"")</f>
        <v>Refilwe Dlamini</v>
      </c>
      <c r="E943" t="s">
        <v>337</v>
      </c>
      <c r="F943" t="s">
        <v>338</v>
      </c>
      <c r="G943" t="s">
        <v>339</v>
      </c>
    </row>
    <row r="944" spans="1:8" x14ac:dyDescent="0.3">
      <c r="A944" t="s">
        <v>353</v>
      </c>
      <c r="B944">
        <f>IFERROR(INDEX(MASTER_REGISTER!C:C,MATCH(C944,MASTER_REGISTER!E:E,0)),"")</f>
        <v>11</v>
      </c>
      <c r="C944" t="s">
        <v>256</v>
      </c>
      <c r="D944" t="str">
        <f>IFERROR(INDEX(MASTER_REGISTER!F:F,MATCH(C944,MASTER_REGISTER!E:E,0)),"")</f>
        <v>Lwazi Maseko</v>
      </c>
      <c r="E944" t="s">
        <v>337</v>
      </c>
      <c r="F944" t="s">
        <v>338</v>
      </c>
      <c r="G944" t="s">
        <v>339</v>
      </c>
    </row>
    <row r="945" spans="1:8" x14ac:dyDescent="0.3">
      <c r="A945" t="s">
        <v>353</v>
      </c>
      <c r="B945">
        <f>IFERROR(INDEX(MASTER_REGISTER!C:C,MATCH(C945,MASTER_REGISTER!E:E,0)),"")</f>
        <v>11</v>
      </c>
      <c r="C945" t="s">
        <v>260</v>
      </c>
      <c r="D945" t="str">
        <f>IFERROR(INDEX(MASTER_REGISTER!F:F,MATCH(C945,MASTER_REGISTER!E:E,0)),"")</f>
        <v>Refilwe Mokgadi</v>
      </c>
      <c r="E945" t="s">
        <v>337</v>
      </c>
      <c r="F945" t="s">
        <v>338</v>
      </c>
      <c r="G945" t="s">
        <v>339</v>
      </c>
    </row>
    <row r="946" spans="1:8" x14ac:dyDescent="0.3">
      <c r="A946" t="s">
        <v>353</v>
      </c>
      <c r="B946">
        <f>IFERROR(INDEX(MASTER_REGISTER!C:C,MATCH(C946,MASTER_REGISTER!E:E,0)),"")</f>
        <v>11</v>
      </c>
      <c r="C946" t="s">
        <v>264</v>
      </c>
      <c r="D946" t="str">
        <f>IFERROR(INDEX(MASTER_REGISTER!F:F,MATCH(C946,MASTER_REGISTER!E:E,0)),"")</f>
        <v>Kgothatso Molefe</v>
      </c>
      <c r="E946" t="s">
        <v>337</v>
      </c>
      <c r="F946" t="s">
        <v>338</v>
      </c>
      <c r="G946" t="s">
        <v>339</v>
      </c>
    </row>
    <row r="947" spans="1:8" x14ac:dyDescent="0.3">
      <c r="A947" t="s">
        <v>353</v>
      </c>
      <c r="B947">
        <f>IFERROR(INDEX(MASTER_REGISTER!C:C,MATCH(C947,MASTER_REGISTER!E:E,0)),"")</f>
        <v>11</v>
      </c>
      <c r="C947" t="s">
        <v>268</v>
      </c>
      <c r="D947" t="str">
        <f>IFERROR(INDEX(MASTER_REGISTER!F:F,MATCH(C947,MASTER_REGISTER!E:E,0)),"")</f>
        <v>Tshepo Mokgadi</v>
      </c>
      <c r="E947" t="s">
        <v>337</v>
      </c>
      <c r="F947" t="s">
        <v>338</v>
      </c>
      <c r="G947" t="s">
        <v>339</v>
      </c>
    </row>
    <row r="948" spans="1:8" x14ac:dyDescent="0.3">
      <c r="A948" t="s">
        <v>353</v>
      </c>
      <c r="B948">
        <f>IFERROR(INDEX(MASTER_REGISTER!C:C,MATCH(C948,MASTER_REGISTER!E:E,0)),"")</f>
        <v>11</v>
      </c>
      <c r="C948" t="s">
        <v>272</v>
      </c>
      <c r="D948" t="str">
        <f>IFERROR(INDEX(MASTER_REGISTER!F:F,MATCH(C948,MASTER_REGISTER!E:E,0)),"")</f>
        <v>Tshepo Phiri</v>
      </c>
      <c r="E948" t="s">
        <v>335</v>
      </c>
      <c r="H948" t="s">
        <v>336</v>
      </c>
    </row>
    <row r="949" spans="1:8" x14ac:dyDescent="0.3">
      <c r="A949" t="s">
        <v>353</v>
      </c>
      <c r="B949">
        <f>IFERROR(INDEX(MASTER_REGISTER!C:C,MATCH(C949,MASTER_REGISTER!E:E,0)),"")</f>
        <v>11</v>
      </c>
      <c r="C949" t="s">
        <v>276</v>
      </c>
      <c r="D949" t="str">
        <f>IFERROR(INDEX(MASTER_REGISTER!F:F,MATCH(C949,MASTER_REGISTER!E:E,0)),"")</f>
        <v>Zanele Ngobeni</v>
      </c>
      <c r="E949" t="s">
        <v>337</v>
      </c>
      <c r="F949" t="s">
        <v>338</v>
      </c>
      <c r="G949" t="s">
        <v>339</v>
      </c>
    </row>
    <row r="950" spans="1:8" x14ac:dyDescent="0.3">
      <c r="A950" t="s">
        <v>353</v>
      </c>
      <c r="B950">
        <f>IFERROR(INDEX(MASTER_REGISTER!C:C,MATCH(C950,MASTER_REGISTER!E:E,0)),"")</f>
        <v>12</v>
      </c>
      <c r="C950" t="s">
        <v>280</v>
      </c>
      <c r="D950" t="str">
        <f>IFERROR(INDEX(MASTER_REGISTER!F:F,MATCH(C950,MASTER_REGISTER!E:E,0)),"")</f>
        <v>Palesa Mokoena</v>
      </c>
      <c r="E950" t="s">
        <v>337</v>
      </c>
      <c r="F950" t="s">
        <v>338</v>
      </c>
      <c r="G950" t="s">
        <v>339</v>
      </c>
    </row>
    <row r="951" spans="1:8" x14ac:dyDescent="0.3">
      <c r="A951" t="s">
        <v>353</v>
      </c>
      <c r="B951">
        <f>IFERROR(INDEX(MASTER_REGISTER!C:C,MATCH(C951,MASTER_REGISTER!E:E,0)),"")</f>
        <v>12</v>
      </c>
      <c r="C951" t="s">
        <v>284</v>
      </c>
      <c r="D951" t="str">
        <f>IFERROR(INDEX(MASTER_REGISTER!F:F,MATCH(C951,MASTER_REGISTER!E:E,0)),"")</f>
        <v>Thabo Ramushu</v>
      </c>
      <c r="E951" t="s">
        <v>337</v>
      </c>
      <c r="F951" t="s">
        <v>338</v>
      </c>
      <c r="G951" t="s">
        <v>339</v>
      </c>
    </row>
    <row r="952" spans="1:8" x14ac:dyDescent="0.3">
      <c r="A952" t="s">
        <v>353</v>
      </c>
      <c r="B952">
        <f>IFERROR(INDEX(MASTER_REGISTER!C:C,MATCH(C952,MASTER_REGISTER!E:E,0)),"")</f>
        <v>12</v>
      </c>
      <c r="C952" t="s">
        <v>288</v>
      </c>
      <c r="D952" t="str">
        <f>IFERROR(INDEX(MASTER_REGISTER!F:F,MATCH(C952,MASTER_REGISTER!E:E,0)),"")</f>
        <v>Lwazi Ndlovu</v>
      </c>
      <c r="E952" t="s">
        <v>337</v>
      </c>
      <c r="F952" t="s">
        <v>338</v>
      </c>
      <c r="G952" t="s">
        <v>339</v>
      </c>
    </row>
    <row r="953" spans="1:8" x14ac:dyDescent="0.3">
      <c r="A953" t="s">
        <v>353</v>
      </c>
      <c r="B953">
        <f>IFERROR(INDEX(MASTER_REGISTER!C:C,MATCH(C953,MASTER_REGISTER!E:E,0)),"")</f>
        <v>12</v>
      </c>
      <c r="C953" t="s">
        <v>292</v>
      </c>
      <c r="D953" t="str">
        <f>IFERROR(INDEX(MASTER_REGISTER!F:F,MATCH(C953,MASTER_REGISTER!E:E,0)),"")</f>
        <v>Ayanda Dlamini</v>
      </c>
      <c r="E953" t="s">
        <v>337</v>
      </c>
      <c r="F953" t="s">
        <v>338</v>
      </c>
      <c r="G953" t="s">
        <v>339</v>
      </c>
    </row>
    <row r="954" spans="1:8" x14ac:dyDescent="0.3">
      <c r="A954" t="s">
        <v>353</v>
      </c>
      <c r="B954">
        <f>IFERROR(INDEX(MASTER_REGISTER!C:C,MATCH(C954,MASTER_REGISTER!E:E,0)),"")</f>
        <v>12</v>
      </c>
      <c r="C954" t="s">
        <v>296</v>
      </c>
      <c r="D954" t="str">
        <f>IFERROR(INDEX(MASTER_REGISTER!F:F,MATCH(C954,MASTER_REGISTER!E:E,0)),"")</f>
        <v>Neo Ndlovu</v>
      </c>
      <c r="E954" t="s">
        <v>337</v>
      </c>
      <c r="F954" t="s">
        <v>338</v>
      </c>
      <c r="G954" t="s">
        <v>339</v>
      </c>
    </row>
    <row r="955" spans="1:8" x14ac:dyDescent="0.3">
      <c r="A955" t="s">
        <v>353</v>
      </c>
      <c r="B955">
        <f>IFERROR(INDEX(MASTER_REGISTER!C:C,MATCH(C955,MASTER_REGISTER!E:E,0)),"")</f>
        <v>12</v>
      </c>
      <c r="C955" t="s">
        <v>300</v>
      </c>
      <c r="D955" t="str">
        <f>IFERROR(INDEX(MASTER_REGISTER!F:F,MATCH(C955,MASTER_REGISTER!E:E,0)),"")</f>
        <v>Neo Ramushu</v>
      </c>
      <c r="E955" t="s">
        <v>337</v>
      </c>
      <c r="F955" t="s">
        <v>338</v>
      </c>
      <c r="G955" t="s">
        <v>339</v>
      </c>
    </row>
    <row r="956" spans="1:8" x14ac:dyDescent="0.3">
      <c r="A956" t="s">
        <v>353</v>
      </c>
      <c r="B956">
        <f>IFERROR(INDEX(MASTER_REGISTER!C:C,MATCH(C956,MASTER_REGISTER!E:E,0)),"")</f>
        <v>12</v>
      </c>
      <c r="C956" t="s">
        <v>304</v>
      </c>
      <c r="D956" t="str">
        <f>IFERROR(INDEX(MASTER_REGISTER!F:F,MATCH(C956,MASTER_REGISTER!E:E,0)),"")</f>
        <v>Karabo Baloyi</v>
      </c>
      <c r="E956" t="s">
        <v>337</v>
      </c>
      <c r="F956" t="s">
        <v>338</v>
      </c>
      <c r="G956" t="s">
        <v>339</v>
      </c>
    </row>
    <row r="957" spans="1:8" x14ac:dyDescent="0.3">
      <c r="A957" t="s">
        <v>353</v>
      </c>
      <c r="B957">
        <f>IFERROR(INDEX(MASTER_REGISTER!C:C,MATCH(C957,MASTER_REGISTER!E:E,0)),"")</f>
        <v>12</v>
      </c>
      <c r="C957" t="s">
        <v>308</v>
      </c>
      <c r="D957" t="str">
        <f>IFERROR(INDEX(MASTER_REGISTER!F:F,MATCH(C957,MASTER_REGISTER!E:E,0)),"")</f>
        <v>Tshepo Mokgadi</v>
      </c>
      <c r="E957" t="s">
        <v>337</v>
      </c>
      <c r="F957" t="s">
        <v>338</v>
      </c>
      <c r="G957" t="s">
        <v>339</v>
      </c>
    </row>
    <row r="958" spans="1:8" x14ac:dyDescent="0.3">
      <c r="A958" t="s">
        <v>353</v>
      </c>
      <c r="B958">
        <f>IFERROR(INDEX(MASTER_REGISTER!C:C,MATCH(C958,MASTER_REGISTER!E:E,0)),"")</f>
        <v>12</v>
      </c>
      <c r="C958" t="s">
        <v>311</v>
      </c>
      <c r="D958" t="str">
        <f>IFERROR(INDEX(MASTER_REGISTER!F:F,MATCH(C958,MASTER_REGISTER!E:E,0)),"")</f>
        <v>Sifiso Mavuso</v>
      </c>
      <c r="E958" t="s">
        <v>337</v>
      </c>
      <c r="F958" t="s">
        <v>338</v>
      </c>
      <c r="G958" t="s">
        <v>339</v>
      </c>
    </row>
    <row r="959" spans="1:8" x14ac:dyDescent="0.3">
      <c r="A959" t="s">
        <v>353</v>
      </c>
      <c r="B959">
        <f>IFERROR(INDEX(MASTER_REGISTER!C:C,MATCH(C959,MASTER_REGISTER!E:E,0)),"")</f>
        <v>12</v>
      </c>
      <c r="C959" t="s">
        <v>315</v>
      </c>
      <c r="D959" t="str">
        <f>IFERROR(INDEX(MASTER_REGISTER!F:F,MATCH(C959,MASTER_REGISTER!E:E,0)),"")</f>
        <v>Refilwe Sithole</v>
      </c>
      <c r="E959" t="s">
        <v>337</v>
      </c>
      <c r="F959" t="s">
        <v>338</v>
      </c>
      <c r="G959" t="s">
        <v>339</v>
      </c>
    </row>
    <row r="960" spans="1:8" x14ac:dyDescent="0.3">
      <c r="A960" t="s">
        <v>353</v>
      </c>
      <c r="B960">
        <f>IFERROR(INDEX(MASTER_REGISTER!C:C,MATCH(C960,MASTER_REGISTER!E:E,0)),"")</f>
        <v>12</v>
      </c>
      <c r="C960" t="s">
        <v>319</v>
      </c>
      <c r="D960" t="str">
        <f>IFERROR(INDEX(MASTER_REGISTER!F:F,MATCH(C960,MASTER_REGISTER!E:E,0)),"")</f>
        <v>Lerato Sithole</v>
      </c>
      <c r="E960" t="s">
        <v>337</v>
      </c>
      <c r="F960" t="s">
        <v>338</v>
      </c>
      <c r="G960" t="s">
        <v>339</v>
      </c>
    </row>
    <row r="961" spans="1:8" x14ac:dyDescent="0.3">
      <c r="A961" t="s">
        <v>353</v>
      </c>
      <c r="B961">
        <f>IFERROR(INDEX(MASTER_REGISTER!C:C,MATCH(C961,MASTER_REGISTER!E:E,0)),"")</f>
        <v>12</v>
      </c>
      <c r="C961" t="s">
        <v>323</v>
      </c>
      <c r="D961" t="str">
        <f>IFERROR(INDEX(MASTER_REGISTER!F:F,MATCH(C961,MASTER_REGISTER!E:E,0)),"")</f>
        <v>Sibusiso Ngobeni</v>
      </c>
      <c r="E961" t="s">
        <v>337</v>
      </c>
      <c r="F961" t="s">
        <v>338</v>
      </c>
      <c r="G961" t="s">
        <v>339</v>
      </c>
    </row>
    <row r="962" spans="1:8" x14ac:dyDescent="0.3">
      <c r="A962" t="s">
        <v>354</v>
      </c>
      <c r="B962">
        <f>IFERROR(INDEX(MASTER_REGISTER!C:C,MATCH(C962,MASTER_REGISTER!E:E,0)),"")</f>
        <v>8</v>
      </c>
      <c r="C962" t="s">
        <v>50</v>
      </c>
      <c r="D962" t="str">
        <f>IFERROR(INDEX(MASTER_REGISTER!F:F,MATCH(C962,MASTER_REGISTER!E:E,0)),"")</f>
        <v>Lerato Nkosi</v>
      </c>
      <c r="E962" t="s">
        <v>337</v>
      </c>
      <c r="F962" t="s">
        <v>338</v>
      </c>
      <c r="G962" t="s">
        <v>339</v>
      </c>
    </row>
    <row r="963" spans="1:8" x14ac:dyDescent="0.3">
      <c r="A963" t="s">
        <v>354</v>
      </c>
      <c r="B963">
        <f>IFERROR(INDEX(MASTER_REGISTER!C:C,MATCH(C963,MASTER_REGISTER!E:E,0)),"")</f>
        <v>8</v>
      </c>
      <c r="C963" t="s">
        <v>58</v>
      </c>
      <c r="D963" t="str">
        <f>IFERROR(INDEX(MASTER_REGISTER!F:F,MATCH(C963,MASTER_REGISTER!E:E,0)),"")</f>
        <v>Karabo Maseko</v>
      </c>
      <c r="E963" t="s">
        <v>337</v>
      </c>
      <c r="F963" t="s">
        <v>338</v>
      </c>
      <c r="G963" t="s">
        <v>339</v>
      </c>
    </row>
    <row r="964" spans="1:8" x14ac:dyDescent="0.3">
      <c r="A964" t="s">
        <v>354</v>
      </c>
      <c r="B964">
        <f>IFERROR(INDEX(MASTER_REGISTER!C:C,MATCH(C964,MASTER_REGISTER!E:E,0)),"")</f>
        <v>8</v>
      </c>
      <c r="C964" t="s">
        <v>64</v>
      </c>
      <c r="D964" t="str">
        <f>IFERROR(INDEX(MASTER_REGISTER!F:F,MATCH(C964,MASTER_REGISTER!E:E,0)),"")</f>
        <v>Sifiso Sithole</v>
      </c>
      <c r="E964" t="s">
        <v>337</v>
      </c>
      <c r="F964" t="s">
        <v>338</v>
      </c>
      <c r="G964" t="s">
        <v>339</v>
      </c>
    </row>
    <row r="965" spans="1:8" x14ac:dyDescent="0.3">
      <c r="A965" t="s">
        <v>354</v>
      </c>
      <c r="B965">
        <f>IFERROR(INDEX(MASTER_REGISTER!C:C,MATCH(C965,MASTER_REGISTER!E:E,0)),"")</f>
        <v>8</v>
      </c>
      <c r="C965" t="s">
        <v>70</v>
      </c>
      <c r="D965" t="str">
        <f>IFERROR(INDEX(MASTER_REGISTER!F:F,MATCH(C965,MASTER_REGISTER!E:E,0)),"")</f>
        <v>Tshepo Ndlovu</v>
      </c>
      <c r="E965" t="s">
        <v>337</v>
      </c>
      <c r="F965" t="s">
        <v>338</v>
      </c>
      <c r="G965" t="s">
        <v>339</v>
      </c>
    </row>
    <row r="966" spans="1:8" x14ac:dyDescent="0.3">
      <c r="A966" t="s">
        <v>354</v>
      </c>
      <c r="B966">
        <f>IFERROR(INDEX(MASTER_REGISTER!C:C,MATCH(C966,MASTER_REGISTER!E:E,0)),"")</f>
        <v>8</v>
      </c>
      <c r="C966" t="s">
        <v>76</v>
      </c>
      <c r="D966" t="str">
        <f>IFERROR(INDEX(MASTER_REGISTER!F:F,MATCH(C966,MASTER_REGISTER!E:E,0)),"")</f>
        <v>Lwazi Mthembu</v>
      </c>
      <c r="E966" t="s">
        <v>337</v>
      </c>
      <c r="F966" t="s">
        <v>338</v>
      </c>
      <c r="G966" t="s">
        <v>339</v>
      </c>
    </row>
    <row r="967" spans="1:8" x14ac:dyDescent="0.3">
      <c r="A967" t="s">
        <v>354</v>
      </c>
      <c r="B967">
        <f>IFERROR(INDEX(MASTER_REGISTER!C:C,MATCH(C967,MASTER_REGISTER!E:E,0)),"")</f>
        <v>8</v>
      </c>
      <c r="C967" t="s">
        <v>82</v>
      </c>
      <c r="D967" t="str">
        <f>IFERROR(INDEX(MASTER_REGISTER!F:F,MATCH(C967,MASTER_REGISTER!E:E,0)),"")</f>
        <v>Karabo Ngobeni</v>
      </c>
      <c r="E967" t="s">
        <v>337</v>
      </c>
      <c r="F967" t="s">
        <v>338</v>
      </c>
      <c r="G967" t="s">
        <v>339</v>
      </c>
    </row>
    <row r="968" spans="1:8" x14ac:dyDescent="0.3">
      <c r="A968" t="s">
        <v>354</v>
      </c>
      <c r="B968">
        <f>IFERROR(INDEX(MASTER_REGISTER!C:C,MATCH(C968,MASTER_REGISTER!E:E,0)),"")</f>
        <v>8</v>
      </c>
      <c r="C968" t="s">
        <v>88</v>
      </c>
      <c r="D968" t="str">
        <f>IFERROR(INDEX(MASTER_REGISTER!F:F,MATCH(C968,MASTER_REGISTER!E:E,0)),"")</f>
        <v>Mpho Sithole</v>
      </c>
      <c r="E968" t="s">
        <v>335</v>
      </c>
      <c r="H968" t="s">
        <v>341</v>
      </c>
    </row>
    <row r="969" spans="1:8" x14ac:dyDescent="0.3">
      <c r="A969" t="s">
        <v>354</v>
      </c>
      <c r="B969">
        <f>IFERROR(INDEX(MASTER_REGISTER!C:C,MATCH(C969,MASTER_REGISTER!E:E,0)),"")</f>
        <v>8</v>
      </c>
      <c r="C969" t="s">
        <v>94</v>
      </c>
      <c r="D969" t="str">
        <f>IFERROR(INDEX(MASTER_REGISTER!F:F,MATCH(C969,MASTER_REGISTER!E:E,0)),"")</f>
        <v>Tshepo Ramushu</v>
      </c>
      <c r="E969" t="s">
        <v>337</v>
      </c>
      <c r="F969" t="s">
        <v>338</v>
      </c>
      <c r="G969" t="s">
        <v>339</v>
      </c>
    </row>
    <row r="970" spans="1:8" x14ac:dyDescent="0.3">
      <c r="A970" t="s">
        <v>354</v>
      </c>
      <c r="B970">
        <f>IFERROR(INDEX(MASTER_REGISTER!C:C,MATCH(C970,MASTER_REGISTER!E:E,0)),"")</f>
        <v>8</v>
      </c>
      <c r="C970" t="s">
        <v>100</v>
      </c>
      <c r="D970" t="str">
        <f>IFERROR(INDEX(MASTER_REGISTER!F:F,MATCH(C970,MASTER_REGISTER!E:E,0)),"")</f>
        <v>Lerato Kekana</v>
      </c>
      <c r="E970" t="s">
        <v>337</v>
      </c>
      <c r="F970" t="s">
        <v>338</v>
      </c>
      <c r="G970" t="s">
        <v>339</v>
      </c>
    </row>
    <row r="971" spans="1:8" x14ac:dyDescent="0.3">
      <c r="A971" t="s">
        <v>354</v>
      </c>
      <c r="B971">
        <f>IFERROR(INDEX(MASTER_REGISTER!C:C,MATCH(C971,MASTER_REGISTER!E:E,0)),"")</f>
        <v>8</v>
      </c>
      <c r="C971" t="s">
        <v>106</v>
      </c>
      <c r="D971" t="str">
        <f>IFERROR(INDEX(MASTER_REGISTER!F:F,MATCH(C971,MASTER_REGISTER!E:E,0)),"")</f>
        <v>Neo Ngobeni</v>
      </c>
      <c r="E971" t="s">
        <v>337</v>
      </c>
      <c r="F971" t="s">
        <v>338</v>
      </c>
      <c r="G971" t="s">
        <v>339</v>
      </c>
    </row>
    <row r="972" spans="1:8" x14ac:dyDescent="0.3">
      <c r="A972" t="s">
        <v>354</v>
      </c>
      <c r="B972">
        <f>IFERROR(INDEX(MASTER_REGISTER!C:C,MATCH(C972,MASTER_REGISTER!E:E,0)),"")</f>
        <v>8</v>
      </c>
      <c r="C972" t="s">
        <v>112</v>
      </c>
      <c r="D972" t="str">
        <f>IFERROR(INDEX(MASTER_REGISTER!F:F,MATCH(C972,MASTER_REGISTER!E:E,0)),"")</f>
        <v>Thabo Mokgadi</v>
      </c>
      <c r="E972" t="s">
        <v>337</v>
      </c>
      <c r="F972" t="s">
        <v>338</v>
      </c>
      <c r="G972" t="s">
        <v>339</v>
      </c>
    </row>
    <row r="973" spans="1:8" x14ac:dyDescent="0.3">
      <c r="A973" t="s">
        <v>354</v>
      </c>
      <c r="B973">
        <f>IFERROR(INDEX(MASTER_REGISTER!C:C,MATCH(C973,MASTER_REGISTER!E:E,0)),"")</f>
        <v>8</v>
      </c>
      <c r="C973" t="s">
        <v>118</v>
      </c>
      <c r="D973" t="str">
        <f>IFERROR(INDEX(MASTER_REGISTER!F:F,MATCH(C973,MASTER_REGISTER!E:E,0)),"")</f>
        <v>Sifiso Mthembu</v>
      </c>
      <c r="E973" t="s">
        <v>337</v>
      </c>
      <c r="F973" t="s">
        <v>338</v>
      </c>
      <c r="G973" t="s">
        <v>339</v>
      </c>
    </row>
    <row r="974" spans="1:8" x14ac:dyDescent="0.3">
      <c r="A974" t="s">
        <v>354</v>
      </c>
      <c r="B974">
        <f>IFERROR(INDEX(MASTER_REGISTER!C:C,MATCH(C974,MASTER_REGISTER!E:E,0)),"")</f>
        <v>9</v>
      </c>
      <c r="C974" t="s">
        <v>123</v>
      </c>
      <c r="D974" t="str">
        <f>IFERROR(INDEX(MASTER_REGISTER!F:F,MATCH(C974,MASTER_REGISTER!E:E,0)),"")</f>
        <v>Karabo Phiri</v>
      </c>
      <c r="E974" t="s">
        <v>337</v>
      </c>
      <c r="F974" t="s">
        <v>338</v>
      </c>
      <c r="G974" t="s">
        <v>339</v>
      </c>
    </row>
    <row r="975" spans="1:8" x14ac:dyDescent="0.3">
      <c r="A975" t="s">
        <v>354</v>
      </c>
      <c r="B975">
        <f>IFERROR(INDEX(MASTER_REGISTER!C:C,MATCH(C975,MASTER_REGISTER!E:E,0)),"")</f>
        <v>9</v>
      </c>
      <c r="C975" t="s">
        <v>128</v>
      </c>
      <c r="D975" t="str">
        <f>IFERROR(INDEX(MASTER_REGISTER!F:F,MATCH(C975,MASTER_REGISTER!E:E,0)),"")</f>
        <v>Lerato Mahlangu</v>
      </c>
      <c r="E975" t="s">
        <v>337</v>
      </c>
      <c r="F975" t="s">
        <v>338</v>
      </c>
      <c r="G975" t="s">
        <v>339</v>
      </c>
    </row>
    <row r="976" spans="1:8" x14ac:dyDescent="0.3">
      <c r="A976" t="s">
        <v>354</v>
      </c>
      <c r="B976">
        <f>IFERROR(INDEX(MASTER_REGISTER!C:C,MATCH(C976,MASTER_REGISTER!E:E,0)),"")</f>
        <v>9</v>
      </c>
      <c r="C976" t="s">
        <v>133</v>
      </c>
      <c r="D976" t="str">
        <f>IFERROR(INDEX(MASTER_REGISTER!F:F,MATCH(C976,MASTER_REGISTER!E:E,0)),"")</f>
        <v>Mpho Kekana</v>
      </c>
      <c r="E976" t="s">
        <v>335</v>
      </c>
      <c r="H976" t="s">
        <v>341</v>
      </c>
    </row>
    <row r="977" spans="1:8" x14ac:dyDescent="0.3">
      <c r="A977" t="s">
        <v>354</v>
      </c>
      <c r="B977">
        <f>IFERROR(INDEX(MASTER_REGISTER!C:C,MATCH(C977,MASTER_REGISTER!E:E,0)),"")</f>
        <v>9</v>
      </c>
      <c r="C977" t="s">
        <v>138</v>
      </c>
      <c r="D977" t="str">
        <f>IFERROR(INDEX(MASTER_REGISTER!F:F,MATCH(C977,MASTER_REGISTER!E:E,0)),"")</f>
        <v>Thabo Molefe</v>
      </c>
      <c r="E977" t="s">
        <v>337</v>
      </c>
      <c r="F977" t="s">
        <v>338</v>
      </c>
      <c r="G977" t="s">
        <v>339</v>
      </c>
    </row>
    <row r="978" spans="1:8" x14ac:dyDescent="0.3">
      <c r="A978" t="s">
        <v>354</v>
      </c>
      <c r="B978">
        <f>IFERROR(INDEX(MASTER_REGISTER!C:C,MATCH(C978,MASTER_REGISTER!E:E,0)),"")</f>
        <v>9</v>
      </c>
      <c r="C978" t="s">
        <v>143</v>
      </c>
      <c r="D978" t="str">
        <f>IFERROR(INDEX(MASTER_REGISTER!F:F,MATCH(C978,MASTER_REGISTER!E:E,0)),"")</f>
        <v>Mpho Ngobeni</v>
      </c>
      <c r="E978" t="s">
        <v>337</v>
      </c>
      <c r="F978" t="s">
        <v>338</v>
      </c>
      <c r="G978" t="s">
        <v>339</v>
      </c>
    </row>
    <row r="979" spans="1:8" x14ac:dyDescent="0.3">
      <c r="A979" t="s">
        <v>354</v>
      </c>
      <c r="B979">
        <f>IFERROR(INDEX(MASTER_REGISTER!C:C,MATCH(C979,MASTER_REGISTER!E:E,0)),"")</f>
        <v>9</v>
      </c>
      <c r="C979" t="s">
        <v>148</v>
      </c>
      <c r="D979" t="str">
        <f>IFERROR(INDEX(MASTER_REGISTER!F:F,MATCH(C979,MASTER_REGISTER!E:E,0)),"")</f>
        <v>Siyanda Mhlongo</v>
      </c>
      <c r="E979" t="s">
        <v>337</v>
      </c>
      <c r="F979" t="s">
        <v>338</v>
      </c>
      <c r="G979" t="s">
        <v>339</v>
      </c>
    </row>
    <row r="980" spans="1:8" x14ac:dyDescent="0.3">
      <c r="A980" t="s">
        <v>354</v>
      </c>
      <c r="B980">
        <f>IFERROR(INDEX(MASTER_REGISTER!C:C,MATCH(C980,MASTER_REGISTER!E:E,0)),"")</f>
        <v>9</v>
      </c>
      <c r="C980" t="s">
        <v>153</v>
      </c>
      <c r="D980" t="str">
        <f>IFERROR(INDEX(MASTER_REGISTER!F:F,MATCH(C980,MASTER_REGISTER!E:E,0)),"")</f>
        <v>Siyanda Mahlangu</v>
      </c>
      <c r="E980" t="s">
        <v>337</v>
      </c>
      <c r="F980" t="s">
        <v>338</v>
      </c>
      <c r="G980" t="s">
        <v>339</v>
      </c>
    </row>
    <row r="981" spans="1:8" x14ac:dyDescent="0.3">
      <c r="A981" t="s">
        <v>354</v>
      </c>
      <c r="B981">
        <f>IFERROR(INDEX(MASTER_REGISTER!C:C,MATCH(C981,MASTER_REGISTER!E:E,0)),"")</f>
        <v>9</v>
      </c>
      <c r="C981" t="s">
        <v>158</v>
      </c>
      <c r="D981" t="str">
        <f>IFERROR(INDEX(MASTER_REGISTER!F:F,MATCH(C981,MASTER_REGISTER!E:E,0)),"")</f>
        <v>Sifiso Ramushu</v>
      </c>
      <c r="E981" t="s">
        <v>335</v>
      </c>
      <c r="H981" t="s">
        <v>342</v>
      </c>
    </row>
    <row r="982" spans="1:8" x14ac:dyDescent="0.3">
      <c r="A982" t="s">
        <v>354</v>
      </c>
      <c r="B982">
        <f>IFERROR(INDEX(MASTER_REGISTER!C:C,MATCH(C982,MASTER_REGISTER!E:E,0)),"")</f>
        <v>9</v>
      </c>
      <c r="C982" t="s">
        <v>163</v>
      </c>
      <c r="D982" t="str">
        <f>IFERROR(INDEX(MASTER_REGISTER!F:F,MATCH(C982,MASTER_REGISTER!E:E,0)),"")</f>
        <v>Nandi Ngobeni</v>
      </c>
      <c r="E982" t="s">
        <v>337</v>
      </c>
      <c r="F982" t="s">
        <v>338</v>
      </c>
      <c r="G982" t="s">
        <v>339</v>
      </c>
    </row>
    <row r="983" spans="1:8" x14ac:dyDescent="0.3">
      <c r="A983" t="s">
        <v>354</v>
      </c>
      <c r="B983">
        <f>IFERROR(INDEX(MASTER_REGISTER!C:C,MATCH(C983,MASTER_REGISTER!E:E,0)),"")</f>
        <v>9</v>
      </c>
      <c r="C983" t="s">
        <v>168</v>
      </c>
      <c r="D983" t="str">
        <f>IFERROR(INDEX(MASTER_REGISTER!F:F,MATCH(C983,MASTER_REGISTER!E:E,0)),"")</f>
        <v>Karabo Mokgadi</v>
      </c>
      <c r="E983" t="s">
        <v>337</v>
      </c>
      <c r="F983" t="s">
        <v>338</v>
      </c>
      <c r="G983" t="s">
        <v>339</v>
      </c>
    </row>
    <row r="984" spans="1:8" x14ac:dyDescent="0.3">
      <c r="A984" t="s">
        <v>354</v>
      </c>
      <c r="B984">
        <f>IFERROR(INDEX(MASTER_REGISTER!C:C,MATCH(C984,MASTER_REGISTER!E:E,0)),"")</f>
        <v>9</v>
      </c>
      <c r="C984" t="s">
        <v>173</v>
      </c>
      <c r="D984" t="str">
        <f>IFERROR(INDEX(MASTER_REGISTER!F:F,MATCH(C984,MASTER_REGISTER!E:E,0)),"")</f>
        <v>Sifiso Mahlangu</v>
      </c>
      <c r="E984" t="s">
        <v>337</v>
      </c>
      <c r="F984" t="s">
        <v>338</v>
      </c>
      <c r="G984" t="s">
        <v>339</v>
      </c>
    </row>
    <row r="985" spans="1:8" x14ac:dyDescent="0.3">
      <c r="A985" t="s">
        <v>354</v>
      </c>
      <c r="B985">
        <f>IFERROR(INDEX(MASTER_REGISTER!C:C,MATCH(C985,MASTER_REGISTER!E:E,0)),"")</f>
        <v>9</v>
      </c>
      <c r="C985" t="s">
        <v>178</v>
      </c>
      <c r="D985" t="str">
        <f>IFERROR(INDEX(MASTER_REGISTER!F:F,MATCH(C985,MASTER_REGISTER!E:E,0)),"")</f>
        <v>Kgothatso Radebe</v>
      </c>
      <c r="E985" t="s">
        <v>335</v>
      </c>
      <c r="H985" t="s">
        <v>336</v>
      </c>
    </row>
    <row r="986" spans="1:8" x14ac:dyDescent="0.3">
      <c r="A986" t="s">
        <v>354</v>
      </c>
      <c r="B986">
        <f>IFERROR(INDEX(MASTER_REGISTER!C:C,MATCH(C986,MASTER_REGISTER!E:E,0)),"")</f>
        <v>10</v>
      </c>
      <c r="C986" t="s">
        <v>183</v>
      </c>
      <c r="D986" t="str">
        <f>IFERROR(INDEX(MASTER_REGISTER!F:F,MATCH(C986,MASTER_REGISTER!E:E,0)),"")</f>
        <v>Lerato Maseko</v>
      </c>
      <c r="E986" t="s">
        <v>337</v>
      </c>
      <c r="F986" t="s">
        <v>338</v>
      </c>
      <c r="G986" t="s">
        <v>339</v>
      </c>
    </row>
    <row r="987" spans="1:8" x14ac:dyDescent="0.3">
      <c r="A987" t="s">
        <v>354</v>
      </c>
      <c r="B987">
        <f>IFERROR(INDEX(MASTER_REGISTER!C:C,MATCH(C987,MASTER_REGISTER!E:E,0)),"")</f>
        <v>10</v>
      </c>
      <c r="C987" t="s">
        <v>188</v>
      </c>
      <c r="D987" t="str">
        <f>IFERROR(INDEX(MASTER_REGISTER!F:F,MATCH(C987,MASTER_REGISTER!E:E,0)),"")</f>
        <v>Sibusiso Molefe</v>
      </c>
      <c r="E987" t="s">
        <v>337</v>
      </c>
      <c r="F987" t="s">
        <v>338</v>
      </c>
      <c r="G987" t="s">
        <v>339</v>
      </c>
    </row>
    <row r="988" spans="1:8" x14ac:dyDescent="0.3">
      <c r="A988" t="s">
        <v>354</v>
      </c>
      <c r="B988">
        <f>IFERROR(INDEX(MASTER_REGISTER!C:C,MATCH(C988,MASTER_REGISTER!E:E,0)),"")</f>
        <v>10</v>
      </c>
      <c r="C988" t="s">
        <v>193</v>
      </c>
      <c r="D988" t="str">
        <f>IFERROR(INDEX(MASTER_REGISTER!F:F,MATCH(C988,MASTER_REGISTER!E:E,0)),"")</f>
        <v>Nandi Molefe</v>
      </c>
      <c r="E988" t="s">
        <v>337</v>
      </c>
      <c r="F988" t="s">
        <v>338</v>
      </c>
      <c r="G988" t="s">
        <v>339</v>
      </c>
    </row>
    <row r="989" spans="1:8" x14ac:dyDescent="0.3">
      <c r="A989" t="s">
        <v>354</v>
      </c>
      <c r="B989">
        <f>IFERROR(INDEX(MASTER_REGISTER!C:C,MATCH(C989,MASTER_REGISTER!E:E,0)),"")</f>
        <v>10</v>
      </c>
      <c r="C989" t="s">
        <v>198</v>
      </c>
      <c r="D989" t="str">
        <f>IFERROR(INDEX(MASTER_REGISTER!F:F,MATCH(C989,MASTER_REGISTER!E:E,0)),"")</f>
        <v>Kgothatso Baloyi</v>
      </c>
      <c r="E989" t="s">
        <v>337</v>
      </c>
      <c r="F989" t="s">
        <v>338</v>
      </c>
      <c r="G989" t="s">
        <v>339</v>
      </c>
    </row>
    <row r="990" spans="1:8" x14ac:dyDescent="0.3">
      <c r="A990" t="s">
        <v>354</v>
      </c>
      <c r="B990">
        <f>IFERROR(INDEX(MASTER_REGISTER!C:C,MATCH(C990,MASTER_REGISTER!E:E,0)),"")</f>
        <v>10</v>
      </c>
      <c r="C990" t="s">
        <v>202</v>
      </c>
      <c r="D990" t="str">
        <f>IFERROR(INDEX(MASTER_REGISTER!F:F,MATCH(C990,MASTER_REGISTER!E:E,0)),"")</f>
        <v>Ayanda Mokoena</v>
      </c>
      <c r="E990" t="s">
        <v>337</v>
      </c>
      <c r="F990" t="s">
        <v>338</v>
      </c>
      <c r="G990" t="s">
        <v>339</v>
      </c>
    </row>
    <row r="991" spans="1:8" x14ac:dyDescent="0.3">
      <c r="A991" t="s">
        <v>354</v>
      </c>
      <c r="B991">
        <f>IFERROR(INDEX(MASTER_REGISTER!C:C,MATCH(C991,MASTER_REGISTER!E:E,0)),"")</f>
        <v>10</v>
      </c>
      <c r="C991" t="s">
        <v>206</v>
      </c>
      <c r="D991" t="str">
        <f>IFERROR(INDEX(MASTER_REGISTER!F:F,MATCH(C991,MASTER_REGISTER!E:E,0)),"")</f>
        <v>Lwazi Baloyi</v>
      </c>
      <c r="E991" t="s">
        <v>337</v>
      </c>
      <c r="F991" t="s">
        <v>338</v>
      </c>
      <c r="G991" t="s">
        <v>339</v>
      </c>
    </row>
    <row r="992" spans="1:8" x14ac:dyDescent="0.3">
      <c r="A992" t="s">
        <v>354</v>
      </c>
      <c r="B992">
        <f>IFERROR(INDEX(MASTER_REGISTER!C:C,MATCH(C992,MASTER_REGISTER!E:E,0)),"")</f>
        <v>10</v>
      </c>
      <c r="C992" t="s">
        <v>210</v>
      </c>
      <c r="D992" t="str">
        <f>IFERROR(INDEX(MASTER_REGISTER!F:F,MATCH(C992,MASTER_REGISTER!E:E,0)),"")</f>
        <v>Siyanda Mokoena</v>
      </c>
      <c r="E992" t="s">
        <v>337</v>
      </c>
      <c r="F992" t="s">
        <v>338</v>
      </c>
      <c r="G992" t="s">
        <v>339</v>
      </c>
    </row>
    <row r="993" spans="1:8" x14ac:dyDescent="0.3">
      <c r="A993" t="s">
        <v>354</v>
      </c>
      <c r="B993">
        <f>IFERROR(INDEX(MASTER_REGISTER!C:C,MATCH(C993,MASTER_REGISTER!E:E,0)),"")</f>
        <v>10</v>
      </c>
      <c r="C993" t="s">
        <v>214</v>
      </c>
      <c r="D993" t="str">
        <f>IFERROR(INDEX(MASTER_REGISTER!F:F,MATCH(C993,MASTER_REGISTER!E:E,0)),"")</f>
        <v>Mpho Ngobeni</v>
      </c>
      <c r="E993" t="s">
        <v>337</v>
      </c>
      <c r="F993" t="s">
        <v>338</v>
      </c>
      <c r="G993" t="s">
        <v>339</v>
      </c>
    </row>
    <row r="994" spans="1:8" x14ac:dyDescent="0.3">
      <c r="A994" t="s">
        <v>354</v>
      </c>
      <c r="B994">
        <f>IFERROR(INDEX(MASTER_REGISTER!C:C,MATCH(C994,MASTER_REGISTER!E:E,0)),"")</f>
        <v>10</v>
      </c>
      <c r="C994" t="s">
        <v>217</v>
      </c>
      <c r="D994" t="str">
        <f>IFERROR(INDEX(MASTER_REGISTER!F:F,MATCH(C994,MASTER_REGISTER!E:E,0)),"")</f>
        <v>Naledi Makhubela</v>
      </c>
      <c r="E994" t="s">
        <v>337</v>
      </c>
      <c r="F994" t="s">
        <v>338</v>
      </c>
      <c r="G994" t="s">
        <v>339</v>
      </c>
    </row>
    <row r="995" spans="1:8" x14ac:dyDescent="0.3">
      <c r="A995" t="s">
        <v>354</v>
      </c>
      <c r="B995">
        <f>IFERROR(INDEX(MASTER_REGISTER!C:C,MATCH(C995,MASTER_REGISTER!E:E,0)),"")</f>
        <v>10</v>
      </c>
      <c r="C995" t="s">
        <v>221</v>
      </c>
      <c r="D995" t="str">
        <f>IFERROR(INDEX(MASTER_REGISTER!F:F,MATCH(C995,MASTER_REGISTER!E:E,0)),"")</f>
        <v>Kgothatso Mokoena</v>
      </c>
      <c r="E995" t="s">
        <v>337</v>
      </c>
      <c r="F995" t="s">
        <v>338</v>
      </c>
      <c r="G995" t="s">
        <v>339</v>
      </c>
    </row>
    <row r="996" spans="1:8" x14ac:dyDescent="0.3">
      <c r="A996" t="s">
        <v>354</v>
      </c>
      <c r="B996">
        <f>IFERROR(INDEX(MASTER_REGISTER!C:C,MATCH(C996,MASTER_REGISTER!E:E,0)),"")</f>
        <v>10</v>
      </c>
      <c r="C996" t="s">
        <v>225</v>
      </c>
      <c r="D996" t="str">
        <f>IFERROR(INDEX(MASTER_REGISTER!F:F,MATCH(C996,MASTER_REGISTER!E:E,0)),"")</f>
        <v>Bongani Makhubela</v>
      </c>
      <c r="E996" t="s">
        <v>337</v>
      </c>
      <c r="F996" t="s">
        <v>338</v>
      </c>
      <c r="G996" t="s">
        <v>339</v>
      </c>
    </row>
    <row r="997" spans="1:8" x14ac:dyDescent="0.3">
      <c r="A997" t="s">
        <v>354</v>
      </c>
      <c r="B997">
        <f>IFERROR(INDEX(MASTER_REGISTER!C:C,MATCH(C997,MASTER_REGISTER!E:E,0)),"")</f>
        <v>10</v>
      </c>
      <c r="C997" t="s">
        <v>229</v>
      </c>
      <c r="D997" t="str">
        <f>IFERROR(INDEX(MASTER_REGISTER!F:F,MATCH(C997,MASTER_REGISTER!E:E,0)),"")</f>
        <v>Kagiso Kekana</v>
      </c>
      <c r="E997" t="s">
        <v>337</v>
      </c>
      <c r="F997" t="s">
        <v>338</v>
      </c>
      <c r="G997" t="s">
        <v>339</v>
      </c>
    </row>
    <row r="998" spans="1:8" x14ac:dyDescent="0.3">
      <c r="A998" t="s">
        <v>354</v>
      </c>
      <c r="B998">
        <f>IFERROR(INDEX(MASTER_REGISTER!C:C,MATCH(C998,MASTER_REGISTER!E:E,0)),"")</f>
        <v>11</v>
      </c>
      <c r="C998" t="s">
        <v>233</v>
      </c>
      <c r="D998" t="str">
        <f>IFERROR(INDEX(MASTER_REGISTER!F:F,MATCH(C998,MASTER_REGISTER!E:E,0)),"")</f>
        <v>Lwazi Makhubela</v>
      </c>
      <c r="E998" t="s">
        <v>337</v>
      </c>
      <c r="F998" t="s">
        <v>338</v>
      </c>
      <c r="G998" t="s">
        <v>339</v>
      </c>
    </row>
    <row r="999" spans="1:8" x14ac:dyDescent="0.3">
      <c r="A999" t="s">
        <v>354</v>
      </c>
      <c r="B999">
        <f>IFERROR(INDEX(MASTER_REGISTER!C:C,MATCH(C999,MASTER_REGISTER!E:E,0)),"")</f>
        <v>11</v>
      </c>
      <c r="C999" t="s">
        <v>237</v>
      </c>
      <c r="D999" t="str">
        <f>IFERROR(INDEX(MASTER_REGISTER!F:F,MATCH(C999,MASTER_REGISTER!E:E,0)),"")</f>
        <v>Lebogang Ramushu</v>
      </c>
      <c r="E999" t="s">
        <v>335</v>
      </c>
      <c r="H999" t="s">
        <v>341</v>
      </c>
    </row>
    <row r="1000" spans="1:8" x14ac:dyDescent="0.3">
      <c r="A1000" t="s">
        <v>354</v>
      </c>
      <c r="B1000">
        <f>IFERROR(INDEX(MASTER_REGISTER!C:C,MATCH(C1000,MASTER_REGISTER!E:E,0)),"")</f>
        <v>11</v>
      </c>
      <c r="C1000" t="s">
        <v>241</v>
      </c>
      <c r="D1000" t="str">
        <f>IFERROR(INDEX(MASTER_REGISTER!F:F,MATCH(C1000,MASTER_REGISTER!E:E,0)),"")</f>
        <v>Lerato Kekana</v>
      </c>
      <c r="E1000" t="s">
        <v>337</v>
      </c>
      <c r="F1000" t="s">
        <v>338</v>
      </c>
      <c r="G1000" t="s">
        <v>339</v>
      </c>
    </row>
    <row r="1001" spans="1:8" x14ac:dyDescent="0.3">
      <c r="A1001" t="s">
        <v>354</v>
      </c>
      <c r="B1001">
        <f>IFERROR(INDEX(MASTER_REGISTER!C:C,MATCH(C1001,MASTER_REGISTER!E:E,0)),"")</f>
        <v>11</v>
      </c>
      <c r="C1001" t="s">
        <v>244</v>
      </c>
      <c r="D1001" t="str">
        <f>IFERROR(INDEX(MASTER_REGISTER!F:F,MATCH(C1001,MASTER_REGISTER!E:E,0)),"")</f>
        <v>Bongani Ndlovu</v>
      </c>
      <c r="E1001" t="s">
        <v>337</v>
      </c>
      <c r="F1001" t="s">
        <v>338</v>
      </c>
      <c r="G1001" t="s">
        <v>339</v>
      </c>
    </row>
    <row r="1002" spans="1:8" x14ac:dyDescent="0.3">
      <c r="A1002" t="s">
        <v>354</v>
      </c>
      <c r="B1002">
        <f>IFERROR(INDEX(MASTER_REGISTER!C:C,MATCH(C1002,MASTER_REGISTER!E:E,0)),"")</f>
        <v>11</v>
      </c>
      <c r="C1002" t="s">
        <v>248</v>
      </c>
      <c r="D1002" t="str">
        <f>IFERROR(INDEX(MASTER_REGISTER!F:F,MATCH(C1002,MASTER_REGISTER!E:E,0)),"")</f>
        <v>Sifiso Dlamini</v>
      </c>
      <c r="E1002" t="s">
        <v>337</v>
      </c>
      <c r="F1002" t="s">
        <v>338</v>
      </c>
      <c r="G1002" t="s">
        <v>339</v>
      </c>
    </row>
    <row r="1003" spans="1:8" x14ac:dyDescent="0.3">
      <c r="A1003" t="s">
        <v>354</v>
      </c>
      <c r="B1003">
        <f>IFERROR(INDEX(MASTER_REGISTER!C:C,MATCH(C1003,MASTER_REGISTER!E:E,0)),"")</f>
        <v>11</v>
      </c>
      <c r="C1003" t="s">
        <v>252</v>
      </c>
      <c r="D1003" t="str">
        <f>IFERROR(INDEX(MASTER_REGISTER!F:F,MATCH(C1003,MASTER_REGISTER!E:E,0)),"")</f>
        <v>Refilwe Dlamini</v>
      </c>
      <c r="E1003" t="s">
        <v>337</v>
      </c>
      <c r="F1003" t="s">
        <v>338</v>
      </c>
      <c r="G1003" t="s">
        <v>339</v>
      </c>
    </row>
    <row r="1004" spans="1:8" x14ac:dyDescent="0.3">
      <c r="A1004" t="s">
        <v>354</v>
      </c>
      <c r="B1004">
        <f>IFERROR(INDEX(MASTER_REGISTER!C:C,MATCH(C1004,MASTER_REGISTER!E:E,0)),"")</f>
        <v>11</v>
      </c>
      <c r="C1004" t="s">
        <v>256</v>
      </c>
      <c r="D1004" t="str">
        <f>IFERROR(INDEX(MASTER_REGISTER!F:F,MATCH(C1004,MASTER_REGISTER!E:E,0)),"")</f>
        <v>Lwazi Maseko</v>
      </c>
      <c r="E1004" t="s">
        <v>337</v>
      </c>
      <c r="F1004" t="s">
        <v>338</v>
      </c>
      <c r="G1004" t="s">
        <v>339</v>
      </c>
    </row>
    <row r="1005" spans="1:8" x14ac:dyDescent="0.3">
      <c r="A1005" t="s">
        <v>354</v>
      </c>
      <c r="B1005">
        <f>IFERROR(INDEX(MASTER_REGISTER!C:C,MATCH(C1005,MASTER_REGISTER!E:E,0)),"")</f>
        <v>11</v>
      </c>
      <c r="C1005" t="s">
        <v>260</v>
      </c>
      <c r="D1005" t="str">
        <f>IFERROR(INDEX(MASTER_REGISTER!F:F,MATCH(C1005,MASTER_REGISTER!E:E,0)),"")</f>
        <v>Refilwe Mokgadi</v>
      </c>
      <c r="E1005" t="s">
        <v>337</v>
      </c>
      <c r="F1005" t="s">
        <v>338</v>
      </c>
      <c r="G1005" t="s">
        <v>339</v>
      </c>
    </row>
    <row r="1006" spans="1:8" x14ac:dyDescent="0.3">
      <c r="A1006" t="s">
        <v>354</v>
      </c>
      <c r="B1006">
        <f>IFERROR(INDEX(MASTER_REGISTER!C:C,MATCH(C1006,MASTER_REGISTER!E:E,0)),"")</f>
        <v>11</v>
      </c>
      <c r="C1006" t="s">
        <v>264</v>
      </c>
      <c r="D1006" t="str">
        <f>IFERROR(INDEX(MASTER_REGISTER!F:F,MATCH(C1006,MASTER_REGISTER!E:E,0)),"")</f>
        <v>Kgothatso Molefe</v>
      </c>
      <c r="E1006" t="s">
        <v>337</v>
      </c>
      <c r="F1006" t="s">
        <v>338</v>
      </c>
      <c r="G1006" t="s">
        <v>339</v>
      </c>
    </row>
    <row r="1007" spans="1:8" x14ac:dyDescent="0.3">
      <c r="A1007" t="s">
        <v>354</v>
      </c>
      <c r="B1007">
        <f>IFERROR(INDEX(MASTER_REGISTER!C:C,MATCH(C1007,MASTER_REGISTER!E:E,0)),"")</f>
        <v>11</v>
      </c>
      <c r="C1007" t="s">
        <v>268</v>
      </c>
      <c r="D1007" t="str">
        <f>IFERROR(INDEX(MASTER_REGISTER!F:F,MATCH(C1007,MASTER_REGISTER!E:E,0)),"")</f>
        <v>Tshepo Mokgadi</v>
      </c>
      <c r="E1007" t="s">
        <v>337</v>
      </c>
      <c r="F1007" t="s">
        <v>338</v>
      </c>
      <c r="G1007" t="s">
        <v>339</v>
      </c>
    </row>
    <row r="1008" spans="1:8" x14ac:dyDescent="0.3">
      <c r="A1008" t="s">
        <v>354</v>
      </c>
      <c r="B1008">
        <f>IFERROR(INDEX(MASTER_REGISTER!C:C,MATCH(C1008,MASTER_REGISTER!E:E,0)),"")</f>
        <v>11</v>
      </c>
      <c r="C1008" t="s">
        <v>272</v>
      </c>
      <c r="D1008" t="str">
        <f>IFERROR(INDEX(MASTER_REGISTER!F:F,MATCH(C1008,MASTER_REGISTER!E:E,0)),"")</f>
        <v>Tshepo Phiri</v>
      </c>
      <c r="E1008" t="s">
        <v>337</v>
      </c>
      <c r="F1008" t="s">
        <v>338</v>
      </c>
      <c r="G1008" t="s">
        <v>339</v>
      </c>
    </row>
    <row r="1009" spans="1:8" x14ac:dyDescent="0.3">
      <c r="A1009" t="s">
        <v>354</v>
      </c>
      <c r="B1009">
        <f>IFERROR(INDEX(MASTER_REGISTER!C:C,MATCH(C1009,MASTER_REGISTER!E:E,0)),"")</f>
        <v>11</v>
      </c>
      <c r="C1009" t="s">
        <v>276</v>
      </c>
      <c r="D1009" t="str">
        <f>IFERROR(INDEX(MASTER_REGISTER!F:F,MATCH(C1009,MASTER_REGISTER!E:E,0)),"")</f>
        <v>Zanele Ngobeni</v>
      </c>
      <c r="E1009" t="s">
        <v>337</v>
      </c>
      <c r="F1009" t="s">
        <v>338</v>
      </c>
      <c r="G1009" t="s">
        <v>339</v>
      </c>
    </row>
    <row r="1010" spans="1:8" x14ac:dyDescent="0.3">
      <c r="A1010" t="s">
        <v>354</v>
      </c>
      <c r="B1010">
        <f>IFERROR(INDEX(MASTER_REGISTER!C:C,MATCH(C1010,MASTER_REGISTER!E:E,0)),"")</f>
        <v>12</v>
      </c>
      <c r="C1010" t="s">
        <v>280</v>
      </c>
      <c r="D1010" t="str">
        <f>IFERROR(INDEX(MASTER_REGISTER!F:F,MATCH(C1010,MASTER_REGISTER!E:E,0)),"")</f>
        <v>Palesa Mokoena</v>
      </c>
      <c r="E1010" t="s">
        <v>337</v>
      </c>
      <c r="F1010" t="s">
        <v>338</v>
      </c>
      <c r="G1010" t="s">
        <v>339</v>
      </c>
    </row>
    <row r="1011" spans="1:8" x14ac:dyDescent="0.3">
      <c r="A1011" t="s">
        <v>354</v>
      </c>
      <c r="B1011">
        <f>IFERROR(INDEX(MASTER_REGISTER!C:C,MATCH(C1011,MASTER_REGISTER!E:E,0)),"")</f>
        <v>12</v>
      </c>
      <c r="C1011" t="s">
        <v>284</v>
      </c>
      <c r="D1011" t="str">
        <f>IFERROR(INDEX(MASTER_REGISTER!F:F,MATCH(C1011,MASTER_REGISTER!E:E,0)),"")</f>
        <v>Thabo Ramushu</v>
      </c>
      <c r="E1011" t="s">
        <v>337</v>
      </c>
      <c r="F1011" t="s">
        <v>338</v>
      </c>
      <c r="G1011" t="s">
        <v>339</v>
      </c>
    </row>
    <row r="1012" spans="1:8" x14ac:dyDescent="0.3">
      <c r="A1012" t="s">
        <v>354</v>
      </c>
      <c r="B1012">
        <f>IFERROR(INDEX(MASTER_REGISTER!C:C,MATCH(C1012,MASTER_REGISTER!E:E,0)),"")</f>
        <v>12</v>
      </c>
      <c r="C1012" t="s">
        <v>288</v>
      </c>
      <c r="D1012" t="str">
        <f>IFERROR(INDEX(MASTER_REGISTER!F:F,MATCH(C1012,MASTER_REGISTER!E:E,0)),"")</f>
        <v>Lwazi Ndlovu</v>
      </c>
      <c r="E1012" t="s">
        <v>337</v>
      </c>
      <c r="F1012" t="s">
        <v>338</v>
      </c>
      <c r="G1012" t="s">
        <v>339</v>
      </c>
    </row>
    <row r="1013" spans="1:8" x14ac:dyDescent="0.3">
      <c r="A1013" t="s">
        <v>354</v>
      </c>
      <c r="B1013">
        <f>IFERROR(INDEX(MASTER_REGISTER!C:C,MATCH(C1013,MASTER_REGISTER!E:E,0)),"")</f>
        <v>12</v>
      </c>
      <c r="C1013" t="s">
        <v>292</v>
      </c>
      <c r="D1013" t="str">
        <f>IFERROR(INDEX(MASTER_REGISTER!F:F,MATCH(C1013,MASTER_REGISTER!E:E,0)),"")</f>
        <v>Ayanda Dlamini</v>
      </c>
      <c r="E1013" t="s">
        <v>337</v>
      </c>
      <c r="F1013" t="s">
        <v>338</v>
      </c>
      <c r="G1013" t="s">
        <v>339</v>
      </c>
    </row>
    <row r="1014" spans="1:8" x14ac:dyDescent="0.3">
      <c r="A1014" t="s">
        <v>354</v>
      </c>
      <c r="B1014">
        <f>IFERROR(INDEX(MASTER_REGISTER!C:C,MATCH(C1014,MASTER_REGISTER!E:E,0)),"")</f>
        <v>12</v>
      </c>
      <c r="C1014" t="s">
        <v>296</v>
      </c>
      <c r="D1014" t="str">
        <f>IFERROR(INDEX(MASTER_REGISTER!F:F,MATCH(C1014,MASTER_REGISTER!E:E,0)),"")</f>
        <v>Neo Ndlovu</v>
      </c>
      <c r="E1014" t="s">
        <v>337</v>
      </c>
      <c r="F1014" t="s">
        <v>338</v>
      </c>
      <c r="G1014" t="s">
        <v>339</v>
      </c>
    </row>
    <row r="1015" spans="1:8" x14ac:dyDescent="0.3">
      <c r="A1015" t="s">
        <v>354</v>
      </c>
      <c r="B1015">
        <f>IFERROR(INDEX(MASTER_REGISTER!C:C,MATCH(C1015,MASTER_REGISTER!E:E,0)),"")</f>
        <v>12</v>
      </c>
      <c r="C1015" t="s">
        <v>300</v>
      </c>
      <c r="D1015" t="str">
        <f>IFERROR(INDEX(MASTER_REGISTER!F:F,MATCH(C1015,MASTER_REGISTER!E:E,0)),"")</f>
        <v>Neo Ramushu</v>
      </c>
      <c r="E1015" t="s">
        <v>337</v>
      </c>
      <c r="F1015" t="s">
        <v>338</v>
      </c>
      <c r="G1015" t="s">
        <v>339</v>
      </c>
    </row>
    <row r="1016" spans="1:8" x14ac:dyDescent="0.3">
      <c r="A1016" t="s">
        <v>354</v>
      </c>
      <c r="B1016">
        <f>IFERROR(INDEX(MASTER_REGISTER!C:C,MATCH(C1016,MASTER_REGISTER!E:E,0)),"")</f>
        <v>12</v>
      </c>
      <c r="C1016" t="s">
        <v>304</v>
      </c>
      <c r="D1016" t="str">
        <f>IFERROR(INDEX(MASTER_REGISTER!F:F,MATCH(C1016,MASTER_REGISTER!E:E,0)),"")</f>
        <v>Karabo Baloyi</v>
      </c>
      <c r="E1016" t="s">
        <v>337</v>
      </c>
      <c r="F1016" t="s">
        <v>338</v>
      </c>
      <c r="G1016" t="s">
        <v>339</v>
      </c>
    </row>
    <row r="1017" spans="1:8" x14ac:dyDescent="0.3">
      <c r="A1017" t="s">
        <v>354</v>
      </c>
      <c r="B1017">
        <f>IFERROR(INDEX(MASTER_REGISTER!C:C,MATCH(C1017,MASTER_REGISTER!E:E,0)),"")</f>
        <v>12</v>
      </c>
      <c r="C1017" t="s">
        <v>308</v>
      </c>
      <c r="D1017" t="str">
        <f>IFERROR(INDEX(MASTER_REGISTER!F:F,MATCH(C1017,MASTER_REGISTER!E:E,0)),"")</f>
        <v>Tshepo Mokgadi</v>
      </c>
      <c r="E1017" t="s">
        <v>337</v>
      </c>
      <c r="F1017" t="s">
        <v>338</v>
      </c>
      <c r="G1017" t="s">
        <v>339</v>
      </c>
    </row>
    <row r="1018" spans="1:8" x14ac:dyDescent="0.3">
      <c r="A1018" t="s">
        <v>354</v>
      </c>
      <c r="B1018">
        <f>IFERROR(INDEX(MASTER_REGISTER!C:C,MATCH(C1018,MASTER_REGISTER!E:E,0)),"")</f>
        <v>12</v>
      </c>
      <c r="C1018" t="s">
        <v>311</v>
      </c>
      <c r="D1018" t="str">
        <f>IFERROR(INDEX(MASTER_REGISTER!F:F,MATCH(C1018,MASTER_REGISTER!E:E,0)),"")</f>
        <v>Sifiso Mavuso</v>
      </c>
      <c r="E1018" t="s">
        <v>337</v>
      </c>
      <c r="F1018" t="s">
        <v>338</v>
      </c>
      <c r="G1018" t="s">
        <v>339</v>
      </c>
    </row>
    <row r="1019" spans="1:8" x14ac:dyDescent="0.3">
      <c r="A1019" t="s">
        <v>354</v>
      </c>
      <c r="B1019">
        <f>IFERROR(INDEX(MASTER_REGISTER!C:C,MATCH(C1019,MASTER_REGISTER!E:E,0)),"")</f>
        <v>12</v>
      </c>
      <c r="C1019" t="s">
        <v>315</v>
      </c>
      <c r="D1019" t="str">
        <f>IFERROR(INDEX(MASTER_REGISTER!F:F,MATCH(C1019,MASTER_REGISTER!E:E,0)),"")</f>
        <v>Refilwe Sithole</v>
      </c>
      <c r="E1019" t="s">
        <v>337</v>
      </c>
      <c r="F1019" t="s">
        <v>338</v>
      </c>
      <c r="G1019" t="s">
        <v>339</v>
      </c>
    </row>
    <row r="1020" spans="1:8" x14ac:dyDescent="0.3">
      <c r="A1020" t="s">
        <v>354</v>
      </c>
      <c r="B1020">
        <f>IFERROR(INDEX(MASTER_REGISTER!C:C,MATCH(C1020,MASTER_REGISTER!E:E,0)),"")</f>
        <v>12</v>
      </c>
      <c r="C1020" t="s">
        <v>319</v>
      </c>
      <c r="D1020" t="str">
        <f>IFERROR(INDEX(MASTER_REGISTER!F:F,MATCH(C1020,MASTER_REGISTER!E:E,0)),"")</f>
        <v>Lerato Sithole</v>
      </c>
      <c r="E1020" t="s">
        <v>337</v>
      </c>
      <c r="F1020" t="s">
        <v>338</v>
      </c>
      <c r="G1020" t="s">
        <v>339</v>
      </c>
    </row>
    <row r="1021" spans="1:8" x14ac:dyDescent="0.3">
      <c r="A1021" t="s">
        <v>354</v>
      </c>
      <c r="B1021">
        <f>IFERROR(INDEX(MASTER_REGISTER!C:C,MATCH(C1021,MASTER_REGISTER!E:E,0)),"")</f>
        <v>12</v>
      </c>
      <c r="C1021" t="s">
        <v>323</v>
      </c>
      <c r="D1021" t="str">
        <f>IFERROR(INDEX(MASTER_REGISTER!F:F,MATCH(C1021,MASTER_REGISTER!E:E,0)),"")</f>
        <v>Sibusiso Ngobeni</v>
      </c>
      <c r="E1021" t="s">
        <v>337</v>
      </c>
      <c r="F1021" t="s">
        <v>338</v>
      </c>
      <c r="G1021" t="s">
        <v>339</v>
      </c>
    </row>
    <row r="1022" spans="1:8" x14ac:dyDescent="0.3">
      <c r="A1022" t="s">
        <v>355</v>
      </c>
      <c r="B1022">
        <f>IFERROR(INDEX(MASTER_REGISTER!C:C,MATCH(C1022,MASTER_REGISTER!E:E,0)),"")</f>
        <v>8</v>
      </c>
      <c r="C1022" t="s">
        <v>50</v>
      </c>
      <c r="D1022" t="str">
        <f>IFERROR(INDEX(MASTER_REGISTER!F:F,MATCH(C1022,MASTER_REGISTER!E:E,0)),"")</f>
        <v>Lerato Nkosi</v>
      </c>
      <c r="E1022" t="s">
        <v>337</v>
      </c>
      <c r="F1022" t="s">
        <v>338</v>
      </c>
      <c r="G1022" t="s">
        <v>339</v>
      </c>
    </row>
    <row r="1023" spans="1:8" x14ac:dyDescent="0.3">
      <c r="A1023" t="s">
        <v>355</v>
      </c>
      <c r="B1023">
        <f>IFERROR(INDEX(MASTER_REGISTER!C:C,MATCH(C1023,MASTER_REGISTER!E:E,0)),"")</f>
        <v>8</v>
      </c>
      <c r="C1023" t="s">
        <v>58</v>
      </c>
      <c r="D1023" t="str">
        <f>IFERROR(INDEX(MASTER_REGISTER!F:F,MATCH(C1023,MASTER_REGISTER!E:E,0)),"")</f>
        <v>Karabo Maseko</v>
      </c>
      <c r="E1023" t="s">
        <v>335</v>
      </c>
      <c r="H1023" t="s">
        <v>336</v>
      </c>
    </row>
    <row r="1024" spans="1:8" x14ac:dyDescent="0.3">
      <c r="A1024" t="s">
        <v>355</v>
      </c>
      <c r="B1024">
        <f>IFERROR(INDEX(MASTER_REGISTER!C:C,MATCH(C1024,MASTER_REGISTER!E:E,0)),"")</f>
        <v>8</v>
      </c>
      <c r="C1024" t="s">
        <v>64</v>
      </c>
      <c r="D1024" t="str">
        <f>IFERROR(INDEX(MASTER_REGISTER!F:F,MATCH(C1024,MASTER_REGISTER!E:E,0)),"")</f>
        <v>Sifiso Sithole</v>
      </c>
      <c r="E1024" t="s">
        <v>335</v>
      </c>
      <c r="H1024" t="s">
        <v>340</v>
      </c>
    </row>
    <row r="1025" spans="1:8" x14ac:dyDescent="0.3">
      <c r="A1025" t="s">
        <v>355</v>
      </c>
      <c r="B1025">
        <f>IFERROR(INDEX(MASTER_REGISTER!C:C,MATCH(C1025,MASTER_REGISTER!E:E,0)),"")</f>
        <v>8</v>
      </c>
      <c r="C1025" t="s">
        <v>70</v>
      </c>
      <c r="D1025" t="str">
        <f>IFERROR(INDEX(MASTER_REGISTER!F:F,MATCH(C1025,MASTER_REGISTER!E:E,0)),"")</f>
        <v>Tshepo Ndlovu</v>
      </c>
      <c r="E1025" t="s">
        <v>337</v>
      </c>
      <c r="F1025" t="s">
        <v>338</v>
      </c>
      <c r="G1025" t="s">
        <v>339</v>
      </c>
    </row>
    <row r="1026" spans="1:8" x14ac:dyDescent="0.3">
      <c r="A1026" t="s">
        <v>355</v>
      </c>
      <c r="B1026">
        <f>IFERROR(INDEX(MASTER_REGISTER!C:C,MATCH(C1026,MASTER_REGISTER!E:E,0)),"")</f>
        <v>8</v>
      </c>
      <c r="C1026" t="s">
        <v>76</v>
      </c>
      <c r="D1026" t="str">
        <f>IFERROR(INDEX(MASTER_REGISTER!F:F,MATCH(C1026,MASTER_REGISTER!E:E,0)),"")</f>
        <v>Lwazi Mthembu</v>
      </c>
      <c r="E1026" t="s">
        <v>335</v>
      </c>
      <c r="H1026" t="s">
        <v>341</v>
      </c>
    </row>
    <row r="1027" spans="1:8" x14ac:dyDescent="0.3">
      <c r="A1027" t="s">
        <v>355</v>
      </c>
      <c r="B1027">
        <f>IFERROR(INDEX(MASTER_REGISTER!C:C,MATCH(C1027,MASTER_REGISTER!E:E,0)),"")</f>
        <v>8</v>
      </c>
      <c r="C1027" t="s">
        <v>82</v>
      </c>
      <c r="D1027" t="str">
        <f>IFERROR(INDEX(MASTER_REGISTER!F:F,MATCH(C1027,MASTER_REGISTER!E:E,0)),"")</f>
        <v>Karabo Ngobeni</v>
      </c>
      <c r="E1027" t="s">
        <v>337</v>
      </c>
      <c r="F1027" t="s">
        <v>338</v>
      </c>
      <c r="G1027" t="s">
        <v>339</v>
      </c>
    </row>
    <row r="1028" spans="1:8" x14ac:dyDescent="0.3">
      <c r="A1028" t="s">
        <v>355</v>
      </c>
      <c r="B1028">
        <f>IFERROR(INDEX(MASTER_REGISTER!C:C,MATCH(C1028,MASTER_REGISTER!E:E,0)),"")</f>
        <v>8</v>
      </c>
      <c r="C1028" t="s">
        <v>88</v>
      </c>
      <c r="D1028" t="str">
        <f>IFERROR(INDEX(MASTER_REGISTER!F:F,MATCH(C1028,MASTER_REGISTER!E:E,0)),"")</f>
        <v>Mpho Sithole</v>
      </c>
      <c r="E1028" t="s">
        <v>337</v>
      </c>
      <c r="F1028" t="s">
        <v>338</v>
      </c>
      <c r="G1028" t="s">
        <v>339</v>
      </c>
    </row>
    <row r="1029" spans="1:8" x14ac:dyDescent="0.3">
      <c r="A1029" t="s">
        <v>355</v>
      </c>
      <c r="B1029">
        <f>IFERROR(INDEX(MASTER_REGISTER!C:C,MATCH(C1029,MASTER_REGISTER!E:E,0)),"")</f>
        <v>8</v>
      </c>
      <c r="C1029" t="s">
        <v>94</v>
      </c>
      <c r="D1029" t="str">
        <f>IFERROR(INDEX(MASTER_REGISTER!F:F,MATCH(C1029,MASTER_REGISTER!E:E,0)),"")</f>
        <v>Tshepo Ramushu</v>
      </c>
      <c r="E1029" t="s">
        <v>337</v>
      </c>
      <c r="F1029" t="s">
        <v>338</v>
      </c>
      <c r="G1029" t="s">
        <v>339</v>
      </c>
    </row>
    <row r="1030" spans="1:8" x14ac:dyDescent="0.3">
      <c r="A1030" t="s">
        <v>355</v>
      </c>
      <c r="B1030">
        <f>IFERROR(INDEX(MASTER_REGISTER!C:C,MATCH(C1030,MASTER_REGISTER!E:E,0)),"")</f>
        <v>8</v>
      </c>
      <c r="C1030" t="s">
        <v>100</v>
      </c>
      <c r="D1030" t="str">
        <f>IFERROR(INDEX(MASTER_REGISTER!F:F,MATCH(C1030,MASTER_REGISTER!E:E,0)),"")</f>
        <v>Lerato Kekana</v>
      </c>
      <c r="E1030" t="s">
        <v>337</v>
      </c>
      <c r="F1030" t="s">
        <v>338</v>
      </c>
      <c r="G1030" t="s">
        <v>339</v>
      </c>
    </row>
    <row r="1031" spans="1:8" x14ac:dyDescent="0.3">
      <c r="A1031" t="s">
        <v>355</v>
      </c>
      <c r="B1031">
        <f>IFERROR(INDEX(MASTER_REGISTER!C:C,MATCH(C1031,MASTER_REGISTER!E:E,0)),"")</f>
        <v>8</v>
      </c>
      <c r="C1031" t="s">
        <v>106</v>
      </c>
      <c r="D1031" t="str">
        <f>IFERROR(INDEX(MASTER_REGISTER!F:F,MATCH(C1031,MASTER_REGISTER!E:E,0)),"")</f>
        <v>Neo Ngobeni</v>
      </c>
      <c r="E1031" t="s">
        <v>337</v>
      </c>
      <c r="F1031" t="s">
        <v>338</v>
      </c>
      <c r="G1031" t="s">
        <v>339</v>
      </c>
    </row>
    <row r="1032" spans="1:8" x14ac:dyDescent="0.3">
      <c r="A1032" t="s">
        <v>355</v>
      </c>
      <c r="B1032">
        <f>IFERROR(INDEX(MASTER_REGISTER!C:C,MATCH(C1032,MASTER_REGISTER!E:E,0)),"")</f>
        <v>8</v>
      </c>
      <c r="C1032" t="s">
        <v>112</v>
      </c>
      <c r="D1032" t="str">
        <f>IFERROR(INDEX(MASTER_REGISTER!F:F,MATCH(C1032,MASTER_REGISTER!E:E,0)),"")</f>
        <v>Thabo Mokgadi</v>
      </c>
      <c r="E1032" t="s">
        <v>337</v>
      </c>
      <c r="F1032" t="s">
        <v>338</v>
      </c>
      <c r="G1032" t="s">
        <v>339</v>
      </c>
    </row>
    <row r="1033" spans="1:8" x14ac:dyDescent="0.3">
      <c r="A1033" t="s">
        <v>355</v>
      </c>
      <c r="B1033">
        <f>IFERROR(INDEX(MASTER_REGISTER!C:C,MATCH(C1033,MASTER_REGISTER!E:E,0)),"")</f>
        <v>8</v>
      </c>
      <c r="C1033" t="s">
        <v>118</v>
      </c>
      <c r="D1033" t="str">
        <f>IFERROR(INDEX(MASTER_REGISTER!F:F,MATCH(C1033,MASTER_REGISTER!E:E,0)),"")</f>
        <v>Sifiso Mthembu</v>
      </c>
      <c r="E1033" t="s">
        <v>337</v>
      </c>
      <c r="F1033" t="s">
        <v>338</v>
      </c>
      <c r="G1033" t="s">
        <v>339</v>
      </c>
    </row>
    <row r="1034" spans="1:8" x14ac:dyDescent="0.3">
      <c r="A1034" t="s">
        <v>355</v>
      </c>
      <c r="B1034">
        <f>IFERROR(INDEX(MASTER_REGISTER!C:C,MATCH(C1034,MASTER_REGISTER!E:E,0)),"")</f>
        <v>9</v>
      </c>
      <c r="C1034" t="s">
        <v>123</v>
      </c>
      <c r="D1034" t="str">
        <f>IFERROR(INDEX(MASTER_REGISTER!F:F,MATCH(C1034,MASTER_REGISTER!E:E,0)),"")</f>
        <v>Karabo Phiri</v>
      </c>
      <c r="E1034" t="s">
        <v>337</v>
      </c>
      <c r="F1034" t="s">
        <v>338</v>
      </c>
      <c r="G1034" t="s">
        <v>339</v>
      </c>
    </row>
    <row r="1035" spans="1:8" x14ac:dyDescent="0.3">
      <c r="A1035" t="s">
        <v>355</v>
      </c>
      <c r="B1035">
        <f>IFERROR(INDEX(MASTER_REGISTER!C:C,MATCH(C1035,MASTER_REGISTER!E:E,0)),"")</f>
        <v>9</v>
      </c>
      <c r="C1035" t="s">
        <v>128</v>
      </c>
      <c r="D1035" t="str">
        <f>IFERROR(INDEX(MASTER_REGISTER!F:F,MATCH(C1035,MASTER_REGISTER!E:E,0)),"")</f>
        <v>Lerato Mahlangu</v>
      </c>
      <c r="E1035" t="s">
        <v>337</v>
      </c>
      <c r="F1035" t="s">
        <v>338</v>
      </c>
      <c r="G1035" t="s">
        <v>339</v>
      </c>
    </row>
    <row r="1036" spans="1:8" x14ac:dyDescent="0.3">
      <c r="A1036" t="s">
        <v>355</v>
      </c>
      <c r="B1036">
        <f>IFERROR(INDEX(MASTER_REGISTER!C:C,MATCH(C1036,MASTER_REGISTER!E:E,0)),"")</f>
        <v>9</v>
      </c>
      <c r="C1036" t="s">
        <v>133</v>
      </c>
      <c r="D1036" t="str">
        <f>IFERROR(INDEX(MASTER_REGISTER!F:F,MATCH(C1036,MASTER_REGISTER!E:E,0)),"")</f>
        <v>Mpho Kekana</v>
      </c>
      <c r="E1036" t="s">
        <v>337</v>
      </c>
      <c r="F1036" t="s">
        <v>338</v>
      </c>
      <c r="G1036" t="s">
        <v>339</v>
      </c>
    </row>
    <row r="1037" spans="1:8" x14ac:dyDescent="0.3">
      <c r="A1037" t="s">
        <v>355</v>
      </c>
      <c r="B1037">
        <f>IFERROR(INDEX(MASTER_REGISTER!C:C,MATCH(C1037,MASTER_REGISTER!E:E,0)),"")</f>
        <v>9</v>
      </c>
      <c r="C1037" t="s">
        <v>138</v>
      </c>
      <c r="D1037" t="str">
        <f>IFERROR(INDEX(MASTER_REGISTER!F:F,MATCH(C1037,MASTER_REGISTER!E:E,0)),"")</f>
        <v>Thabo Molefe</v>
      </c>
      <c r="E1037" t="s">
        <v>337</v>
      </c>
      <c r="F1037" t="s">
        <v>338</v>
      </c>
      <c r="G1037" t="s">
        <v>339</v>
      </c>
    </row>
    <row r="1038" spans="1:8" x14ac:dyDescent="0.3">
      <c r="A1038" t="s">
        <v>355</v>
      </c>
      <c r="B1038">
        <f>IFERROR(INDEX(MASTER_REGISTER!C:C,MATCH(C1038,MASTER_REGISTER!E:E,0)),"")</f>
        <v>9</v>
      </c>
      <c r="C1038" t="s">
        <v>143</v>
      </c>
      <c r="D1038" t="str">
        <f>IFERROR(INDEX(MASTER_REGISTER!F:F,MATCH(C1038,MASTER_REGISTER!E:E,0)),"")</f>
        <v>Mpho Ngobeni</v>
      </c>
      <c r="E1038" t="s">
        <v>337</v>
      </c>
      <c r="F1038" t="s">
        <v>338</v>
      </c>
      <c r="G1038" t="s">
        <v>339</v>
      </c>
    </row>
    <row r="1039" spans="1:8" x14ac:dyDescent="0.3">
      <c r="A1039" t="s">
        <v>355</v>
      </c>
      <c r="B1039">
        <f>IFERROR(INDEX(MASTER_REGISTER!C:C,MATCH(C1039,MASTER_REGISTER!E:E,0)),"")</f>
        <v>9</v>
      </c>
      <c r="C1039" t="s">
        <v>148</v>
      </c>
      <c r="D1039" t="str">
        <f>IFERROR(INDEX(MASTER_REGISTER!F:F,MATCH(C1039,MASTER_REGISTER!E:E,0)),"")</f>
        <v>Siyanda Mhlongo</v>
      </c>
      <c r="E1039" t="s">
        <v>337</v>
      </c>
      <c r="F1039" t="s">
        <v>338</v>
      </c>
      <c r="G1039" t="s">
        <v>339</v>
      </c>
    </row>
    <row r="1040" spans="1:8" x14ac:dyDescent="0.3">
      <c r="A1040" t="s">
        <v>355</v>
      </c>
      <c r="B1040">
        <f>IFERROR(INDEX(MASTER_REGISTER!C:C,MATCH(C1040,MASTER_REGISTER!E:E,0)),"")</f>
        <v>9</v>
      </c>
      <c r="C1040" t="s">
        <v>153</v>
      </c>
      <c r="D1040" t="str">
        <f>IFERROR(INDEX(MASTER_REGISTER!F:F,MATCH(C1040,MASTER_REGISTER!E:E,0)),"")</f>
        <v>Siyanda Mahlangu</v>
      </c>
      <c r="E1040" t="s">
        <v>337</v>
      </c>
      <c r="F1040" t="s">
        <v>338</v>
      </c>
      <c r="G1040" t="s">
        <v>339</v>
      </c>
    </row>
    <row r="1041" spans="1:8" x14ac:dyDescent="0.3">
      <c r="A1041" t="s">
        <v>355</v>
      </c>
      <c r="B1041">
        <f>IFERROR(INDEX(MASTER_REGISTER!C:C,MATCH(C1041,MASTER_REGISTER!E:E,0)),"")</f>
        <v>9</v>
      </c>
      <c r="C1041" t="s">
        <v>158</v>
      </c>
      <c r="D1041" t="str">
        <f>IFERROR(INDEX(MASTER_REGISTER!F:F,MATCH(C1041,MASTER_REGISTER!E:E,0)),"")</f>
        <v>Sifiso Ramushu</v>
      </c>
      <c r="E1041" t="s">
        <v>337</v>
      </c>
      <c r="F1041" t="s">
        <v>338</v>
      </c>
      <c r="G1041" t="s">
        <v>339</v>
      </c>
    </row>
    <row r="1042" spans="1:8" x14ac:dyDescent="0.3">
      <c r="A1042" t="s">
        <v>355</v>
      </c>
      <c r="B1042">
        <f>IFERROR(INDEX(MASTER_REGISTER!C:C,MATCH(C1042,MASTER_REGISTER!E:E,0)),"")</f>
        <v>9</v>
      </c>
      <c r="C1042" t="s">
        <v>163</v>
      </c>
      <c r="D1042" t="str">
        <f>IFERROR(INDEX(MASTER_REGISTER!F:F,MATCH(C1042,MASTER_REGISTER!E:E,0)),"")</f>
        <v>Nandi Ngobeni</v>
      </c>
      <c r="E1042" t="s">
        <v>337</v>
      </c>
      <c r="F1042" t="s">
        <v>338</v>
      </c>
      <c r="G1042" t="s">
        <v>339</v>
      </c>
    </row>
    <row r="1043" spans="1:8" x14ac:dyDescent="0.3">
      <c r="A1043" t="s">
        <v>355</v>
      </c>
      <c r="B1043">
        <f>IFERROR(INDEX(MASTER_REGISTER!C:C,MATCH(C1043,MASTER_REGISTER!E:E,0)),"")</f>
        <v>9</v>
      </c>
      <c r="C1043" t="s">
        <v>168</v>
      </c>
      <c r="D1043" t="str">
        <f>IFERROR(INDEX(MASTER_REGISTER!F:F,MATCH(C1043,MASTER_REGISTER!E:E,0)),"")</f>
        <v>Karabo Mokgadi</v>
      </c>
      <c r="E1043" t="s">
        <v>337</v>
      </c>
      <c r="F1043" t="s">
        <v>338</v>
      </c>
      <c r="G1043" t="s">
        <v>339</v>
      </c>
    </row>
    <row r="1044" spans="1:8" x14ac:dyDescent="0.3">
      <c r="A1044" t="s">
        <v>355</v>
      </c>
      <c r="B1044">
        <f>IFERROR(INDEX(MASTER_REGISTER!C:C,MATCH(C1044,MASTER_REGISTER!E:E,0)),"")</f>
        <v>9</v>
      </c>
      <c r="C1044" t="s">
        <v>173</v>
      </c>
      <c r="D1044" t="str">
        <f>IFERROR(INDEX(MASTER_REGISTER!F:F,MATCH(C1044,MASTER_REGISTER!E:E,0)),"")</f>
        <v>Sifiso Mahlangu</v>
      </c>
      <c r="E1044" t="s">
        <v>337</v>
      </c>
      <c r="F1044" t="s">
        <v>338</v>
      </c>
      <c r="G1044" t="s">
        <v>339</v>
      </c>
    </row>
    <row r="1045" spans="1:8" x14ac:dyDescent="0.3">
      <c r="A1045" t="s">
        <v>355</v>
      </c>
      <c r="B1045">
        <f>IFERROR(INDEX(MASTER_REGISTER!C:C,MATCH(C1045,MASTER_REGISTER!E:E,0)),"")</f>
        <v>9</v>
      </c>
      <c r="C1045" t="s">
        <v>178</v>
      </c>
      <c r="D1045" t="str">
        <f>IFERROR(INDEX(MASTER_REGISTER!F:F,MATCH(C1045,MASTER_REGISTER!E:E,0)),"")</f>
        <v>Kgothatso Radebe</v>
      </c>
      <c r="E1045" t="s">
        <v>337</v>
      </c>
      <c r="F1045" t="s">
        <v>338</v>
      </c>
      <c r="G1045" t="s">
        <v>339</v>
      </c>
    </row>
    <row r="1046" spans="1:8" x14ac:dyDescent="0.3">
      <c r="A1046" t="s">
        <v>355</v>
      </c>
      <c r="B1046">
        <f>IFERROR(INDEX(MASTER_REGISTER!C:C,MATCH(C1046,MASTER_REGISTER!E:E,0)),"")</f>
        <v>10</v>
      </c>
      <c r="C1046" t="s">
        <v>183</v>
      </c>
      <c r="D1046" t="str">
        <f>IFERROR(INDEX(MASTER_REGISTER!F:F,MATCH(C1046,MASTER_REGISTER!E:E,0)),"")</f>
        <v>Lerato Maseko</v>
      </c>
      <c r="E1046" t="s">
        <v>337</v>
      </c>
      <c r="F1046" t="s">
        <v>338</v>
      </c>
      <c r="G1046" t="s">
        <v>339</v>
      </c>
    </row>
    <row r="1047" spans="1:8" x14ac:dyDescent="0.3">
      <c r="A1047" t="s">
        <v>355</v>
      </c>
      <c r="B1047">
        <f>IFERROR(INDEX(MASTER_REGISTER!C:C,MATCH(C1047,MASTER_REGISTER!E:E,0)),"")</f>
        <v>10</v>
      </c>
      <c r="C1047" t="s">
        <v>188</v>
      </c>
      <c r="D1047" t="str">
        <f>IFERROR(INDEX(MASTER_REGISTER!F:F,MATCH(C1047,MASTER_REGISTER!E:E,0)),"")</f>
        <v>Sibusiso Molefe</v>
      </c>
      <c r="E1047" t="s">
        <v>337</v>
      </c>
      <c r="F1047" t="s">
        <v>338</v>
      </c>
      <c r="G1047" t="s">
        <v>339</v>
      </c>
    </row>
    <row r="1048" spans="1:8" x14ac:dyDescent="0.3">
      <c r="A1048" t="s">
        <v>355</v>
      </c>
      <c r="B1048">
        <f>IFERROR(INDEX(MASTER_REGISTER!C:C,MATCH(C1048,MASTER_REGISTER!E:E,0)),"")</f>
        <v>10</v>
      </c>
      <c r="C1048" t="s">
        <v>193</v>
      </c>
      <c r="D1048" t="str">
        <f>IFERROR(INDEX(MASTER_REGISTER!F:F,MATCH(C1048,MASTER_REGISTER!E:E,0)),"")</f>
        <v>Nandi Molefe</v>
      </c>
      <c r="E1048" t="s">
        <v>337</v>
      </c>
      <c r="F1048" t="s">
        <v>338</v>
      </c>
      <c r="G1048" t="s">
        <v>339</v>
      </c>
    </row>
    <row r="1049" spans="1:8" x14ac:dyDescent="0.3">
      <c r="A1049" t="s">
        <v>355</v>
      </c>
      <c r="B1049">
        <f>IFERROR(INDEX(MASTER_REGISTER!C:C,MATCH(C1049,MASTER_REGISTER!E:E,0)),"")</f>
        <v>10</v>
      </c>
      <c r="C1049" t="s">
        <v>198</v>
      </c>
      <c r="D1049" t="str">
        <f>IFERROR(INDEX(MASTER_REGISTER!F:F,MATCH(C1049,MASTER_REGISTER!E:E,0)),"")</f>
        <v>Kgothatso Baloyi</v>
      </c>
      <c r="E1049" t="s">
        <v>337</v>
      </c>
      <c r="F1049" t="s">
        <v>338</v>
      </c>
      <c r="G1049" t="s">
        <v>339</v>
      </c>
    </row>
    <row r="1050" spans="1:8" x14ac:dyDescent="0.3">
      <c r="A1050" t="s">
        <v>355</v>
      </c>
      <c r="B1050">
        <f>IFERROR(INDEX(MASTER_REGISTER!C:C,MATCH(C1050,MASTER_REGISTER!E:E,0)),"")</f>
        <v>10</v>
      </c>
      <c r="C1050" t="s">
        <v>202</v>
      </c>
      <c r="D1050" t="str">
        <f>IFERROR(INDEX(MASTER_REGISTER!F:F,MATCH(C1050,MASTER_REGISTER!E:E,0)),"")</f>
        <v>Ayanda Mokoena</v>
      </c>
      <c r="E1050" t="s">
        <v>337</v>
      </c>
      <c r="F1050" t="s">
        <v>338</v>
      </c>
      <c r="G1050" t="s">
        <v>339</v>
      </c>
    </row>
    <row r="1051" spans="1:8" x14ac:dyDescent="0.3">
      <c r="A1051" t="s">
        <v>355</v>
      </c>
      <c r="B1051">
        <f>IFERROR(INDEX(MASTER_REGISTER!C:C,MATCH(C1051,MASTER_REGISTER!E:E,0)),"")</f>
        <v>10</v>
      </c>
      <c r="C1051" t="s">
        <v>206</v>
      </c>
      <c r="D1051" t="str">
        <f>IFERROR(INDEX(MASTER_REGISTER!F:F,MATCH(C1051,MASTER_REGISTER!E:E,0)),"")</f>
        <v>Lwazi Baloyi</v>
      </c>
      <c r="E1051" t="s">
        <v>337</v>
      </c>
      <c r="F1051" t="s">
        <v>338</v>
      </c>
      <c r="G1051" t="s">
        <v>339</v>
      </c>
    </row>
    <row r="1052" spans="1:8" x14ac:dyDescent="0.3">
      <c r="A1052" t="s">
        <v>355</v>
      </c>
      <c r="B1052">
        <f>IFERROR(INDEX(MASTER_REGISTER!C:C,MATCH(C1052,MASTER_REGISTER!E:E,0)),"")</f>
        <v>10</v>
      </c>
      <c r="C1052" t="s">
        <v>210</v>
      </c>
      <c r="D1052" t="str">
        <f>IFERROR(INDEX(MASTER_REGISTER!F:F,MATCH(C1052,MASTER_REGISTER!E:E,0)),"")</f>
        <v>Siyanda Mokoena</v>
      </c>
      <c r="E1052" t="s">
        <v>335</v>
      </c>
      <c r="H1052" t="s">
        <v>342</v>
      </c>
    </row>
    <row r="1053" spans="1:8" x14ac:dyDescent="0.3">
      <c r="A1053" t="s">
        <v>355</v>
      </c>
      <c r="B1053">
        <f>IFERROR(INDEX(MASTER_REGISTER!C:C,MATCH(C1053,MASTER_REGISTER!E:E,0)),"")</f>
        <v>10</v>
      </c>
      <c r="C1053" t="s">
        <v>214</v>
      </c>
      <c r="D1053" t="str">
        <f>IFERROR(INDEX(MASTER_REGISTER!F:F,MATCH(C1053,MASTER_REGISTER!E:E,0)),"")</f>
        <v>Mpho Ngobeni</v>
      </c>
      <c r="E1053" t="s">
        <v>335</v>
      </c>
      <c r="H1053" t="s">
        <v>342</v>
      </c>
    </row>
    <row r="1054" spans="1:8" x14ac:dyDescent="0.3">
      <c r="A1054" t="s">
        <v>355</v>
      </c>
      <c r="B1054">
        <f>IFERROR(INDEX(MASTER_REGISTER!C:C,MATCH(C1054,MASTER_REGISTER!E:E,0)),"")</f>
        <v>10</v>
      </c>
      <c r="C1054" t="s">
        <v>217</v>
      </c>
      <c r="D1054" t="str">
        <f>IFERROR(INDEX(MASTER_REGISTER!F:F,MATCH(C1054,MASTER_REGISTER!E:E,0)),"")</f>
        <v>Naledi Makhubela</v>
      </c>
      <c r="E1054" t="s">
        <v>335</v>
      </c>
      <c r="H1054" t="s">
        <v>340</v>
      </c>
    </row>
    <row r="1055" spans="1:8" x14ac:dyDescent="0.3">
      <c r="A1055" t="s">
        <v>355</v>
      </c>
      <c r="B1055">
        <f>IFERROR(INDEX(MASTER_REGISTER!C:C,MATCH(C1055,MASTER_REGISTER!E:E,0)),"")</f>
        <v>10</v>
      </c>
      <c r="C1055" t="s">
        <v>221</v>
      </c>
      <c r="D1055" t="str">
        <f>IFERROR(INDEX(MASTER_REGISTER!F:F,MATCH(C1055,MASTER_REGISTER!E:E,0)),"")</f>
        <v>Kgothatso Mokoena</v>
      </c>
      <c r="E1055" t="s">
        <v>337</v>
      </c>
      <c r="F1055" t="s">
        <v>338</v>
      </c>
      <c r="G1055" t="s">
        <v>339</v>
      </c>
    </row>
    <row r="1056" spans="1:8" x14ac:dyDescent="0.3">
      <c r="A1056" t="s">
        <v>355</v>
      </c>
      <c r="B1056">
        <f>IFERROR(INDEX(MASTER_REGISTER!C:C,MATCH(C1056,MASTER_REGISTER!E:E,0)),"")</f>
        <v>10</v>
      </c>
      <c r="C1056" t="s">
        <v>225</v>
      </c>
      <c r="D1056" t="str">
        <f>IFERROR(INDEX(MASTER_REGISTER!F:F,MATCH(C1056,MASTER_REGISTER!E:E,0)),"")</f>
        <v>Bongani Makhubela</v>
      </c>
      <c r="E1056" t="s">
        <v>335</v>
      </c>
      <c r="H1056" t="s">
        <v>340</v>
      </c>
    </row>
    <row r="1057" spans="1:7" x14ac:dyDescent="0.3">
      <c r="A1057" t="s">
        <v>355</v>
      </c>
      <c r="B1057">
        <f>IFERROR(INDEX(MASTER_REGISTER!C:C,MATCH(C1057,MASTER_REGISTER!E:E,0)),"")</f>
        <v>10</v>
      </c>
      <c r="C1057" t="s">
        <v>229</v>
      </c>
      <c r="D1057" t="str">
        <f>IFERROR(INDEX(MASTER_REGISTER!F:F,MATCH(C1057,MASTER_REGISTER!E:E,0)),"")</f>
        <v>Kagiso Kekana</v>
      </c>
      <c r="E1057" t="s">
        <v>337</v>
      </c>
      <c r="F1057" t="s">
        <v>338</v>
      </c>
      <c r="G1057" t="s">
        <v>339</v>
      </c>
    </row>
    <row r="1058" spans="1:7" x14ac:dyDescent="0.3">
      <c r="A1058" t="s">
        <v>355</v>
      </c>
      <c r="B1058">
        <f>IFERROR(INDEX(MASTER_REGISTER!C:C,MATCH(C1058,MASTER_REGISTER!E:E,0)),"")</f>
        <v>11</v>
      </c>
      <c r="C1058" t="s">
        <v>233</v>
      </c>
      <c r="D1058" t="str">
        <f>IFERROR(INDEX(MASTER_REGISTER!F:F,MATCH(C1058,MASTER_REGISTER!E:E,0)),"")</f>
        <v>Lwazi Makhubela</v>
      </c>
      <c r="E1058" t="s">
        <v>337</v>
      </c>
      <c r="F1058" t="s">
        <v>338</v>
      </c>
      <c r="G1058" t="s">
        <v>339</v>
      </c>
    </row>
    <row r="1059" spans="1:7" x14ac:dyDescent="0.3">
      <c r="A1059" t="s">
        <v>355</v>
      </c>
      <c r="B1059">
        <f>IFERROR(INDEX(MASTER_REGISTER!C:C,MATCH(C1059,MASTER_REGISTER!E:E,0)),"")</f>
        <v>11</v>
      </c>
      <c r="C1059" t="s">
        <v>237</v>
      </c>
      <c r="D1059" t="str">
        <f>IFERROR(INDEX(MASTER_REGISTER!F:F,MATCH(C1059,MASTER_REGISTER!E:E,0)),"")</f>
        <v>Lebogang Ramushu</v>
      </c>
      <c r="E1059" t="s">
        <v>337</v>
      </c>
      <c r="F1059" t="s">
        <v>338</v>
      </c>
      <c r="G1059" t="s">
        <v>339</v>
      </c>
    </row>
    <row r="1060" spans="1:7" x14ac:dyDescent="0.3">
      <c r="A1060" t="s">
        <v>355</v>
      </c>
      <c r="B1060">
        <f>IFERROR(INDEX(MASTER_REGISTER!C:C,MATCH(C1060,MASTER_REGISTER!E:E,0)),"")</f>
        <v>11</v>
      </c>
      <c r="C1060" t="s">
        <v>241</v>
      </c>
      <c r="D1060" t="str">
        <f>IFERROR(INDEX(MASTER_REGISTER!F:F,MATCH(C1060,MASTER_REGISTER!E:E,0)),"")</f>
        <v>Lerato Kekana</v>
      </c>
      <c r="E1060" t="s">
        <v>337</v>
      </c>
      <c r="F1060" t="s">
        <v>338</v>
      </c>
      <c r="G1060" t="s">
        <v>339</v>
      </c>
    </row>
    <row r="1061" spans="1:7" x14ac:dyDescent="0.3">
      <c r="A1061" t="s">
        <v>355</v>
      </c>
      <c r="B1061">
        <f>IFERROR(INDEX(MASTER_REGISTER!C:C,MATCH(C1061,MASTER_REGISTER!E:E,0)),"")</f>
        <v>11</v>
      </c>
      <c r="C1061" t="s">
        <v>244</v>
      </c>
      <c r="D1061" t="str">
        <f>IFERROR(INDEX(MASTER_REGISTER!F:F,MATCH(C1061,MASTER_REGISTER!E:E,0)),"")</f>
        <v>Bongani Ndlovu</v>
      </c>
      <c r="E1061" t="s">
        <v>337</v>
      </c>
      <c r="F1061" t="s">
        <v>338</v>
      </c>
      <c r="G1061" t="s">
        <v>339</v>
      </c>
    </row>
    <row r="1062" spans="1:7" x14ac:dyDescent="0.3">
      <c r="A1062" t="s">
        <v>355</v>
      </c>
      <c r="B1062">
        <f>IFERROR(INDEX(MASTER_REGISTER!C:C,MATCH(C1062,MASTER_REGISTER!E:E,0)),"")</f>
        <v>11</v>
      </c>
      <c r="C1062" t="s">
        <v>248</v>
      </c>
      <c r="D1062" t="str">
        <f>IFERROR(INDEX(MASTER_REGISTER!F:F,MATCH(C1062,MASTER_REGISTER!E:E,0)),"")</f>
        <v>Sifiso Dlamini</v>
      </c>
      <c r="E1062" t="s">
        <v>337</v>
      </c>
      <c r="F1062" t="s">
        <v>338</v>
      </c>
      <c r="G1062" t="s">
        <v>339</v>
      </c>
    </row>
    <row r="1063" spans="1:7" x14ac:dyDescent="0.3">
      <c r="A1063" t="s">
        <v>355</v>
      </c>
      <c r="B1063">
        <f>IFERROR(INDEX(MASTER_REGISTER!C:C,MATCH(C1063,MASTER_REGISTER!E:E,0)),"")</f>
        <v>11</v>
      </c>
      <c r="C1063" t="s">
        <v>252</v>
      </c>
      <c r="D1063" t="str">
        <f>IFERROR(INDEX(MASTER_REGISTER!F:F,MATCH(C1063,MASTER_REGISTER!E:E,0)),"")</f>
        <v>Refilwe Dlamini</v>
      </c>
      <c r="E1063" t="s">
        <v>337</v>
      </c>
      <c r="F1063" t="s">
        <v>338</v>
      </c>
      <c r="G1063" t="s">
        <v>339</v>
      </c>
    </row>
    <row r="1064" spans="1:7" x14ac:dyDescent="0.3">
      <c r="A1064" t="s">
        <v>355</v>
      </c>
      <c r="B1064">
        <f>IFERROR(INDEX(MASTER_REGISTER!C:C,MATCH(C1064,MASTER_REGISTER!E:E,0)),"")</f>
        <v>11</v>
      </c>
      <c r="C1064" t="s">
        <v>256</v>
      </c>
      <c r="D1064" t="str">
        <f>IFERROR(INDEX(MASTER_REGISTER!F:F,MATCH(C1064,MASTER_REGISTER!E:E,0)),"")</f>
        <v>Lwazi Maseko</v>
      </c>
      <c r="E1064" t="s">
        <v>337</v>
      </c>
      <c r="F1064" t="s">
        <v>338</v>
      </c>
      <c r="G1064" t="s">
        <v>339</v>
      </c>
    </row>
    <row r="1065" spans="1:7" x14ac:dyDescent="0.3">
      <c r="A1065" t="s">
        <v>355</v>
      </c>
      <c r="B1065">
        <f>IFERROR(INDEX(MASTER_REGISTER!C:C,MATCH(C1065,MASTER_REGISTER!E:E,0)),"")</f>
        <v>11</v>
      </c>
      <c r="C1065" t="s">
        <v>260</v>
      </c>
      <c r="D1065" t="str">
        <f>IFERROR(INDEX(MASTER_REGISTER!F:F,MATCH(C1065,MASTER_REGISTER!E:E,0)),"")</f>
        <v>Refilwe Mokgadi</v>
      </c>
      <c r="E1065" t="s">
        <v>337</v>
      </c>
      <c r="F1065" t="s">
        <v>338</v>
      </c>
      <c r="G1065" t="s">
        <v>339</v>
      </c>
    </row>
    <row r="1066" spans="1:7" x14ac:dyDescent="0.3">
      <c r="A1066" t="s">
        <v>355</v>
      </c>
      <c r="B1066">
        <f>IFERROR(INDEX(MASTER_REGISTER!C:C,MATCH(C1066,MASTER_REGISTER!E:E,0)),"")</f>
        <v>11</v>
      </c>
      <c r="C1066" t="s">
        <v>264</v>
      </c>
      <c r="D1066" t="str">
        <f>IFERROR(INDEX(MASTER_REGISTER!F:F,MATCH(C1066,MASTER_REGISTER!E:E,0)),"")</f>
        <v>Kgothatso Molefe</v>
      </c>
      <c r="E1066" t="s">
        <v>337</v>
      </c>
      <c r="F1066" t="s">
        <v>338</v>
      </c>
      <c r="G1066" t="s">
        <v>339</v>
      </c>
    </row>
    <row r="1067" spans="1:7" x14ac:dyDescent="0.3">
      <c r="A1067" t="s">
        <v>355</v>
      </c>
      <c r="B1067">
        <f>IFERROR(INDEX(MASTER_REGISTER!C:C,MATCH(C1067,MASTER_REGISTER!E:E,0)),"")</f>
        <v>11</v>
      </c>
      <c r="C1067" t="s">
        <v>268</v>
      </c>
      <c r="D1067" t="str">
        <f>IFERROR(INDEX(MASTER_REGISTER!F:F,MATCH(C1067,MASTER_REGISTER!E:E,0)),"")</f>
        <v>Tshepo Mokgadi</v>
      </c>
      <c r="E1067" t="s">
        <v>337</v>
      </c>
      <c r="F1067" t="s">
        <v>338</v>
      </c>
      <c r="G1067" t="s">
        <v>339</v>
      </c>
    </row>
    <row r="1068" spans="1:7" x14ac:dyDescent="0.3">
      <c r="A1068" t="s">
        <v>355</v>
      </c>
      <c r="B1068">
        <f>IFERROR(INDEX(MASTER_REGISTER!C:C,MATCH(C1068,MASTER_REGISTER!E:E,0)),"")</f>
        <v>11</v>
      </c>
      <c r="C1068" t="s">
        <v>272</v>
      </c>
      <c r="D1068" t="str">
        <f>IFERROR(INDEX(MASTER_REGISTER!F:F,MATCH(C1068,MASTER_REGISTER!E:E,0)),"")</f>
        <v>Tshepo Phiri</v>
      </c>
      <c r="E1068" t="s">
        <v>337</v>
      </c>
      <c r="F1068" t="s">
        <v>338</v>
      </c>
      <c r="G1068" t="s">
        <v>339</v>
      </c>
    </row>
    <row r="1069" spans="1:7" x14ac:dyDescent="0.3">
      <c r="A1069" t="s">
        <v>355</v>
      </c>
      <c r="B1069">
        <f>IFERROR(INDEX(MASTER_REGISTER!C:C,MATCH(C1069,MASTER_REGISTER!E:E,0)),"")</f>
        <v>11</v>
      </c>
      <c r="C1069" t="s">
        <v>276</v>
      </c>
      <c r="D1069" t="str">
        <f>IFERROR(INDEX(MASTER_REGISTER!F:F,MATCH(C1069,MASTER_REGISTER!E:E,0)),"")</f>
        <v>Zanele Ngobeni</v>
      </c>
      <c r="E1069" t="s">
        <v>337</v>
      </c>
      <c r="F1069" t="s">
        <v>338</v>
      </c>
      <c r="G1069" t="s">
        <v>339</v>
      </c>
    </row>
    <row r="1070" spans="1:7" x14ac:dyDescent="0.3">
      <c r="A1070" t="s">
        <v>355</v>
      </c>
      <c r="B1070">
        <f>IFERROR(INDEX(MASTER_REGISTER!C:C,MATCH(C1070,MASTER_REGISTER!E:E,0)),"")</f>
        <v>12</v>
      </c>
      <c r="C1070" t="s">
        <v>280</v>
      </c>
      <c r="D1070" t="str">
        <f>IFERROR(INDEX(MASTER_REGISTER!F:F,MATCH(C1070,MASTER_REGISTER!E:E,0)),"")</f>
        <v>Palesa Mokoena</v>
      </c>
      <c r="E1070" t="s">
        <v>337</v>
      </c>
      <c r="F1070" t="s">
        <v>338</v>
      </c>
      <c r="G1070" t="s">
        <v>339</v>
      </c>
    </row>
    <row r="1071" spans="1:7" x14ac:dyDescent="0.3">
      <c r="A1071" t="s">
        <v>355</v>
      </c>
      <c r="B1071">
        <f>IFERROR(INDEX(MASTER_REGISTER!C:C,MATCH(C1071,MASTER_REGISTER!E:E,0)),"")</f>
        <v>12</v>
      </c>
      <c r="C1071" t="s">
        <v>284</v>
      </c>
      <c r="D1071" t="str">
        <f>IFERROR(INDEX(MASTER_REGISTER!F:F,MATCH(C1071,MASTER_REGISTER!E:E,0)),"")</f>
        <v>Thabo Ramushu</v>
      </c>
      <c r="E1071" t="s">
        <v>337</v>
      </c>
      <c r="F1071" t="s">
        <v>338</v>
      </c>
      <c r="G1071" t="s">
        <v>339</v>
      </c>
    </row>
    <row r="1072" spans="1:7" x14ac:dyDescent="0.3">
      <c r="A1072" t="s">
        <v>355</v>
      </c>
      <c r="B1072">
        <f>IFERROR(INDEX(MASTER_REGISTER!C:C,MATCH(C1072,MASTER_REGISTER!E:E,0)),"")</f>
        <v>12</v>
      </c>
      <c r="C1072" t="s">
        <v>288</v>
      </c>
      <c r="D1072" t="str">
        <f>IFERROR(INDEX(MASTER_REGISTER!F:F,MATCH(C1072,MASTER_REGISTER!E:E,0)),"")</f>
        <v>Lwazi Ndlovu</v>
      </c>
      <c r="E1072" t="s">
        <v>337</v>
      </c>
      <c r="F1072" t="s">
        <v>338</v>
      </c>
      <c r="G1072" t="s">
        <v>339</v>
      </c>
    </row>
    <row r="1073" spans="1:8" x14ac:dyDescent="0.3">
      <c r="A1073" t="s">
        <v>355</v>
      </c>
      <c r="B1073">
        <f>IFERROR(INDEX(MASTER_REGISTER!C:C,MATCH(C1073,MASTER_REGISTER!E:E,0)),"")</f>
        <v>12</v>
      </c>
      <c r="C1073" t="s">
        <v>292</v>
      </c>
      <c r="D1073" t="str">
        <f>IFERROR(INDEX(MASTER_REGISTER!F:F,MATCH(C1073,MASTER_REGISTER!E:E,0)),"")</f>
        <v>Ayanda Dlamini</v>
      </c>
      <c r="E1073" t="s">
        <v>337</v>
      </c>
      <c r="F1073" t="s">
        <v>338</v>
      </c>
      <c r="G1073" t="s">
        <v>339</v>
      </c>
    </row>
    <row r="1074" spans="1:8" x14ac:dyDescent="0.3">
      <c r="A1074" t="s">
        <v>355</v>
      </c>
      <c r="B1074">
        <f>IFERROR(INDEX(MASTER_REGISTER!C:C,MATCH(C1074,MASTER_REGISTER!E:E,0)),"")</f>
        <v>12</v>
      </c>
      <c r="C1074" t="s">
        <v>296</v>
      </c>
      <c r="D1074" t="str">
        <f>IFERROR(INDEX(MASTER_REGISTER!F:F,MATCH(C1074,MASTER_REGISTER!E:E,0)),"")</f>
        <v>Neo Ndlovu</v>
      </c>
      <c r="E1074" t="s">
        <v>337</v>
      </c>
      <c r="F1074" t="s">
        <v>338</v>
      </c>
      <c r="G1074" t="s">
        <v>339</v>
      </c>
    </row>
    <row r="1075" spans="1:8" x14ac:dyDescent="0.3">
      <c r="A1075" t="s">
        <v>355</v>
      </c>
      <c r="B1075">
        <f>IFERROR(INDEX(MASTER_REGISTER!C:C,MATCH(C1075,MASTER_REGISTER!E:E,0)),"")</f>
        <v>12</v>
      </c>
      <c r="C1075" t="s">
        <v>300</v>
      </c>
      <c r="D1075" t="str">
        <f>IFERROR(INDEX(MASTER_REGISTER!F:F,MATCH(C1075,MASTER_REGISTER!E:E,0)),"")</f>
        <v>Neo Ramushu</v>
      </c>
      <c r="E1075" t="s">
        <v>337</v>
      </c>
      <c r="F1075" t="s">
        <v>338</v>
      </c>
      <c r="G1075" t="s">
        <v>339</v>
      </c>
    </row>
    <row r="1076" spans="1:8" x14ac:dyDescent="0.3">
      <c r="A1076" t="s">
        <v>355</v>
      </c>
      <c r="B1076">
        <f>IFERROR(INDEX(MASTER_REGISTER!C:C,MATCH(C1076,MASTER_REGISTER!E:E,0)),"")</f>
        <v>12</v>
      </c>
      <c r="C1076" t="s">
        <v>304</v>
      </c>
      <c r="D1076" t="str">
        <f>IFERROR(INDEX(MASTER_REGISTER!F:F,MATCH(C1076,MASTER_REGISTER!E:E,0)),"")</f>
        <v>Karabo Baloyi</v>
      </c>
      <c r="E1076" t="s">
        <v>337</v>
      </c>
      <c r="F1076" t="s">
        <v>338</v>
      </c>
      <c r="G1076" t="s">
        <v>339</v>
      </c>
    </row>
    <row r="1077" spans="1:8" x14ac:dyDescent="0.3">
      <c r="A1077" t="s">
        <v>355</v>
      </c>
      <c r="B1077">
        <f>IFERROR(INDEX(MASTER_REGISTER!C:C,MATCH(C1077,MASTER_REGISTER!E:E,0)),"")</f>
        <v>12</v>
      </c>
      <c r="C1077" t="s">
        <v>308</v>
      </c>
      <c r="D1077" t="str">
        <f>IFERROR(INDEX(MASTER_REGISTER!F:F,MATCH(C1077,MASTER_REGISTER!E:E,0)),"")</f>
        <v>Tshepo Mokgadi</v>
      </c>
      <c r="E1077" t="s">
        <v>335</v>
      </c>
      <c r="H1077" t="s">
        <v>342</v>
      </c>
    </row>
    <row r="1078" spans="1:8" x14ac:dyDescent="0.3">
      <c r="A1078" t="s">
        <v>355</v>
      </c>
      <c r="B1078">
        <f>IFERROR(INDEX(MASTER_REGISTER!C:C,MATCH(C1078,MASTER_REGISTER!E:E,0)),"")</f>
        <v>12</v>
      </c>
      <c r="C1078" t="s">
        <v>311</v>
      </c>
      <c r="D1078" t="str">
        <f>IFERROR(INDEX(MASTER_REGISTER!F:F,MATCH(C1078,MASTER_REGISTER!E:E,0)),"")</f>
        <v>Sifiso Mavuso</v>
      </c>
      <c r="E1078" t="s">
        <v>337</v>
      </c>
      <c r="F1078" t="s">
        <v>338</v>
      </c>
      <c r="G1078" t="s">
        <v>339</v>
      </c>
    </row>
    <row r="1079" spans="1:8" x14ac:dyDescent="0.3">
      <c r="A1079" t="s">
        <v>355</v>
      </c>
      <c r="B1079">
        <f>IFERROR(INDEX(MASTER_REGISTER!C:C,MATCH(C1079,MASTER_REGISTER!E:E,0)),"")</f>
        <v>12</v>
      </c>
      <c r="C1079" t="s">
        <v>315</v>
      </c>
      <c r="D1079" t="str">
        <f>IFERROR(INDEX(MASTER_REGISTER!F:F,MATCH(C1079,MASTER_REGISTER!E:E,0)),"")</f>
        <v>Refilwe Sithole</v>
      </c>
      <c r="E1079" t="s">
        <v>337</v>
      </c>
      <c r="F1079" t="s">
        <v>338</v>
      </c>
      <c r="G1079" t="s">
        <v>339</v>
      </c>
    </row>
    <row r="1080" spans="1:8" x14ac:dyDescent="0.3">
      <c r="A1080" t="s">
        <v>355</v>
      </c>
      <c r="B1080">
        <f>IFERROR(INDEX(MASTER_REGISTER!C:C,MATCH(C1080,MASTER_REGISTER!E:E,0)),"")</f>
        <v>12</v>
      </c>
      <c r="C1080" t="s">
        <v>319</v>
      </c>
      <c r="D1080" t="str">
        <f>IFERROR(INDEX(MASTER_REGISTER!F:F,MATCH(C1080,MASTER_REGISTER!E:E,0)),"")</f>
        <v>Lerato Sithole</v>
      </c>
      <c r="E1080" t="s">
        <v>337</v>
      </c>
      <c r="F1080" t="s">
        <v>338</v>
      </c>
      <c r="G1080" t="s">
        <v>339</v>
      </c>
    </row>
    <row r="1081" spans="1:8" x14ac:dyDescent="0.3">
      <c r="A1081" t="s">
        <v>355</v>
      </c>
      <c r="B1081">
        <f>IFERROR(INDEX(MASTER_REGISTER!C:C,MATCH(C1081,MASTER_REGISTER!E:E,0)),"")</f>
        <v>12</v>
      </c>
      <c r="C1081" t="s">
        <v>323</v>
      </c>
      <c r="D1081" t="str">
        <f>IFERROR(INDEX(MASTER_REGISTER!F:F,MATCH(C1081,MASTER_REGISTER!E:E,0)),"")</f>
        <v>Sibusiso Ngobeni</v>
      </c>
      <c r="E1081" t="s">
        <v>337</v>
      </c>
      <c r="F1081" t="s">
        <v>338</v>
      </c>
      <c r="G1081" t="s">
        <v>339</v>
      </c>
    </row>
    <row r="1082" spans="1:8" x14ac:dyDescent="0.3">
      <c r="A1082" t="s">
        <v>356</v>
      </c>
      <c r="B1082">
        <f>IFERROR(INDEX(MASTER_REGISTER!C:C,MATCH(C1082,MASTER_REGISTER!E:E,0)),"")</f>
        <v>8</v>
      </c>
      <c r="C1082" t="s">
        <v>50</v>
      </c>
      <c r="D1082" t="str">
        <f>IFERROR(INDEX(MASTER_REGISTER!F:F,MATCH(C1082,MASTER_REGISTER!E:E,0)),"")</f>
        <v>Lerato Nkosi</v>
      </c>
      <c r="E1082" t="s">
        <v>337</v>
      </c>
      <c r="F1082" t="s">
        <v>338</v>
      </c>
      <c r="G1082" t="s">
        <v>339</v>
      </c>
    </row>
    <row r="1083" spans="1:8" x14ac:dyDescent="0.3">
      <c r="A1083" t="s">
        <v>356</v>
      </c>
      <c r="B1083">
        <f>IFERROR(INDEX(MASTER_REGISTER!C:C,MATCH(C1083,MASTER_REGISTER!E:E,0)),"")</f>
        <v>8</v>
      </c>
      <c r="C1083" t="s">
        <v>58</v>
      </c>
      <c r="D1083" t="str">
        <f>IFERROR(INDEX(MASTER_REGISTER!F:F,MATCH(C1083,MASTER_REGISTER!E:E,0)),"")</f>
        <v>Karabo Maseko</v>
      </c>
      <c r="E1083" t="s">
        <v>337</v>
      </c>
      <c r="F1083" t="s">
        <v>338</v>
      </c>
      <c r="G1083" t="s">
        <v>339</v>
      </c>
    </row>
    <row r="1084" spans="1:8" x14ac:dyDescent="0.3">
      <c r="A1084" t="s">
        <v>356</v>
      </c>
      <c r="B1084">
        <f>IFERROR(INDEX(MASTER_REGISTER!C:C,MATCH(C1084,MASTER_REGISTER!E:E,0)),"")</f>
        <v>8</v>
      </c>
      <c r="C1084" t="s">
        <v>64</v>
      </c>
      <c r="D1084" t="str">
        <f>IFERROR(INDEX(MASTER_REGISTER!F:F,MATCH(C1084,MASTER_REGISTER!E:E,0)),"")</f>
        <v>Sifiso Sithole</v>
      </c>
      <c r="E1084" t="s">
        <v>337</v>
      </c>
      <c r="F1084" t="s">
        <v>338</v>
      </c>
      <c r="G1084" t="s">
        <v>339</v>
      </c>
    </row>
    <row r="1085" spans="1:8" x14ac:dyDescent="0.3">
      <c r="A1085" t="s">
        <v>356</v>
      </c>
      <c r="B1085">
        <f>IFERROR(INDEX(MASTER_REGISTER!C:C,MATCH(C1085,MASTER_REGISTER!E:E,0)),"")</f>
        <v>8</v>
      </c>
      <c r="C1085" t="s">
        <v>70</v>
      </c>
      <c r="D1085" t="str">
        <f>IFERROR(INDEX(MASTER_REGISTER!F:F,MATCH(C1085,MASTER_REGISTER!E:E,0)),"")</f>
        <v>Tshepo Ndlovu</v>
      </c>
      <c r="E1085" t="s">
        <v>337</v>
      </c>
      <c r="F1085" t="s">
        <v>338</v>
      </c>
      <c r="G1085" t="s">
        <v>339</v>
      </c>
    </row>
    <row r="1086" spans="1:8" x14ac:dyDescent="0.3">
      <c r="A1086" t="s">
        <v>356</v>
      </c>
      <c r="B1086">
        <f>IFERROR(INDEX(MASTER_REGISTER!C:C,MATCH(C1086,MASTER_REGISTER!E:E,0)),"")</f>
        <v>8</v>
      </c>
      <c r="C1086" t="s">
        <v>76</v>
      </c>
      <c r="D1086" t="str">
        <f>IFERROR(INDEX(MASTER_REGISTER!F:F,MATCH(C1086,MASTER_REGISTER!E:E,0)),"")</f>
        <v>Lwazi Mthembu</v>
      </c>
      <c r="E1086" t="s">
        <v>337</v>
      </c>
      <c r="F1086" t="s">
        <v>338</v>
      </c>
      <c r="G1086" t="s">
        <v>339</v>
      </c>
    </row>
    <row r="1087" spans="1:8" x14ac:dyDescent="0.3">
      <c r="A1087" t="s">
        <v>356</v>
      </c>
      <c r="B1087">
        <f>IFERROR(INDEX(MASTER_REGISTER!C:C,MATCH(C1087,MASTER_REGISTER!E:E,0)),"")</f>
        <v>8</v>
      </c>
      <c r="C1087" t="s">
        <v>82</v>
      </c>
      <c r="D1087" t="str">
        <f>IFERROR(INDEX(MASTER_REGISTER!F:F,MATCH(C1087,MASTER_REGISTER!E:E,0)),"")</f>
        <v>Karabo Ngobeni</v>
      </c>
      <c r="E1087" t="s">
        <v>335</v>
      </c>
      <c r="H1087" t="s">
        <v>342</v>
      </c>
    </row>
    <row r="1088" spans="1:8" x14ac:dyDescent="0.3">
      <c r="A1088" t="s">
        <v>356</v>
      </c>
      <c r="B1088">
        <f>IFERROR(INDEX(MASTER_REGISTER!C:C,MATCH(C1088,MASTER_REGISTER!E:E,0)),"")</f>
        <v>8</v>
      </c>
      <c r="C1088" t="s">
        <v>88</v>
      </c>
      <c r="D1088" t="str">
        <f>IFERROR(INDEX(MASTER_REGISTER!F:F,MATCH(C1088,MASTER_REGISTER!E:E,0)),"")</f>
        <v>Mpho Sithole</v>
      </c>
      <c r="E1088" t="s">
        <v>337</v>
      </c>
      <c r="F1088" t="s">
        <v>338</v>
      </c>
      <c r="G1088" t="s">
        <v>339</v>
      </c>
    </row>
    <row r="1089" spans="1:8" x14ac:dyDescent="0.3">
      <c r="A1089" t="s">
        <v>356</v>
      </c>
      <c r="B1089">
        <f>IFERROR(INDEX(MASTER_REGISTER!C:C,MATCH(C1089,MASTER_REGISTER!E:E,0)),"")</f>
        <v>8</v>
      </c>
      <c r="C1089" t="s">
        <v>94</v>
      </c>
      <c r="D1089" t="str">
        <f>IFERROR(INDEX(MASTER_REGISTER!F:F,MATCH(C1089,MASTER_REGISTER!E:E,0)),"")</f>
        <v>Tshepo Ramushu</v>
      </c>
      <c r="E1089" t="s">
        <v>337</v>
      </c>
      <c r="F1089" t="s">
        <v>338</v>
      </c>
      <c r="G1089" t="s">
        <v>339</v>
      </c>
    </row>
    <row r="1090" spans="1:8" x14ac:dyDescent="0.3">
      <c r="A1090" t="s">
        <v>356</v>
      </c>
      <c r="B1090">
        <f>IFERROR(INDEX(MASTER_REGISTER!C:C,MATCH(C1090,MASTER_REGISTER!E:E,0)),"")</f>
        <v>8</v>
      </c>
      <c r="C1090" t="s">
        <v>100</v>
      </c>
      <c r="D1090" t="str">
        <f>IFERROR(INDEX(MASTER_REGISTER!F:F,MATCH(C1090,MASTER_REGISTER!E:E,0)),"")</f>
        <v>Lerato Kekana</v>
      </c>
      <c r="E1090" t="s">
        <v>337</v>
      </c>
      <c r="F1090" t="s">
        <v>338</v>
      </c>
      <c r="G1090" t="s">
        <v>339</v>
      </c>
    </row>
    <row r="1091" spans="1:8" x14ac:dyDescent="0.3">
      <c r="A1091" t="s">
        <v>356</v>
      </c>
      <c r="B1091">
        <f>IFERROR(INDEX(MASTER_REGISTER!C:C,MATCH(C1091,MASTER_REGISTER!E:E,0)),"")</f>
        <v>8</v>
      </c>
      <c r="C1091" t="s">
        <v>106</v>
      </c>
      <c r="D1091" t="str">
        <f>IFERROR(INDEX(MASTER_REGISTER!F:F,MATCH(C1091,MASTER_REGISTER!E:E,0)),"")</f>
        <v>Neo Ngobeni</v>
      </c>
      <c r="E1091" t="s">
        <v>337</v>
      </c>
      <c r="F1091" t="s">
        <v>338</v>
      </c>
      <c r="G1091" t="s">
        <v>339</v>
      </c>
    </row>
    <row r="1092" spans="1:8" x14ac:dyDescent="0.3">
      <c r="A1092" t="s">
        <v>356</v>
      </c>
      <c r="B1092">
        <f>IFERROR(INDEX(MASTER_REGISTER!C:C,MATCH(C1092,MASTER_REGISTER!E:E,0)),"")</f>
        <v>8</v>
      </c>
      <c r="C1092" t="s">
        <v>112</v>
      </c>
      <c r="D1092" t="str">
        <f>IFERROR(INDEX(MASTER_REGISTER!F:F,MATCH(C1092,MASTER_REGISTER!E:E,0)),"")</f>
        <v>Thabo Mokgadi</v>
      </c>
      <c r="E1092" t="s">
        <v>337</v>
      </c>
      <c r="F1092" t="s">
        <v>338</v>
      </c>
      <c r="G1092" t="s">
        <v>339</v>
      </c>
    </row>
    <row r="1093" spans="1:8" x14ac:dyDescent="0.3">
      <c r="A1093" t="s">
        <v>356</v>
      </c>
      <c r="B1093">
        <f>IFERROR(INDEX(MASTER_REGISTER!C:C,MATCH(C1093,MASTER_REGISTER!E:E,0)),"")</f>
        <v>8</v>
      </c>
      <c r="C1093" t="s">
        <v>118</v>
      </c>
      <c r="D1093" t="str">
        <f>IFERROR(INDEX(MASTER_REGISTER!F:F,MATCH(C1093,MASTER_REGISTER!E:E,0)),"")</f>
        <v>Sifiso Mthembu</v>
      </c>
      <c r="E1093" t="s">
        <v>337</v>
      </c>
      <c r="F1093" t="s">
        <v>338</v>
      </c>
      <c r="G1093" t="s">
        <v>339</v>
      </c>
    </row>
    <row r="1094" spans="1:8" x14ac:dyDescent="0.3">
      <c r="A1094" t="s">
        <v>356</v>
      </c>
      <c r="B1094">
        <f>IFERROR(INDEX(MASTER_REGISTER!C:C,MATCH(C1094,MASTER_REGISTER!E:E,0)),"")</f>
        <v>9</v>
      </c>
      <c r="C1094" t="s">
        <v>123</v>
      </c>
      <c r="D1094" t="str">
        <f>IFERROR(INDEX(MASTER_REGISTER!F:F,MATCH(C1094,MASTER_REGISTER!E:E,0)),"")</f>
        <v>Karabo Phiri</v>
      </c>
      <c r="E1094" t="s">
        <v>337</v>
      </c>
      <c r="F1094" t="s">
        <v>338</v>
      </c>
      <c r="G1094" t="s">
        <v>339</v>
      </c>
    </row>
    <row r="1095" spans="1:8" x14ac:dyDescent="0.3">
      <c r="A1095" t="s">
        <v>356</v>
      </c>
      <c r="B1095">
        <f>IFERROR(INDEX(MASTER_REGISTER!C:C,MATCH(C1095,MASTER_REGISTER!E:E,0)),"")</f>
        <v>9</v>
      </c>
      <c r="C1095" t="s">
        <v>128</v>
      </c>
      <c r="D1095" t="str">
        <f>IFERROR(INDEX(MASTER_REGISTER!F:F,MATCH(C1095,MASTER_REGISTER!E:E,0)),"")</f>
        <v>Lerato Mahlangu</v>
      </c>
      <c r="E1095" t="s">
        <v>335</v>
      </c>
      <c r="H1095" t="s">
        <v>336</v>
      </c>
    </row>
    <row r="1096" spans="1:8" x14ac:dyDescent="0.3">
      <c r="A1096" t="s">
        <v>356</v>
      </c>
      <c r="B1096">
        <f>IFERROR(INDEX(MASTER_REGISTER!C:C,MATCH(C1096,MASTER_REGISTER!E:E,0)),"")</f>
        <v>9</v>
      </c>
      <c r="C1096" t="s">
        <v>133</v>
      </c>
      <c r="D1096" t="str">
        <f>IFERROR(INDEX(MASTER_REGISTER!F:F,MATCH(C1096,MASTER_REGISTER!E:E,0)),"")</f>
        <v>Mpho Kekana</v>
      </c>
      <c r="E1096" t="s">
        <v>337</v>
      </c>
      <c r="F1096" t="s">
        <v>338</v>
      </c>
      <c r="G1096" t="s">
        <v>339</v>
      </c>
    </row>
    <row r="1097" spans="1:8" x14ac:dyDescent="0.3">
      <c r="A1097" t="s">
        <v>356</v>
      </c>
      <c r="B1097">
        <f>IFERROR(INDEX(MASTER_REGISTER!C:C,MATCH(C1097,MASTER_REGISTER!E:E,0)),"")</f>
        <v>9</v>
      </c>
      <c r="C1097" t="s">
        <v>138</v>
      </c>
      <c r="D1097" t="str">
        <f>IFERROR(INDEX(MASTER_REGISTER!F:F,MATCH(C1097,MASTER_REGISTER!E:E,0)),"")</f>
        <v>Thabo Molefe</v>
      </c>
      <c r="E1097" t="s">
        <v>337</v>
      </c>
      <c r="F1097" t="s">
        <v>338</v>
      </c>
      <c r="G1097" t="s">
        <v>339</v>
      </c>
    </row>
    <row r="1098" spans="1:8" x14ac:dyDescent="0.3">
      <c r="A1098" t="s">
        <v>356</v>
      </c>
      <c r="B1098">
        <f>IFERROR(INDEX(MASTER_REGISTER!C:C,MATCH(C1098,MASTER_REGISTER!E:E,0)),"")</f>
        <v>9</v>
      </c>
      <c r="C1098" t="s">
        <v>143</v>
      </c>
      <c r="D1098" t="str">
        <f>IFERROR(INDEX(MASTER_REGISTER!F:F,MATCH(C1098,MASTER_REGISTER!E:E,0)),"")</f>
        <v>Mpho Ngobeni</v>
      </c>
      <c r="E1098" t="s">
        <v>337</v>
      </c>
      <c r="F1098" t="s">
        <v>338</v>
      </c>
      <c r="G1098" t="s">
        <v>339</v>
      </c>
    </row>
    <row r="1099" spans="1:8" x14ac:dyDescent="0.3">
      <c r="A1099" t="s">
        <v>356</v>
      </c>
      <c r="B1099">
        <f>IFERROR(INDEX(MASTER_REGISTER!C:C,MATCH(C1099,MASTER_REGISTER!E:E,0)),"")</f>
        <v>9</v>
      </c>
      <c r="C1099" t="s">
        <v>148</v>
      </c>
      <c r="D1099" t="str">
        <f>IFERROR(INDEX(MASTER_REGISTER!F:F,MATCH(C1099,MASTER_REGISTER!E:E,0)),"")</f>
        <v>Siyanda Mhlongo</v>
      </c>
      <c r="E1099" t="s">
        <v>337</v>
      </c>
      <c r="F1099" t="s">
        <v>338</v>
      </c>
      <c r="G1099" t="s">
        <v>339</v>
      </c>
    </row>
    <row r="1100" spans="1:8" x14ac:dyDescent="0.3">
      <c r="A1100" t="s">
        <v>356</v>
      </c>
      <c r="B1100">
        <f>IFERROR(INDEX(MASTER_REGISTER!C:C,MATCH(C1100,MASTER_REGISTER!E:E,0)),"")</f>
        <v>9</v>
      </c>
      <c r="C1100" t="s">
        <v>153</v>
      </c>
      <c r="D1100" t="str">
        <f>IFERROR(INDEX(MASTER_REGISTER!F:F,MATCH(C1100,MASTER_REGISTER!E:E,0)),"")</f>
        <v>Siyanda Mahlangu</v>
      </c>
      <c r="E1100" t="s">
        <v>337</v>
      </c>
      <c r="F1100" t="s">
        <v>338</v>
      </c>
      <c r="G1100" t="s">
        <v>339</v>
      </c>
    </row>
    <row r="1101" spans="1:8" x14ac:dyDescent="0.3">
      <c r="A1101" t="s">
        <v>356</v>
      </c>
      <c r="B1101">
        <f>IFERROR(INDEX(MASTER_REGISTER!C:C,MATCH(C1101,MASTER_REGISTER!E:E,0)),"")</f>
        <v>9</v>
      </c>
      <c r="C1101" t="s">
        <v>158</v>
      </c>
      <c r="D1101" t="str">
        <f>IFERROR(INDEX(MASTER_REGISTER!F:F,MATCH(C1101,MASTER_REGISTER!E:E,0)),"")</f>
        <v>Sifiso Ramushu</v>
      </c>
      <c r="E1101" t="s">
        <v>337</v>
      </c>
      <c r="F1101" t="s">
        <v>338</v>
      </c>
      <c r="G1101" t="s">
        <v>339</v>
      </c>
    </row>
    <row r="1102" spans="1:8" x14ac:dyDescent="0.3">
      <c r="A1102" t="s">
        <v>356</v>
      </c>
      <c r="B1102">
        <f>IFERROR(INDEX(MASTER_REGISTER!C:C,MATCH(C1102,MASTER_REGISTER!E:E,0)),"")</f>
        <v>9</v>
      </c>
      <c r="C1102" t="s">
        <v>163</v>
      </c>
      <c r="D1102" t="str">
        <f>IFERROR(INDEX(MASTER_REGISTER!F:F,MATCH(C1102,MASTER_REGISTER!E:E,0)),"")</f>
        <v>Nandi Ngobeni</v>
      </c>
      <c r="E1102" t="s">
        <v>335</v>
      </c>
      <c r="H1102" t="s">
        <v>340</v>
      </c>
    </row>
    <row r="1103" spans="1:8" x14ac:dyDescent="0.3">
      <c r="A1103" t="s">
        <v>356</v>
      </c>
      <c r="B1103">
        <f>IFERROR(INDEX(MASTER_REGISTER!C:C,MATCH(C1103,MASTER_REGISTER!E:E,0)),"")</f>
        <v>9</v>
      </c>
      <c r="C1103" t="s">
        <v>168</v>
      </c>
      <c r="D1103" t="str">
        <f>IFERROR(INDEX(MASTER_REGISTER!F:F,MATCH(C1103,MASTER_REGISTER!E:E,0)),"")</f>
        <v>Karabo Mokgadi</v>
      </c>
      <c r="E1103" t="s">
        <v>337</v>
      </c>
      <c r="F1103" t="s">
        <v>338</v>
      </c>
      <c r="G1103" t="s">
        <v>339</v>
      </c>
    </row>
    <row r="1104" spans="1:8" x14ac:dyDescent="0.3">
      <c r="A1104" t="s">
        <v>356</v>
      </c>
      <c r="B1104">
        <f>IFERROR(INDEX(MASTER_REGISTER!C:C,MATCH(C1104,MASTER_REGISTER!E:E,0)),"")</f>
        <v>9</v>
      </c>
      <c r="C1104" t="s">
        <v>173</v>
      </c>
      <c r="D1104" t="str">
        <f>IFERROR(INDEX(MASTER_REGISTER!F:F,MATCH(C1104,MASTER_REGISTER!E:E,0)),"")</f>
        <v>Sifiso Mahlangu</v>
      </c>
      <c r="E1104" t="s">
        <v>337</v>
      </c>
      <c r="F1104" t="s">
        <v>338</v>
      </c>
      <c r="G1104" t="s">
        <v>339</v>
      </c>
    </row>
    <row r="1105" spans="1:8" x14ac:dyDescent="0.3">
      <c r="A1105" t="s">
        <v>356</v>
      </c>
      <c r="B1105">
        <f>IFERROR(INDEX(MASTER_REGISTER!C:C,MATCH(C1105,MASTER_REGISTER!E:E,0)),"")</f>
        <v>9</v>
      </c>
      <c r="C1105" t="s">
        <v>178</v>
      </c>
      <c r="D1105" t="str">
        <f>IFERROR(INDEX(MASTER_REGISTER!F:F,MATCH(C1105,MASTER_REGISTER!E:E,0)),"")</f>
        <v>Kgothatso Radebe</v>
      </c>
      <c r="E1105" t="s">
        <v>337</v>
      </c>
      <c r="F1105" t="s">
        <v>338</v>
      </c>
      <c r="G1105" t="s">
        <v>339</v>
      </c>
    </row>
    <row r="1106" spans="1:8" x14ac:dyDescent="0.3">
      <c r="A1106" t="s">
        <v>356</v>
      </c>
      <c r="B1106">
        <f>IFERROR(INDEX(MASTER_REGISTER!C:C,MATCH(C1106,MASTER_REGISTER!E:E,0)),"")</f>
        <v>10</v>
      </c>
      <c r="C1106" t="s">
        <v>183</v>
      </c>
      <c r="D1106" t="str">
        <f>IFERROR(INDEX(MASTER_REGISTER!F:F,MATCH(C1106,MASTER_REGISTER!E:E,0)),"")</f>
        <v>Lerato Maseko</v>
      </c>
      <c r="E1106" t="s">
        <v>337</v>
      </c>
      <c r="F1106" t="s">
        <v>338</v>
      </c>
      <c r="G1106" t="s">
        <v>339</v>
      </c>
    </row>
    <row r="1107" spans="1:8" x14ac:dyDescent="0.3">
      <c r="A1107" t="s">
        <v>356</v>
      </c>
      <c r="B1107">
        <f>IFERROR(INDEX(MASTER_REGISTER!C:C,MATCH(C1107,MASTER_REGISTER!E:E,0)),"")</f>
        <v>10</v>
      </c>
      <c r="C1107" t="s">
        <v>188</v>
      </c>
      <c r="D1107" t="str">
        <f>IFERROR(INDEX(MASTER_REGISTER!F:F,MATCH(C1107,MASTER_REGISTER!E:E,0)),"")</f>
        <v>Sibusiso Molefe</v>
      </c>
      <c r="E1107" t="s">
        <v>337</v>
      </c>
      <c r="F1107" t="s">
        <v>338</v>
      </c>
      <c r="G1107" t="s">
        <v>339</v>
      </c>
    </row>
    <row r="1108" spans="1:8" x14ac:dyDescent="0.3">
      <c r="A1108" t="s">
        <v>356</v>
      </c>
      <c r="B1108">
        <f>IFERROR(INDEX(MASTER_REGISTER!C:C,MATCH(C1108,MASTER_REGISTER!E:E,0)),"")</f>
        <v>10</v>
      </c>
      <c r="C1108" t="s">
        <v>193</v>
      </c>
      <c r="D1108" t="str">
        <f>IFERROR(INDEX(MASTER_REGISTER!F:F,MATCH(C1108,MASTER_REGISTER!E:E,0)),"")</f>
        <v>Nandi Molefe</v>
      </c>
      <c r="E1108" t="s">
        <v>337</v>
      </c>
      <c r="F1108" t="s">
        <v>338</v>
      </c>
      <c r="G1108" t="s">
        <v>339</v>
      </c>
    </row>
    <row r="1109" spans="1:8" x14ac:dyDescent="0.3">
      <c r="A1109" t="s">
        <v>356</v>
      </c>
      <c r="B1109">
        <f>IFERROR(INDEX(MASTER_REGISTER!C:C,MATCH(C1109,MASTER_REGISTER!E:E,0)),"")</f>
        <v>10</v>
      </c>
      <c r="C1109" t="s">
        <v>198</v>
      </c>
      <c r="D1109" t="str">
        <f>IFERROR(INDEX(MASTER_REGISTER!F:F,MATCH(C1109,MASTER_REGISTER!E:E,0)),"")</f>
        <v>Kgothatso Baloyi</v>
      </c>
      <c r="E1109" t="s">
        <v>337</v>
      </c>
      <c r="F1109" t="s">
        <v>338</v>
      </c>
      <c r="G1109" t="s">
        <v>339</v>
      </c>
    </row>
    <row r="1110" spans="1:8" x14ac:dyDescent="0.3">
      <c r="A1110" t="s">
        <v>356</v>
      </c>
      <c r="B1110">
        <f>IFERROR(INDEX(MASTER_REGISTER!C:C,MATCH(C1110,MASTER_REGISTER!E:E,0)),"")</f>
        <v>10</v>
      </c>
      <c r="C1110" t="s">
        <v>202</v>
      </c>
      <c r="D1110" t="str">
        <f>IFERROR(INDEX(MASTER_REGISTER!F:F,MATCH(C1110,MASTER_REGISTER!E:E,0)),"")</f>
        <v>Ayanda Mokoena</v>
      </c>
      <c r="E1110" t="s">
        <v>335</v>
      </c>
      <c r="H1110" t="s">
        <v>341</v>
      </c>
    </row>
    <row r="1111" spans="1:8" x14ac:dyDescent="0.3">
      <c r="A1111" t="s">
        <v>356</v>
      </c>
      <c r="B1111">
        <f>IFERROR(INDEX(MASTER_REGISTER!C:C,MATCH(C1111,MASTER_REGISTER!E:E,0)),"")</f>
        <v>10</v>
      </c>
      <c r="C1111" t="s">
        <v>206</v>
      </c>
      <c r="D1111" t="str">
        <f>IFERROR(INDEX(MASTER_REGISTER!F:F,MATCH(C1111,MASTER_REGISTER!E:E,0)),"")</f>
        <v>Lwazi Baloyi</v>
      </c>
      <c r="E1111" t="s">
        <v>337</v>
      </c>
      <c r="F1111" t="s">
        <v>338</v>
      </c>
      <c r="G1111" t="s">
        <v>339</v>
      </c>
    </row>
    <row r="1112" spans="1:8" x14ac:dyDescent="0.3">
      <c r="A1112" t="s">
        <v>356</v>
      </c>
      <c r="B1112">
        <f>IFERROR(INDEX(MASTER_REGISTER!C:C,MATCH(C1112,MASTER_REGISTER!E:E,0)),"")</f>
        <v>10</v>
      </c>
      <c r="C1112" t="s">
        <v>210</v>
      </c>
      <c r="D1112" t="str">
        <f>IFERROR(INDEX(MASTER_REGISTER!F:F,MATCH(C1112,MASTER_REGISTER!E:E,0)),"")</f>
        <v>Siyanda Mokoena</v>
      </c>
      <c r="E1112" t="s">
        <v>337</v>
      </c>
      <c r="F1112" t="s">
        <v>338</v>
      </c>
      <c r="G1112" t="s">
        <v>339</v>
      </c>
    </row>
    <row r="1113" spans="1:8" x14ac:dyDescent="0.3">
      <c r="A1113" t="s">
        <v>356</v>
      </c>
      <c r="B1113">
        <f>IFERROR(INDEX(MASTER_REGISTER!C:C,MATCH(C1113,MASTER_REGISTER!E:E,0)),"")</f>
        <v>10</v>
      </c>
      <c r="C1113" t="s">
        <v>214</v>
      </c>
      <c r="D1113" t="str">
        <f>IFERROR(INDEX(MASTER_REGISTER!F:F,MATCH(C1113,MASTER_REGISTER!E:E,0)),"")</f>
        <v>Mpho Ngobeni</v>
      </c>
      <c r="E1113" t="s">
        <v>337</v>
      </c>
      <c r="F1113" t="s">
        <v>338</v>
      </c>
      <c r="G1113" t="s">
        <v>339</v>
      </c>
    </row>
    <row r="1114" spans="1:8" x14ac:dyDescent="0.3">
      <c r="A1114" t="s">
        <v>356</v>
      </c>
      <c r="B1114">
        <f>IFERROR(INDEX(MASTER_REGISTER!C:C,MATCH(C1114,MASTER_REGISTER!E:E,0)),"")</f>
        <v>10</v>
      </c>
      <c r="C1114" t="s">
        <v>217</v>
      </c>
      <c r="D1114" t="str">
        <f>IFERROR(INDEX(MASTER_REGISTER!F:F,MATCH(C1114,MASTER_REGISTER!E:E,0)),"")</f>
        <v>Naledi Makhubela</v>
      </c>
      <c r="E1114" t="s">
        <v>337</v>
      </c>
      <c r="F1114" t="s">
        <v>338</v>
      </c>
      <c r="G1114" t="s">
        <v>339</v>
      </c>
    </row>
    <row r="1115" spans="1:8" x14ac:dyDescent="0.3">
      <c r="A1115" t="s">
        <v>356</v>
      </c>
      <c r="B1115">
        <f>IFERROR(INDEX(MASTER_REGISTER!C:C,MATCH(C1115,MASTER_REGISTER!E:E,0)),"")</f>
        <v>10</v>
      </c>
      <c r="C1115" t="s">
        <v>221</v>
      </c>
      <c r="D1115" t="str">
        <f>IFERROR(INDEX(MASTER_REGISTER!F:F,MATCH(C1115,MASTER_REGISTER!E:E,0)),"")</f>
        <v>Kgothatso Mokoena</v>
      </c>
      <c r="E1115" t="s">
        <v>337</v>
      </c>
      <c r="F1115" t="s">
        <v>338</v>
      </c>
      <c r="G1115" t="s">
        <v>339</v>
      </c>
    </row>
    <row r="1116" spans="1:8" x14ac:dyDescent="0.3">
      <c r="A1116" t="s">
        <v>356</v>
      </c>
      <c r="B1116">
        <f>IFERROR(INDEX(MASTER_REGISTER!C:C,MATCH(C1116,MASTER_REGISTER!E:E,0)),"")</f>
        <v>10</v>
      </c>
      <c r="C1116" t="s">
        <v>225</v>
      </c>
      <c r="D1116" t="str">
        <f>IFERROR(INDEX(MASTER_REGISTER!F:F,MATCH(C1116,MASTER_REGISTER!E:E,0)),"")</f>
        <v>Bongani Makhubela</v>
      </c>
      <c r="E1116" t="s">
        <v>337</v>
      </c>
      <c r="F1116" t="s">
        <v>338</v>
      </c>
      <c r="G1116" t="s">
        <v>339</v>
      </c>
    </row>
    <row r="1117" spans="1:8" x14ac:dyDescent="0.3">
      <c r="A1117" t="s">
        <v>356</v>
      </c>
      <c r="B1117">
        <f>IFERROR(INDEX(MASTER_REGISTER!C:C,MATCH(C1117,MASTER_REGISTER!E:E,0)),"")</f>
        <v>10</v>
      </c>
      <c r="C1117" t="s">
        <v>229</v>
      </c>
      <c r="D1117" t="str">
        <f>IFERROR(INDEX(MASTER_REGISTER!F:F,MATCH(C1117,MASTER_REGISTER!E:E,0)),"")</f>
        <v>Kagiso Kekana</v>
      </c>
      <c r="E1117" t="s">
        <v>337</v>
      </c>
      <c r="F1117" t="s">
        <v>338</v>
      </c>
      <c r="G1117" t="s">
        <v>339</v>
      </c>
    </row>
    <row r="1118" spans="1:8" x14ac:dyDescent="0.3">
      <c r="A1118" t="s">
        <v>356</v>
      </c>
      <c r="B1118">
        <f>IFERROR(INDEX(MASTER_REGISTER!C:C,MATCH(C1118,MASTER_REGISTER!E:E,0)),"")</f>
        <v>11</v>
      </c>
      <c r="C1118" t="s">
        <v>233</v>
      </c>
      <c r="D1118" t="str">
        <f>IFERROR(INDEX(MASTER_REGISTER!F:F,MATCH(C1118,MASTER_REGISTER!E:E,0)),"")</f>
        <v>Lwazi Makhubela</v>
      </c>
      <c r="E1118" t="s">
        <v>337</v>
      </c>
      <c r="F1118" t="s">
        <v>338</v>
      </c>
      <c r="G1118" t="s">
        <v>339</v>
      </c>
    </row>
    <row r="1119" spans="1:8" x14ac:dyDescent="0.3">
      <c r="A1119" t="s">
        <v>356</v>
      </c>
      <c r="B1119">
        <f>IFERROR(INDEX(MASTER_REGISTER!C:C,MATCH(C1119,MASTER_REGISTER!E:E,0)),"")</f>
        <v>11</v>
      </c>
      <c r="C1119" t="s">
        <v>237</v>
      </c>
      <c r="D1119" t="str">
        <f>IFERROR(INDEX(MASTER_REGISTER!F:F,MATCH(C1119,MASTER_REGISTER!E:E,0)),"")</f>
        <v>Lebogang Ramushu</v>
      </c>
      <c r="E1119" t="s">
        <v>335</v>
      </c>
      <c r="H1119" t="s">
        <v>342</v>
      </c>
    </row>
    <row r="1120" spans="1:8" x14ac:dyDescent="0.3">
      <c r="A1120" t="s">
        <v>356</v>
      </c>
      <c r="B1120">
        <f>IFERROR(INDEX(MASTER_REGISTER!C:C,MATCH(C1120,MASTER_REGISTER!E:E,0)),"")</f>
        <v>11</v>
      </c>
      <c r="C1120" t="s">
        <v>241</v>
      </c>
      <c r="D1120" t="str">
        <f>IFERROR(INDEX(MASTER_REGISTER!F:F,MATCH(C1120,MASTER_REGISTER!E:E,0)),"")</f>
        <v>Lerato Kekana</v>
      </c>
      <c r="E1120" t="s">
        <v>337</v>
      </c>
      <c r="F1120" t="s">
        <v>338</v>
      </c>
      <c r="G1120" t="s">
        <v>339</v>
      </c>
    </row>
    <row r="1121" spans="1:8" x14ac:dyDescent="0.3">
      <c r="A1121" t="s">
        <v>356</v>
      </c>
      <c r="B1121">
        <f>IFERROR(INDEX(MASTER_REGISTER!C:C,MATCH(C1121,MASTER_REGISTER!E:E,0)),"")</f>
        <v>11</v>
      </c>
      <c r="C1121" t="s">
        <v>244</v>
      </c>
      <c r="D1121" t="str">
        <f>IFERROR(INDEX(MASTER_REGISTER!F:F,MATCH(C1121,MASTER_REGISTER!E:E,0)),"")</f>
        <v>Bongani Ndlovu</v>
      </c>
      <c r="E1121" t="s">
        <v>337</v>
      </c>
      <c r="F1121" t="s">
        <v>338</v>
      </c>
      <c r="G1121" t="s">
        <v>339</v>
      </c>
    </row>
    <row r="1122" spans="1:8" x14ac:dyDescent="0.3">
      <c r="A1122" t="s">
        <v>356</v>
      </c>
      <c r="B1122">
        <f>IFERROR(INDEX(MASTER_REGISTER!C:C,MATCH(C1122,MASTER_REGISTER!E:E,0)),"")</f>
        <v>11</v>
      </c>
      <c r="C1122" t="s">
        <v>248</v>
      </c>
      <c r="D1122" t="str">
        <f>IFERROR(INDEX(MASTER_REGISTER!F:F,MATCH(C1122,MASTER_REGISTER!E:E,0)),"")</f>
        <v>Sifiso Dlamini</v>
      </c>
      <c r="E1122" t="s">
        <v>337</v>
      </c>
      <c r="F1122" t="s">
        <v>338</v>
      </c>
      <c r="G1122" t="s">
        <v>339</v>
      </c>
    </row>
    <row r="1123" spans="1:8" x14ac:dyDescent="0.3">
      <c r="A1123" t="s">
        <v>356</v>
      </c>
      <c r="B1123">
        <f>IFERROR(INDEX(MASTER_REGISTER!C:C,MATCH(C1123,MASTER_REGISTER!E:E,0)),"")</f>
        <v>11</v>
      </c>
      <c r="C1123" t="s">
        <v>252</v>
      </c>
      <c r="D1123" t="str">
        <f>IFERROR(INDEX(MASTER_REGISTER!F:F,MATCH(C1123,MASTER_REGISTER!E:E,0)),"")</f>
        <v>Refilwe Dlamini</v>
      </c>
      <c r="E1123" t="s">
        <v>337</v>
      </c>
      <c r="F1123" t="s">
        <v>338</v>
      </c>
      <c r="G1123" t="s">
        <v>339</v>
      </c>
    </row>
    <row r="1124" spans="1:8" x14ac:dyDescent="0.3">
      <c r="A1124" t="s">
        <v>356</v>
      </c>
      <c r="B1124">
        <f>IFERROR(INDEX(MASTER_REGISTER!C:C,MATCH(C1124,MASTER_REGISTER!E:E,0)),"")</f>
        <v>11</v>
      </c>
      <c r="C1124" t="s">
        <v>256</v>
      </c>
      <c r="D1124" t="str">
        <f>IFERROR(INDEX(MASTER_REGISTER!F:F,MATCH(C1124,MASTER_REGISTER!E:E,0)),"")</f>
        <v>Lwazi Maseko</v>
      </c>
      <c r="E1124" t="s">
        <v>337</v>
      </c>
      <c r="F1124" t="s">
        <v>338</v>
      </c>
      <c r="G1124" t="s">
        <v>339</v>
      </c>
    </row>
    <row r="1125" spans="1:8" x14ac:dyDescent="0.3">
      <c r="A1125" t="s">
        <v>356</v>
      </c>
      <c r="B1125">
        <f>IFERROR(INDEX(MASTER_REGISTER!C:C,MATCH(C1125,MASTER_REGISTER!E:E,0)),"")</f>
        <v>11</v>
      </c>
      <c r="C1125" t="s">
        <v>260</v>
      </c>
      <c r="D1125" t="str">
        <f>IFERROR(INDEX(MASTER_REGISTER!F:F,MATCH(C1125,MASTER_REGISTER!E:E,0)),"")</f>
        <v>Refilwe Mokgadi</v>
      </c>
      <c r="E1125" t="s">
        <v>335</v>
      </c>
      <c r="H1125" t="s">
        <v>340</v>
      </c>
    </row>
    <row r="1126" spans="1:8" x14ac:dyDescent="0.3">
      <c r="A1126" t="s">
        <v>356</v>
      </c>
      <c r="B1126">
        <f>IFERROR(INDEX(MASTER_REGISTER!C:C,MATCH(C1126,MASTER_REGISTER!E:E,0)),"")</f>
        <v>11</v>
      </c>
      <c r="C1126" t="s">
        <v>264</v>
      </c>
      <c r="D1126" t="str">
        <f>IFERROR(INDEX(MASTER_REGISTER!F:F,MATCH(C1126,MASTER_REGISTER!E:E,0)),"")</f>
        <v>Kgothatso Molefe</v>
      </c>
      <c r="E1126" t="s">
        <v>335</v>
      </c>
      <c r="H1126" t="s">
        <v>342</v>
      </c>
    </row>
    <row r="1127" spans="1:8" x14ac:dyDescent="0.3">
      <c r="A1127" t="s">
        <v>356</v>
      </c>
      <c r="B1127">
        <f>IFERROR(INDEX(MASTER_REGISTER!C:C,MATCH(C1127,MASTER_REGISTER!E:E,0)),"")</f>
        <v>11</v>
      </c>
      <c r="C1127" t="s">
        <v>268</v>
      </c>
      <c r="D1127" t="str">
        <f>IFERROR(INDEX(MASTER_REGISTER!F:F,MATCH(C1127,MASTER_REGISTER!E:E,0)),"")</f>
        <v>Tshepo Mokgadi</v>
      </c>
      <c r="E1127" t="s">
        <v>337</v>
      </c>
      <c r="F1127" t="s">
        <v>338</v>
      </c>
      <c r="G1127" t="s">
        <v>339</v>
      </c>
    </row>
    <row r="1128" spans="1:8" x14ac:dyDescent="0.3">
      <c r="A1128" t="s">
        <v>356</v>
      </c>
      <c r="B1128">
        <f>IFERROR(INDEX(MASTER_REGISTER!C:C,MATCH(C1128,MASTER_REGISTER!E:E,0)),"")</f>
        <v>11</v>
      </c>
      <c r="C1128" t="s">
        <v>272</v>
      </c>
      <c r="D1128" t="str">
        <f>IFERROR(INDEX(MASTER_REGISTER!F:F,MATCH(C1128,MASTER_REGISTER!E:E,0)),"")</f>
        <v>Tshepo Phiri</v>
      </c>
      <c r="E1128" t="s">
        <v>337</v>
      </c>
      <c r="F1128" t="s">
        <v>338</v>
      </c>
      <c r="G1128" t="s">
        <v>339</v>
      </c>
    </row>
    <row r="1129" spans="1:8" x14ac:dyDescent="0.3">
      <c r="A1129" t="s">
        <v>356</v>
      </c>
      <c r="B1129">
        <f>IFERROR(INDEX(MASTER_REGISTER!C:C,MATCH(C1129,MASTER_REGISTER!E:E,0)),"")</f>
        <v>11</v>
      </c>
      <c r="C1129" t="s">
        <v>276</v>
      </c>
      <c r="D1129" t="str">
        <f>IFERROR(INDEX(MASTER_REGISTER!F:F,MATCH(C1129,MASTER_REGISTER!E:E,0)),"")</f>
        <v>Zanele Ngobeni</v>
      </c>
      <c r="E1129" t="s">
        <v>337</v>
      </c>
      <c r="F1129" t="s">
        <v>338</v>
      </c>
      <c r="G1129" t="s">
        <v>339</v>
      </c>
    </row>
    <row r="1130" spans="1:8" x14ac:dyDescent="0.3">
      <c r="A1130" t="s">
        <v>356</v>
      </c>
      <c r="B1130">
        <f>IFERROR(INDEX(MASTER_REGISTER!C:C,MATCH(C1130,MASTER_REGISTER!E:E,0)),"")</f>
        <v>12</v>
      </c>
      <c r="C1130" t="s">
        <v>280</v>
      </c>
      <c r="D1130" t="str">
        <f>IFERROR(INDEX(MASTER_REGISTER!F:F,MATCH(C1130,MASTER_REGISTER!E:E,0)),"")</f>
        <v>Palesa Mokoena</v>
      </c>
      <c r="E1130" t="s">
        <v>337</v>
      </c>
      <c r="F1130" t="s">
        <v>338</v>
      </c>
      <c r="G1130" t="s">
        <v>339</v>
      </c>
    </row>
    <row r="1131" spans="1:8" x14ac:dyDescent="0.3">
      <c r="A1131" t="s">
        <v>356</v>
      </c>
      <c r="B1131">
        <f>IFERROR(INDEX(MASTER_REGISTER!C:C,MATCH(C1131,MASTER_REGISTER!E:E,0)),"")</f>
        <v>12</v>
      </c>
      <c r="C1131" t="s">
        <v>284</v>
      </c>
      <c r="D1131" t="str">
        <f>IFERROR(INDEX(MASTER_REGISTER!F:F,MATCH(C1131,MASTER_REGISTER!E:E,0)),"")</f>
        <v>Thabo Ramushu</v>
      </c>
      <c r="E1131" t="s">
        <v>337</v>
      </c>
      <c r="F1131" t="s">
        <v>338</v>
      </c>
      <c r="G1131" t="s">
        <v>339</v>
      </c>
    </row>
    <row r="1132" spans="1:8" x14ac:dyDescent="0.3">
      <c r="A1132" t="s">
        <v>356</v>
      </c>
      <c r="B1132">
        <f>IFERROR(INDEX(MASTER_REGISTER!C:C,MATCH(C1132,MASTER_REGISTER!E:E,0)),"")</f>
        <v>12</v>
      </c>
      <c r="C1132" t="s">
        <v>288</v>
      </c>
      <c r="D1132" t="str">
        <f>IFERROR(INDEX(MASTER_REGISTER!F:F,MATCH(C1132,MASTER_REGISTER!E:E,0)),"")</f>
        <v>Lwazi Ndlovu</v>
      </c>
      <c r="E1132" t="s">
        <v>337</v>
      </c>
      <c r="F1132" t="s">
        <v>338</v>
      </c>
      <c r="G1132" t="s">
        <v>339</v>
      </c>
    </row>
    <row r="1133" spans="1:8" x14ac:dyDescent="0.3">
      <c r="A1133" t="s">
        <v>356</v>
      </c>
      <c r="B1133">
        <f>IFERROR(INDEX(MASTER_REGISTER!C:C,MATCH(C1133,MASTER_REGISTER!E:E,0)),"")</f>
        <v>12</v>
      </c>
      <c r="C1133" t="s">
        <v>292</v>
      </c>
      <c r="D1133" t="str">
        <f>IFERROR(INDEX(MASTER_REGISTER!F:F,MATCH(C1133,MASTER_REGISTER!E:E,0)),"")</f>
        <v>Ayanda Dlamini</v>
      </c>
      <c r="E1133" t="s">
        <v>335</v>
      </c>
      <c r="H1133" t="s">
        <v>341</v>
      </c>
    </row>
    <row r="1134" spans="1:8" x14ac:dyDescent="0.3">
      <c r="A1134" t="s">
        <v>356</v>
      </c>
      <c r="B1134">
        <f>IFERROR(INDEX(MASTER_REGISTER!C:C,MATCH(C1134,MASTER_REGISTER!E:E,0)),"")</f>
        <v>12</v>
      </c>
      <c r="C1134" t="s">
        <v>296</v>
      </c>
      <c r="D1134" t="str">
        <f>IFERROR(INDEX(MASTER_REGISTER!F:F,MATCH(C1134,MASTER_REGISTER!E:E,0)),"")</f>
        <v>Neo Ndlovu</v>
      </c>
      <c r="E1134" t="s">
        <v>337</v>
      </c>
      <c r="F1134" t="s">
        <v>338</v>
      </c>
      <c r="G1134" t="s">
        <v>339</v>
      </c>
    </row>
    <row r="1135" spans="1:8" x14ac:dyDescent="0.3">
      <c r="A1135" t="s">
        <v>356</v>
      </c>
      <c r="B1135">
        <f>IFERROR(INDEX(MASTER_REGISTER!C:C,MATCH(C1135,MASTER_REGISTER!E:E,0)),"")</f>
        <v>12</v>
      </c>
      <c r="C1135" t="s">
        <v>300</v>
      </c>
      <c r="D1135" t="str">
        <f>IFERROR(INDEX(MASTER_REGISTER!F:F,MATCH(C1135,MASTER_REGISTER!E:E,0)),"")</f>
        <v>Neo Ramushu</v>
      </c>
      <c r="E1135" t="s">
        <v>337</v>
      </c>
      <c r="F1135" t="s">
        <v>338</v>
      </c>
      <c r="G1135" t="s">
        <v>339</v>
      </c>
    </row>
    <row r="1136" spans="1:8" x14ac:dyDescent="0.3">
      <c r="A1136" t="s">
        <v>356</v>
      </c>
      <c r="B1136">
        <f>IFERROR(INDEX(MASTER_REGISTER!C:C,MATCH(C1136,MASTER_REGISTER!E:E,0)),"")</f>
        <v>12</v>
      </c>
      <c r="C1136" t="s">
        <v>304</v>
      </c>
      <c r="D1136" t="str">
        <f>IFERROR(INDEX(MASTER_REGISTER!F:F,MATCH(C1136,MASTER_REGISTER!E:E,0)),"")</f>
        <v>Karabo Baloyi</v>
      </c>
      <c r="E1136" t="s">
        <v>337</v>
      </c>
      <c r="F1136" t="s">
        <v>338</v>
      </c>
      <c r="G1136" t="s">
        <v>339</v>
      </c>
    </row>
    <row r="1137" spans="1:7" x14ac:dyDescent="0.3">
      <c r="A1137" t="s">
        <v>356</v>
      </c>
      <c r="B1137">
        <f>IFERROR(INDEX(MASTER_REGISTER!C:C,MATCH(C1137,MASTER_REGISTER!E:E,0)),"")</f>
        <v>12</v>
      </c>
      <c r="C1137" t="s">
        <v>308</v>
      </c>
      <c r="D1137" t="str">
        <f>IFERROR(INDEX(MASTER_REGISTER!F:F,MATCH(C1137,MASTER_REGISTER!E:E,0)),"")</f>
        <v>Tshepo Mokgadi</v>
      </c>
      <c r="E1137" t="s">
        <v>337</v>
      </c>
      <c r="F1137" t="s">
        <v>338</v>
      </c>
      <c r="G1137" t="s">
        <v>339</v>
      </c>
    </row>
    <row r="1138" spans="1:7" x14ac:dyDescent="0.3">
      <c r="A1138" t="s">
        <v>356</v>
      </c>
      <c r="B1138">
        <f>IFERROR(INDEX(MASTER_REGISTER!C:C,MATCH(C1138,MASTER_REGISTER!E:E,0)),"")</f>
        <v>12</v>
      </c>
      <c r="C1138" t="s">
        <v>311</v>
      </c>
      <c r="D1138" t="str">
        <f>IFERROR(INDEX(MASTER_REGISTER!F:F,MATCH(C1138,MASTER_REGISTER!E:E,0)),"")</f>
        <v>Sifiso Mavuso</v>
      </c>
      <c r="E1138" t="s">
        <v>337</v>
      </c>
      <c r="F1138" t="s">
        <v>338</v>
      </c>
      <c r="G1138" t="s">
        <v>339</v>
      </c>
    </row>
    <row r="1139" spans="1:7" x14ac:dyDescent="0.3">
      <c r="A1139" t="s">
        <v>356</v>
      </c>
      <c r="B1139">
        <f>IFERROR(INDEX(MASTER_REGISTER!C:C,MATCH(C1139,MASTER_REGISTER!E:E,0)),"")</f>
        <v>12</v>
      </c>
      <c r="C1139" t="s">
        <v>315</v>
      </c>
      <c r="D1139" t="str">
        <f>IFERROR(INDEX(MASTER_REGISTER!F:F,MATCH(C1139,MASTER_REGISTER!E:E,0)),"")</f>
        <v>Refilwe Sithole</v>
      </c>
      <c r="E1139" t="s">
        <v>337</v>
      </c>
      <c r="F1139" t="s">
        <v>338</v>
      </c>
      <c r="G1139" t="s">
        <v>339</v>
      </c>
    </row>
    <row r="1140" spans="1:7" x14ac:dyDescent="0.3">
      <c r="A1140" t="s">
        <v>356</v>
      </c>
      <c r="B1140">
        <f>IFERROR(INDEX(MASTER_REGISTER!C:C,MATCH(C1140,MASTER_REGISTER!E:E,0)),"")</f>
        <v>12</v>
      </c>
      <c r="C1140" t="s">
        <v>319</v>
      </c>
      <c r="D1140" t="str">
        <f>IFERROR(INDEX(MASTER_REGISTER!F:F,MATCH(C1140,MASTER_REGISTER!E:E,0)),"")</f>
        <v>Lerato Sithole</v>
      </c>
      <c r="E1140" t="s">
        <v>337</v>
      </c>
      <c r="F1140" t="s">
        <v>338</v>
      </c>
      <c r="G1140" t="s">
        <v>339</v>
      </c>
    </row>
    <row r="1141" spans="1:7" x14ac:dyDescent="0.3">
      <c r="A1141" t="s">
        <v>356</v>
      </c>
      <c r="B1141">
        <f>IFERROR(INDEX(MASTER_REGISTER!C:C,MATCH(C1141,MASTER_REGISTER!E:E,0)),"")</f>
        <v>12</v>
      </c>
      <c r="C1141" t="s">
        <v>323</v>
      </c>
      <c r="D1141" t="str">
        <f>IFERROR(INDEX(MASTER_REGISTER!F:F,MATCH(C1141,MASTER_REGISTER!E:E,0)),"")</f>
        <v>Sibusiso Ngobeni</v>
      </c>
      <c r="E1141" t="s">
        <v>337</v>
      </c>
      <c r="F1141" t="s">
        <v>338</v>
      </c>
      <c r="G1141" t="s">
        <v>339</v>
      </c>
    </row>
    <row r="1142" spans="1:7" x14ac:dyDescent="0.3">
      <c r="A1142" t="s">
        <v>357</v>
      </c>
      <c r="B1142">
        <f>IFERROR(INDEX(MASTER_REGISTER!C:C,MATCH(C1142,MASTER_REGISTER!E:E,0)),"")</f>
        <v>8</v>
      </c>
      <c r="C1142" t="s">
        <v>50</v>
      </c>
      <c r="D1142" t="str">
        <f>IFERROR(INDEX(MASTER_REGISTER!F:F,MATCH(C1142,MASTER_REGISTER!E:E,0)),"")</f>
        <v>Lerato Nkosi</v>
      </c>
      <c r="E1142" t="s">
        <v>337</v>
      </c>
      <c r="F1142" t="s">
        <v>338</v>
      </c>
      <c r="G1142" t="s">
        <v>339</v>
      </c>
    </row>
    <row r="1143" spans="1:7" x14ac:dyDescent="0.3">
      <c r="A1143" t="s">
        <v>357</v>
      </c>
      <c r="B1143">
        <f>IFERROR(INDEX(MASTER_REGISTER!C:C,MATCH(C1143,MASTER_REGISTER!E:E,0)),"")</f>
        <v>8</v>
      </c>
      <c r="C1143" t="s">
        <v>58</v>
      </c>
      <c r="D1143" t="str">
        <f>IFERROR(INDEX(MASTER_REGISTER!F:F,MATCH(C1143,MASTER_REGISTER!E:E,0)),"")</f>
        <v>Karabo Maseko</v>
      </c>
      <c r="E1143" t="s">
        <v>337</v>
      </c>
      <c r="F1143" t="s">
        <v>338</v>
      </c>
      <c r="G1143" t="s">
        <v>339</v>
      </c>
    </row>
    <row r="1144" spans="1:7" x14ac:dyDescent="0.3">
      <c r="A1144" t="s">
        <v>357</v>
      </c>
      <c r="B1144">
        <f>IFERROR(INDEX(MASTER_REGISTER!C:C,MATCH(C1144,MASTER_REGISTER!E:E,0)),"")</f>
        <v>8</v>
      </c>
      <c r="C1144" t="s">
        <v>64</v>
      </c>
      <c r="D1144" t="str">
        <f>IFERROR(INDEX(MASTER_REGISTER!F:F,MATCH(C1144,MASTER_REGISTER!E:E,0)),"")</f>
        <v>Sifiso Sithole</v>
      </c>
      <c r="E1144" t="s">
        <v>337</v>
      </c>
      <c r="F1144" t="s">
        <v>338</v>
      </c>
      <c r="G1144" t="s">
        <v>339</v>
      </c>
    </row>
    <row r="1145" spans="1:7" x14ac:dyDescent="0.3">
      <c r="A1145" t="s">
        <v>357</v>
      </c>
      <c r="B1145">
        <f>IFERROR(INDEX(MASTER_REGISTER!C:C,MATCH(C1145,MASTER_REGISTER!E:E,0)),"")</f>
        <v>8</v>
      </c>
      <c r="C1145" t="s">
        <v>70</v>
      </c>
      <c r="D1145" t="str">
        <f>IFERROR(INDEX(MASTER_REGISTER!F:F,MATCH(C1145,MASTER_REGISTER!E:E,0)),"")</f>
        <v>Tshepo Ndlovu</v>
      </c>
      <c r="E1145" t="s">
        <v>337</v>
      </c>
      <c r="F1145" t="s">
        <v>338</v>
      </c>
      <c r="G1145" t="s">
        <v>339</v>
      </c>
    </row>
    <row r="1146" spans="1:7" x14ac:dyDescent="0.3">
      <c r="A1146" t="s">
        <v>357</v>
      </c>
      <c r="B1146">
        <f>IFERROR(INDEX(MASTER_REGISTER!C:C,MATCH(C1146,MASTER_REGISTER!E:E,0)),"")</f>
        <v>8</v>
      </c>
      <c r="C1146" t="s">
        <v>76</v>
      </c>
      <c r="D1146" t="str">
        <f>IFERROR(INDEX(MASTER_REGISTER!F:F,MATCH(C1146,MASTER_REGISTER!E:E,0)),"")</f>
        <v>Lwazi Mthembu</v>
      </c>
      <c r="E1146" t="s">
        <v>337</v>
      </c>
      <c r="F1146" t="s">
        <v>338</v>
      </c>
      <c r="G1146" t="s">
        <v>339</v>
      </c>
    </row>
    <row r="1147" spans="1:7" x14ac:dyDescent="0.3">
      <c r="A1147" t="s">
        <v>357</v>
      </c>
      <c r="B1147">
        <f>IFERROR(INDEX(MASTER_REGISTER!C:C,MATCH(C1147,MASTER_REGISTER!E:E,0)),"")</f>
        <v>8</v>
      </c>
      <c r="C1147" t="s">
        <v>82</v>
      </c>
      <c r="D1147" t="str">
        <f>IFERROR(INDEX(MASTER_REGISTER!F:F,MATCH(C1147,MASTER_REGISTER!E:E,0)),"")</f>
        <v>Karabo Ngobeni</v>
      </c>
      <c r="E1147" t="s">
        <v>337</v>
      </c>
      <c r="F1147" t="s">
        <v>338</v>
      </c>
      <c r="G1147" t="s">
        <v>339</v>
      </c>
    </row>
    <row r="1148" spans="1:7" x14ac:dyDescent="0.3">
      <c r="A1148" t="s">
        <v>357</v>
      </c>
      <c r="B1148">
        <f>IFERROR(INDEX(MASTER_REGISTER!C:C,MATCH(C1148,MASTER_REGISTER!E:E,0)),"")</f>
        <v>8</v>
      </c>
      <c r="C1148" t="s">
        <v>88</v>
      </c>
      <c r="D1148" t="str">
        <f>IFERROR(INDEX(MASTER_REGISTER!F:F,MATCH(C1148,MASTER_REGISTER!E:E,0)),"")</f>
        <v>Mpho Sithole</v>
      </c>
      <c r="E1148" t="s">
        <v>337</v>
      </c>
      <c r="F1148" t="s">
        <v>338</v>
      </c>
      <c r="G1148" t="s">
        <v>339</v>
      </c>
    </row>
    <row r="1149" spans="1:7" x14ac:dyDescent="0.3">
      <c r="A1149" t="s">
        <v>357</v>
      </c>
      <c r="B1149">
        <f>IFERROR(INDEX(MASTER_REGISTER!C:C,MATCH(C1149,MASTER_REGISTER!E:E,0)),"")</f>
        <v>8</v>
      </c>
      <c r="C1149" t="s">
        <v>94</v>
      </c>
      <c r="D1149" t="str">
        <f>IFERROR(INDEX(MASTER_REGISTER!F:F,MATCH(C1149,MASTER_REGISTER!E:E,0)),"")</f>
        <v>Tshepo Ramushu</v>
      </c>
      <c r="E1149" t="s">
        <v>337</v>
      </c>
      <c r="F1149" t="s">
        <v>338</v>
      </c>
      <c r="G1149" t="s">
        <v>339</v>
      </c>
    </row>
    <row r="1150" spans="1:7" x14ac:dyDescent="0.3">
      <c r="A1150" t="s">
        <v>357</v>
      </c>
      <c r="B1150">
        <f>IFERROR(INDEX(MASTER_REGISTER!C:C,MATCH(C1150,MASTER_REGISTER!E:E,0)),"")</f>
        <v>8</v>
      </c>
      <c r="C1150" t="s">
        <v>100</v>
      </c>
      <c r="D1150" t="str">
        <f>IFERROR(INDEX(MASTER_REGISTER!F:F,MATCH(C1150,MASTER_REGISTER!E:E,0)),"")</f>
        <v>Lerato Kekana</v>
      </c>
      <c r="E1150" t="s">
        <v>337</v>
      </c>
      <c r="F1150" t="s">
        <v>338</v>
      </c>
      <c r="G1150" t="s">
        <v>339</v>
      </c>
    </row>
    <row r="1151" spans="1:7" x14ac:dyDescent="0.3">
      <c r="A1151" t="s">
        <v>357</v>
      </c>
      <c r="B1151">
        <f>IFERROR(INDEX(MASTER_REGISTER!C:C,MATCH(C1151,MASTER_REGISTER!E:E,0)),"")</f>
        <v>8</v>
      </c>
      <c r="C1151" t="s">
        <v>106</v>
      </c>
      <c r="D1151" t="str">
        <f>IFERROR(INDEX(MASTER_REGISTER!F:F,MATCH(C1151,MASTER_REGISTER!E:E,0)),"")</f>
        <v>Neo Ngobeni</v>
      </c>
      <c r="E1151" t="s">
        <v>337</v>
      </c>
      <c r="F1151" t="s">
        <v>338</v>
      </c>
      <c r="G1151" t="s">
        <v>339</v>
      </c>
    </row>
    <row r="1152" spans="1:7" x14ac:dyDescent="0.3">
      <c r="A1152" t="s">
        <v>357</v>
      </c>
      <c r="B1152">
        <f>IFERROR(INDEX(MASTER_REGISTER!C:C,MATCH(C1152,MASTER_REGISTER!E:E,0)),"")</f>
        <v>8</v>
      </c>
      <c r="C1152" t="s">
        <v>112</v>
      </c>
      <c r="D1152" t="str">
        <f>IFERROR(INDEX(MASTER_REGISTER!F:F,MATCH(C1152,MASTER_REGISTER!E:E,0)),"")</f>
        <v>Thabo Mokgadi</v>
      </c>
      <c r="E1152" t="s">
        <v>337</v>
      </c>
      <c r="F1152" t="s">
        <v>338</v>
      </c>
      <c r="G1152" t="s">
        <v>339</v>
      </c>
    </row>
    <row r="1153" spans="1:7" x14ac:dyDescent="0.3">
      <c r="A1153" t="s">
        <v>357</v>
      </c>
      <c r="B1153">
        <f>IFERROR(INDEX(MASTER_REGISTER!C:C,MATCH(C1153,MASTER_REGISTER!E:E,0)),"")</f>
        <v>8</v>
      </c>
      <c r="C1153" t="s">
        <v>118</v>
      </c>
      <c r="D1153" t="str">
        <f>IFERROR(INDEX(MASTER_REGISTER!F:F,MATCH(C1153,MASTER_REGISTER!E:E,0)),"")</f>
        <v>Sifiso Mthembu</v>
      </c>
      <c r="E1153" t="s">
        <v>337</v>
      </c>
      <c r="F1153" t="s">
        <v>338</v>
      </c>
      <c r="G1153" t="s">
        <v>339</v>
      </c>
    </row>
    <row r="1154" spans="1:7" x14ac:dyDescent="0.3">
      <c r="A1154" t="s">
        <v>357</v>
      </c>
      <c r="B1154">
        <f>IFERROR(INDEX(MASTER_REGISTER!C:C,MATCH(C1154,MASTER_REGISTER!E:E,0)),"")</f>
        <v>9</v>
      </c>
      <c r="C1154" t="s">
        <v>123</v>
      </c>
      <c r="D1154" t="str">
        <f>IFERROR(INDEX(MASTER_REGISTER!F:F,MATCH(C1154,MASTER_REGISTER!E:E,0)),"")</f>
        <v>Karabo Phiri</v>
      </c>
      <c r="E1154" t="s">
        <v>337</v>
      </c>
      <c r="F1154" t="s">
        <v>338</v>
      </c>
      <c r="G1154" t="s">
        <v>339</v>
      </c>
    </row>
    <row r="1155" spans="1:7" x14ac:dyDescent="0.3">
      <c r="A1155" t="s">
        <v>357</v>
      </c>
      <c r="B1155">
        <f>IFERROR(INDEX(MASTER_REGISTER!C:C,MATCH(C1155,MASTER_REGISTER!E:E,0)),"")</f>
        <v>9</v>
      </c>
      <c r="C1155" t="s">
        <v>128</v>
      </c>
      <c r="D1155" t="str">
        <f>IFERROR(INDEX(MASTER_REGISTER!F:F,MATCH(C1155,MASTER_REGISTER!E:E,0)),"")</f>
        <v>Lerato Mahlangu</v>
      </c>
      <c r="E1155" t="s">
        <v>337</v>
      </c>
      <c r="F1155" t="s">
        <v>338</v>
      </c>
      <c r="G1155" t="s">
        <v>339</v>
      </c>
    </row>
    <row r="1156" spans="1:7" x14ac:dyDescent="0.3">
      <c r="A1156" t="s">
        <v>357</v>
      </c>
      <c r="B1156">
        <f>IFERROR(INDEX(MASTER_REGISTER!C:C,MATCH(C1156,MASTER_REGISTER!E:E,0)),"")</f>
        <v>9</v>
      </c>
      <c r="C1156" t="s">
        <v>133</v>
      </c>
      <c r="D1156" t="str">
        <f>IFERROR(INDEX(MASTER_REGISTER!F:F,MATCH(C1156,MASTER_REGISTER!E:E,0)),"")</f>
        <v>Mpho Kekana</v>
      </c>
      <c r="E1156" t="s">
        <v>337</v>
      </c>
      <c r="F1156" t="s">
        <v>338</v>
      </c>
      <c r="G1156" t="s">
        <v>339</v>
      </c>
    </row>
    <row r="1157" spans="1:7" x14ac:dyDescent="0.3">
      <c r="A1157" t="s">
        <v>357</v>
      </c>
      <c r="B1157">
        <f>IFERROR(INDEX(MASTER_REGISTER!C:C,MATCH(C1157,MASTER_REGISTER!E:E,0)),"")</f>
        <v>9</v>
      </c>
      <c r="C1157" t="s">
        <v>138</v>
      </c>
      <c r="D1157" t="str">
        <f>IFERROR(INDEX(MASTER_REGISTER!F:F,MATCH(C1157,MASTER_REGISTER!E:E,0)),"")</f>
        <v>Thabo Molefe</v>
      </c>
      <c r="E1157" t="s">
        <v>337</v>
      </c>
      <c r="F1157" t="s">
        <v>338</v>
      </c>
      <c r="G1157" t="s">
        <v>339</v>
      </c>
    </row>
    <row r="1158" spans="1:7" x14ac:dyDescent="0.3">
      <c r="A1158" t="s">
        <v>357</v>
      </c>
      <c r="B1158">
        <f>IFERROR(INDEX(MASTER_REGISTER!C:C,MATCH(C1158,MASTER_REGISTER!E:E,0)),"")</f>
        <v>9</v>
      </c>
      <c r="C1158" t="s">
        <v>143</v>
      </c>
      <c r="D1158" t="str">
        <f>IFERROR(INDEX(MASTER_REGISTER!F:F,MATCH(C1158,MASTER_REGISTER!E:E,0)),"")</f>
        <v>Mpho Ngobeni</v>
      </c>
      <c r="E1158" t="s">
        <v>337</v>
      </c>
      <c r="F1158" t="s">
        <v>338</v>
      </c>
      <c r="G1158" t="s">
        <v>339</v>
      </c>
    </row>
    <row r="1159" spans="1:7" x14ac:dyDescent="0.3">
      <c r="A1159" t="s">
        <v>357</v>
      </c>
      <c r="B1159">
        <f>IFERROR(INDEX(MASTER_REGISTER!C:C,MATCH(C1159,MASTER_REGISTER!E:E,0)),"")</f>
        <v>9</v>
      </c>
      <c r="C1159" t="s">
        <v>148</v>
      </c>
      <c r="D1159" t="str">
        <f>IFERROR(INDEX(MASTER_REGISTER!F:F,MATCH(C1159,MASTER_REGISTER!E:E,0)),"")</f>
        <v>Siyanda Mhlongo</v>
      </c>
      <c r="E1159" t="s">
        <v>337</v>
      </c>
      <c r="F1159" t="s">
        <v>338</v>
      </c>
      <c r="G1159" t="s">
        <v>339</v>
      </c>
    </row>
    <row r="1160" spans="1:7" x14ac:dyDescent="0.3">
      <c r="A1160" t="s">
        <v>357</v>
      </c>
      <c r="B1160">
        <f>IFERROR(INDEX(MASTER_REGISTER!C:C,MATCH(C1160,MASTER_REGISTER!E:E,0)),"")</f>
        <v>9</v>
      </c>
      <c r="C1160" t="s">
        <v>153</v>
      </c>
      <c r="D1160" t="str">
        <f>IFERROR(INDEX(MASTER_REGISTER!F:F,MATCH(C1160,MASTER_REGISTER!E:E,0)),"")</f>
        <v>Siyanda Mahlangu</v>
      </c>
      <c r="E1160" t="s">
        <v>337</v>
      </c>
      <c r="F1160" t="s">
        <v>338</v>
      </c>
      <c r="G1160" t="s">
        <v>339</v>
      </c>
    </row>
    <row r="1161" spans="1:7" x14ac:dyDescent="0.3">
      <c r="A1161" t="s">
        <v>357</v>
      </c>
      <c r="B1161">
        <f>IFERROR(INDEX(MASTER_REGISTER!C:C,MATCH(C1161,MASTER_REGISTER!E:E,0)),"")</f>
        <v>9</v>
      </c>
      <c r="C1161" t="s">
        <v>158</v>
      </c>
      <c r="D1161" t="str">
        <f>IFERROR(INDEX(MASTER_REGISTER!F:F,MATCH(C1161,MASTER_REGISTER!E:E,0)),"")</f>
        <v>Sifiso Ramushu</v>
      </c>
      <c r="E1161" t="s">
        <v>337</v>
      </c>
      <c r="F1161" t="s">
        <v>338</v>
      </c>
      <c r="G1161" t="s">
        <v>339</v>
      </c>
    </row>
    <row r="1162" spans="1:7" x14ac:dyDescent="0.3">
      <c r="A1162" t="s">
        <v>357</v>
      </c>
      <c r="B1162">
        <f>IFERROR(INDEX(MASTER_REGISTER!C:C,MATCH(C1162,MASTER_REGISTER!E:E,0)),"")</f>
        <v>9</v>
      </c>
      <c r="C1162" t="s">
        <v>163</v>
      </c>
      <c r="D1162" t="str">
        <f>IFERROR(INDEX(MASTER_REGISTER!F:F,MATCH(C1162,MASTER_REGISTER!E:E,0)),"")</f>
        <v>Nandi Ngobeni</v>
      </c>
      <c r="E1162" t="s">
        <v>337</v>
      </c>
      <c r="F1162" t="s">
        <v>338</v>
      </c>
      <c r="G1162" t="s">
        <v>339</v>
      </c>
    </row>
    <row r="1163" spans="1:7" x14ac:dyDescent="0.3">
      <c r="A1163" t="s">
        <v>357</v>
      </c>
      <c r="B1163">
        <f>IFERROR(INDEX(MASTER_REGISTER!C:C,MATCH(C1163,MASTER_REGISTER!E:E,0)),"")</f>
        <v>9</v>
      </c>
      <c r="C1163" t="s">
        <v>168</v>
      </c>
      <c r="D1163" t="str">
        <f>IFERROR(INDEX(MASTER_REGISTER!F:F,MATCH(C1163,MASTER_REGISTER!E:E,0)),"")</f>
        <v>Karabo Mokgadi</v>
      </c>
      <c r="E1163" t="s">
        <v>337</v>
      </c>
      <c r="F1163" t="s">
        <v>338</v>
      </c>
      <c r="G1163" t="s">
        <v>339</v>
      </c>
    </row>
    <row r="1164" spans="1:7" x14ac:dyDescent="0.3">
      <c r="A1164" t="s">
        <v>357</v>
      </c>
      <c r="B1164">
        <f>IFERROR(INDEX(MASTER_REGISTER!C:C,MATCH(C1164,MASTER_REGISTER!E:E,0)),"")</f>
        <v>9</v>
      </c>
      <c r="C1164" t="s">
        <v>173</v>
      </c>
      <c r="D1164" t="str">
        <f>IFERROR(INDEX(MASTER_REGISTER!F:F,MATCH(C1164,MASTER_REGISTER!E:E,0)),"")</f>
        <v>Sifiso Mahlangu</v>
      </c>
      <c r="E1164" t="s">
        <v>337</v>
      </c>
      <c r="F1164" t="s">
        <v>338</v>
      </c>
      <c r="G1164" t="s">
        <v>339</v>
      </c>
    </row>
    <row r="1165" spans="1:7" x14ac:dyDescent="0.3">
      <c r="A1165" t="s">
        <v>357</v>
      </c>
      <c r="B1165">
        <f>IFERROR(INDEX(MASTER_REGISTER!C:C,MATCH(C1165,MASTER_REGISTER!E:E,0)),"")</f>
        <v>9</v>
      </c>
      <c r="C1165" t="s">
        <v>178</v>
      </c>
      <c r="D1165" t="str">
        <f>IFERROR(INDEX(MASTER_REGISTER!F:F,MATCH(C1165,MASTER_REGISTER!E:E,0)),"")</f>
        <v>Kgothatso Radebe</v>
      </c>
      <c r="E1165" t="s">
        <v>337</v>
      </c>
      <c r="F1165" t="s">
        <v>338</v>
      </c>
      <c r="G1165" t="s">
        <v>339</v>
      </c>
    </row>
    <row r="1166" spans="1:7" x14ac:dyDescent="0.3">
      <c r="A1166" t="s">
        <v>357</v>
      </c>
      <c r="B1166">
        <f>IFERROR(INDEX(MASTER_REGISTER!C:C,MATCH(C1166,MASTER_REGISTER!E:E,0)),"")</f>
        <v>10</v>
      </c>
      <c r="C1166" t="s">
        <v>183</v>
      </c>
      <c r="D1166" t="str">
        <f>IFERROR(INDEX(MASTER_REGISTER!F:F,MATCH(C1166,MASTER_REGISTER!E:E,0)),"")</f>
        <v>Lerato Maseko</v>
      </c>
      <c r="E1166" t="s">
        <v>337</v>
      </c>
      <c r="F1166" t="s">
        <v>338</v>
      </c>
      <c r="G1166" t="s">
        <v>339</v>
      </c>
    </row>
    <row r="1167" spans="1:7" x14ac:dyDescent="0.3">
      <c r="A1167" t="s">
        <v>357</v>
      </c>
      <c r="B1167">
        <f>IFERROR(INDEX(MASTER_REGISTER!C:C,MATCH(C1167,MASTER_REGISTER!E:E,0)),"")</f>
        <v>10</v>
      </c>
      <c r="C1167" t="s">
        <v>188</v>
      </c>
      <c r="D1167" t="str">
        <f>IFERROR(INDEX(MASTER_REGISTER!F:F,MATCH(C1167,MASTER_REGISTER!E:E,0)),"")</f>
        <v>Sibusiso Molefe</v>
      </c>
      <c r="E1167" t="s">
        <v>337</v>
      </c>
      <c r="F1167" t="s">
        <v>338</v>
      </c>
      <c r="G1167" t="s">
        <v>339</v>
      </c>
    </row>
    <row r="1168" spans="1:7" x14ac:dyDescent="0.3">
      <c r="A1168" t="s">
        <v>357</v>
      </c>
      <c r="B1168">
        <f>IFERROR(INDEX(MASTER_REGISTER!C:C,MATCH(C1168,MASTER_REGISTER!E:E,0)),"")</f>
        <v>10</v>
      </c>
      <c r="C1168" t="s">
        <v>193</v>
      </c>
      <c r="D1168" t="str">
        <f>IFERROR(INDEX(MASTER_REGISTER!F:F,MATCH(C1168,MASTER_REGISTER!E:E,0)),"")</f>
        <v>Nandi Molefe</v>
      </c>
      <c r="E1168" t="s">
        <v>337</v>
      </c>
      <c r="F1168" t="s">
        <v>338</v>
      </c>
      <c r="G1168" t="s">
        <v>339</v>
      </c>
    </row>
    <row r="1169" spans="1:8" x14ac:dyDescent="0.3">
      <c r="A1169" t="s">
        <v>357</v>
      </c>
      <c r="B1169">
        <f>IFERROR(INDEX(MASTER_REGISTER!C:C,MATCH(C1169,MASTER_REGISTER!E:E,0)),"")</f>
        <v>10</v>
      </c>
      <c r="C1169" t="s">
        <v>198</v>
      </c>
      <c r="D1169" t="str">
        <f>IFERROR(INDEX(MASTER_REGISTER!F:F,MATCH(C1169,MASTER_REGISTER!E:E,0)),"")</f>
        <v>Kgothatso Baloyi</v>
      </c>
      <c r="E1169" t="s">
        <v>337</v>
      </c>
      <c r="F1169" t="s">
        <v>338</v>
      </c>
      <c r="G1169" t="s">
        <v>339</v>
      </c>
    </row>
    <row r="1170" spans="1:8" x14ac:dyDescent="0.3">
      <c r="A1170" t="s">
        <v>357</v>
      </c>
      <c r="B1170">
        <f>IFERROR(INDEX(MASTER_REGISTER!C:C,MATCH(C1170,MASTER_REGISTER!E:E,0)),"")</f>
        <v>10</v>
      </c>
      <c r="C1170" t="s">
        <v>202</v>
      </c>
      <c r="D1170" t="str">
        <f>IFERROR(INDEX(MASTER_REGISTER!F:F,MATCH(C1170,MASTER_REGISTER!E:E,0)),"")</f>
        <v>Ayanda Mokoena</v>
      </c>
      <c r="E1170" t="s">
        <v>337</v>
      </c>
      <c r="F1170" t="s">
        <v>338</v>
      </c>
      <c r="G1170" t="s">
        <v>339</v>
      </c>
    </row>
    <row r="1171" spans="1:8" x14ac:dyDescent="0.3">
      <c r="A1171" t="s">
        <v>357</v>
      </c>
      <c r="B1171">
        <f>IFERROR(INDEX(MASTER_REGISTER!C:C,MATCH(C1171,MASTER_REGISTER!E:E,0)),"")</f>
        <v>10</v>
      </c>
      <c r="C1171" t="s">
        <v>206</v>
      </c>
      <c r="D1171" t="str">
        <f>IFERROR(INDEX(MASTER_REGISTER!F:F,MATCH(C1171,MASTER_REGISTER!E:E,0)),"")</f>
        <v>Lwazi Baloyi</v>
      </c>
      <c r="E1171" t="s">
        <v>337</v>
      </c>
      <c r="F1171" t="s">
        <v>338</v>
      </c>
      <c r="G1171" t="s">
        <v>339</v>
      </c>
    </row>
    <row r="1172" spans="1:8" x14ac:dyDescent="0.3">
      <c r="A1172" t="s">
        <v>357</v>
      </c>
      <c r="B1172">
        <f>IFERROR(INDEX(MASTER_REGISTER!C:C,MATCH(C1172,MASTER_REGISTER!E:E,0)),"")</f>
        <v>10</v>
      </c>
      <c r="C1172" t="s">
        <v>210</v>
      </c>
      <c r="D1172" t="str">
        <f>IFERROR(INDEX(MASTER_REGISTER!F:F,MATCH(C1172,MASTER_REGISTER!E:E,0)),"")</f>
        <v>Siyanda Mokoena</v>
      </c>
      <c r="E1172" t="s">
        <v>337</v>
      </c>
      <c r="F1172" t="s">
        <v>338</v>
      </c>
      <c r="G1172" t="s">
        <v>339</v>
      </c>
    </row>
    <row r="1173" spans="1:8" x14ac:dyDescent="0.3">
      <c r="A1173" t="s">
        <v>357</v>
      </c>
      <c r="B1173">
        <f>IFERROR(INDEX(MASTER_REGISTER!C:C,MATCH(C1173,MASTER_REGISTER!E:E,0)),"")</f>
        <v>10</v>
      </c>
      <c r="C1173" t="s">
        <v>214</v>
      </c>
      <c r="D1173" t="str">
        <f>IFERROR(INDEX(MASTER_REGISTER!F:F,MATCH(C1173,MASTER_REGISTER!E:E,0)),"")</f>
        <v>Mpho Ngobeni</v>
      </c>
      <c r="E1173" t="s">
        <v>337</v>
      </c>
      <c r="F1173" t="s">
        <v>338</v>
      </c>
      <c r="G1173" t="s">
        <v>339</v>
      </c>
    </row>
    <row r="1174" spans="1:8" x14ac:dyDescent="0.3">
      <c r="A1174" t="s">
        <v>357</v>
      </c>
      <c r="B1174">
        <f>IFERROR(INDEX(MASTER_REGISTER!C:C,MATCH(C1174,MASTER_REGISTER!E:E,0)),"")</f>
        <v>10</v>
      </c>
      <c r="C1174" t="s">
        <v>217</v>
      </c>
      <c r="D1174" t="str">
        <f>IFERROR(INDEX(MASTER_REGISTER!F:F,MATCH(C1174,MASTER_REGISTER!E:E,0)),"")</f>
        <v>Naledi Makhubela</v>
      </c>
      <c r="E1174" t="s">
        <v>335</v>
      </c>
      <c r="H1174" t="s">
        <v>340</v>
      </c>
    </row>
    <row r="1175" spans="1:8" x14ac:dyDescent="0.3">
      <c r="A1175" t="s">
        <v>357</v>
      </c>
      <c r="B1175">
        <f>IFERROR(INDEX(MASTER_REGISTER!C:C,MATCH(C1175,MASTER_REGISTER!E:E,0)),"")</f>
        <v>10</v>
      </c>
      <c r="C1175" t="s">
        <v>221</v>
      </c>
      <c r="D1175" t="str">
        <f>IFERROR(INDEX(MASTER_REGISTER!F:F,MATCH(C1175,MASTER_REGISTER!E:E,0)),"")</f>
        <v>Kgothatso Mokoena</v>
      </c>
      <c r="E1175" t="s">
        <v>337</v>
      </c>
      <c r="F1175" t="s">
        <v>338</v>
      </c>
      <c r="G1175" t="s">
        <v>339</v>
      </c>
    </row>
    <row r="1176" spans="1:8" x14ac:dyDescent="0.3">
      <c r="A1176" t="s">
        <v>357</v>
      </c>
      <c r="B1176">
        <f>IFERROR(INDEX(MASTER_REGISTER!C:C,MATCH(C1176,MASTER_REGISTER!E:E,0)),"")</f>
        <v>10</v>
      </c>
      <c r="C1176" t="s">
        <v>225</v>
      </c>
      <c r="D1176" t="str">
        <f>IFERROR(INDEX(MASTER_REGISTER!F:F,MATCH(C1176,MASTER_REGISTER!E:E,0)),"")</f>
        <v>Bongani Makhubela</v>
      </c>
      <c r="E1176" t="s">
        <v>337</v>
      </c>
      <c r="F1176" t="s">
        <v>338</v>
      </c>
      <c r="G1176" t="s">
        <v>339</v>
      </c>
    </row>
    <row r="1177" spans="1:8" x14ac:dyDescent="0.3">
      <c r="A1177" t="s">
        <v>357</v>
      </c>
      <c r="B1177">
        <f>IFERROR(INDEX(MASTER_REGISTER!C:C,MATCH(C1177,MASTER_REGISTER!E:E,0)),"")</f>
        <v>10</v>
      </c>
      <c r="C1177" t="s">
        <v>229</v>
      </c>
      <c r="D1177" t="str">
        <f>IFERROR(INDEX(MASTER_REGISTER!F:F,MATCH(C1177,MASTER_REGISTER!E:E,0)),"")</f>
        <v>Kagiso Kekana</v>
      </c>
      <c r="E1177" t="s">
        <v>337</v>
      </c>
      <c r="F1177" t="s">
        <v>338</v>
      </c>
      <c r="G1177" t="s">
        <v>339</v>
      </c>
    </row>
    <row r="1178" spans="1:8" x14ac:dyDescent="0.3">
      <c r="A1178" t="s">
        <v>357</v>
      </c>
      <c r="B1178">
        <f>IFERROR(INDEX(MASTER_REGISTER!C:C,MATCH(C1178,MASTER_REGISTER!E:E,0)),"")</f>
        <v>11</v>
      </c>
      <c r="C1178" t="s">
        <v>233</v>
      </c>
      <c r="D1178" t="str">
        <f>IFERROR(INDEX(MASTER_REGISTER!F:F,MATCH(C1178,MASTER_REGISTER!E:E,0)),"")</f>
        <v>Lwazi Makhubela</v>
      </c>
      <c r="E1178" t="s">
        <v>337</v>
      </c>
      <c r="F1178" t="s">
        <v>338</v>
      </c>
      <c r="G1178" t="s">
        <v>339</v>
      </c>
    </row>
    <row r="1179" spans="1:8" x14ac:dyDescent="0.3">
      <c r="A1179" t="s">
        <v>357</v>
      </c>
      <c r="B1179">
        <f>IFERROR(INDEX(MASTER_REGISTER!C:C,MATCH(C1179,MASTER_REGISTER!E:E,0)),"")</f>
        <v>11</v>
      </c>
      <c r="C1179" t="s">
        <v>237</v>
      </c>
      <c r="D1179" t="str">
        <f>IFERROR(INDEX(MASTER_REGISTER!F:F,MATCH(C1179,MASTER_REGISTER!E:E,0)),"")</f>
        <v>Lebogang Ramushu</v>
      </c>
      <c r="E1179" t="s">
        <v>335</v>
      </c>
      <c r="H1179" t="s">
        <v>341</v>
      </c>
    </row>
    <row r="1180" spans="1:8" x14ac:dyDescent="0.3">
      <c r="A1180" t="s">
        <v>357</v>
      </c>
      <c r="B1180">
        <f>IFERROR(INDEX(MASTER_REGISTER!C:C,MATCH(C1180,MASTER_REGISTER!E:E,0)),"")</f>
        <v>11</v>
      </c>
      <c r="C1180" t="s">
        <v>241</v>
      </c>
      <c r="D1180" t="str">
        <f>IFERROR(INDEX(MASTER_REGISTER!F:F,MATCH(C1180,MASTER_REGISTER!E:E,0)),"")</f>
        <v>Lerato Kekana</v>
      </c>
      <c r="E1180" t="s">
        <v>337</v>
      </c>
      <c r="F1180" t="s">
        <v>338</v>
      </c>
      <c r="G1180" t="s">
        <v>339</v>
      </c>
    </row>
    <row r="1181" spans="1:8" x14ac:dyDescent="0.3">
      <c r="A1181" t="s">
        <v>357</v>
      </c>
      <c r="B1181">
        <f>IFERROR(INDEX(MASTER_REGISTER!C:C,MATCH(C1181,MASTER_REGISTER!E:E,0)),"")</f>
        <v>11</v>
      </c>
      <c r="C1181" t="s">
        <v>244</v>
      </c>
      <c r="D1181" t="str">
        <f>IFERROR(INDEX(MASTER_REGISTER!F:F,MATCH(C1181,MASTER_REGISTER!E:E,0)),"")</f>
        <v>Bongani Ndlovu</v>
      </c>
      <c r="E1181" t="s">
        <v>337</v>
      </c>
      <c r="F1181" t="s">
        <v>338</v>
      </c>
      <c r="G1181" t="s">
        <v>339</v>
      </c>
    </row>
    <row r="1182" spans="1:8" x14ac:dyDescent="0.3">
      <c r="A1182" t="s">
        <v>357</v>
      </c>
      <c r="B1182">
        <f>IFERROR(INDEX(MASTER_REGISTER!C:C,MATCH(C1182,MASTER_REGISTER!E:E,0)),"")</f>
        <v>11</v>
      </c>
      <c r="C1182" t="s">
        <v>248</v>
      </c>
      <c r="D1182" t="str">
        <f>IFERROR(INDEX(MASTER_REGISTER!F:F,MATCH(C1182,MASTER_REGISTER!E:E,0)),"")</f>
        <v>Sifiso Dlamini</v>
      </c>
      <c r="E1182" t="s">
        <v>337</v>
      </c>
      <c r="F1182" t="s">
        <v>338</v>
      </c>
      <c r="G1182" t="s">
        <v>339</v>
      </c>
    </row>
    <row r="1183" spans="1:8" x14ac:dyDescent="0.3">
      <c r="A1183" t="s">
        <v>357</v>
      </c>
      <c r="B1183">
        <f>IFERROR(INDEX(MASTER_REGISTER!C:C,MATCH(C1183,MASTER_REGISTER!E:E,0)),"")</f>
        <v>11</v>
      </c>
      <c r="C1183" t="s">
        <v>252</v>
      </c>
      <c r="D1183" t="str">
        <f>IFERROR(INDEX(MASTER_REGISTER!F:F,MATCH(C1183,MASTER_REGISTER!E:E,0)),"")</f>
        <v>Refilwe Dlamini</v>
      </c>
      <c r="E1183" t="s">
        <v>337</v>
      </c>
      <c r="F1183" t="s">
        <v>338</v>
      </c>
      <c r="G1183" t="s">
        <v>339</v>
      </c>
    </row>
    <row r="1184" spans="1:8" x14ac:dyDescent="0.3">
      <c r="A1184" t="s">
        <v>357</v>
      </c>
      <c r="B1184">
        <f>IFERROR(INDEX(MASTER_REGISTER!C:C,MATCH(C1184,MASTER_REGISTER!E:E,0)),"")</f>
        <v>11</v>
      </c>
      <c r="C1184" t="s">
        <v>256</v>
      </c>
      <c r="D1184" t="str">
        <f>IFERROR(INDEX(MASTER_REGISTER!F:F,MATCH(C1184,MASTER_REGISTER!E:E,0)),"")</f>
        <v>Lwazi Maseko</v>
      </c>
      <c r="E1184" t="s">
        <v>335</v>
      </c>
      <c r="H1184" t="s">
        <v>341</v>
      </c>
    </row>
    <row r="1185" spans="1:8" x14ac:dyDescent="0.3">
      <c r="A1185" t="s">
        <v>357</v>
      </c>
      <c r="B1185">
        <f>IFERROR(INDEX(MASTER_REGISTER!C:C,MATCH(C1185,MASTER_REGISTER!E:E,0)),"")</f>
        <v>11</v>
      </c>
      <c r="C1185" t="s">
        <v>260</v>
      </c>
      <c r="D1185" t="str">
        <f>IFERROR(INDEX(MASTER_REGISTER!F:F,MATCH(C1185,MASTER_REGISTER!E:E,0)),"")</f>
        <v>Refilwe Mokgadi</v>
      </c>
      <c r="E1185" t="s">
        <v>337</v>
      </c>
      <c r="F1185" t="s">
        <v>338</v>
      </c>
      <c r="G1185" t="s">
        <v>339</v>
      </c>
    </row>
    <row r="1186" spans="1:8" x14ac:dyDescent="0.3">
      <c r="A1186" t="s">
        <v>357</v>
      </c>
      <c r="B1186">
        <f>IFERROR(INDEX(MASTER_REGISTER!C:C,MATCH(C1186,MASTER_REGISTER!E:E,0)),"")</f>
        <v>11</v>
      </c>
      <c r="C1186" t="s">
        <v>264</v>
      </c>
      <c r="D1186" t="str">
        <f>IFERROR(INDEX(MASTER_REGISTER!F:F,MATCH(C1186,MASTER_REGISTER!E:E,0)),"")</f>
        <v>Kgothatso Molefe</v>
      </c>
      <c r="E1186" t="s">
        <v>337</v>
      </c>
      <c r="F1186" t="s">
        <v>338</v>
      </c>
      <c r="G1186" t="s">
        <v>339</v>
      </c>
    </row>
    <row r="1187" spans="1:8" x14ac:dyDescent="0.3">
      <c r="A1187" t="s">
        <v>357</v>
      </c>
      <c r="B1187">
        <f>IFERROR(INDEX(MASTER_REGISTER!C:C,MATCH(C1187,MASTER_REGISTER!E:E,0)),"")</f>
        <v>11</v>
      </c>
      <c r="C1187" t="s">
        <v>268</v>
      </c>
      <c r="D1187" t="str">
        <f>IFERROR(INDEX(MASTER_REGISTER!F:F,MATCH(C1187,MASTER_REGISTER!E:E,0)),"")</f>
        <v>Tshepo Mokgadi</v>
      </c>
      <c r="E1187" t="s">
        <v>337</v>
      </c>
      <c r="F1187" t="s">
        <v>338</v>
      </c>
      <c r="G1187" t="s">
        <v>339</v>
      </c>
    </row>
    <row r="1188" spans="1:8" x14ac:dyDescent="0.3">
      <c r="A1188" t="s">
        <v>357</v>
      </c>
      <c r="B1188">
        <f>IFERROR(INDEX(MASTER_REGISTER!C:C,MATCH(C1188,MASTER_REGISTER!E:E,0)),"")</f>
        <v>11</v>
      </c>
      <c r="C1188" t="s">
        <v>272</v>
      </c>
      <c r="D1188" t="str">
        <f>IFERROR(INDEX(MASTER_REGISTER!F:F,MATCH(C1188,MASTER_REGISTER!E:E,0)),"")</f>
        <v>Tshepo Phiri</v>
      </c>
      <c r="E1188" t="s">
        <v>337</v>
      </c>
      <c r="F1188" t="s">
        <v>338</v>
      </c>
      <c r="G1188" t="s">
        <v>339</v>
      </c>
    </row>
    <row r="1189" spans="1:8" x14ac:dyDescent="0.3">
      <c r="A1189" t="s">
        <v>357</v>
      </c>
      <c r="B1189">
        <f>IFERROR(INDEX(MASTER_REGISTER!C:C,MATCH(C1189,MASTER_REGISTER!E:E,0)),"")</f>
        <v>11</v>
      </c>
      <c r="C1189" t="s">
        <v>276</v>
      </c>
      <c r="D1189" t="str">
        <f>IFERROR(INDEX(MASTER_REGISTER!F:F,MATCH(C1189,MASTER_REGISTER!E:E,0)),"")</f>
        <v>Zanele Ngobeni</v>
      </c>
      <c r="E1189" t="s">
        <v>337</v>
      </c>
      <c r="F1189" t="s">
        <v>338</v>
      </c>
      <c r="G1189" t="s">
        <v>339</v>
      </c>
    </row>
    <row r="1190" spans="1:8" x14ac:dyDescent="0.3">
      <c r="A1190" t="s">
        <v>357</v>
      </c>
      <c r="B1190">
        <f>IFERROR(INDEX(MASTER_REGISTER!C:C,MATCH(C1190,MASTER_REGISTER!E:E,0)),"")</f>
        <v>12</v>
      </c>
      <c r="C1190" t="s">
        <v>280</v>
      </c>
      <c r="D1190" t="str">
        <f>IFERROR(INDEX(MASTER_REGISTER!F:F,MATCH(C1190,MASTER_REGISTER!E:E,0)),"")</f>
        <v>Palesa Mokoena</v>
      </c>
      <c r="E1190" t="s">
        <v>337</v>
      </c>
      <c r="F1190" t="s">
        <v>338</v>
      </c>
      <c r="G1190" t="s">
        <v>339</v>
      </c>
    </row>
    <row r="1191" spans="1:8" x14ac:dyDescent="0.3">
      <c r="A1191" t="s">
        <v>357</v>
      </c>
      <c r="B1191">
        <f>IFERROR(INDEX(MASTER_REGISTER!C:C,MATCH(C1191,MASTER_REGISTER!E:E,0)),"")</f>
        <v>12</v>
      </c>
      <c r="C1191" t="s">
        <v>284</v>
      </c>
      <c r="D1191" t="str">
        <f>IFERROR(INDEX(MASTER_REGISTER!F:F,MATCH(C1191,MASTER_REGISTER!E:E,0)),"")</f>
        <v>Thabo Ramushu</v>
      </c>
      <c r="E1191" t="s">
        <v>337</v>
      </c>
      <c r="F1191" t="s">
        <v>338</v>
      </c>
      <c r="G1191" t="s">
        <v>339</v>
      </c>
    </row>
    <row r="1192" spans="1:8" x14ac:dyDescent="0.3">
      <c r="A1192" t="s">
        <v>357</v>
      </c>
      <c r="B1192">
        <f>IFERROR(INDEX(MASTER_REGISTER!C:C,MATCH(C1192,MASTER_REGISTER!E:E,0)),"")</f>
        <v>12</v>
      </c>
      <c r="C1192" t="s">
        <v>288</v>
      </c>
      <c r="D1192" t="str">
        <f>IFERROR(INDEX(MASTER_REGISTER!F:F,MATCH(C1192,MASTER_REGISTER!E:E,0)),"")</f>
        <v>Lwazi Ndlovu</v>
      </c>
      <c r="E1192" t="s">
        <v>335</v>
      </c>
      <c r="H1192" t="s">
        <v>341</v>
      </c>
    </row>
    <row r="1193" spans="1:8" x14ac:dyDescent="0.3">
      <c r="A1193" t="s">
        <v>357</v>
      </c>
      <c r="B1193">
        <f>IFERROR(INDEX(MASTER_REGISTER!C:C,MATCH(C1193,MASTER_REGISTER!E:E,0)),"")</f>
        <v>12</v>
      </c>
      <c r="C1193" t="s">
        <v>292</v>
      </c>
      <c r="D1193" t="str">
        <f>IFERROR(INDEX(MASTER_REGISTER!F:F,MATCH(C1193,MASTER_REGISTER!E:E,0)),"")</f>
        <v>Ayanda Dlamini</v>
      </c>
      <c r="E1193" t="s">
        <v>337</v>
      </c>
      <c r="F1193" t="s">
        <v>338</v>
      </c>
      <c r="G1193" t="s">
        <v>339</v>
      </c>
    </row>
    <row r="1194" spans="1:8" x14ac:dyDescent="0.3">
      <c r="A1194" t="s">
        <v>357</v>
      </c>
      <c r="B1194">
        <f>IFERROR(INDEX(MASTER_REGISTER!C:C,MATCH(C1194,MASTER_REGISTER!E:E,0)),"")</f>
        <v>12</v>
      </c>
      <c r="C1194" t="s">
        <v>296</v>
      </c>
      <c r="D1194" t="str">
        <f>IFERROR(INDEX(MASTER_REGISTER!F:F,MATCH(C1194,MASTER_REGISTER!E:E,0)),"")</f>
        <v>Neo Ndlovu</v>
      </c>
      <c r="E1194" t="s">
        <v>337</v>
      </c>
      <c r="F1194" t="s">
        <v>338</v>
      </c>
      <c r="G1194" t="s">
        <v>339</v>
      </c>
    </row>
    <row r="1195" spans="1:8" x14ac:dyDescent="0.3">
      <c r="A1195" t="s">
        <v>357</v>
      </c>
      <c r="B1195">
        <f>IFERROR(INDEX(MASTER_REGISTER!C:C,MATCH(C1195,MASTER_REGISTER!E:E,0)),"")</f>
        <v>12</v>
      </c>
      <c r="C1195" t="s">
        <v>300</v>
      </c>
      <c r="D1195" t="str">
        <f>IFERROR(INDEX(MASTER_REGISTER!F:F,MATCH(C1195,MASTER_REGISTER!E:E,0)),"")</f>
        <v>Neo Ramushu</v>
      </c>
      <c r="E1195" t="s">
        <v>337</v>
      </c>
      <c r="F1195" t="s">
        <v>338</v>
      </c>
      <c r="G1195" t="s">
        <v>339</v>
      </c>
    </row>
    <row r="1196" spans="1:8" x14ac:dyDescent="0.3">
      <c r="A1196" t="s">
        <v>357</v>
      </c>
      <c r="B1196">
        <f>IFERROR(INDEX(MASTER_REGISTER!C:C,MATCH(C1196,MASTER_REGISTER!E:E,0)),"")</f>
        <v>12</v>
      </c>
      <c r="C1196" t="s">
        <v>304</v>
      </c>
      <c r="D1196" t="str">
        <f>IFERROR(INDEX(MASTER_REGISTER!F:F,MATCH(C1196,MASTER_REGISTER!E:E,0)),"")</f>
        <v>Karabo Baloyi</v>
      </c>
      <c r="E1196" t="s">
        <v>335</v>
      </c>
      <c r="H1196" t="s">
        <v>342</v>
      </c>
    </row>
    <row r="1197" spans="1:8" x14ac:dyDescent="0.3">
      <c r="A1197" t="s">
        <v>357</v>
      </c>
      <c r="B1197">
        <f>IFERROR(INDEX(MASTER_REGISTER!C:C,MATCH(C1197,MASTER_REGISTER!E:E,0)),"")</f>
        <v>12</v>
      </c>
      <c r="C1197" t="s">
        <v>308</v>
      </c>
      <c r="D1197" t="str">
        <f>IFERROR(INDEX(MASTER_REGISTER!F:F,MATCH(C1197,MASTER_REGISTER!E:E,0)),"")</f>
        <v>Tshepo Mokgadi</v>
      </c>
      <c r="E1197" t="s">
        <v>337</v>
      </c>
      <c r="F1197" t="s">
        <v>338</v>
      </c>
      <c r="G1197" t="s">
        <v>339</v>
      </c>
    </row>
    <row r="1198" spans="1:8" x14ac:dyDescent="0.3">
      <c r="A1198" t="s">
        <v>357</v>
      </c>
      <c r="B1198">
        <f>IFERROR(INDEX(MASTER_REGISTER!C:C,MATCH(C1198,MASTER_REGISTER!E:E,0)),"")</f>
        <v>12</v>
      </c>
      <c r="C1198" t="s">
        <v>311</v>
      </c>
      <c r="D1198" t="str">
        <f>IFERROR(INDEX(MASTER_REGISTER!F:F,MATCH(C1198,MASTER_REGISTER!E:E,0)),"")</f>
        <v>Sifiso Mavuso</v>
      </c>
      <c r="E1198" t="s">
        <v>337</v>
      </c>
      <c r="F1198" t="s">
        <v>338</v>
      </c>
      <c r="G1198" t="s">
        <v>339</v>
      </c>
    </row>
    <row r="1199" spans="1:8" x14ac:dyDescent="0.3">
      <c r="A1199" t="s">
        <v>357</v>
      </c>
      <c r="B1199">
        <f>IFERROR(INDEX(MASTER_REGISTER!C:C,MATCH(C1199,MASTER_REGISTER!E:E,0)),"")</f>
        <v>12</v>
      </c>
      <c r="C1199" t="s">
        <v>315</v>
      </c>
      <c r="D1199" t="str">
        <f>IFERROR(INDEX(MASTER_REGISTER!F:F,MATCH(C1199,MASTER_REGISTER!E:E,0)),"")</f>
        <v>Refilwe Sithole</v>
      </c>
      <c r="E1199" t="s">
        <v>335</v>
      </c>
      <c r="H1199" t="s">
        <v>342</v>
      </c>
    </row>
    <row r="1200" spans="1:8" x14ac:dyDescent="0.3">
      <c r="A1200" t="s">
        <v>357</v>
      </c>
      <c r="B1200">
        <f>IFERROR(INDEX(MASTER_REGISTER!C:C,MATCH(C1200,MASTER_REGISTER!E:E,0)),"")</f>
        <v>12</v>
      </c>
      <c r="C1200" t="s">
        <v>319</v>
      </c>
      <c r="D1200" t="str">
        <f>IFERROR(INDEX(MASTER_REGISTER!F:F,MATCH(C1200,MASTER_REGISTER!E:E,0)),"")</f>
        <v>Lerato Sithole</v>
      </c>
      <c r="E1200" t="s">
        <v>335</v>
      </c>
      <c r="H1200" t="s">
        <v>341</v>
      </c>
    </row>
    <row r="1201" spans="1:8" x14ac:dyDescent="0.3">
      <c r="A1201" t="s">
        <v>357</v>
      </c>
      <c r="B1201">
        <f>IFERROR(INDEX(MASTER_REGISTER!C:C,MATCH(C1201,MASTER_REGISTER!E:E,0)),"")</f>
        <v>12</v>
      </c>
      <c r="C1201" t="s">
        <v>323</v>
      </c>
      <c r="D1201" t="str">
        <f>IFERROR(INDEX(MASTER_REGISTER!F:F,MATCH(C1201,MASTER_REGISTER!E:E,0)),"")</f>
        <v>Sibusiso Ngobeni</v>
      </c>
      <c r="E1201" t="s">
        <v>337</v>
      </c>
      <c r="F1201" t="s">
        <v>338</v>
      </c>
      <c r="G1201" t="s">
        <v>339</v>
      </c>
    </row>
    <row r="1202" spans="1:8" x14ac:dyDescent="0.3">
      <c r="A1202" t="s">
        <v>358</v>
      </c>
      <c r="B1202">
        <f>IFERROR(INDEX(MASTER_REGISTER!C:C,MATCH(C1202,MASTER_REGISTER!E:E,0)),"")</f>
        <v>8</v>
      </c>
      <c r="C1202" t="s">
        <v>50</v>
      </c>
      <c r="D1202" t="str">
        <f>IFERROR(INDEX(MASTER_REGISTER!F:F,MATCH(C1202,MASTER_REGISTER!E:E,0)),"")</f>
        <v>Lerato Nkosi</v>
      </c>
      <c r="E1202" t="s">
        <v>335</v>
      </c>
      <c r="H1202" t="s">
        <v>336</v>
      </c>
    </row>
    <row r="1203" spans="1:8" x14ac:dyDescent="0.3">
      <c r="A1203" t="s">
        <v>358</v>
      </c>
      <c r="B1203">
        <f>IFERROR(INDEX(MASTER_REGISTER!C:C,MATCH(C1203,MASTER_REGISTER!E:E,0)),"")</f>
        <v>8</v>
      </c>
      <c r="C1203" t="s">
        <v>58</v>
      </c>
      <c r="D1203" t="str">
        <f>IFERROR(INDEX(MASTER_REGISTER!F:F,MATCH(C1203,MASTER_REGISTER!E:E,0)),"")</f>
        <v>Karabo Maseko</v>
      </c>
      <c r="E1203" t="s">
        <v>337</v>
      </c>
      <c r="F1203" t="s">
        <v>338</v>
      </c>
      <c r="G1203" t="s">
        <v>339</v>
      </c>
    </row>
    <row r="1204" spans="1:8" x14ac:dyDescent="0.3">
      <c r="A1204" t="s">
        <v>358</v>
      </c>
      <c r="B1204">
        <f>IFERROR(INDEX(MASTER_REGISTER!C:C,MATCH(C1204,MASTER_REGISTER!E:E,0)),"")</f>
        <v>8</v>
      </c>
      <c r="C1204" t="s">
        <v>64</v>
      </c>
      <c r="D1204" t="str">
        <f>IFERROR(INDEX(MASTER_REGISTER!F:F,MATCH(C1204,MASTER_REGISTER!E:E,0)),"")</f>
        <v>Sifiso Sithole</v>
      </c>
      <c r="E1204" t="s">
        <v>337</v>
      </c>
      <c r="F1204" t="s">
        <v>338</v>
      </c>
      <c r="G1204" t="s">
        <v>339</v>
      </c>
    </row>
    <row r="1205" spans="1:8" x14ac:dyDescent="0.3">
      <c r="A1205" t="s">
        <v>358</v>
      </c>
      <c r="B1205">
        <f>IFERROR(INDEX(MASTER_REGISTER!C:C,MATCH(C1205,MASTER_REGISTER!E:E,0)),"")</f>
        <v>8</v>
      </c>
      <c r="C1205" t="s">
        <v>70</v>
      </c>
      <c r="D1205" t="str">
        <f>IFERROR(INDEX(MASTER_REGISTER!F:F,MATCH(C1205,MASTER_REGISTER!E:E,0)),"")</f>
        <v>Tshepo Ndlovu</v>
      </c>
      <c r="E1205" t="s">
        <v>335</v>
      </c>
      <c r="H1205" t="s">
        <v>340</v>
      </c>
    </row>
    <row r="1206" spans="1:8" x14ac:dyDescent="0.3">
      <c r="A1206" t="s">
        <v>358</v>
      </c>
      <c r="B1206">
        <f>IFERROR(INDEX(MASTER_REGISTER!C:C,MATCH(C1206,MASTER_REGISTER!E:E,0)),"")</f>
        <v>8</v>
      </c>
      <c r="C1206" t="s">
        <v>76</v>
      </c>
      <c r="D1206" t="str">
        <f>IFERROR(INDEX(MASTER_REGISTER!F:F,MATCH(C1206,MASTER_REGISTER!E:E,0)),"")</f>
        <v>Lwazi Mthembu</v>
      </c>
      <c r="E1206" t="s">
        <v>337</v>
      </c>
      <c r="F1206" t="s">
        <v>338</v>
      </c>
      <c r="G1206" t="s">
        <v>339</v>
      </c>
    </row>
    <row r="1207" spans="1:8" x14ac:dyDescent="0.3">
      <c r="A1207" t="s">
        <v>358</v>
      </c>
      <c r="B1207">
        <f>IFERROR(INDEX(MASTER_REGISTER!C:C,MATCH(C1207,MASTER_REGISTER!E:E,0)),"")</f>
        <v>8</v>
      </c>
      <c r="C1207" t="s">
        <v>82</v>
      </c>
      <c r="D1207" t="str">
        <f>IFERROR(INDEX(MASTER_REGISTER!F:F,MATCH(C1207,MASTER_REGISTER!E:E,0)),"")</f>
        <v>Karabo Ngobeni</v>
      </c>
      <c r="E1207" t="s">
        <v>337</v>
      </c>
      <c r="F1207" t="s">
        <v>338</v>
      </c>
      <c r="G1207" t="s">
        <v>339</v>
      </c>
    </row>
    <row r="1208" spans="1:8" x14ac:dyDescent="0.3">
      <c r="A1208" t="s">
        <v>358</v>
      </c>
      <c r="B1208">
        <f>IFERROR(INDEX(MASTER_REGISTER!C:C,MATCH(C1208,MASTER_REGISTER!E:E,0)),"")</f>
        <v>8</v>
      </c>
      <c r="C1208" t="s">
        <v>88</v>
      </c>
      <c r="D1208" t="str">
        <f>IFERROR(INDEX(MASTER_REGISTER!F:F,MATCH(C1208,MASTER_REGISTER!E:E,0)),"")</f>
        <v>Mpho Sithole</v>
      </c>
      <c r="E1208" t="s">
        <v>337</v>
      </c>
      <c r="F1208" t="s">
        <v>338</v>
      </c>
      <c r="G1208" t="s">
        <v>339</v>
      </c>
    </row>
    <row r="1209" spans="1:8" x14ac:dyDescent="0.3">
      <c r="A1209" t="s">
        <v>358</v>
      </c>
      <c r="B1209">
        <f>IFERROR(INDEX(MASTER_REGISTER!C:C,MATCH(C1209,MASTER_REGISTER!E:E,0)),"")</f>
        <v>8</v>
      </c>
      <c r="C1209" t="s">
        <v>94</v>
      </c>
      <c r="D1209" t="str">
        <f>IFERROR(INDEX(MASTER_REGISTER!F:F,MATCH(C1209,MASTER_REGISTER!E:E,0)),"")</f>
        <v>Tshepo Ramushu</v>
      </c>
      <c r="E1209" t="s">
        <v>337</v>
      </c>
      <c r="F1209" t="s">
        <v>338</v>
      </c>
      <c r="G1209" t="s">
        <v>339</v>
      </c>
    </row>
    <row r="1210" spans="1:8" x14ac:dyDescent="0.3">
      <c r="A1210" t="s">
        <v>358</v>
      </c>
      <c r="B1210">
        <f>IFERROR(INDEX(MASTER_REGISTER!C:C,MATCH(C1210,MASTER_REGISTER!E:E,0)),"")</f>
        <v>8</v>
      </c>
      <c r="C1210" t="s">
        <v>100</v>
      </c>
      <c r="D1210" t="str">
        <f>IFERROR(INDEX(MASTER_REGISTER!F:F,MATCH(C1210,MASTER_REGISTER!E:E,0)),"")</f>
        <v>Lerato Kekana</v>
      </c>
      <c r="E1210" t="s">
        <v>335</v>
      </c>
      <c r="H1210" t="s">
        <v>342</v>
      </c>
    </row>
    <row r="1211" spans="1:8" x14ac:dyDescent="0.3">
      <c r="A1211" t="s">
        <v>358</v>
      </c>
      <c r="B1211">
        <f>IFERROR(INDEX(MASTER_REGISTER!C:C,MATCH(C1211,MASTER_REGISTER!E:E,0)),"")</f>
        <v>8</v>
      </c>
      <c r="C1211" t="s">
        <v>106</v>
      </c>
      <c r="D1211" t="str">
        <f>IFERROR(INDEX(MASTER_REGISTER!F:F,MATCH(C1211,MASTER_REGISTER!E:E,0)),"")</f>
        <v>Neo Ngobeni</v>
      </c>
      <c r="E1211" t="s">
        <v>337</v>
      </c>
      <c r="F1211" t="s">
        <v>338</v>
      </c>
      <c r="G1211" t="s">
        <v>339</v>
      </c>
    </row>
    <row r="1212" spans="1:8" x14ac:dyDescent="0.3">
      <c r="A1212" t="s">
        <v>358</v>
      </c>
      <c r="B1212">
        <f>IFERROR(INDEX(MASTER_REGISTER!C:C,MATCH(C1212,MASTER_REGISTER!E:E,0)),"")</f>
        <v>8</v>
      </c>
      <c r="C1212" t="s">
        <v>112</v>
      </c>
      <c r="D1212" t="str">
        <f>IFERROR(INDEX(MASTER_REGISTER!F:F,MATCH(C1212,MASTER_REGISTER!E:E,0)),"")</f>
        <v>Thabo Mokgadi</v>
      </c>
      <c r="E1212" t="s">
        <v>337</v>
      </c>
      <c r="F1212" t="s">
        <v>338</v>
      </c>
      <c r="G1212" t="s">
        <v>339</v>
      </c>
    </row>
    <row r="1213" spans="1:8" x14ac:dyDescent="0.3">
      <c r="A1213" t="s">
        <v>358</v>
      </c>
      <c r="B1213">
        <f>IFERROR(INDEX(MASTER_REGISTER!C:C,MATCH(C1213,MASTER_REGISTER!E:E,0)),"")</f>
        <v>8</v>
      </c>
      <c r="C1213" t="s">
        <v>118</v>
      </c>
      <c r="D1213" t="str">
        <f>IFERROR(INDEX(MASTER_REGISTER!F:F,MATCH(C1213,MASTER_REGISTER!E:E,0)),"")</f>
        <v>Sifiso Mthembu</v>
      </c>
      <c r="E1213" t="s">
        <v>337</v>
      </c>
      <c r="F1213" t="s">
        <v>338</v>
      </c>
      <c r="G1213" t="s">
        <v>339</v>
      </c>
    </row>
    <row r="1214" spans="1:8" x14ac:dyDescent="0.3">
      <c r="A1214" t="s">
        <v>358</v>
      </c>
      <c r="B1214">
        <f>IFERROR(INDEX(MASTER_REGISTER!C:C,MATCH(C1214,MASTER_REGISTER!E:E,0)),"")</f>
        <v>9</v>
      </c>
      <c r="C1214" t="s">
        <v>123</v>
      </c>
      <c r="D1214" t="str">
        <f>IFERROR(INDEX(MASTER_REGISTER!F:F,MATCH(C1214,MASTER_REGISTER!E:E,0)),"")</f>
        <v>Karabo Phiri</v>
      </c>
      <c r="E1214" t="s">
        <v>337</v>
      </c>
      <c r="F1214" t="s">
        <v>338</v>
      </c>
      <c r="G1214" t="s">
        <v>339</v>
      </c>
    </row>
    <row r="1215" spans="1:8" x14ac:dyDescent="0.3">
      <c r="A1215" t="s">
        <v>358</v>
      </c>
      <c r="B1215">
        <f>IFERROR(INDEX(MASTER_REGISTER!C:C,MATCH(C1215,MASTER_REGISTER!E:E,0)),"")</f>
        <v>9</v>
      </c>
      <c r="C1215" t="s">
        <v>128</v>
      </c>
      <c r="D1215" t="str">
        <f>IFERROR(INDEX(MASTER_REGISTER!F:F,MATCH(C1215,MASTER_REGISTER!E:E,0)),"")</f>
        <v>Lerato Mahlangu</v>
      </c>
      <c r="E1215" t="s">
        <v>335</v>
      </c>
      <c r="H1215" t="s">
        <v>340</v>
      </c>
    </row>
    <row r="1216" spans="1:8" x14ac:dyDescent="0.3">
      <c r="A1216" t="s">
        <v>358</v>
      </c>
      <c r="B1216">
        <f>IFERROR(INDEX(MASTER_REGISTER!C:C,MATCH(C1216,MASTER_REGISTER!E:E,0)),"")</f>
        <v>9</v>
      </c>
      <c r="C1216" t="s">
        <v>133</v>
      </c>
      <c r="D1216" t="str">
        <f>IFERROR(INDEX(MASTER_REGISTER!F:F,MATCH(C1216,MASTER_REGISTER!E:E,0)),"")</f>
        <v>Mpho Kekana</v>
      </c>
      <c r="E1216" t="s">
        <v>337</v>
      </c>
      <c r="F1216" t="s">
        <v>338</v>
      </c>
      <c r="G1216" t="s">
        <v>339</v>
      </c>
    </row>
    <row r="1217" spans="1:8" x14ac:dyDescent="0.3">
      <c r="A1217" t="s">
        <v>358</v>
      </c>
      <c r="B1217">
        <f>IFERROR(INDEX(MASTER_REGISTER!C:C,MATCH(C1217,MASTER_REGISTER!E:E,0)),"")</f>
        <v>9</v>
      </c>
      <c r="C1217" t="s">
        <v>138</v>
      </c>
      <c r="D1217" t="str">
        <f>IFERROR(INDEX(MASTER_REGISTER!F:F,MATCH(C1217,MASTER_REGISTER!E:E,0)),"")</f>
        <v>Thabo Molefe</v>
      </c>
      <c r="E1217" t="s">
        <v>337</v>
      </c>
      <c r="F1217" t="s">
        <v>338</v>
      </c>
      <c r="G1217" t="s">
        <v>339</v>
      </c>
    </row>
    <row r="1218" spans="1:8" x14ac:dyDescent="0.3">
      <c r="A1218" t="s">
        <v>358</v>
      </c>
      <c r="B1218">
        <f>IFERROR(INDEX(MASTER_REGISTER!C:C,MATCH(C1218,MASTER_REGISTER!E:E,0)),"")</f>
        <v>9</v>
      </c>
      <c r="C1218" t="s">
        <v>143</v>
      </c>
      <c r="D1218" t="str">
        <f>IFERROR(INDEX(MASTER_REGISTER!F:F,MATCH(C1218,MASTER_REGISTER!E:E,0)),"")</f>
        <v>Mpho Ngobeni</v>
      </c>
      <c r="E1218" t="s">
        <v>337</v>
      </c>
      <c r="F1218" t="s">
        <v>338</v>
      </c>
      <c r="G1218" t="s">
        <v>339</v>
      </c>
    </row>
    <row r="1219" spans="1:8" x14ac:dyDescent="0.3">
      <c r="A1219" t="s">
        <v>358</v>
      </c>
      <c r="B1219">
        <f>IFERROR(INDEX(MASTER_REGISTER!C:C,MATCH(C1219,MASTER_REGISTER!E:E,0)),"")</f>
        <v>9</v>
      </c>
      <c r="C1219" t="s">
        <v>148</v>
      </c>
      <c r="D1219" t="str">
        <f>IFERROR(INDEX(MASTER_REGISTER!F:F,MATCH(C1219,MASTER_REGISTER!E:E,0)),"")</f>
        <v>Siyanda Mhlongo</v>
      </c>
      <c r="E1219" t="s">
        <v>337</v>
      </c>
      <c r="F1219" t="s">
        <v>338</v>
      </c>
      <c r="G1219" t="s">
        <v>339</v>
      </c>
    </row>
    <row r="1220" spans="1:8" x14ac:dyDescent="0.3">
      <c r="A1220" t="s">
        <v>358</v>
      </c>
      <c r="B1220">
        <f>IFERROR(INDEX(MASTER_REGISTER!C:C,MATCH(C1220,MASTER_REGISTER!E:E,0)),"")</f>
        <v>9</v>
      </c>
      <c r="C1220" t="s">
        <v>153</v>
      </c>
      <c r="D1220" t="str">
        <f>IFERROR(INDEX(MASTER_REGISTER!F:F,MATCH(C1220,MASTER_REGISTER!E:E,0)),"")</f>
        <v>Siyanda Mahlangu</v>
      </c>
      <c r="E1220" t="s">
        <v>337</v>
      </c>
      <c r="F1220" t="s">
        <v>338</v>
      </c>
      <c r="G1220" t="s">
        <v>339</v>
      </c>
    </row>
    <row r="1221" spans="1:8" x14ac:dyDescent="0.3">
      <c r="A1221" t="s">
        <v>358</v>
      </c>
      <c r="B1221">
        <f>IFERROR(INDEX(MASTER_REGISTER!C:C,MATCH(C1221,MASTER_REGISTER!E:E,0)),"")</f>
        <v>9</v>
      </c>
      <c r="C1221" t="s">
        <v>158</v>
      </c>
      <c r="D1221" t="str">
        <f>IFERROR(INDEX(MASTER_REGISTER!F:F,MATCH(C1221,MASTER_REGISTER!E:E,0)),"")</f>
        <v>Sifiso Ramushu</v>
      </c>
      <c r="E1221" t="s">
        <v>337</v>
      </c>
      <c r="F1221" t="s">
        <v>338</v>
      </c>
      <c r="G1221" t="s">
        <v>339</v>
      </c>
    </row>
    <row r="1222" spans="1:8" x14ac:dyDescent="0.3">
      <c r="A1222" t="s">
        <v>358</v>
      </c>
      <c r="B1222">
        <f>IFERROR(INDEX(MASTER_REGISTER!C:C,MATCH(C1222,MASTER_REGISTER!E:E,0)),"")</f>
        <v>9</v>
      </c>
      <c r="C1222" t="s">
        <v>163</v>
      </c>
      <c r="D1222" t="str">
        <f>IFERROR(INDEX(MASTER_REGISTER!F:F,MATCH(C1222,MASTER_REGISTER!E:E,0)),"")</f>
        <v>Nandi Ngobeni</v>
      </c>
      <c r="E1222" t="s">
        <v>337</v>
      </c>
      <c r="F1222" t="s">
        <v>338</v>
      </c>
      <c r="G1222" t="s">
        <v>339</v>
      </c>
    </row>
    <row r="1223" spans="1:8" x14ac:dyDescent="0.3">
      <c r="A1223" t="s">
        <v>358</v>
      </c>
      <c r="B1223">
        <f>IFERROR(INDEX(MASTER_REGISTER!C:C,MATCH(C1223,MASTER_REGISTER!E:E,0)),"")</f>
        <v>9</v>
      </c>
      <c r="C1223" t="s">
        <v>168</v>
      </c>
      <c r="D1223" t="str">
        <f>IFERROR(INDEX(MASTER_REGISTER!F:F,MATCH(C1223,MASTER_REGISTER!E:E,0)),"")</f>
        <v>Karabo Mokgadi</v>
      </c>
      <c r="E1223" t="s">
        <v>337</v>
      </c>
      <c r="F1223" t="s">
        <v>338</v>
      </c>
      <c r="G1223" t="s">
        <v>339</v>
      </c>
    </row>
    <row r="1224" spans="1:8" x14ac:dyDescent="0.3">
      <c r="A1224" t="s">
        <v>358</v>
      </c>
      <c r="B1224">
        <f>IFERROR(INDEX(MASTER_REGISTER!C:C,MATCH(C1224,MASTER_REGISTER!E:E,0)),"")</f>
        <v>9</v>
      </c>
      <c r="C1224" t="s">
        <v>173</v>
      </c>
      <c r="D1224" t="str">
        <f>IFERROR(INDEX(MASTER_REGISTER!F:F,MATCH(C1224,MASTER_REGISTER!E:E,0)),"")</f>
        <v>Sifiso Mahlangu</v>
      </c>
      <c r="E1224" t="s">
        <v>337</v>
      </c>
      <c r="F1224" t="s">
        <v>338</v>
      </c>
      <c r="G1224" t="s">
        <v>339</v>
      </c>
    </row>
    <row r="1225" spans="1:8" x14ac:dyDescent="0.3">
      <c r="A1225" t="s">
        <v>358</v>
      </c>
      <c r="B1225">
        <f>IFERROR(INDEX(MASTER_REGISTER!C:C,MATCH(C1225,MASTER_REGISTER!E:E,0)),"")</f>
        <v>9</v>
      </c>
      <c r="C1225" t="s">
        <v>178</v>
      </c>
      <c r="D1225" t="str">
        <f>IFERROR(INDEX(MASTER_REGISTER!F:F,MATCH(C1225,MASTER_REGISTER!E:E,0)),"")</f>
        <v>Kgothatso Radebe</v>
      </c>
      <c r="E1225" t="s">
        <v>337</v>
      </c>
      <c r="F1225" t="s">
        <v>338</v>
      </c>
      <c r="G1225" t="s">
        <v>339</v>
      </c>
    </row>
    <row r="1226" spans="1:8" x14ac:dyDescent="0.3">
      <c r="A1226" t="s">
        <v>358</v>
      </c>
      <c r="B1226">
        <f>IFERROR(INDEX(MASTER_REGISTER!C:C,MATCH(C1226,MASTER_REGISTER!E:E,0)),"")</f>
        <v>10</v>
      </c>
      <c r="C1226" t="s">
        <v>183</v>
      </c>
      <c r="D1226" t="str">
        <f>IFERROR(INDEX(MASTER_REGISTER!F:F,MATCH(C1226,MASTER_REGISTER!E:E,0)),"")</f>
        <v>Lerato Maseko</v>
      </c>
      <c r="E1226" t="s">
        <v>335</v>
      </c>
      <c r="H1226" t="s">
        <v>342</v>
      </c>
    </row>
    <row r="1227" spans="1:8" x14ac:dyDescent="0.3">
      <c r="A1227" t="s">
        <v>358</v>
      </c>
      <c r="B1227">
        <f>IFERROR(INDEX(MASTER_REGISTER!C:C,MATCH(C1227,MASTER_REGISTER!E:E,0)),"")</f>
        <v>10</v>
      </c>
      <c r="C1227" t="s">
        <v>188</v>
      </c>
      <c r="D1227" t="str">
        <f>IFERROR(INDEX(MASTER_REGISTER!F:F,MATCH(C1227,MASTER_REGISTER!E:E,0)),"")</f>
        <v>Sibusiso Molefe</v>
      </c>
      <c r="E1227" t="s">
        <v>337</v>
      </c>
      <c r="F1227" t="s">
        <v>338</v>
      </c>
      <c r="G1227" t="s">
        <v>339</v>
      </c>
    </row>
    <row r="1228" spans="1:8" x14ac:dyDescent="0.3">
      <c r="A1228" t="s">
        <v>358</v>
      </c>
      <c r="B1228">
        <f>IFERROR(INDEX(MASTER_REGISTER!C:C,MATCH(C1228,MASTER_REGISTER!E:E,0)),"")</f>
        <v>10</v>
      </c>
      <c r="C1228" t="s">
        <v>193</v>
      </c>
      <c r="D1228" t="str">
        <f>IFERROR(INDEX(MASTER_REGISTER!F:F,MATCH(C1228,MASTER_REGISTER!E:E,0)),"")</f>
        <v>Nandi Molefe</v>
      </c>
      <c r="E1228" t="s">
        <v>337</v>
      </c>
      <c r="F1228" t="s">
        <v>338</v>
      </c>
      <c r="G1228" t="s">
        <v>339</v>
      </c>
    </row>
    <row r="1229" spans="1:8" x14ac:dyDescent="0.3">
      <c r="A1229" t="s">
        <v>358</v>
      </c>
      <c r="B1229">
        <f>IFERROR(INDEX(MASTER_REGISTER!C:C,MATCH(C1229,MASTER_REGISTER!E:E,0)),"")</f>
        <v>10</v>
      </c>
      <c r="C1229" t="s">
        <v>198</v>
      </c>
      <c r="D1229" t="str">
        <f>IFERROR(INDEX(MASTER_REGISTER!F:F,MATCH(C1229,MASTER_REGISTER!E:E,0)),"")</f>
        <v>Kgothatso Baloyi</v>
      </c>
      <c r="E1229" t="s">
        <v>337</v>
      </c>
      <c r="F1229" t="s">
        <v>338</v>
      </c>
      <c r="G1229" t="s">
        <v>339</v>
      </c>
    </row>
    <row r="1230" spans="1:8" x14ac:dyDescent="0.3">
      <c r="A1230" t="s">
        <v>358</v>
      </c>
      <c r="B1230">
        <f>IFERROR(INDEX(MASTER_REGISTER!C:C,MATCH(C1230,MASTER_REGISTER!E:E,0)),"")</f>
        <v>10</v>
      </c>
      <c r="C1230" t="s">
        <v>202</v>
      </c>
      <c r="D1230" t="str">
        <f>IFERROR(INDEX(MASTER_REGISTER!F:F,MATCH(C1230,MASTER_REGISTER!E:E,0)),"")</f>
        <v>Ayanda Mokoena</v>
      </c>
      <c r="E1230" t="s">
        <v>337</v>
      </c>
      <c r="F1230" t="s">
        <v>338</v>
      </c>
      <c r="G1230" t="s">
        <v>339</v>
      </c>
    </row>
    <row r="1231" spans="1:8" x14ac:dyDescent="0.3">
      <c r="A1231" t="s">
        <v>358</v>
      </c>
      <c r="B1231">
        <f>IFERROR(INDEX(MASTER_REGISTER!C:C,MATCH(C1231,MASTER_REGISTER!E:E,0)),"")</f>
        <v>10</v>
      </c>
      <c r="C1231" t="s">
        <v>206</v>
      </c>
      <c r="D1231" t="str">
        <f>IFERROR(INDEX(MASTER_REGISTER!F:F,MATCH(C1231,MASTER_REGISTER!E:E,0)),"")</f>
        <v>Lwazi Baloyi</v>
      </c>
      <c r="E1231" t="s">
        <v>335</v>
      </c>
      <c r="H1231" t="s">
        <v>341</v>
      </c>
    </row>
    <row r="1232" spans="1:8" x14ac:dyDescent="0.3">
      <c r="A1232" t="s">
        <v>358</v>
      </c>
      <c r="B1232">
        <f>IFERROR(INDEX(MASTER_REGISTER!C:C,MATCH(C1232,MASTER_REGISTER!E:E,0)),"")</f>
        <v>10</v>
      </c>
      <c r="C1232" t="s">
        <v>210</v>
      </c>
      <c r="D1232" t="str">
        <f>IFERROR(INDEX(MASTER_REGISTER!F:F,MATCH(C1232,MASTER_REGISTER!E:E,0)),"")</f>
        <v>Siyanda Mokoena</v>
      </c>
      <c r="E1232" t="s">
        <v>337</v>
      </c>
      <c r="F1232" t="s">
        <v>338</v>
      </c>
      <c r="G1232" t="s">
        <v>339</v>
      </c>
    </row>
    <row r="1233" spans="1:8" x14ac:dyDescent="0.3">
      <c r="A1233" t="s">
        <v>358</v>
      </c>
      <c r="B1233">
        <f>IFERROR(INDEX(MASTER_REGISTER!C:C,MATCH(C1233,MASTER_REGISTER!E:E,0)),"")</f>
        <v>10</v>
      </c>
      <c r="C1233" t="s">
        <v>214</v>
      </c>
      <c r="D1233" t="str">
        <f>IFERROR(INDEX(MASTER_REGISTER!F:F,MATCH(C1233,MASTER_REGISTER!E:E,0)),"")</f>
        <v>Mpho Ngobeni</v>
      </c>
      <c r="E1233" t="s">
        <v>337</v>
      </c>
      <c r="F1233" t="s">
        <v>338</v>
      </c>
      <c r="G1233" t="s">
        <v>339</v>
      </c>
    </row>
    <row r="1234" spans="1:8" x14ac:dyDescent="0.3">
      <c r="A1234" t="s">
        <v>358</v>
      </c>
      <c r="B1234">
        <f>IFERROR(INDEX(MASTER_REGISTER!C:C,MATCH(C1234,MASTER_REGISTER!E:E,0)),"")</f>
        <v>10</v>
      </c>
      <c r="C1234" t="s">
        <v>217</v>
      </c>
      <c r="D1234" t="str">
        <f>IFERROR(INDEX(MASTER_REGISTER!F:F,MATCH(C1234,MASTER_REGISTER!E:E,0)),"")</f>
        <v>Naledi Makhubela</v>
      </c>
      <c r="E1234" t="s">
        <v>337</v>
      </c>
      <c r="F1234" t="s">
        <v>338</v>
      </c>
      <c r="G1234" t="s">
        <v>339</v>
      </c>
    </row>
    <row r="1235" spans="1:8" x14ac:dyDescent="0.3">
      <c r="A1235" t="s">
        <v>358</v>
      </c>
      <c r="B1235">
        <f>IFERROR(INDEX(MASTER_REGISTER!C:C,MATCH(C1235,MASTER_REGISTER!E:E,0)),"")</f>
        <v>10</v>
      </c>
      <c r="C1235" t="s">
        <v>221</v>
      </c>
      <c r="D1235" t="str">
        <f>IFERROR(INDEX(MASTER_REGISTER!F:F,MATCH(C1235,MASTER_REGISTER!E:E,0)),"")</f>
        <v>Kgothatso Mokoena</v>
      </c>
      <c r="E1235" t="s">
        <v>335</v>
      </c>
      <c r="H1235" t="s">
        <v>340</v>
      </c>
    </row>
    <row r="1236" spans="1:8" x14ac:dyDescent="0.3">
      <c r="A1236" t="s">
        <v>358</v>
      </c>
      <c r="B1236">
        <f>IFERROR(INDEX(MASTER_REGISTER!C:C,MATCH(C1236,MASTER_REGISTER!E:E,0)),"")</f>
        <v>10</v>
      </c>
      <c r="C1236" t="s">
        <v>225</v>
      </c>
      <c r="D1236" t="str">
        <f>IFERROR(INDEX(MASTER_REGISTER!F:F,MATCH(C1236,MASTER_REGISTER!E:E,0)),"")</f>
        <v>Bongani Makhubela</v>
      </c>
      <c r="E1236" t="s">
        <v>337</v>
      </c>
      <c r="F1236" t="s">
        <v>338</v>
      </c>
      <c r="G1236" t="s">
        <v>339</v>
      </c>
    </row>
    <row r="1237" spans="1:8" x14ac:dyDescent="0.3">
      <c r="A1237" t="s">
        <v>358</v>
      </c>
      <c r="B1237">
        <f>IFERROR(INDEX(MASTER_REGISTER!C:C,MATCH(C1237,MASTER_REGISTER!E:E,0)),"")</f>
        <v>10</v>
      </c>
      <c r="C1237" t="s">
        <v>229</v>
      </c>
      <c r="D1237" t="str">
        <f>IFERROR(INDEX(MASTER_REGISTER!F:F,MATCH(C1237,MASTER_REGISTER!E:E,0)),"")</f>
        <v>Kagiso Kekana</v>
      </c>
      <c r="E1237" t="s">
        <v>337</v>
      </c>
      <c r="F1237" t="s">
        <v>338</v>
      </c>
      <c r="G1237" t="s">
        <v>339</v>
      </c>
    </row>
    <row r="1238" spans="1:8" x14ac:dyDescent="0.3">
      <c r="A1238" t="s">
        <v>358</v>
      </c>
      <c r="B1238">
        <f>IFERROR(INDEX(MASTER_REGISTER!C:C,MATCH(C1238,MASTER_REGISTER!E:E,0)),"")</f>
        <v>11</v>
      </c>
      <c r="C1238" t="s">
        <v>233</v>
      </c>
      <c r="D1238" t="str">
        <f>IFERROR(INDEX(MASTER_REGISTER!F:F,MATCH(C1238,MASTER_REGISTER!E:E,0)),"")</f>
        <v>Lwazi Makhubela</v>
      </c>
      <c r="E1238" t="s">
        <v>337</v>
      </c>
      <c r="F1238" t="s">
        <v>338</v>
      </c>
      <c r="G1238" t="s">
        <v>339</v>
      </c>
    </row>
    <row r="1239" spans="1:8" x14ac:dyDescent="0.3">
      <c r="A1239" t="s">
        <v>358</v>
      </c>
      <c r="B1239">
        <f>IFERROR(INDEX(MASTER_REGISTER!C:C,MATCH(C1239,MASTER_REGISTER!E:E,0)),"")</f>
        <v>11</v>
      </c>
      <c r="C1239" t="s">
        <v>237</v>
      </c>
      <c r="D1239" t="str">
        <f>IFERROR(INDEX(MASTER_REGISTER!F:F,MATCH(C1239,MASTER_REGISTER!E:E,0)),"")</f>
        <v>Lebogang Ramushu</v>
      </c>
      <c r="E1239" t="s">
        <v>337</v>
      </c>
      <c r="F1239" t="s">
        <v>338</v>
      </c>
      <c r="G1239" t="s">
        <v>339</v>
      </c>
    </row>
    <row r="1240" spans="1:8" x14ac:dyDescent="0.3">
      <c r="A1240" t="s">
        <v>358</v>
      </c>
      <c r="B1240">
        <f>IFERROR(INDEX(MASTER_REGISTER!C:C,MATCH(C1240,MASTER_REGISTER!E:E,0)),"")</f>
        <v>11</v>
      </c>
      <c r="C1240" t="s">
        <v>241</v>
      </c>
      <c r="D1240" t="str">
        <f>IFERROR(INDEX(MASTER_REGISTER!F:F,MATCH(C1240,MASTER_REGISTER!E:E,0)),"")</f>
        <v>Lerato Kekana</v>
      </c>
      <c r="E1240" t="s">
        <v>337</v>
      </c>
      <c r="F1240" t="s">
        <v>338</v>
      </c>
      <c r="G1240" t="s">
        <v>339</v>
      </c>
    </row>
    <row r="1241" spans="1:8" x14ac:dyDescent="0.3">
      <c r="A1241" t="s">
        <v>358</v>
      </c>
      <c r="B1241">
        <f>IFERROR(INDEX(MASTER_REGISTER!C:C,MATCH(C1241,MASTER_REGISTER!E:E,0)),"")</f>
        <v>11</v>
      </c>
      <c r="C1241" t="s">
        <v>244</v>
      </c>
      <c r="D1241" t="str">
        <f>IFERROR(INDEX(MASTER_REGISTER!F:F,MATCH(C1241,MASTER_REGISTER!E:E,0)),"")</f>
        <v>Bongani Ndlovu</v>
      </c>
      <c r="E1241" t="s">
        <v>337</v>
      </c>
      <c r="F1241" t="s">
        <v>338</v>
      </c>
      <c r="G1241" t="s">
        <v>339</v>
      </c>
    </row>
    <row r="1242" spans="1:8" x14ac:dyDescent="0.3">
      <c r="A1242" t="s">
        <v>358</v>
      </c>
      <c r="B1242">
        <f>IFERROR(INDEX(MASTER_REGISTER!C:C,MATCH(C1242,MASTER_REGISTER!E:E,0)),"")</f>
        <v>11</v>
      </c>
      <c r="C1242" t="s">
        <v>248</v>
      </c>
      <c r="D1242" t="str">
        <f>IFERROR(INDEX(MASTER_REGISTER!F:F,MATCH(C1242,MASTER_REGISTER!E:E,0)),"")</f>
        <v>Sifiso Dlamini</v>
      </c>
      <c r="E1242" t="s">
        <v>337</v>
      </c>
      <c r="F1242" t="s">
        <v>338</v>
      </c>
      <c r="G1242" t="s">
        <v>339</v>
      </c>
    </row>
    <row r="1243" spans="1:8" x14ac:dyDescent="0.3">
      <c r="A1243" t="s">
        <v>358</v>
      </c>
      <c r="B1243">
        <f>IFERROR(INDEX(MASTER_REGISTER!C:C,MATCH(C1243,MASTER_REGISTER!E:E,0)),"")</f>
        <v>11</v>
      </c>
      <c r="C1243" t="s">
        <v>252</v>
      </c>
      <c r="D1243" t="str">
        <f>IFERROR(INDEX(MASTER_REGISTER!F:F,MATCH(C1243,MASTER_REGISTER!E:E,0)),"")</f>
        <v>Refilwe Dlamini</v>
      </c>
      <c r="E1243" t="s">
        <v>337</v>
      </c>
      <c r="F1243" t="s">
        <v>338</v>
      </c>
      <c r="G1243" t="s">
        <v>339</v>
      </c>
    </row>
    <row r="1244" spans="1:8" x14ac:dyDescent="0.3">
      <c r="A1244" t="s">
        <v>358</v>
      </c>
      <c r="B1244">
        <f>IFERROR(INDEX(MASTER_REGISTER!C:C,MATCH(C1244,MASTER_REGISTER!E:E,0)),"")</f>
        <v>11</v>
      </c>
      <c r="C1244" t="s">
        <v>256</v>
      </c>
      <c r="D1244" t="str">
        <f>IFERROR(INDEX(MASTER_REGISTER!F:F,MATCH(C1244,MASTER_REGISTER!E:E,0)),"")</f>
        <v>Lwazi Maseko</v>
      </c>
      <c r="E1244" t="s">
        <v>337</v>
      </c>
      <c r="F1244" t="s">
        <v>338</v>
      </c>
      <c r="G1244" t="s">
        <v>339</v>
      </c>
    </row>
    <row r="1245" spans="1:8" x14ac:dyDescent="0.3">
      <c r="A1245" t="s">
        <v>358</v>
      </c>
      <c r="B1245">
        <f>IFERROR(INDEX(MASTER_REGISTER!C:C,MATCH(C1245,MASTER_REGISTER!E:E,0)),"")</f>
        <v>11</v>
      </c>
      <c r="C1245" t="s">
        <v>260</v>
      </c>
      <c r="D1245" t="str">
        <f>IFERROR(INDEX(MASTER_REGISTER!F:F,MATCH(C1245,MASTER_REGISTER!E:E,0)),"")</f>
        <v>Refilwe Mokgadi</v>
      </c>
      <c r="E1245" t="s">
        <v>335</v>
      </c>
      <c r="H1245" t="s">
        <v>340</v>
      </c>
    </row>
    <row r="1246" spans="1:8" x14ac:dyDescent="0.3">
      <c r="A1246" t="s">
        <v>358</v>
      </c>
      <c r="B1246">
        <f>IFERROR(INDEX(MASTER_REGISTER!C:C,MATCH(C1246,MASTER_REGISTER!E:E,0)),"")</f>
        <v>11</v>
      </c>
      <c r="C1246" t="s">
        <v>264</v>
      </c>
      <c r="D1246" t="str">
        <f>IFERROR(INDEX(MASTER_REGISTER!F:F,MATCH(C1246,MASTER_REGISTER!E:E,0)),"")</f>
        <v>Kgothatso Molefe</v>
      </c>
      <c r="E1246" t="s">
        <v>337</v>
      </c>
      <c r="F1246" t="s">
        <v>338</v>
      </c>
      <c r="G1246" t="s">
        <v>339</v>
      </c>
    </row>
    <row r="1247" spans="1:8" x14ac:dyDescent="0.3">
      <c r="A1247" t="s">
        <v>358</v>
      </c>
      <c r="B1247">
        <f>IFERROR(INDEX(MASTER_REGISTER!C:C,MATCH(C1247,MASTER_REGISTER!E:E,0)),"")</f>
        <v>11</v>
      </c>
      <c r="C1247" t="s">
        <v>268</v>
      </c>
      <c r="D1247" t="str">
        <f>IFERROR(INDEX(MASTER_REGISTER!F:F,MATCH(C1247,MASTER_REGISTER!E:E,0)),"")</f>
        <v>Tshepo Mokgadi</v>
      </c>
      <c r="E1247" t="s">
        <v>335</v>
      </c>
      <c r="H1247" t="s">
        <v>336</v>
      </c>
    </row>
    <row r="1248" spans="1:8" x14ac:dyDescent="0.3">
      <c r="A1248" t="s">
        <v>358</v>
      </c>
      <c r="B1248">
        <f>IFERROR(INDEX(MASTER_REGISTER!C:C,MATCH(C1248,MASTER_REGISTER!E:E,0)),"")</f>
        <v>11</v>
      </c>
      <c r="C1248" t="s">
        <v>272</v>
      </c>
      <c r="D1248" t="str">
        <f>IFERROR(INDEX(MASTER_REGISTER!F:F,MATCH(C1248,MASTER_REGISTER!E:E,0)),"")</f>
        <v>Tshepo Phiri</v>
      </c>
      <c r="E1248" t="s">
        <v>337</v>
      </c>
      <c r="F1248" t="s">
        <v>338</v>
      </c>
      <c r="G1248" t="s">
        <v>339</v>
      </c>
    </row>
    <row r="1249" spans="1:8" x14ac:dyDescent="0.3">
      <c r="A1249" t="s">
        <v>358</v>
      </c>
      <c r="B1249">
        <f>IFERROR(INDEX(MASTER_REGISTER!C:C,MATCH(C1249,MASTER_REGISTER!E:E,0)),"")</f>
        <v>11</v>
      </c>
      <c r="C1249" t="s">
        <v>276</v>
      </c>
      <c r="D1249" t="str">
        <f>IFERROR(INDEX(MASTER_REGISTER!F:F,MATCH(C1249,MASTER_REGISTER!E:E,0)),"")</f>
        <v>Zanele Ngobeni</v>
      </c>
      <c r="E1249" t="s">
        <v>337</v>
      </c>
      <c r="F1249" t="s">
        <v>338</v>
      </c>
      <c r="G1249" t="s">
        <v>339</v>
      </c>
    </row>
    <row r="1250" spans="1:8" x14ac:dyDescent="0.3">
      <c r="A1250" t="s">
        <v>358</v>
      </c>
      <c r="B1250">
        <f>IFERROR(INDEX(MASTER_REGISTER!C:C,MATCH(C1250,MASTER_REGISTER!E:E,0)),"")</f>
        <v>12</v>
      </c>
      <c r="C1250" t="s">
        <v>280</v>
      </c>
      <c r="D1250" t="str">
        <f>IFERROR(INDEX(MASTER_REGISTER!F:F,MATCH(C1250,MASTER_REGISTER!E:E,0)),"")</f>
        <v>Palesa Mokoena</v>
      </c>
      <c r="E1250" t="s">
        <v>335</v>
      </c>
      <c r="H1250" t="s">
        <v>341</v>
      </c>
    </row>
    <row r="1251" spans="1:8" x14ac:dyDescent="0.3">
      <c r="A1251" t="s">
        <v>358</v>
      </c>
      <c r="B1251">
        <f>IFERROR(INDEX(MASTER_REGISTER!C:C,MATCH(C1251,MASTER_REGISTER!E:E,0)),"")</f>
        <v>12</v>
      </c>
      <c r="C1251" t="s">
        <v>284</v>
      </c>
      <c r="D1251" t="str">
        <f>IFERROR(INDEX(MASTER_REGISTER!F:F,MATCH(C1251,MASTER_REGISTER!E:E,0)),"")</f>
        <v>Thabo Ramushu</v>
      </c>
      <c r="E1251" t="s">
        <v>337</v>
      </c>
      <c r="F1251" t="s">
        <v>338</v>
      </c>
      <c r="G1251" t="s">
        <v>339</v>
      </c>
    </row>
    <row r="1252" spans="1:8" x14ac:dyDescent="0.3">
      <c r="A1252" t="s">
        <v>358</v>
      </c>
      <c r="B1252">
        <f>IFERROR(INDEX(MASTER_REGISTER!C:C,MATCH(C1252,MASTER_REGISTER!E:E,0)),"")</f>
        <v>12</v>
      </c>
      <c r="C1252" t="s">
        <v>288</v>
      </c>
      <c r="D1252" t="str">
        <f>IFERROR(INDEX(MASTER_REGISTER!F:F,MATCH(C1252,MASTER_REGISTER!E:E,0)),"")</f>
        <v>Lwazi Ndlovu</v>
      </c>
      <c r="E1252" t="s">
        <v>337</v>
      </c>
      <c r="F1252" t="s">
        <v>338</v>
      </c>
      <c r="G1252" t="s">
        <v>339</v>
      </c>
    </row>
    <row r="1253" spans="1:8" x14ac:dyDescent="0.3">
      <c r="A1253" t="s">
        <v>358</v>
      </c>
      <c r="B1253">
        <f>IFERROR(INDEX(MASTER_REGISTER!C:C,MATCH(C1253,MASTER_REGISTER!E:E,0)),"")</f>
        <v>12</v>
      </c>
      <c r="C1253" t="s">
        <v>292</v>
      </c>
      <c r="D1253" t="str">
        <f>IFERROR(INDEX(MASTER_REGISTER!F:F,MATCH(C1253,MASTER_REGISTER!E:E,0)),"")</f>
        <v>Ayanda Dlamini</v>
      </c>
      <c r="E1253" t="s">
        <v>337</v>
      </c>
      <c r="F1253" t="s">
        <v>338</v>
      </c>
      <c r="G1253" t="s">
        <v>339</v>
      </c>
    </row>
    <row r="1254" spans="1:8" x14ac:dyDescent="0.3">
      <c r="A1254" t="s">
        <v>358</v>
      </c>
      <c r="B1254">
        <f>IFERROR(INDEX(MASTER_REGISTER!C:C,MATCH(C1254,MASTER_REGISTER!E:E,0)),"")</f>
        <v>12</v>
      </c>
      <c r="C1254" t="s">
        <v>296</v>
      </c>
      <c r="D1254" t="str">
        <f>IFERROR(INDEX(MASTER_REGISTER!F:F,MATCH(C1254,MASTER_REGISTER!E:E,0)),"")</f>
        <v>Neo Ndlovu</v>
      </c>
      <c r="E1254" t="s">
        <v>337</v>
      </c>
      <c r="F1254" t="s">
        <v>338</v>
      </c>
      <c r="G1254" t="s">
        <v>339</v>
      </c>
    </row>
    <row r="1255" spans="1:8" x14ac:dyDescent="0.3">
      <c r="A1255" t="s">
        <v>358</v>
      </c>
      <c r="B1255">
        <f>IFERROR(INDEX(MASTER_REGISTER!C:C,MATCH(C1255,MASTER_REGISTER!E:E,0)),"")</f>
        <v>12</v>
      </c>
      <c r="C1255" t="s">
        <v>300</v>
      </c>
      <c r="D1255" t="str">
        <f>IFERROR(INDEX(MASTER_REGISTER!F:F,MATCH(C1255,MASTER_REGISTER!E:E,0)),"")</f>
        <v>Neo Ramushu</v>
      </c>
      <c r="E1255" t="s">
        <v>337</v>
      </c>
      <c r="F1255" t="s">
        <v>338</v>
      </c>
      <c r="G1255" t="s">
        <v>339</v>
      </c>
    </row>
    <row r="1256" spans="1:8" x14ac:dyDescent="0.3">
      <c r="A1256" t="s">
        <v>358</v>
      </c>
      <c r="B1256">
        <f>IFERROR(INDEX(MASTER_REGISTER!C:C,MATCH(C1256,MASTER_REGISTER!E:E,0)),"")</f>
        <v>12</v>
      </c>
      <c r="C1256" t="s">
        <v>304</v>
      </c>
      <c r="D1256" t="str">
        <f>IFERROR(INDEX(MASTER_REGISTER!F:F,MATCH(C1256,MASTER_REGISTER!E:E,0)),"")</f>
        <v>Karabo Baloyi</v>
      </c>
      <c r="E1256" t="s">
        <v>337</v>
      </c>
      <c r="F1256" t="s">
        <v>338</v>
      </c>
      <c r="G1256" t="s">
        <v>339</v>
      </c>
    </row>
    <row r="1257" spans="1:8" x14ac:dyDescent="0.3">
      <c r="A1257" t="s">
        <v>358</v>
      </c>
      <c r="B1257">
        <f>IFERROR(INDEX(MASTER_REGISTER!C:C,MATCH(C1257,MASTER_REGISTER!E:E,0)),"")</f>
        <v>12</v>
      </c>
      <c r="C1257" t="s">
        <v>308</v>
      </c>
      <c r="D1257" t="str">
        <f>IFERROR(INDEX(MASTER_REGISTER!F:F,MATCH(C1257,MASTER_REGISTER!E:E,0)),"")</f>
        <v>Tshepo Mokgadi</v>
      </c>
      <c r="E1257" t="s">
        <v>337</v>
      </c>
      <c r="F1257" t="s">
        <v>338</v>
      </c>
      <c r="G1257" t="s">
        <v>339</v>
      </c>
    </row>
    <row r="1258" spans="1:8" x14ac:dyDescent="0.3">
      <c r="A1258" t="s">
        <v>358</v>
      </c>
      <c r="B1258">
        <f>IFERROR(INDEX(MASTER_REGISTER!C:C,MATCH(C1258,MASTER_REGISTER!E:E,0)),"")</f>
        <v>12</v>
      </c>
      <c r="C1258" t="s">
        <v>311</v>
      </c>
      <c r="D1258" t="str">
        <f>IFERROR(INDEX(MASTER_REGISTER!F:F,MATCH(C1258,MASTER_REGISTER!E:E,0)),"")</f>
        <v>Sifiso Mavuso</v>
      </c>
      <c r="E1258" t="s">
        <v>337</v>
      </c>
      <c r="F1258" t="s">
        <v>338</v>
      </c>
      <c r="G1258" t="s">
        <v>339</v>
      </c>
    </row>
    <row r="1259" spans="1:8" x14ac:dyDescent="0.3">
      <c r="A1259" t="s">
        <v>358</v>
      </c>
      <c r="B1259">
        <f>IFERROR(INDEX(MASTER_REGISTER!C:C,MATCH(C1259,MASTER_REGISTER!E:E,0)),"")</f>
        <v>12</v>
      </c>
      <c r="C1259" t="s">
        <v>315</v>
      </c>
      <c r="D1259" t="str">
        <f>IFERROR(INDEX(MASTER_REGISTER!F:F,MATCH(C1259,MASTER_REGISTER!E:E,0)),"")</f>
        <v>Refilwe Sithole</v>
      </c>
      <c r="E1259" t="s">
        <v>337</v>
      </c>
      <c r="F1259" t="s">
        <v>338</v>
      </c>
      <c r="G1259" t="s">
        <v>339</v>
      </c>
    </row>
    <row r="1260" spans="1:8" x14ac:dyDescent="0.3">
      <c r="A1260" t="s">
        <v>358</v>
      </c>
      <c r="B1260">
        <f>IFERROR(INDEX(MASTER_REGISTER!C:C,MATCH(C1260,MASTER_REGISTER!E:E,0)),"")</f>
        <v>12</v>
      </c>
      <c r="C1260" t="s">
        <v>319</v>
      </c>
      <c r="D1260" t="str">
        <f>IFERROR(INDEX(MASTER_REGISTER!F:F,MATCH(C1260,MASTER_REGISTER!E:E,0)),"")</f>
        <v>Lerato Sithole</v>
      </c>
      <c r="E1260" t="s">
        <v>337</v>
      </c>
      <c r="F1260" t="s">
        <v>338</v>
      </c>
      <c r="G1260" t="s">
        <v>339</v>
      </c>
    </row>
    <row r="1261" spans="1:8" x14ac:dyDescent="0.3">
      <c r="A1261" t="s">
        <v>358</v>
      </c>
      <c r="B1261">
        <f>IFERROR(INDEX(MASTER_REGISTER!C:C,MATCH(C1261,MASTER_REGISTER!E:E,0)),"")</f>
        <v>12</v>
      </c>
      <c r="C1261" t="s">
        <v>323</v>
      </c>
      <c r="D1261" t="str">
        <f>IFERROR(INDEX(MASTER_REGISTER!F:F,MATCH(C1261,MASTER_REGISTER!E:E,0)),"")</f>
        <v>Sibusiso Ngobeni</v>
      </c>
      <c r="E1261" t="s">
        <v>335</v>
      </c>
      <c r="H1261" t="s">
        <v>336</v>
      </c>
    </row>
    <row r="1262" spans="1:8" x14ac:dyDescent="0.3">
      <c r="A1262" t="s">
        <v>359</v>
      </c>
      <c r="B1262">
        <f>IFERROR(INDEX(MASTER_REGISTER!C:C,MATCH(C1262,MASTER_REGISTER!E:E,0)),"")</f>
        <v>8</v>
      </c>
      <c r="C1262" t="s">
        <v>50</v>
      </c>
      <c r="D1262" t="str">
        <f>IFERROR(INDEX(MASTER_REGISTER!F:F,MATCH(C1262,MASTER_REGISTER!E:E,0)),"")</f>
        <v>Lerato Nkosi</v>
      </c>
      <c r="E1262" t="s">
        <v>337</v>
      </c>
      <c r="F1262" t="s">
        <v>338</v>
      </c>
      <c r="G1262" t="s">
        <v>339</v>
      </c>
    </row>
    <row r="1263" spans="1:8" x14ac:dyDescent="0.3">
      <c r="A1263" t="s">
        <v>359</v>
      </c>
      <c r="B1263">
        <f>IFERROR(INDEX(MASTER_REGISTER!C:C,MATCH(C1263,MASTER_REGISTER!E:E,0)),"")</f>
        <v>8</v>
      </c>
      <c r="C1263" t="s">
        <v>58</v>
      </c>
      <c r="D1263" t="str">
        <f>IFERROR(INDEX(MASTER_REGISTER!F:F,MATCH(C1263,MASTER_REGISTER!E:E,0)),"")</f>
        <v>Karabo Maseko</v>
      </c>
      <c r="E1263" t="s">
        <v>337</v>
      </c>
      <c r="F1263" t="s">
        <v>338</v>
      </c>
      <c r="G1263" t="s">
        <v>339</v>
      </c>
    </row>
    <row r="1264" spans="1:8" x14ac:dyDescent="0.3">
      <c r="A1264" t="s">
        <v>359</v>
      </c>
      <c r="B1264">
        <f>IFERROR(INDEX(MASTER_REGISTER!C:C,MATCH(C1264,MASTER_REGISTER!E:E,0)),"")</f>
        <v>8</v>
      </c>
      <c r="C1264" t="s">
        <v>64</v>
      </c>
      <c r="D1264" t="str">
        <f>IFERROR(INDEX(MASTER_REGISTER!F:F,MATCH(C1264,MASTER_REGISTER!E:E,0)),"")</f>
        <v>Sifiso Sithole</v>
      </c>
      <c r="E1264" t="s">
        <v>337</v>
      </c>
      <c r="F1264" t="s">
        <v>338</v>
      </c>
      <c r="G1264" t="s">
        <v>339</v>
      </c>
    </row>
    <row r="1265" spans="1:8" x14ac:dyDescent="0.3">
      <c r="A1265" t="s">
        <v>359</v>
      </c>
      <c r="B1265">
        <f>IFERROR(INDEX(MASTER_REGISTER!C:C,MATCH(C1265,MASTER_REGISTER!E:E,0)),"")</f>
        <v>8</v>
      </c>
      <c r="C1265" t="s">
        <v>70</v>
      </c>
      <c r="D1265" t="str">
        <f>IFERROR(INDEX(MASTER_REGISTER!F:F,MATCH(C1265,MASTER_REGISTER!E:E,0)),"")</f>
        <v>Tshepo Ndlovu</v>
      </c>
      <c r="E1265" t="s">
        <v>337</v>
      </c>
      <c r="F1265" t="s">
        <v>338</v>
      </c>
      <c r="G1265" t="s">
        <v>339</v>
      </c>
    </row>
    <row r="1266" spans="1:8" x14ac:dyDescent="0.3">
      <c r="A1266" t="s">
        <v>359</v>
      </c>
      <c r="B1266">
        <f>IFERROR(INDEX(MASTER_REGISTER!C:C,MATCH(C1266,MASTER_REGISTER!E:E,0)),"")</f>
        <v>8</v>
      </c>
      <c r="C1266" t="s">
        <v>76</v>
      </c>
      <c r="D1266" t="str">
        <f>IFERROR(INDEX(MASTER_REGISTER!F:F,MATCH(C1266,MASTER_REGISTER!E:E,0)),"")</f>
        <v>Lwazi Mthembu</v>
      </c>
      <c r="E1266" t="s">
        <v>337</v>
      </c>
      <c r="F1266" t="s">
        <v>338</v>
      </c>
      <c r="G1266" t="s">
        <v>339</v>
      </c>
    </row>
    <row r="1267" spans="1:8" x14ac:dyDescent="0.3">
      <c r="A1267" t="s">
        <v>359</v>
      </c>
      <c r="B1267">
        <f>IFERROR(INDEX(MASTER_REGISTER!C:C,MATCH(C1267,MASTER_REGISTER!E:E,0)),"")</f>
        <v>8</v>
      </c>
      <c r="C1267" t="s">
        <v>82</v>
      </c>
      <c r="D1267" t="str">
        <f>IFERROR(INDEX(MASTER_REGISTER!F:F,MATCH(C1267,MASTER_REGISTER!E:E,0)),"")</f>
        <v>Karabo Ngobeni</v>
      </c>
      <c r="E1267" t="s">
        <v>337</v>
      </c>
      <c r="F1267" t="s">
        <v>338</v>
      </c>
      <c r="G1267" t="s">
        <v>339</v>
      </c>
    </row>
    <row r="1268" spans="1:8" x14ac:dyDescent="0.3">
      <c r="A1268" t="s">
        <v>359</v>
      </c>
      <c r="B1268">
        <f>IFERROR(INDEX(MASTER_REGISTER!C:C,MATCH(C1268,MASTER_REGISTER!E:E,0)),"")</f>
        <v>8</v>
      </c>
      <c r="C1268" t="s">
        <v>88</v>
      </c>
      <c r="D1268" t="str">
        <f>IFERROR(INDEX(MASTER_REGISTER!F:F,MATCH(C1268,MASTER_REGISTER!E:E,0)),"")</f>
        <v>Mpho Sithole</v>
      </c>
      <c r="E1268" t="s">
        <v>337</v>
      </c>
      <c r="F1268" t="s">
        <v>338</v>
      </c>
      <c r="G1268" t="s">
        <v>339</v>
      </c>
    </row>
    <row r="1269" spans="1:8" x14ac:dyDescent="0.3">
      <c r="A1269" t="s">
        <v>359</v>
      </c>
      <c r="B1269">
        <f>IFERROR(INDEX(MASTER_REGISTER!C:C,MATCH(C1269,MASTER_REGISTER!E:E,0)),"")</f>
        <v>8</v>
      </c>
      <c r="C1269" t="s">
        <v>94</v>
      </c>
      <c r="D1269" t="str">
        <f>IFERROR(INDEX(MASTER_REGISTER!F:F,MATCH(C1269,MASTER_REGISTER!E:E,0)),"")</f>
        <v>Tshepo Ramushu</v>
      </c>
      <c r="E1269" t="s">
        <v>337</v>
      </c>
      <c r="F1269" t="s">
        <v>338</v>
      </c>
      <c r="G1269" t="s">
        <v>339</v>
      </c>
    </row>
    <row r="1270" spans="1:8" x14ac:dyDescent="0.3">
      <c r="A1270" t="s">
        <v>359</v>
      </c>
      <c r="B1270">
        <f>IFERROR(INDEX(MASTER_REGISTER!C:C,MATCH(C1270,MASTER_REGISTER!E:E,0)),"")</f>
        <v>8</v>
      </c>
      <c r="C1270" t="s">
        <v>100</v>
      </c>
      <c r="D1270" t="str">
        <f>IFERROR(INDEX(MASTER_REGISTER!F:F,MATCH(C1270,MASTER_REGISTER!E:E,0)),"")</f>
        <v>Lerato Kekana</v>
      </c>
      <c r="E1270" t="s">
        <v>337</v>
      </c>
      <c r="F1270" t="s">
        <v>338</v>
      </c>
      <c r="G1270" t="s">
        <v>339</v>
      </c>
    </row>
    <row r="1271" spans="1:8" x14ac:dyDescent="0.3">
      <c r="A1271" t="s">
        <v>359</v>
      </c>
      <c r="B1271">
        <f>IFERROR(INDEX(MASTER_REGISTER!C:C,MATCH(C1271,MASTER_REGISTER!E:E,0)),"")</f>
        <v>8</v>
      </c>
      <c r="C1271" t="s">
        <v>106</v>
      </c>
      <c r="D1271" t="str">
        <f>IFERROR(INDEX(MASTER_REGISTER!F:F,MATCH(C1271,MASTER_REGISTER!E:E,0)),"")</f>
        <v>Neo Ngobeni</v>
      </c>
      <c r="E1271" t="s">
        <v>337</v>
      </c>
      <c r="F1271" t="s">
        <v>338</v>
      </c>
      <c r="G1271" t="s">
        <v>339</v>
      </c>
    </row>
    <row r="1272" spans="1:8" x14ac:dyDescent="0.3">
      <c r="A1272" t="s">
        <v>359</v>
      </c>
      <c r="B1272">
        <f>IFERROR(INDEX(MASTER_REGISTER!C:C,MATCH(C1272,MASTER_REGISTER!E:E,0)),"")</f>
        <v>8</v>
      </c>
      <c r="C1272" t="s">
        <v>112</v>
      </c>
      <c r="D1272" t="str">
        <f>IFERROR(INDEX(MASTER_REGISTER!F:F,MATCH(C1272,MASTER_REGISTER!E:E,0)),"")</f>
        <v>Thabo Mokgadi</v>
      </c>
      <c r="E1272" t="s">
        <v>337</v>
      </c>
      <c r="F1272" t="s">
        <v>338</v>
      </c>
      <c r="G1272" t="s">
        <v>339</v>
      </c>
    </row>
    <row r="1273" spans="1:8" x14ac:dyDescent="0.3">
      <c r="A1273" t="s">
        <v>359</v>
      </c>
      <c r="B1273">
        <f>IFERROR(INDEX(MASTER_REGISTER!C:C,MATCH(C1273,MASTER_REGISTER!E:E,0)),"")</f>
        <v>8</v>
      </c>
      <c r="C1273" t="s">
        <v>118</v>
      </c>
      <c r="D1273" t="str">
        <f>IFERROR(INDEX(MASTER_REGISTER!F:F,MATCH(C1273,MASTER_REGISTER!E:E,0)),"")</f>
        <v>Sifiso Mthembu</v>
      </c>
      <c r="E1273" t="s">
        <v>337</v>
      </c>
      <c r="F1273" t="s">
        <v>338</v>
      </c>
      <c r="G1273" t="s">
        <v>339</v>
      </c>
    </row>
    <row r="1274" spans="1:8" x14ac:dyDescent="0.3">
      <c r="A1274" t="s">
        <v>359</v>
      </c>
      <c r="B1274">
        <f>IFERROR(INDEX(MASTER_REGISTER!C:C,MATCH(C1274,MASTER_REGISTER!E:E,0)),"")</f>
        <v>9</v>
      </c>
      <c r="C1274" t="s">
        <v>123</v>
      </c>
      <c r="D1274" t="str">
        <f>IFERROR(INDEX(MASTER_REGISTER!F:F,MATCH(C1274,MASTER_REGISTER!E:E,0)),"")</f>
        <v>Karabo Phiri</v>
      </c>
      <c r="E1274" t="s">
        <v>337</v>
      </c>
      <c r="F1274" t="s">
        <v>338</v>
      </c>
      <c r="G1274" t="s">
        <v>339</v>
      </c>
    </row>
    <row r="1275" spans="1:8" x14ac:dyDescent="0.3">
      <c r="A1275" t="s">
        <v>359</v>
      </c>
      <c r="B1275">
        <f>IFERROR(INDEX(MASTER_REGISTER!C:C,MATCH(C1275,MASTER_REGISTER!E:E,0)),"")</f>
        <v>9</v>
      </c>
      <c r="C1275" t="s">
        <v>128</v>
      </c>
      <c r="D1275" t="str">
        <f>IFERROR(INDEX(MASTER_REGISTER!F:F,MATCH(C1275,MASTER_REGISTER!E:E,0)),"")</f>
        <v>Lerato Mahlangu</v>
      </c>
      <c r="E1275" t="s">
        <v>335</v>
      </c>
      <c r="H1275" t="s">
        <v>342</v>
      </c>
    </row>
    <row r="1276" spans="1:8" x14ac:dyDescent="0.3">
      <c r="A1276" t="s">
        <v>359</v>
      </c>
      <c r="B1276">
        <f>IFERROR(INDEX(MASTER_REGISTER!C:C,MATCH(C1276,MASTER_REGISTER!E:E,0)),"")</f>
        <v>9</v>
      </c>
      <c r="C1276" t="s">
        <v>133</v>
      </c>
      <c r="D1276" t="str">
        <f>IFERROR(INDEX(MASTER_REGISTER!F:F,MATCH(C1276,MASTER_REGISTER!E:E,0)),"")</f>
        <v>Mpho Kekana</v>
      </c>
      <c r="E1276" t="s">
        <v>337</v>
      </c>
      <c r="F1276" t="s">
        <v>338</v>
      </c>
      <c r="G1276" t="s">
        <v>339</v>
      </c>
    </row>
    <row r="1277" spans="1:8" x14ac:dyDescent="0.3">
      <c r="A1277" t="s">
        <v>359</v>
      </c>
      <c r="B1277">
        <f>IFERROR(INDEX(MASTER_REGISTER!C:C,MATCH(C1277,MASTER_REGISTER!E:E,0)),"")</f>
        <v>9</v>
      </c>
      <c r="C1277" t="s">
        <v>138</v>
      </c>
      <c r="D1277" t="str">
        <f>IFERROR(INDEX(MASTER_REGISTER!F:F,MATCH(C1277,MASTER_REGISTER!E:E,0)),"")</f>
        <v>Thabo Molefe</v>
      </c>
      <c r="E1277" t="s">
        <v>337</v>
      </c>
      <c r="F1277" t="s">
        <v>338</v>
      </c>
      <c r="G1277" t="s">
        <v>339</v>
      </c>
    </row>
    <row r="1278" spans="1:8" x14ac:dyDescent="0.3">
      <c r="A1278" t="s">
        <v>359</v>
      </c>
      <c r="B1278">
        <f>IFERROR(INDEX(MASTER_REGISTER!C:C,MATCH(C1278,MASTER_REGISTER!E:E,0)),"")</f>
        <v>9</v>
      </c>
      <c r="C1278" t="s">
        <v>143</v>
      </c>
      <c r="D1278" t="str">
        <f>IFERROR(INDEX(MASTER_REGISTER!F:F,MATCH(C1278,MASTER_REGISTER!E:E,0)),"")</f>
        <v>Mpho Ngobeni</v>
      </c>
      <c r="E1278" t="s">
        <v>337</v>
      </c>
      <c r="F1278" t="s">
        <v>338</v>
      </c>
      <c r="G1278" t="s">
        <v>339</v>
      </c>
    </row>
    <row r="1279" spans="1:8" x14ac:dyDescent="0.3">
      <c r="A1279" t="s">
        <v>359</v>
      </c>
      <c r="B1279">
        <f>IFERROR(INDEX(MASTER_REGISTER!C:C,MATCH(C1279,MASTER_REGISTER!E:E,0)),"")</f>
        <v>9</v>
      </c>
      <c r="C1279" t="s">
        <v>148</v>
      </c>
      <c r="D1279" t="str">
        <f>IFERROR(INDEX(MASTER_REGISTER!F:F,MATCH(C1279,MASTER_REGISTER!E:E,0)),"")</f>
        <v>Siyanda Mhlongo</v>
      </c>
      <c r="E1279" t="s">
        <v>337</v>
      </c>
      <c r="F1279" t="s">
        <v>338</v>
      </c>
      <c r="G1279" t="s">
        <v>339</v>
      </c>
    </row>
    <row r="1280" spans="1:8" x14ac:dyDescent="0.3">
      <c r="A1280" t="s">
        <v>359</v>
      </c>
      <c r="B1280">
        <f>IFERROR(INDEX(MASTER_REGISTER!C:C,MATCH(C1280,MASTER_REGISTER!E:E,0)),"")</f>
        <v>9</v>
      </c>
      <c r="C1280" t="s">
        <v>153</v>
      </c>
      <c r="D1280" t="str">
        <f>IFERROR(INDEX(MASTER_REGISTER!F:F,MATCH(C1280,MASTER_REGISTER!E:E,0)),"")</f>
        <v>Siyanda Mahlangu</v>
      </c>
      <c r="E1280" t="s">
        <v>337</v>
      </c>
      <c r="F1280" t="s">
        <v>338</v>
      </c>
      <c r="G1280" t="s">
        <v>339</v>
      </c>
    </row>
    <row r="1281" spans="1:8" x14ac:dyDescent="0.3">
      <c r="A1281" t="s">
        <v>359</v>
      </c>
      <c r="B1281">
        <f>IFERROR(INDEX(MASTER_REGISTER!C:C,MATCH(C1281,MASTER_REGISTER!E:E,0)),"")</f>
        <v>9</v>
      </c>
      <c r="C1281" t="s">
        <v>158</v>
      </c>
      <c r="D1281" t="str">
        <f>IFERROR(INDEX(MASTER_REGISTER!F:F,MATCH(C1281,MASTER_REGISTER!E:E,0)),"")</f>
        <v>Sifiso Ramushu</v>
      </c>
      <c r="E1281" t="s">
        <v>337</v>
      </c>
      <c r="F1281" t="s">
        <v>338</v>
      </c>
      <c r="G1281" t="s">
        <v>339</v>
      </c>
    </row>
    <row r="1282" spans="1:8" x14ac:dyDescent="0.3">
      <c r="A1282" t="s">
        <v>359</v>
      </c>
      <c r="B1282">
        <f>IFERROR(INDEX(MASTER_REGISTER!C:C,MATCH(C1282,MASTER_REGISTER!E:E,0)),"")</f>
        <v>9</v>
      </c>
      <c r="C1282" t="s">
        <v>163</v>
      </c>
      <c r="D1282" t="str">
        <f>IFERROR(INDEX(MASTER_REGISTER!F:F,MATCH(C1282,MASTER_REGISTER!E:E,0)),"")</f>
        <v>Nandi Ngobeni</v>
      </c>
      <c r="E1282" t="s">
        <v>337</v>
      </c>
      <c r="F1282" t="s">
        <v>338</v>
      </c>
      <c r="G1282" t="s">
        <v>339</v>
      </c>
    </row>
    <row r="1283" spans="1:8" x14ac:dyDescent="0.3">
      <c r="A1283" t="s">
        <v>359</v>
      </c>
      <c r="B1283">
        <f>IFERROR(INDEX(MASTER_REGISTER!C:C,MATCH(C1283,MASTER_REGISTER!E:E,0)),"")</f>
        <v>9</v>
      </c>
      <c r="C1283" t="s">
        <v>168</v>
      </c>
      <c r="D1283" t="str">
        <f>IFERROR(INDEX(MASTER_REGISTER!F:F,MATCH(C1283,MASTER_REGISTER!E:E,0)),"")</f>
        <v>Karabo Mokgadi</v>
      </c>
      <c r="E1283" t="s">
        <v>337</v>
      </c>
      <c r="F1283" t="s">
        <v>338</v>
      </c>
      <c r="G1283" t="s">
        <v>339</v>
      </c>
    </row>
    <row r="1284" spans="1:8" x14ac:dyDescent="0.3">
      <c r="A1284" t="s">
        <v>359</v>
      </c>
      <c r="B1284">
        <f>IFERROR(INDEX(MASTER_REGISTER!C:C,MATCH(C1284,MASTER_REGISTER!E:E,0)),"")</f>
        <v>9</v>
      </c>
      <c r="C1284" t="s">
        <v>173</v>
      </c>
      <c r="D1284" t="str">
        <f>IFERROR(INDEX(MASTER_REGISTER!F:F,MATCH(C1284,MASTER_REGISTER!E:E,0)),"")</f>
        <v>Sifiso Mahlangu</v>
      </c>
      <c r="E1284" t="s">
        <v>337</v>
      </c>
      <c r="F1284" t="s">
        <v>338</v>
      </c>
      <c r="G1284" t="s">
        <v>339</v>
      </c>
    </row>
    <row r="1285" spans="1:8" x14ac:dyDescent="0.3">
      <c r="A1285" t="s">
        <v>359</v>
      </c>
      <c r="B1285">
        <f>IFERROR(INDEX(MASTER_REGISTER!C:C,MATCH(C1285,MASTER_REGISTER!E:E,0)),"")</f>
        <v>9</v>
      </c>
      <c r="C1285" t="s">
        <v>178</v>
      </c>
      <c r="D1285" t="str">
        <f>IFERROR(INDEX(MASTER_REGISTER!F:F,MATCH(C1285,MASTER_REGISTER!E:E,0)),"")</f>
        <v>Kgothatso Radebe</v>
      </c>
      <c r="E1285" t="s">
        <v>337</v>
      </c>
      <c r="F1285" t="s">
        <v>338</v>
      </c>
      <c r="G1285" t="s">
        <v>339</v>
      </c>
    </row>
    <row r="1286" spans="1:8" x14ac:dyDescent="0.3">
      <c r="A1286" t="s">
        <v>359</v>
      </c>
      <c r="B1286">
        <f>IFERROR(INDEX(MASTER_REGISTER!C:C,MATCH(C1286,MASTER_REGISTER!E:E,0)),"")</f>
        <v>10</v>
      </c>
      <c r="C1286" t="s">
        <v>183</v>
      </c>
      <c r="D1286" t="str">
        <f>IFERROR(INDEX(MASTER_REGISTER!F:F,MATCH(C1286,MASTER_REGISTER!E:E,0)),"")</f>
        <v>Lerato Maseko</v>
      </c>
      <c r="E1286" t="s">
        <v>337</v>
      </c>
      <c r="F1286" t="s">
        <v>338</v>
      </c>
      <c r="G1286" t="s">
        <v>339</v>
      </c>
    </row>
    <row r="1287" spans="1:8" x14ac:dyDescent="0.3">
      <c r="A1287" t="s">
        <v>359</v>
      </c>
      <c r="B1287">
        <f>IFERROR(INDEX(MASTER_REGISTER!C:C,MATCH(C1287,MASTER_REGISTER!E:E,0)),"")</f>
        <v>10</v>
      </c>
      <c r="C1287" t="s">
        <v>188</v>
      </c>
      <c r="D1287" t="str">
        <f>IFERROR(INDEX(MASTER_REGISTER!F:F,MATCH(C1287,MASTER_REGISTER!E:E,0)),"")</f>
        <v>Sibusiso Molefe</v>
      </c>
      <c r="E1287" t="s">
        <v>337</v>
      </c>
      <c r="F1287" t="s">
        <v>338</v>
      </c>
      <c r="G1287" t="s">
        <v>339</v>
      </c>
    </row>
    <row r="1288" spans="1:8" x14ac:dyDescent="0.3">
      <c r="A1288" t="s">
        <v>359</v>
      </c>
      <c r="B1288">
        <f>IFERROR(INDEX(MASTER_REGISTER!C:C,MATCH(C1288,MASTER_REGISTER!E:E,0)),"")</f>
        <v>10</v>
      </c>
      <c r="C1288" t="s">
        <v>193</v>
      </c>
      <c r="D1288" t="str">
        <f>IFERROR(INDEX(MASTER_REGISTER!F:F,MATCH(C1288,MASTER_REGISTER!E:E,0)),"")</f>
        <v>Nandi Molefe</v>
      </c>
      <c r="E1288" t="s">
        <v>335</v>
      </c>
      <c r="H1288" t="s">
        <v>336</v>
      </c>
    </row>
    <row r="1289" spans="1:8" x14ac:dyDescent="0.3">
      <c r="A1289" t="s">
        <v>359</v>
      </c>
      <c r="B1289">
        <f>IFERROR(INDEX(MASTER_REGISTER!C:C,MATCH(C1289,MASTER_REGISTER!E:E,0)),"")</f>
        <v>10</v>
      </c>
      <c r="C1289" t="s">
        <v>198</v>
      </c>
      <c r="D1289" t="str">
        <f>IFERROR(INDEX(MASTER_REGISTER!F:F,MATCH(C1289,MASTER_REGISTER!E:E,0)),"")</f>
        <v>Kgothatso Baloyi</v>
      </c>
      <c r="E1289" t="s">
        <v>337</v>
      </c>
      <c r="F1289" t="s">
        <v>338</v>
      </c>
      <c r="G1289" t="s">
        <v>339</v>
      </c>
    </row>
    <row r="1290" spans="1:8" x14ac:dyDescent="0.3">
      <c r="A1290" t="s">
        <v>359</v>
      </c>
      <c r="B1290">
        <f>IFERROR(INDEX(MASTER_REGISTER!C:C,MATCH(C1290,MASTER_REGISTER!E:E,0)),"")</f>
        <v>10</v>
      </c>
      <c r="C1290" t="s">
        <v>202</v>
      </c>
      <c r="D1290" t="str">
        <f>IFERROR(INDEX(MASTER_REGISTER!F:F,MATCH(C1290,MASTER_REGISTER!E:E,0)),"")</f>
        <v>Ayanda Mokoena</v>
      </c>
      <c r="E1290" t="s">
        <v>337</v>
      </c>
      <c r="F1290" t="s">
        <v>338</v>
      </c>
      <c r="G1290" t="s">
        <v>339</v>
      </c>
    </row>
    <row r="1291" spans="1:8" x14ac:dyDescent="0.3">
      <c r="A1291" t="s">
        <v>359</v>
      </c>
      <c r="B1291">
        <f>IFERROR(INDEX(MASTER_REGISTER!C:C,MATCH(C1291,MASTER_REGISTER!E:E,0)),"")</f>
        <v>10</v>
      </c>
      <c r="C1291" t="s">
        <v>206</v>
      </c>
      <c r="D1291" t="str">
        <f>IFERROR(INDEX(MASTER_REGISTER!F:F,MATCH(C1291,MASTER_REGISTER!E:E,0)),"")</f>
        <v>Lwazi Baloyi</v>
      </c>
      <c r="E1291" t="s">
        <v>337</v>
      </c>
      <c r="F1291" t="s">
        <v>338</v>
      </c>
      <c r="G1291" t="s">
        <v>339</v>
      </c>
    </row>
    <row r="1292" spans="1:8" x14ac:dyDescent="0.3">
      <c r="A1292" t="s">
        <v>359</v>
      </c>
      <c r="B1292">
        <f>IFERROR(INDEX(MASTER_REGISTER!C:C,MATCH(C1292,MASTER_REGISTER!E:E,0)),"")</f>
        <v>10</v>
      </c>
      <c r="C1292" t="s">
        <v>210</v>
      </c>
      <c r="D1292" t="str">
        <f>IFERROR(INDEX(MASTER_REGISTER!F:F,MATCH(C1292,MASTER_REGISTER!E:E,0)),"")</f>
        <v>Siyanda Mokoena</v>
      </c>
      <c r="E1292" t="s">
        <v>335</v>
      </c>
      <c r="H1292" t="s">
        <v>341</v>
      </c>
    </row>
    <row r="1293" spans="1:8" x14ac:dyDescent="0.3">
      <c r="A1293" t="s">
        <v>359</v>
      </c>
      <c r="B1293">
        <f>IFERROR(INDEX(MASTER_REGISTER!C:C,MATCH(C1293,MASTER_REGISTER!E:E,0)),"")</f>
        <v>10</v>
      </c>
      <c r="C1293" t="s">
        <v>214</v>
      </c>
      <c r="D1293" t="str">
        <f>IFERROR(INDEX(MASTER_REGISTER!F:F,MATCH(C1293,MASTER_REGISTER!E:E,0)),"")</f>
        <v>Mpho Ngobeni</v>
      </c>
      <c r="E1293" t="s">
        <v>335</v>
      </c>
      <c r="H1293" t="s">
        <v>336</v>
      </c>
    </row>
    <row r="1294" spans="1:8" x14ac:dyDescent="0.3">
      <c r="A1294" t="s">
        <v>359</v>
      </c>
      <c r="B1294">
        <f>IFERROR(INDEX(MASTER_REGISTER!C:C,MATCH(C1294,MASTER_REGISTER!E:E,0)),"")</f>
        <v>10</v>
      </c>
      <c r="C1294" t="s">
        <v>217</v>
      </c>
      <c r="D1294" t="str">
        <f>IFERROR(INDEX(MASTER_REGISTER!F:F,MATCH(C1294,MASTER_REGISTER!E:E,0)),"")</f>
        <v>Naledi Makhubela</v>
      </c>
      <c r="E1294" t="s">
        <v>337</v>
      </c>
      <c r="F1294" t="s">
        <v>338</v>
      </c>
      <c r="G1294" t="s">
        <v>339</v>
      </c>
    </row>
    <row r="1295" spans="1:8" x14ac:dyDescent="0.3">
      <c r="A1295" t="s">
        <v>359</v>
      </c>
      <c r="B1295">
        <f>IFERROR(INDEX(MASTER_REGISTER!C:C,MATCH(C1295,MASTER_REGISTER!E:E,0)),"")</f>
        <v>10</v>
      </c>
      <c r="C1295" t="s">
        <v>221</v>
      </c>
      <c r="D1295" t="str">
        <f>IFERROR(INDEX(MASTER_REGISTER!F:F,MATCH(C1295,MASTER_REGISTER!E:E,0)),"")</f>
        <v>Kgothatso Mokoena</v>
      </c>
      <c r="E1295" t="s">
        <v>337</v>
      </c>
      <c r="F1295" t="s">
        <v>338</v>
      </c>
      <c r="G1295" t="s">
        <v>339</v>
      </c>
    </row>
    <row r="1296" spans="1:8" x14ac:dyDescent="0.3">
      <c r="A1296" t="s">
        <v>359</v>
      </c>
      <c r="B1296">
        <f>IFERROR(INDEX(MASTER_REGISTER!C:C,MATCH(C1296,MASTER_REGISTER!E:E,0)),"")</f>
        <v>10</v>
      </c>
      <c r="C1296" t="s">
        <v>225</v>
      </c>
      <c r="D1296" t="str">
        <f>IFERROR(INDEX(MASTER_REGISTER!F:F,MATCH(C1296,MASTER_REGISTER!E:E,0)),"")</f>
        <v>Bongani Makhubela</v>
      </c>
      <c r="E1296" t="s">
        <v>337</v>
      </c>
      <c r="F1296" t="s">
        <v>338</v>
      </c>
      <c r="G1296" t="s">
        <v>339</v>
      </c>
    </row>
    <row r="1297" spans="1:8" x14ac:dyDescent="0.3">
      <c r="A1297" t="s">
        <v>359</v>
      </c>
      <c r="B1297">
        <f>IFERROR(INDEX(MASTER_REGISTER!C:C,MATCH(C1297,MASTER_REGISTER!E:E,0)),"")</f>
        <v>10</v>
      </c>
      <c r="C1297" t="s">
        <v>229</v>
      </c>
      <c r="D1297" t="str">
        <f>IFERROR(INDEX(MASTER_REGISTER!F:F,MATCH(C1297,MASTER_REGISTER!E:E,0)),"")</f>
        <v>Kagiso Kekana</v>
      </c>
      <c r="E1297" t="s">
        <v>337</v>
      </c>
      <c r="F1297" t="s">
        <v>338</v>
      </c>
      <c r="G1297" t="s">
        <v>339</v>
      </c>
    </row>
    <row r="1298" spans="1:8" x14ac:dyDescent="0.3">
      <c r="A1298" t="s">
        <v>359</v>
      </c>
      <c r="B1298">
        <f>IFERROR(INDEX(MASTER_REGISTER!C:C,MATCH(C1298,MASTER_REGISTER!E:E,0)),"")</f>
        <v>11</v>
      </c>
      <c r="C1298" t="s">
        <v>233</v>
      </c>
      <c r="D1298" t="str">
        <f>IFERROR(INDEX(MASTER_REGISTER!F:F,MATCH(C1298,MASTER_REGISTER!E:E,0)),"")</f>
        <v>Lwazi Makhubela</v>
      </c>
      <c r="E1298" t="s">
        <v>337</v>
      </c>
      <c r="F1298" t="s">
        <v>338</v>
      </c>
      <c r="G1298" t="s">
        <v>339</v>
      </c>
    </row>
    <row r="1299" spans="1:8" x14ac:dyDescent="0.3">
      <c r="A1299" t="s">
        <v>359</v>
      </c>
      <c r="B1299">
        <f>IFERROR(INDEX(MASTER_REGISTER!C:C,MATCH(C1299,MASTER_REGISTER!E:E,0)),"")</f>
        <v>11</v>
      </c>
      <c r="C1299" t="s">
        <v>237</v>
      </c>
      <c r="D1299" t="str">
        <f>IFERROR(INDEX(MASTER_REGISTER!F:F,MATCH(C1299,MASTER_REGISTER!E:E,0)),"")</f>
        <v>Lebogang Ramushu</v>
      </c>
      <c r="E1299" t="s">
        <v>337</v>
      </c>
      <c r="F1299" t="s">
        <v>338</v>
      </c>
      <c r="G1299" t="s">
        <v>339</v>
      </c>
    </row>
    <row r="1300" spans="1:8" x14ac:dyDescent="0.3">
      <c r="A1300" t="s">
        <v>359</v>
      </c>
      <c r="B1300">
        <f>IFERROR(INDEX(MASTER_REGISTER!C:C,MATCH(C1300,MASTER_REGISTER!E:E,0)),"")</f>
        <v>11</v>
      </c>
      <c r="C1300" t="s">
        <v>241</v>
      </c>
      <c r="D1300" t="str">
        <f>IFERROR(INDEX(MASTER_REGISTER!F:F,MATCH(C1300,MASTER_REGISTER!E:E,0)),"")</f>
        <v>Lerato Kekana</v>
      </c>
      <c r="E1300" t="s">
        <v>337</v>
      </c>
      <c r="F1300" t="s">
        <v>338</v>
      </c>
      <c r="G1300" t="s">
        <v>339</v>
      </c>
    </row>
    <row r="1301" spans="1:8" x14ac:dyDescent="0.3">
      <c r="A1301" t="s">
        <v>359</v>
      </c>
      <c r="B1301">
        <f>IFERROR(INDEX(MASTER_REGISTER!C:C,MATCH(C1301,MASTER_REGISTER!E:E,0)),"")</f>
        <v>11</v>
      </c>
      <c r="C1301" t="s">
        <v>244</v>
      </c>
      <c r="D1301" t="str">
        <f>IFERROR(INDEX(MASTER_REGISTER!F:F,MATCH(C1301,MASTER_REGISTER!E:E,0)),"")</f>
        <v>Bongani Ndlovu</v>
      </c>
      <c r="E1301" t="s">
        <v>337</v>
      </c>
      <c r="F1301" t="s">
        <v>338</v>
      </c>
      <c r="G1301" t="s">
        <v>339</v>
      </c>
    </row>
    <row r="1302" spans="1:8" x14ac:dyDescent="0.3">
      <c r="A1302" t="s">
        <v>359</v>
      </c>
      <c r="B1302">
        <f>IFERROR(INDEX(MASTER_REGISTER!C:C,MATCH(C1302,MASTER_REGISTER!E:E,0)),"")</f>
        <v>11</v>
      </c>
      <c r="C1302" t="s">
        <v>248</v>
      </c>
      <c r="D1302" t="str">
        <f>IFERROR(INDEX(MASTER_REGISTER!F:F,MATCH(C1302,MASTER_REGISTER!E:E,0)),"")</f>
        <v>Sifiso Dlamini</v>
      </c>
      <c r="E1302" t="s">
        <v>337</v>
      </c>
      <c r="F1302" t="s">
        <v>338</v>
      </c>
      <c r="G1302" t="s">
        <v>339</v>
      </c>
    </row>
    <row r="1303" spans="1:8" x14ac:dyDescent="0.3">
      <c r="A1303" t="s">
        <v>359</v>
      </c>
      <c r="B1303">
        <f>IFERROR(INDEX(MASTER_REGISTER!C:C,MATCH(C1303,MASTER_REGISTER!E:E,0)),"")</f>
        <v>11</v>
      </c>
      <c r="C1303" t="s">
        <v>252</v>
      </c>
      <c r="D1303" t="str">
        <f>IFERROR(INDEX(MASTER_REGISTER!F:F,MATCH(C1303,MASTER_REGISTER!E:E,0)),"")</f>
        <v>Refilwe Dlamini</v>
      </c>
      <c r="E1303" t="s">
        <v>337</v>
      </c>
      <c r="F1303" t="s">
        <v>338</v>
      </c>
      <c r="G1303" t="s">
        <v>339</v>
      </c>
    </row>
    <row r="1304" spans="1:8" x14ac:dyDescent="0.3">
      <c r="A1304" t="s">
        <v>359</v>
      </c>
      <c r="B1304">
        <f>IFERROR(INDEX(MASTER_REGISTER!C:C,MATCH(C1304,MASTER_REGISTER!E:E,0)),"")</f>
        <v>11</v>
      </c>
      <c r="C1304" t="s">
        <v>256</v>
      </c>
      <c r="D1304" t="str">
        <f>IFERROR(INDEX(MASTER_REGISTER!F:F,MATCH(C1304,MASTER_REGISTER!E:E,0)),"")</f>
        <v>Lwazi Maseko</v>
      </c>
      <c r="E1304" t="s">
        <v>337</v>
      </c>
      <c r="F1304" t="s">
        <v>338</v>
      </c>
      <c r="G1304" t="s">
        <v>339</v>
      </c>
    </row>
    <row r="1305" spans="1:8" x14ac:dyDescent="0.3">
      <c r="A1305" t="s">
        <v>359</v>
      </c>
      <c r="B1305">
        <f>IFERROR(INDEX(MASTER_REGISTER!C:C,MATCH(C1305,MASTER_REGISTER!E:E,0)),"")</f>
        <v>11</v>
      </c>
      <c r="C1305" t="s">
        <v>260</v>
      </c>
      <c r="D1305" t="str">
        <f>IFERROR(INDEX(MASTER_REGISTER!F:F,MATCH(C1305,MASTER_REGISTER!E:E,0)),"")</f>
        <v>Refilwe Mokgadi</v>
      </c>
      <c r="E1305" t="s">
        <v>337</v>
      </c>
      <c r="F1305" t="s">
        <v>338</v>
      </c>
      <c r="G1305" t="s">
        <v>339</v>
      </c>
    </row>
    <row r="1306" spans="1:8" x14ac:dyDescent="0.3">
      <c r="A1306" t="s">
        <v>359</v>
      </c>
      <c r="B1306">
        <f>IFERROR(INDEX(MASTER_REGISTER!C:C,MATCH(C1306,MASTER_REGISTER!E:E,0)),"")</f>
        <v>11</v>
      </c>
      <c r="C1306" t="s">
        <v>264</v>
      </c>
      <c r="D1306" t="str">
        <f>IFERROR(INDEX(MASTER_REGISTER!F:F,MATCH(C1306,MASTER_REGISTER!E:E,0)),"")</f>
        <v>Kgothatso Molefe</v>
      </c>
      <c r="E1306" t="s">
        <v>335</v>
      </c>
      <c r="H1306" t="s">
        <v>341</v>
      </c>
    </row>
    <row r="1307" spans="1:8" x14ac:dyDescent="0.3">
      <c r="A1307" t="s">
        <v>359</v>
      </c>
      <c r="B1307">
        <f>IFERROR(INDEX(MASTER_REGISTER!C:C,MATCH(C1307,MASTER_REGISTER!E:E,0)),"")</f>
        <v>11</v>
      </c>
      <c r="C1307" t="s">
        <v>268</v>
      </c>
      <c r="D1307" t="str">
        <f>IFERROR(INDEX(MASTER_REGISTER!F:F,MATCH(C1307,MASTER_REGISTER!E:E,0)),"")</f>
        <v>Tshepo Mokgadi</v>
      </c>
      <c r="E1307" t="s">
        <v>337</v>
      </c>
      <c r="F1307" t="s">
        <v>338</v>
      </c>
      <c r="G1307" t="s">
        <v>339</v>
      </c>
    </row>
    <row r="1308" spans="1:8" x14ac:dyDescent="0.3">
      <c r="A1308" t="s">
        <v>359</v>
      </c>
      <c r="B1308">
        <f>IFERROR(INDEX(MASTER_REGISTER!C:C,MATCH(C1308,MASTER_REGISTER!E:E,0)),"")</f>
        <v>11</v>
      </c>
      <c r="C1308" t="s">
        <v>272</v>
      </c>
      <c r="D1308" t="str">
        <f>IFERROR(INDEX(MASTER_REGISTER!F:F,MATCH(C1308,MASTER_REGISTER!E:E,0)),"")</f>
        <v>Tshepo Phiri</v>
      </c>
      <c r="E1308" t="s">
        <v>337</v>
      </c>
      <c r="F1308" t="s">
        <v>338</v>
      </c>
      <c r="G1308" t="s">
        <v>339</v>
      </c>
    </row>
    <row r="1309" spans="1:8" x14ac:dyDescent="0.3">
      <c r="A1309" t="s">
        <v>359</v>
      </c>
      <c r="B1309">
        <f>IFERROR(INDEX(MASTER_REGISTER!C:C,MATCH(C1309,MASTER_REGISTER!E:E,0)),"")</f>
        <v>11</v>
      </c>
      <c r="C1309" t="s">
        <v>276</v>
      </c>
      <c r="D1309" t="str">
        <f>IFERROR(INDEX(MASTER_REGISTER!F:F,MATCH(C1309,MASTER_REGISTER!E:E,0)),"")</f>
        <v>Zanele Ngobeni</v>
      </c>
      <c r="E1309" t="s">
        <v>337</v>
      </c>
      <c r="F1309" t="s">
        <v>338</v>
      </c>
      <c r="G1309" t="s">
        <v>339</v>
      </c>
    </row>
    <row r="1310" spans="1:8" x14ac:dyDescent="0.3">
      <c r="A1310" t="s">
        <v>359</v>
      </c>
      <c r="B1310">
        <f>IFERROR(INDEX(MASTER_REGISTER!C:C,MATCH(C1310,MASTER_REGISTER!E:E,0)),"")</f>
        <v>12</v>
      </c>
      <c r="C1310" t="s">
        <v>280</v>
      </c>
      <c r="D1310" t="str">
        <f>IFERROR(INDEX(MASTER_REGISTER!F:F,MATCH(C1310,MASTER_REGISTER!E:E,0)),"")</f>
        <v>Palesa Mokoena</v>
      </c>
      <c r="E1310" t="s">
        <v>337</v>
      </c>
      <c r="F1310" t="s">
        <v>338</v>
      </c>
      <c r="G1310" t="s">
        <v>339</v>
      </c>
    </row>
    <row r="1311" spans="1:8" x14ac:dyDescent="0.3">
      <c r="A1311" t="s">
        <v>359</v>
      </c>
      <c r="B1311">
        <f>IFERROR(INDEX(MASTER_REGISTER!C:C,MATCH(C1311,MASTER_REGISTER!E:E,0)),"")</f>
        <v>12</v>
      </c>
      <c r="C1311" t="s">
        <v>284</v>
      </c>
      <c r="D1311" t="str">
        <f>IFERROR(INDEX(MASTER_REGISTER!F:F,MATCH(C1311,MASTER_REGISTER!E:E,0)),"")</f>
        <v>Thabo Ramushu</v>
      </c>
      <c r="E1311" t="s">
        <v>337</v>
      </c>
      <c r="F1311" t="s">
        <v>338</v>
      </c>
      <c r="G1311" t="s">
        <v>339</v>
      </c>
    </row>
    <row r="1312" spans="1:8" x14ac:dyDescent="0.3">
      <c r="A1312" t="s">
        <v>359</v>
      </c>
      <c r="B1312">
        <f>IFERROR(INDEX(MASTER_REGISTER!C:C,MATCH(C1312,MASTER_REGISTER!E:E,0)),"")</f>
        <v>12</v>
      </c>
      <c r="C1312" t="s">
        <v>288</v>
      </c>
      <c r="D1312" t="str">
        <f>IFERROR(INDEX(MASTER_REGISTER!F:F,MATCH(C1312,MASTER_REGISTER!E:E,0)),"")</f>
        <v>Lwazi Ndlovu</v>
      </c>
      <c r="E1312" t="s">
        <v>335</v>
      </c>
      <c r="H1312" t="s">
        <v>336</v>
      </c>
    </row>
    <row r="1313" spans="1:8" x14ac:dyDescent="0.3">
      <c r="A1313" t="s">
        <v>359</v>
      </c>
      <c r="B1313">
        <f>IFERROR(INDEX(MASTER_REGISTER!C:C,MATCH(C1313,MASTER_REGISTER!E:E,0)),"")</f>
        <v>12</v>
      </c>
      <c r="C1313" t="s">
        <v>292</v>
      </c>
      <c r="D1313" t="str">
        <f>IFERROR(INDEX(MASTER_REGISTER!F:F,MATCH(C1313,MASTER_REGISTER!E:E,0)),"")</f>
        <v>Ayanda Dlamini</v>
      </c>
      <c r="E1313" t="s">
        <v>337</v>
      </c>
      <c r="F1313" t="s">
        <v>338</v>
      </c>
      <c r="G1313" t="s">
        <v>339</v>
      </c>
    </row>
    <row r="1314" spans="1:8" x14ac:dyDescent="0.3">
      <c r="A1314" t="s">
        <v>359</v>
      </c>
      <c r="B1314">
        <f>IFERROR(INDEX(MASTER_REGISTER!C:C,MATCH(C1314,MASTER_REGISTER!E:E,0)),"")</f>
        <v>12</v>
      </c>
      <c r="C1314" t="s">
        <v>296</v>
      </c>
      <c r="D1314" t="str">
        <f>IFERROR(INDEX(MASTER_REGISTER!F:F,MATCH(C1314,MASTER_REGISTER!E:E,0)),"")</f>
        <v>Neo Ndlovu</v>
      </c>
      <c r="E1314" t="s">
        <v>337</v>
      </c>
      <c r="F1314" t="s">
        <v>338</v>
      </c>
      <c r="G1314" t="s">
        <v>339</v>
      </c>
    </row>
    <row r="1315" spans="1:8" x14ac:dyDescent="0.3">
      <c r="A1315" t="s">
        <v>359</v>
      </c>
      <c r="B1315">
        <f>IFERROR(INDEX(MASTER_REGISTER!C:C,MATCH(C1315,MASTER_REGISTER!E:E,0)),"")</f>
        <v>12</v>
      </c>
      <c r="C1315" t="s">
        <v>300</v>
      </c>
      <c r="D1315" t="str">
        <f>IFERROR(INDEX(MASTER_REGISTER!F:F,MATCH(C1315,MASTER_REGISTER!E:E,0)),"")</f>
        <v>Neo Ramushu</v>
      </c>
      <c r="E1315" t="s">
        <v>337</v>
      </c>
      <c r="F1315" t="s">
        <v>338</v>
      </c>
      <c r="G1315" t="s">
        <v>339</v>
      </c>
    </row>
    <row r="1316" spans="1:8" x14ac:dyDescent="0.3">
      <c r="A1316" t="s">
        <v>359</v>
      </c>
      <c r="B1316">
        <f>IFERROR(INDEX(MASTER_REGISTER!C:C,MATCH(C1316,MASTER_REGISTER!E:E,0)),"")</f>
        <v>12</v>
      </c>
      <c r="C1316" t="s">
        <v>304</v>
      </c>
      <c r="D1316" t="str">
        <f>IFERROR(INDEX(MASTER_REGISTER!F:F,MATCH(C1316,MASTER_REGISTER!E:E,0)),"")</f>
        <v>Karabo Baloyi</v>
      </c>
      <c r="E1316" t="s">
        <v>337</v>
      </c>
      <c r="F1316" t="s">
        <v>338</v>
      </c>
      <c r="G1316" t="s">
        <v>339</v>
      </c>
    </row>
    <row r="1317" spans="1:8" x14ac:dyDescent="0.3">
      <c r="A1317" t="s">
        <v>359</v>
      </c>
      <c r="B1317">
        <f>IFERROR(INDEX(MASTER_REGISTER!C:C,MATCH(C1317,MASTER_REGISTER!E:E,0)),"")</f>
        <v>12</v>
      </c>
      <c r="C1317" t="s">
        <v>308</v>
      </c>
      <c r="D1317" t="str">
        <f>IFERROR(INDEX(MASTER_REGISTER!F:F,MATCH(C1317,MASTER_REGISTER!E:E,0)),"")</f>
        <v>Tshepo Mokgadi</v>
      </c>
      <c r="E1317" t="s">
        <v>337</v>
      </c>
      <c r="F1317" t="s">
        <v>338</v>
      </c>
      <c r="G1317" t="s">
        <v>339</v>
      </c>
    </row>
    <row r="1318" spans="1:8" x14ac:dyDescent="0.3">
      <c r="A1318" t="s">
        <v>359</v>
      </c>
      <c r="B1318">
        <f>IFERROR(INDEX(MASTER_REGISTER!C:C,MATCH(C1318,MASTER_REGISTER!E:E,0)),"")</f>
        <v>12</v>
      </c>
      <c r="C1318" t="s">
        <v>311</v>
      </c>
      <c r="D1318" t="str">
        <f>IFERROR(INDEX(MASTER_REGISTER!F:F,MATCH(C1318,MASTER_REGISTER!E:E,0)),"")</f>
        <v>Sifiso Mavuso</v>
      </c>
      <c r="E1318" t="s">
        <v>335</v>
      </c>
      <c r="H1318" t="s">
        <v>341</v>
      </c>
    </row>
    <row r="1319" spans="1:8" x14ac:dyDescent="0.3">
      <c r="A1319" t="s">
        <v>359</v>
      </c>
      <c r="B1319">
        <f>IFERROR(INDEX(MASTER_REGISTER!C:C,MATCH(C1319,MASTER_REGISTER!E:E,0)),"")</f>
        <v>12</v>
      </c>
      <c r="C1319" t="s">
        <v>315</v>
      </c>
      <c r="D1319" t="str">
        <f>IFERROR(INDEX(MASTER_REGISTER!F:F,MATCH(C1319,MASTER_REGISTER!E:E,0)),"")</f>
        <v>Refilwe Sithole</v>
      </c>
      <c r="E1319" t="s">
        <v>337</v>
      </c>
      <c r="F1319" t="s">
        <v>338</v>
      </c>
      <c r="G1319" t="s">
        <v>339</v>
      </c>
    </row>
    <row r="1320" spans="1:8" x14ac:dyDescent="0.3">
      <c r="A1320" t="s">
        <v>359</v>
      </c>
      <c r="B1320">
        <f>IFERROR(INDEX(MASTER_REGISTER!C:C,MATCH(C1320,MASTER_REGISTER!E:E,0)),"")</f>
        <v>12</v>
      </c>
      <c r="C1320" t="s">
        <v>319</v>
      </c>
      <c r="D1320" t="str">
        <f>IFERROR(INDEX(MASTER_REGISTER!F:F,MATCH(C1320,MASTER_REGISTER!E:E,0)),"")</f>
        <v>Lerato Sithole</v>
      </c>
      <c r="E1320" t="s">
        <v>337</v>
      </c>
      <c r="F1320" t="s">
        <v>338</v>
      </c>
      <c r="G1320" t="s">
        <v>339</v>
      </c>
    </row>
    <row r="1321" spans="1:8" x14ac:dyDescent="0.3">
      <c r="A1321" t="s">
        <v>359</v>
      </c>
      <c r="B1321">
        <f>IFERROR(INDEX(MASTER_REGISTER!C:C,MATCH(C1321,MASTER_REGISTER!E:E,0)),"")</f>
        <v>12</v>
      </c>
      <c r="C1321" t="s">
        <v>323</v>
      </c>
      <c r="D1321" t="str">
        <f>IFERROR(INDEX(MASTER_REGISTER!F:F,MATCH(C1321,MASTER_REGISTER!E:E,0)),"")</f>
        <v>Sibusiso Ngobeni</v>
      </c>
      <c r="E1321" t="s">
        <v>337</v>
      </c>
      <c r="F1321" t="s">
        <v>338</v>
      </c>
      <c r="G1321" t="s">
        <v>339</v>
      </c>
    </row>
    <row r="1322" spans="1:8" x14ac:dyDescent="0.3">
      <c r="A1322" t="s">
        <v>360</v>
      </c>
      <c r="B1322">
        <f>IFERROR(INDEX(MASTER_REGISTER!C:C,MATCH(C1322,MASTER_REGISTER!E:E,0)),"")</f>
        <v>8</v>
      </c>
      <c r="C1322" t="s">
        <v>50</v>
      </c>
      <c r="D1322" t="str">
        <f>IFERROR(INDEX(MASTER_REGISTER!F:F,MATCH(C1322,MASTER_REGISTER!E:E,0)),"")</f>
        <v>Lerato Nkosi</v>
      </c>
      <c r="E1322" t="s">
        <v>337</v>
      </c>
      <c r="F1322" t="s">
        <v>338</v>
      </c>
      <c r="G1322" t="s">
        <v>339</v>
      </c>
    </row>
    <row r="1323" spans="1:8" x14ac:dyDescent="0.3">
      <c r="A1323" t="s">
        <v>360</v>
      </c>
      <c r="B1323">
        <f>IFERROR(INDEX(MASTER_REGISTER!C:C,MATCH(C1323,MASTER_REGISTER!E:E,0)),"")</f>
        <v>8</v>
      </c>
      <c r="C1323" t="s">
        <v>58</v>
      </c>
      <c r="D1323" t="str">
        <f>IFERROR(INDEX(MASTER_REGISTER!F:F,MATCH(C1323,MASTER_REGISTER!E:E,0)),"")</f>
        <v>Karabo Maseko</v>
      </c>
      <c r="E1323" t="s">
        <v>337</v>
      </c>
      <c r="F1323" t="s">
        <v>338</v>
      </c>
      <c r="G1323" t="s">
        <v>339</v>
      </c>
    </row>
    <row r="1324" spans="1:8" x14ac:dyDescent="0.3">
      <c r="A1324" t="s">
        <v>360</v>
      </c>
      <c r="B1324">
        <f>IFERROR(INDEX(MASTER_REGISTER!C:C,MATCH(C1324,MASTER_REGISTER!E:E,0)),"")</f>
        <v>8</v>
      </c>
      <c r="C1324" t="s">
        <v>64</v>
      </c>
      <c r="D1324" t="str">
        <f>IFERROR(INDEX(MASTER_REGISTER!F:F,MATCH(C1324,MASTER_REGISTER!E:E,0)),"")</f>
        <v>Sifiso Sithole</v>
      </c>
      <c r="E1324" t="s">
        <v>337</v>
      </c>
      <c r="F1324" t="s">
        <v>338</v>
      </c>
      <c r="G1324" t="s">
        <v>339</v>
      </c>
    </row>
    <row r="1325" spans="1:8" x14ac:dyDescent="0.3">
      <c r="A1325" t="s">
        <v>360</v>
      </c>
      <c r="B1325">
        <f>IFERROR(INDEX(MASTER_REGISTER!C:C,MATCH(C1325,MASTER_REGISTER!E:E,0)),"")</f>
        <v>8</v>
      </c>
      <c r="C1325" t="s">
        <v>70</v>
      </c>
      <c r="D1325" t="str">
        <f>IFERROR(INDEX(MASTER_REGISTER!F:F,MATCH(C1325,MASTER_REGISTER!E:E,0)),"")</f>
        <v>Tshepo Ndlovu</v>
      </c>
      <c r="E1325" t="s">
        <v>337</v>
      </c>
      <c r="F1325" t="s">
        <v>338</v>
      </c>
      <c r="G1325" t="s">
        <v>339</v>
      </c>
    </row>
    <row r="1326" spans="1:8" x14ac:dyDescent="0.3">
      <c r="A1326" t="s">
        <v>360</v>
      </c>
      <c r="B1326">
        <f>IFERROR(INDEX(MASTER_REGISTER!C:C,MATCH(C1326,MASTER_REGISTER!E:E,0)),"")</f>
        <v>8</v>
      </c>
      <c r="C1326" t="s">
        <v>76</v>
      </c>
      <c r="D1326" t="str">
        <f>IFERROR(INDEX(MASTER_REGISTER!F:F,MATCH(C1326,MASTER_REGISTER!E:E,0)),"")</f>
        <v>Lwazi Mthembu</v>
      </c>
      <c r="E1326" t="s">
        <v>337</v>
      </c>
      <c r="F1326" t="s">
        <v>338</v>
      </c>
      <c r="G1326" t="s">
        <v>339</v>
      </c>
    </row>
    <row r="1327" spans="1:8" x14ac:dyDescent="0.3">
      <c r="A1327" t="s">
        <v>360</v>
      </c>
      <c r="B1327">
        <f>IFERROR(INDEX(MASTER_REGISTER!C:C,MATCH(C1327,MASTER_REGISTER!E:E,0)),"")</f>
        <v>8</v>
      </c>
      <c r="C1327" t="s">
        <v>82</v>
      </c>
      <c r="D1327" t="str">
        <f>IFERROR(INDEX(MASTER_REGISTER!F:F,MATCH(C1327,MASTER_REGISTER!E:E,0)),"")</f>
        <v>Karabo Ngobeni</v>
      </c>
      <c r="E1327" t="s">
        <v>337</v>
      </c>
      <c r="F1327" t="s">
        <v>338</v>
      </c>
      <c r="G1327" t="s">
        <v>339</v>
      </c>
    </row>
    <row r="1328" spans="1:8" x14ac:dyDescent="0.3">
      <c r="A1328" t="s">
        <v>360</v>
      </c>
      <c r="B1328">
        <f>IFERROR(INDEX(MASTER_REGISTER!C:C,MATCH(C1328,MASTER_REGISTER!E:E,0)),"")</f>
        <v>8</v>
      </c>
      <c r="C1328" t="s">
        <v>88</v>
      </c>
      <c r="D1328" t="str">
        <f>IFERROR(INDEX(MASTER_REGISTER!F:F,MATCH(C1328,MASTER_REGISTER!E:E,0)),"")</f>
        <v>Mpho Sithole</v>
      </c>
      <c r="E1328" t="s">
        <v>337</v>
      </c>
      <c r="F1328" t="s">
        <v>338</v>
      </c>
      <c r="G1328" t="s">
        <v>339</v>
      </c>
    </row>
    <row r="1329" spans="1:8" x14ac:dyDescent="0.3">
      <c r="A1329" t="s">
        <v>360</v>
      </c>
      <c r="B1329">
        <f>IFERROR(INDEX(MASTER_REGISTER!C:C,MATCH(C1329,MASTER_REGISTER!E:E,0)),"")</f>
        <v>8</v>
      </c>
      <c r="C1329" t="s">
        <v>94</v>
      </c>
      <c r="D1329" t="str">
        <f>IFERROR(INDEX(MASTER_REGISTER!F:F,MATCH(C1329,MASTER_REGISTER!E:E,0)),"")</f>
        <v>Tshepo Ramushu</v>
      </c>
      <c r="E1329" t="s">
        <v>335</v>
      </c>
      <c r="H1329" t="s">
        <v>341</v>
      </c>
    </row>
    <row r="1330" spans="1:8" x14ac:dyDescent="0.3">
      <c r="A1330" t="s">
        <v>360</v>
      </c>
      <c r="B1330">
        <f>IFERROR(INDEX(MASTER_REGISTER!C:C,MATCH(C1330,MASTER_REGISTER!E:E,0)),"")</f>
        <v>8</v>
      </c>
      <c r="C1330" t="s">
        <v>100</v>
      </c>
      <c r="D1330" t="str">
        <f>IFERROR(INDEX(MASTER_REGISTER!F:F,MATCH(C1330,MASTER_REGISTER!E:E,0)),"")</f>
        <v>Lerato Kekana</v>
      </c>
      <c r="E1330" t="s">
        <v>337</v>
      </c>
      <c r="F1330" t="s">
        <v>338</v>
      </c>
      <c r="G1330" t="s">
        <v>339</v>
      </c>
    </row>
    <row r="1331" spans="1:8" x14ac:dyDescent="0.3">
      <c r="A1331" t="s">
        <v>360</v>
      </c>
      <c r="B1331">
        <f>IFERROR(INDEX(MASTER_REGISTER!C:C,MATCH(C1331,MASTER_REGISTER!E:E,0)),"")</f>
        <v>8</v>
      </c>
      <c r="C1331" t="s">
        <v>106</v>
      </c>
      <c r="D1331" t="str">
        <f>IFERROR(INDEX(MASTER_REGISTER!F:F,MATCH(C1331,MASTER_REGISTER!E:E,0)),"")</f>
        <v>Neo Ngobeni</v>
      </c>
      <c r="E1331" t="s">
        <v>337</v>
      </c>
      <c r="F1331" t="s">
        <v>338</v>
      </c>
      <c r="G1331" t="s">
        <v>339</v>
      </c>
    </row>
    <row r="1332" spans="1:8" x14ac:dyDescent="0.3">
      <c r="A1332" t="s">
        <v>360</v>
      </c>
      <c r="B1332">
        <f>IFERROR(INDEX(MASTER_REGISTER!C:C,MATCH(C1332,MASTER_REGISTER!E:E,0)),"")</f>
        <v>8</v>
      </c>
      <c r="C1332" t="s">
        <v>112</v>
      </c>
      <c r="D1332" t="str">
        <f>IFERROR(INDEX(MASTER_REGISTER!F:F,MATCH(C1332,MASTER_REGISTER!E:E,0)),"")</f>
        <v>Thabo Mokgadi</v>
      </c>
      <c r="E1332" t="s">
        <v>337</v>
      </c>
      <c r="F1332" t="s">
        <v>338</v>
      </c>
      <c r="G1332" t="s">
        <v>339</v>
      </c>
    </row>
    <row r="1333" spans="1:8" x14ac:dyDescent="0.3">
      <c r="A1333" t="s">
        <v>360</v>
      </c>
      <c r="B1333">
        <f>IFERROR(INDEX(MASTER_REGISTER!C:C,MATCH(C1333,MASTER_REGISTER!E:E,0)),"")</f>
        <v>8</v>
      </c>
      <c r="C1333" t="s">
        <v>118</v>
      </c>
      <c r="D1333" t="str">
        <f>IFERROR(INDEX(MASTER_REGISTER!F:F,MATCH(C1333,MASTER_REGISTER!E:E,0)),"")</f>
        <v>Sifiso Mthembu</v>
      </c>
      <c r="E1333" t="s">
        <v>337</v>
      </c>
      <c r="F1333" t="s">
        <v>338</v>
      </c>
      <c r="G1333" t="s">
        <v>339</v>
      </c>
    </row>
    <row r="1334" spans="1:8" x14ac:dyDescent="0.3">
      <c r="A1334" t="s">
        <v>360</v>
      </c>
      <c r="B1334">
        <f>IFERROR(INDEX(MASTER_REGISTER!C:C,MATCH(C1334,MASTER_REGISTER!E:E,0)),"")</f>
        <v>9</v>
      </c>
      <c r="C1334" t="s">
        <v>123</v>
      </c>
      <c r="D1334" t="str">
        <f>IFERROR(INDEX(MASTER_REGISTER!F:F,MATCH(C1334,MASTER_REGISTER!E:E,0)),"")</f>
        <v>Karabo Phiri</v>
      </c>
      <c r="E1334" t="s">
        <v>335</v>
      </c>
      <c r="H1334" t="s">
        <v>336</v>
      </c>
    </row>
    <row r="1335" spans="1:8" x14ac:dyDescent="0.3">
      <c r="A1335" t="s">
        <v>360</v>
      </c>
      <c r="B1335">
        <f>IFERROR(INDEX(MASTER_REGISTER!C:C,MATCH(C1335,MASTER_REGISTER!E:E,0)),"")</f>
        <v>9</v>
      </c>
      <c r="C1335" t="s">
        <v>128</v>
      </c>
      <c r="D1335" t="str">
        <f>IFERROR(INDEX(MASTER_REGISTER!F:F,MATCH(C1335,MASTER_REGISTER!E:E,0)),"")</f>
        <v>Lerato Mahlangu</v>
      </c>
      <c r="E1335" t="s">
        <v>337</v>
      </c>
      <c r="F1335" t="s">
        <v>338</v>
      </c>
      <c r="G1335" t="s">
        <v>339</v>
      </c>
    </row>
    <row r="1336" spans="1:8" x14ac:dyDescent="0.3">
      <c r="A1336" t="s">
        <v>360</v>
      </c>
      <c r="B1336">
        <f>IFERROR(INDEX(MASTER_REGISTER!C:C,MATCH(C1336,MASTER_REGISTER!E:E,0)),"")</f>
        <v>9</v>
      </c>
      <c r="C1336" t="s">
        <v>133</v>
      </c>
      <c r="D1336" t="str">
        <f>IFERROR(INDEX(MASTER_REGISTER!F:F,MATCH(C1336,MASTER_REGISTER!E:E,0)),"")</f>
        <v>Mpho Kekana</v>
      </c>
      <c r="E1336" t="s">
        <v>337</v>
      </c>
      <c r="F1336" t="s">
        <v>338</v>
      </c>
      <c r="G1336" t="s">
        <v>339</v>
      </c>
    </row>
    <row r="1337" spans="1:8" x14ac:dyDescent="0.3">
      <c r="A1337" t="s">
        <v>360</v>
      </c>
      <c r="B1337">
        <f>IFERROR(INDEX(MASTER_REGISTER!C:C,MATCH(C1337,MASTER_REGISTER!E:E,0)),"")</f>
        <v>9</v>
      </c>
      <c r="C1337" t="s">
        <v>138</v>
      </c>
      <c r="D1337" t="str">
        <f>IFERROR(INDEX(MASTER_REGISTER!F:F,MATCH(C1337,MASTER_REGISTER!E:E,0)),"")</f>
        <v>Thabo Molefe</v>
      </c>
      <c r="E1337" t="s">
        <v>337</v>
      </c>
      <c r="F1337" t="s">
        <v>338</v>
      </c>
      <c r="G1337" t="s">
        <v>339</v>
      </c>
    </row>
    <row r="1338" spans="1:8" x14ac:dyDescent="0.3">
      <c r="A1338" t="s">
        <v>360</v>
      </c>
      <c r="B1338">
        <f>IFERROR(INDEX(MASTER_REGISTER!C:C,MATCH(C1338,MASTER_REGISTER!E:E,0)),"")</f>
        <v>9</v>
      </c>
      <c r="C1338" t="s">
        <v>143</v>
      </c>
      <c r="D1338" t="str">
        <f>IFERROR(INDEX(MASTER_REGISTER!F:F,MATCH(C1338,MASTER_REGISTER!E:E,0)),"")</f>
        <v>Mpho Ngobeni</v>
      </c>
      <c r="E1338" t="s">
        <v>337</v>
      </c>
      <c r="F1338" t="s">
        <v>338</v>
      </c>
      <c r="G1338" t="s">
        <v>339</v>
      </c>
    </row>
    <row r="1339" spans="1:8" x14ac:dyDescent="0.3">
      <c r="A1339" t="s">
        <v>360</v>
      </c>
      <c r="B1339">
        <f>IFERROR(INDEX(MASTER_REGISTER!C:C,MATCH(C1339,MASTER_REGISTER!E:E,0)),"")</f>
        <v>9</v>
      </c>
      <c r="C1339" t="s">
        <v>148</v>
      </c>
      <c r="D1339" t="str">
        <f>IFERROR(INDEX(MASTER_REGISTER!F:F,MATCH(C1339,MASTER_REGISTER!E:E,0)),"")</f>
        <v>Siyanda Mhlongo</v>
      </c>
      <c r="E1339" t="s">
        <v>335</v>
      </c>
      <c r="H1339" t="s">
        <v>342</v>
      </c>
    </row>
    <row r="1340" spans="1:8" x14ac:dyDescent="0.3">
      <c r="A1340" t="s">
        <v>360</v>
      </c>
      <c r="B1340">
        <f>IFERROR(INDEX(MASTER_REGISTER!C:C,MATCH(C1340,MASTER_REGISTER!E:E,0)),"")</f>
        <v>9</v>
      </c>
      <c r="C1340" t="s">
        <v>153</v>
      </c>
      <c r="D1340" t="str">
        <f>IFERROR(INDEX(MASTER_REGISTER!F:F,MATCH(C1340,MASTER_REGISTER!E:E,0)),"")</f>
        <v>Siyanda Mahlangu</v>
      </c>
      <c r="E1340" t="s">
        <v>337</v>
      </c>
      <c r="F1340" t="s">
        <v>338</v>
      </c>
      <c r="G1340" t="s">
        <v>339</v>
      </c>
    </row>
    <row r="1341" spans="1:8" x14ac:dyDescent="0.3">
      <c r="A1341" t="s">
        <v>360</v>
      </c>
      <c r="B1341">
        <f>IFERROR(INDEX(MASTER_REGISTER!C:C,MATCH(C1341,MASTER_REGISTER!E:E,0)),"")</f>
        <v>9</v>
      </c>
      <c r="C1341" t="s">
        <v>158</v>
      </c>
      <c r="D1341" t="str">
        <f>IFERROR(INDEX(MASTER_REGISTER!F:F,MATCH(C1341,MASTER_REGISTER!E:E,0)),"")</f>
        <v>Sifiso Ramushu</v>
      </c>
      <c r="E1341" t="s">
        <v>337</v>
      </c>
      <c r="F1341" t="s">
        <v>338</v>
      </c>
      <c r="G1341" t="s">
        <v>339</v>
      </c>
    </row>
    <row r="1342" spans="1:8" x14ac:dyDescent="0.3">
      <c r="A1342" t="s">
        <v>360</v>
      </c>
      <c r="B1342">
        <f>IFERROR(INDEX(MASTER_REGISTER!C:C,MATCH(C1342,MASTER_REGISTER!E:E,0)),"")</f>
        <v>9</v>
      </c>
      <c r="C1342" t="s">
        <v>163</v>
      </c>
      <c r="D1342" t="str">
        <f>IFERROR(INDEX(MASTER_REGISTER!F:F,MATCH(C1342,MASTER_REGISTER!E:E,0)),"")</f>
        <v>Nandi Ngobeni</v>
      </c>
      <c r="E1342" t="s">
        <v>337</v>
      </c>
      <c r="F1342" t="s">
        <v>338</v>
      </c>
      <c r="G1342" t="s">
        <v>339</v>
      </c>
    </row>
    <row r="1343" spans="1:8" x14ac:dyDescent="0.3">
      <c r="A1343" t="s">
        <v>360</v>
      </c>
      <c r="B1343">
        <f>IFERROR(INDEX(MASTER_REGISTER!C:C,MATCH(C1343,MASTER_REGISTER!E:E,0)),"")</f>
        <v>9</v>
      </c>
      <c r="C1343" t="s">
        <v>168</v>
      </c>
      <c r="D1343" t="str">
        <f>IFERROR(INDEX(MASTER_REGISTER!F:F,MATCH(C1343,MASTER_REGISTER!E:E,0)),"")</f>
        <v>Karabo Mokgadi</v>
      </c>
      <c r="E1343" t="s">
        <v>335</v>
      </c>
      <c r="H1343" t="s">
        <v>340</v>
      </c>
    </row>
    <row r="1344" spans="1:8" x14ac:dyDescent="0.3">
      <c r="A1344" t="s">
        <v>360</v>
      </c>
      <c r="B1344">
        <f>IFERROR(INDEX(MASTER_REGISTER!C:C,MATCH(C1344,MASTER_REGISTER!E:E,0)),"")</f>
        <v>9</v>
      </c>
      <c r="C1344" t="s">
        <v>173</v>
      </c>
      <c r="D1344" t="str">
        <f>IFERROR(INDEX(MASTER_REGISTER!F:F,MATCH(C1344,MASTER_REGISTER!E:E,0)),"")</f>
        <v>Sifiso Mahlangu</v>
      </c>
      <c r="E1344" t="s">
        <v>337</v>
      </c>
      <c r="F1344" t="s">
        <v>338</v>
      </c>
      <c r="G1344" t="s">
        <v>339</v>
      </c>
    </row>
    <row r="1345" spans="1:7" x14ac:dyDescent="0.3">
      <c r="A1345" t="s">
        <v>360</v>
      </c>
      <c r="B1345">
        <f>IFERROR(INDEX(MASTER_REGISTER!C:C,MATCH(C1345,MASTER_REGISTER!E:E,0)),"")</f>
        <v>9</v>
      </c>
      <c r="C1345" t="s">
        <v>178</v>
      </c>
      <c r="D1345" t="str">
        <f>IFERROR(INDEX(MASTER_REGISTER!F:F,MATCH(C1345,MASTER_REGISTER!E:E,0)),"")</f>
        <v>Kgothatso Radebe</v>
      </c>
      <c r="E1345" t="s">
        <v>337</v>
      </c>
      <c r="F1345" t="s">
        <v>338</v>
      </c>
      <c r="G1345" t="s">
        <v>339</v>
      </c>
    </row>
    <row r="1346" spans="1:7" x14ac:dyDescent="0.3">
      <c r="A1346" t="s">
        <v>360</v>
      </c>
      <c r="B1346">
        <f>IFERROR(INDEX(MASTER_REGISTER!C:C,MATCH(C1346,MASTER_REGISTER!E:E,0)),"")</f>
        <v>10</v>
      </c>
      <c r="C1346" t="s">
        <v>183</v>
      </c>
      <c r="D1346" t="str">
        <f>IFERROR(INDEX(MASTER_REGISTER!F:F,MATCH(C1346,MASTER_REGISTER!E:E,0)),"")</f>
        <v>Lerato Maseko</v>
      </c>
      <c r="E1346" t="s">
        <v>337</v>
      </c>
      <c r="F1346" t="s">
        <v>338</v>
      </c>
      <c r="G1346" t="s">
        <v>339</v>
      </c>
    </row>
    <row r="1347" spans="1:7" x14ac:dyDescent="0.3">
      <c r="A1347" t="s">
        <v>360</v>
      </c>
      <c r="B1347">
        <f>IFERROR(INDEX(MASTER_REGISTER!C:C,MATCH(C1347,MASTER_REGISTER!E:E,0)),"")</f>
        <v>10</v>
      </c>
      <c r="C1347" t="s">
        <v>188</v>
      </c>
      <c r="D1347" t="str">
        <f>IFERROR(INDEX(MASTER_REGISTER!F:F,MATCH(C1347,MASTER_REGISTER!E:E,0)),"")</f>
        <v>Sibusiso Molefe</v>
      </c>
      <c r="E1347" t="s">
        <v>337</v>
      </c>
      <c r="F1347" t="s">
        <v>338</v>
      </c>
      <c r="G1347" t="s">
        <v>339</v>
      </c>
    </row>
    <row r="1348" spans="1:7" x14ac:dyDescent="0.3">
      <c r="A1348" t="s">
        <v>360</v>
      </c>
      <c r="B1348">
        <f>IFERROR(INDEX(MASTER_REGISTER!C:C,MATCH(C1348,MASTER_REGISTER!E:E,0)),"")</f>
        <v>10</v>
      </c>
      <c r="C1348" t="s">
        <v>193</v>
      </c>
      <c r="D1348" t="str">
        <f>IFERROR(INDEX(MASTER_REGISTER!F:F,MATCH(C1348,MASTER_REGISTER!E:E,0)),"")</f>
        <v>Nandi Molefe</v>
      </c>
      <c r="E1348" t="s">
        <v>337</v>
      </c>
      <c r="F1348" t="s">
        <v>338</v>
      </c>
      <c r="G1348" t="s">
        <v>339</v>
      </c>
    </row>
    <row r="1349" spans="1:7" x14ac:dyDescent="0.3">
      <c r="A1349" t="s">
        <v>360</v>
      </c>
      <c r="B1349">
        <f>IFERROR(INDEX(MASTER_REGISTER!C:C,MATCH(C1349,MASTER_REGISTER!E:E,0)),"")</f>
        <v>10</v>
      </c>
      <c r="C1349" t="s">
        <v>198</v>
      </c>
      <c r="D1349" t="str">
        <f>IFERROR(INDEX(MASTER_REGISTER!F:F,MATCH(C1349,MASTER_REGISTER!E:E,0)),"")</f>
        <v>Kgothatso Baloyi</v>
      </c>
      <c r="E1349" t="s">
        <v>337</v>
      </c>
      <c r="F1349" t="s">
        <v>338</v>
      </c>
      <c r="G1349" t="s">
        <v>339</v>
      </c>
    </row>
    <row r="1350" spans="1:7" x14ac:dyDescent="0.3">
      <c r="A1350" t="s">
        <v>360</v>
      </c>
      <c r="B1350">
        <f>IFERROR(INDEX(MASTER_REGISTER!C:C,MATCH(C1350,MASTER_REGISTER!E:E,0)),"")</f>
        <v>10</v>
      </c>
      <c r="C1350" t="s">
        <v>202</v>
      </c>
      <c r="D1350" t="str">
        <f>IFERROR(INDEX(MASTER_REGISTER!F:F,MATCH(C1350,MASTER_REGISTER!E:E,0)),"")</f>
        <v>Ayanda Mokoena</v>
      </c>
      <c r="E1350" t="s">
        <v>337</v>
      </c>
      <c r="F1350" t="s">
        <v>338</v>
      </c>
      <c r="G1350" t="s">
        <v>339</v>
      </c>
    </row>
    <row r="1351" spans="1:7" x14ac:dyDescent="0.3">
      <c r="A1351" t="s">
        <v>360</v>
      </c>
      <c r="B1351">
        <f>IFERROR(INDEX(MASTER_REGISTER!C:C,MATCH(C1351,MASTER_REGISTER!E:E,0)),"")</f>
        <v>10</v>
      </c>
      <c r="C1351" t="s">
        <v>206</v>
      </c>
      <c r="D1351" t="str">
        <f>IFERROR(INDEX(MASTER_REGISTER!F:F,MATCH(C1351,MASTER_REGISTER!E:E,0)),"")</f>
        <v>Lwazi Baloyi</v>
      </c>
      <c r="E1351" t="s">
        <v>337</v>
      </c>
      <c r="F1351" t="s">
        <v>338</v>
      </c>
      <c r="G1351" t="s">
        <v>339</v>
      </c>
    </row>
    <row r="1352" spans="1:7" x14ac:dyDescent="0.3">
      <c r="A1352" t="s">
        <v>360</v>
      </c>
      <c r="B1352">
        <f>IFERROR(INDEX(MASTER_REGISTER!C:C,MATCH(C1352,MASTER_REGISTER!E:E,0)),"")</f>
        <v>10</v>
      </c>
      <c r="C1352" t="s">
        <v>210</v>
      </c>
      <c r="D1352" t="str">
        <f>IFERROR(INDEX(MASTER_REGISTER!F:F,MATCH(C1352,MASTER_REGISTER!E:E,0)),"")</f>
        <v>Siyanda Mokoena</v>
      </c>
      <c r="E1352" t="s">
        <v>337</v>
      </c>
      <c r="F1352" t="s">
        <v>338</v>
      </c>
      <c r="G1352" t="s">
        <v>339</v>
      </c>
    </row>
    <row r="1353" spans="1:7" x14ac:dyDescent="0.3">
      <c r="A1353" t="s">
        <v>360</v>
      </c>
      <c r="B1353">
        <f>IFERROR(INDEX(MASTER_REGISTER!C:C,MATCH(C1353,MASTER_REGISTER!E:E,0)),"")</f>
        <v>10</v>
      </c>
      <c r="C1353" t="s">
        <v>214</v>
      </c>
      <c r="D1353" t="str">
        <f>IFERROR(INDEX(MASTER_REGISTER!F:F,MATCH(C1353,MASTER_REGISTER!E:E,0)),"")</f>
        <v>Mpho Ngobeni</v>
      </c>
      <c r="E1353" t="s">
        <v>337</v>
      </c>
      <c r="F1353" t="s">
        <v>338</v>
      </c>
      <c r="G1353" t="s">
        <v>339</v>
      </c>
    </row>
    <row r="1354" spans="1:7" x14ac:dyDescent="0.3">
      <c r="A1354" t="s">
        <v>360</v>
      </c>
      <c r="B1354">
        <f>IFERROR(INDEX(MASTER_REGISTER!C:C,MATCH(C1354,MASTER_REGISTER!E:E,0)),"")</f>
        <v>10</v>
      </c>
      <c r="C1354" t="s">
        <v>217</v>
      </c>
      <c r="D1354" t="str">
        <f>IFERROR(INDEX(MASTER_REGISTER!F:F,MATCH(C1354,MASTER_REGISTER!E:E,0)),"")</f>
        <v>Naledi Makhubela</v>
      </c>
      <c r="E1354" t="s">
        <v>337</v>
      </c>
      <c r="F1354" t="s">
        <v>338</v>
      </c>
      <c r="G1354" t="s">
        <v>339</v>
      </c>
    </row>
    <row r="1355" spans="1:7" x14ac:dyDescent="0.3">
      <c r="A1355" t="s">
        <v>360</v>
      </c>
      <c r="B1355">
        <f>IFERROR(INDEX(MASTER_REGISTER!C:C,MATCH(C1355,MASTER_REGISTER!E:E,0)),"")</f>
        <v>10</v>
      </c>
      <c r="C1355" t="s">
        <v>221</v>
      </c>
      <c r="D1355" t="str">
        <f>IFERROR(INDEX(MASTER_REGISTER!F:F,MATCH(C1355,MASTER_REGISTER!E:E,0)),"")</f>
        <v>Kgothatso Mokoena</v>
      </c>
      <c r="E1355" t="s">
        <v>337</v>
      </c>
      <c r="F1355" t="s">
        <v>338</v>
      </c>
      <c r="G1355" t="s">
        <v>339</v>
      </c>
    </row>
    <row r="1356" spans="1:7" x14ac:dyDescent="0.3">
      <c r="A1356" t="s">
        <v>360</v>
      </c>
      <c r="B1356">
        <f>IFERROR(INDEX(MASTER_REGISTER!C:C,MATCH(C1356,MASTER_REGISTER!E:E,0)),"")</f>
        <v>10</v>
      </c>
      <c r="C1356" t="s">
        <v>225</v>
      </c>
      <c r="D1356" t="str">
        <f>IFERROR(INDEX(MASTER_REGISTER!F:F,MATCH(C1356,MASTER_REGISTER!E:E,0)),"")</f>
        <v>Bongani Makhubela</v>
      </c>
      <c r="E1356" t="s">
        <v>337</v>
      </c>
      <c r="F1356" t="s">
        <v>338</v>
      </c>
      <c r="G1356" t="s">
        <v>339</v>
      </c>
    </row>
    <row r="1357" spans="1:7" x14ac:dyDescent="0.3">
      <c r="A1357" t="s">
        <v>360</v>
      </c>
      <c r="B1357">
        <f>IFERROR(INDEX(MASTER_REGISTER!C:C,MATCH(C1357,MASTER_REGISTER!E:E,0)),"")</f>
        <v>10</v>
      </c>
      <c r="C1357" t="s">
        <v>229</v>
      </c>
      <c r="D1357" t="str">
        <f>IFERROR(INDEX(MASTER_REGISTER!F:F,MATCH(C1357,MASTER_REGISTER!E:E,0)),"")</f>
        <v>Kagiso Kekana</v>
      </c>
      <c r="E1357" t="s">
        <v>337</v>
      </c>
      <c r="F1357" t="s">
        <v>338</v>
      </c>
      <c r="G1357" t="s">
        <v>339</v>
      </c>
    </row>
    <row r="1358" spans="1:7" x14ac:dyDescent="0.3">
      <c r="A1358" t="s">
        <v>360</v>
      </c>
      <c r="B1358">
        <f>IFERROR(INDEX(MASTER_REGISTER!C:C,MATCH(C1358,MASTER_REGISTER!E:E,0)),"")</f>
        <v>11</v>
      </c>
      <c r="C1358" t="s">
        <v>233</v>
      </c>
      <c r="D1358" t="str">
        <f>IFERROR(INDEX(MASTER_REGISTER!F:F,MATCH(C1358,MASTER_REGISTER!E:E,0)),"")</f>
        <v>Lwazi Makhubela</v>
      </c>
      <c r="E1358" t="s">
        <v>337</v>
      </c>
      <c r="F1358" t="s">
        <v>338</v>
      </c>
      <c r="G1358" t="s">
        <v>339</v>
      </c>
    </row>
    <row r="1359" spans="1:7" x14ac:dyDescent="0.3">
      <c r="A1359" t="s">
        <v>360</v>
      </c>
      <c r="B1359">
        <f>IFERROR(INDEX(MASTER_REGISTER!C:C,MATCH(C1359,MASTER_REGISTER!E:E,0)),"")</f>
        <v>11</v>
      </c>
      <c r="C1359" t="s">
        <v>237</v>
      </c>
      <c r="D1359" t="str">
        <f>IFERROR(INDEX(MASTER_REGISTER!F:F,MATCH(C1359,MASTER_REGISTER!E:E,0)),"")</f>
        <v>Lebogang Ramushu</v>
      </c>
      <c r="E1359" t="s">
        <v>337</v>
      </c>
      <c r="F1359" t="s">
        <v>338</v>
      </c>
      <c r="G1359" t="s">
        <v>339</v>
      </c>
    </row>
    <row r="1360" spans="1:7" x14ac:dyDescent="0.3">
      <c r="A1360" t="s">
        <v>360</v>
      </c>
      <c r="B1360">
        <f>IFERROR(INDEX(MASTER_REGISTER!C:C,MATCH(C1360,MASTER_REGISTER!E:E,0)),"")</f>
        <v>11</v>
      </c>
      <c r="C1360" t="s">
        <v>241</v>
      </c>
      <c r="D1360" t="str">
        <f>IFERROR(INDEX(MASTER_REGISTER!F:F,MATCH(C1360,MASTER_REGISTER!E:E,0)),"")</f>
        <v>Lerato Kekana</v>
      </c>
      <c r="E1360" t="s">
        <v>337</v>
      </c>
      <c r="F1360" t="s">
        <v>338</v>
      </c>
      <c r="G1360" t="s">
        <v>339</v>
      </c>
    </row>
    <row r="1361" spans="1:8" x14ac:dyDescent="0.3">
      <c r="A1361" t="s">
        <v>360</v>
      </c>
      <c r="B1361">
        <f>IFERROR(INDEX(MASTER_REGISTER!C:C,MATCH(C1361,MASTER_REGISTER!E:E,0)),"")</f>
        <v>11</v>
      </c>
      <c r="C1361" t="s">
        <v>244</v>
      </c>
      <c r="D1361" t="str">
        <f>IFERROR(INDEX(MASTER_REGISTER!F:F,MATCH(C1361,MASTER_REGISTER!E:E,0)),"")</f>
        <v>Bongani Ndlovu</v>
      </c>
      <c r="E1361" t="s">
        <v>337</v>
      </c>
      <c r="F1361" t="s">
        <v>338</v>
      </c>
      <c r="G1361" t="s">
        <v>339</v>
      </c>
    </row>
    <row r="1362" spans="1:8" x14ac:dyDescent="0.3">
      <c r="A1362" t="s">
        <v>360</v>
      </c>
      <c r="B1362">
        <f>IFERROR(INDEX(MASTER_REGISTER!C:C,MATCH(C1362,MASTER_REGISTER!E:E,0)),"")</f>
        <v>11</v>
      </c>
      <c r="C1362" t="s">
        <v>248</v>
      </c>
      <c r="D1362" t="str">
        <f>IFERROR(INDEX(MASTER_REGISTER!F:F,MATCH(C1362,MASTER_REGISTER!E:E,0)),"")</f>
        <v>Sifiso Dlamini</v>
      </c>
      <c r="E1362" t="s">
        <v>337</v>
      </c>
      <c r="F1362" t="s">
        <v>338</v>
      </c>
      <c r="G1362" t="s">
        <v>339</v>
      </c>
    </row>
    <row r="1363" spans="1:8" x14ac:dyDescent="0.3">
      <c r="A1363" t="s">
        <v>360</v>
      </c>
      <c r="B1363">
        <f>IFERROR(INDEX(MASTER_REGISTER!C:C,MATCH(C1363,MASTER_REGISTER!E:E,0)),"")</f>
        <v>11</v>
      </c>
      <c r="C1363" t="s">
        <v>252</v>
      </c>
      <c r="D1363" t="str">
        <f>IFERROR(INDEX(MASTER_REGISTER!F:F,MATCH(C1363,MASTER_REGISTER!E:E,0)),"")</f>
        <v>Refilwe Dlamini</v>
      </c>
      <c r="E1363" t="s">
        <v>337</v>
      </c>
      <c r="F1363" t="s">
        <v>338</v>
      </c>
      <c r="G1363" t="s">
        <v>339</v>
      </c>
    </row>
    <row r="1364" spans="1:8" x14ac:dyDescent="0.3">
      <c r="A1364" t="s">
        <v>360</v>
      </c>
      <c r="B1364">
        <f>IFERROR(INDEX(MASTER_REGISTER!C:C,MATCH(C1364,MASTER_REGISTER!E:E,0)),"")</f>
        <v>11</v>
      </c>
      <c r="C1364" t="s">
        <v>256</v>
      </c>
      <c r="D1364" t="str">
        <f>IFERROR(INDEX(MASTER_REGISTER!F:F,MATCH(C1364,MASTER_REGISTER!E:E,0)),"")</f>
        <v>Lwazi Maseko</v>
      </c>
      <c r="E1364" t="s">
        <v>337</v>
      </c>
      <c r="F1364" t="s">
        <v>338</v>
      </c>
      <c r="G1364" t="s">
        <v>339</v>
      </c>
    </row>
    <row r="1365" spans="1:8" x14ac:dyDescent="0.3">
      <c r="A1365" t="s">
        <v>360</v>
      </c>
      <c r="B1365">
        <f>IFERROR(INDEX(MASTER_REGISTER!C:C,MATCH(C1365,MASTER_REGISTER!E:E,0)),"")</f>
        <v>11</v>
      </c>
      <c r="C1365" t="s">
        <v>260</v>
      </c>
      <c r="D1365" t="str">
        <f>IFERROR(INDEX(MASTER_REGISTER!F:F,MATCH(C1365,MASTER_REGISTER!E:E,0)),"")</f>
        <v>Refilwe Mokgadi</v>
      </c>
      <c r="E1365" t="s">
        <v>337</v>
      </c>
      <c r="F1365" t="s">
        <v>338</v>
      </c>
      <c r="G1365" t="s">
        <v>339</v>
      </c>
    </row>
    <row r="1366" spans="1:8" x14ac:dyDescent="0.3">
      <c r="A1366" t="s">
        <v>360</v>
      </c>
      <c r="B1366">
        <f>IFERROR(INDEX(MASTER_REGISTER!C:C,MATCH(C1366,MASTER_REGISTER!E:E,0)),"")</f>
        <v>11</v>
      </c>
      <c r="C1366" t="s">
        <v>264</v>
      </c>
      <c r="D1366" t="str">
        <f>IFERROR(INDEX(MASTER_REGISTER!F:F,MATCH(C1366,MASTER_REGISTER!E:E,0)),"")</f>
        <v>Kgothatso Molefe</v>
      </c>
      <c r="E1366" t="s">
        <v>337</v>
      </c>
      <c r="F1366" t="s">
        <v>338</v>
      </c>
      <c r="G1366" t="s">
        <v>339</v>
      </c>
    </row>
    <row r="1367" spans="1:8" x14ac:dyDescent="0.3">
      <c r="A1367" t="s">
        <v>360</v>
      </c>
      <c r="B1367">
        <f>IFERROR(INDEX(MASTER_REGISTER!C:C,MATCH(C1367,MASTER_REGISTER!E:E,0)),"")</f>
        <v>11</v>
      </c>
      <c r="C1367" t="s">
        <v>268</v>
      </c>
      <c r="D1367" t="str">
        <f>IFERROR(INDEX(MASTER_REGISTER!F:F,MATCH(C1367,MASTER_REGISTER!E:E,0)),"")</f>
        <v>Tshepo Mokgadi</v>
      </c>
      <c r="E1367" t="s">
        <v>335</v>
      </c>
      <c r="H1367" t="s">
        <v>336</v>
      </c>
    </row>
    <row r="1368" spans="1:8" x14ac:dyDescent="0.3">
      <c r="A1368" t="s">
        <v>360</v>
      </c>
      <c r="B1368">
        <f>IFERROR(INDEX(MASTER_REGISTER!C:C,MATCH(C1368,MASTER_REGISTER!E:E,0)),"")</f>
        <v>11</v>
      </c>
      <c r="C1368" t="s">
        <v>272</v>
      </c>
      <c r="D1368" t="str">
        <f>IFERROR(INDEX(MASTER_REGISTER!F:F,MATCH(C1368,MASTER_REGISTER!E:E,0)),"")</f>
        <v>Tshepo Phiri</v>
      </c>
      <c r="E1368" t="s">
        <v>337</v>
      </c>
      <c r="F1368" t="s">
        <v>338</v>
      </c>
      <c r="G1368" t="s">
        <v>339</v>
      </c>
    </row>
    <row r="1369" spans="1:8" x14ac:dyDescent="0.3">
      <c r="A1369" t="s">
        <v>360</v>
      </c>
      <c r="B1369">
        <f>IFERROR(INDEX(MASTER_REGISTER!C:C,MATCH(C1369,MASTER_REGISTER!E:E,0)),"")</f>
        <v>11</v>
      </c>
      <c r="C1369" t="s">
        <v>276</v>
      </c>
      <c r="D1369" t="str">
        <f>IFERROR(INDEX(MASTER_REGISTER!F:F,MATCH(C1369,MASTER_REGISTER!E:E,0)),"")</f>
        <v>Zanele Ngobeni</v>
      </c>
      <c r="E1369" t="s">
        <v>337</v>
      </c>
      <c r="F1369" t="s">
        <v>338</v>
      </c>
      <c r="G1369" t="s">
        <v>339</v>
      </c>
    </row>
    <row r="1370" spans="1:8" x14ac:dyDescent="0.3">
      <c r="A1370" t="s">
        <v>360</v>
      </c>
      <c r="B1370">
        <f>IFERROR(INDEX(MASTER_REGISTER!C:C,MATCH(C1370,MASTER_REGISTER!E:E,0)),"")</f>
        <v>12</v>
      </c>
      <c r="C1370" t="s">
        <v>280</v>
      </c>
      <c r="D1370" t="str">
        <f>IFERROR(INDEX(MASTER_REGISTER!F:F,MATCH(C1370,MASTER_REGISTER!E:E,0)),"")</f>
        <v>Palesa Mokoena</v>
      </c>
      <c r="E1370" t="s">
        <v>337</v>
      </c>
      <c r="F1370" t="s">
        <v>338</v>
      </c>
      <c r="G1370" t="s">
        <v>339</v>
      </c>
    </row>
    <row r="1371" spans="1:8" x14ac:dyDescent="0.3">
      <c r="A1371" t="s">
        <v>360</v>
      </c>
      <c r="B1371">
        <f>IFERROR(INDEX(MASTER_REGISTER!C:C,MATCH(C1371,MASTER_REGISTER!E:E,0)),"")</f>
        <v>12</v>
      </c>
      <c r="C1371" t="s">
        <v>284</v>
      </c>
      <c r="D1371" t="str">
        <f>IFERROR(INDEX(MASTER_REGISTER!F:F,MATCH(C1371,MASTER_REGISTER!E:E,0)),"")</f>
        <v>Thabo Ramushu</v>
      </c>
      <c r="E1371" t="s">
        <v>337</v>
      </c>
      <c r="F1371" t="s">
        <v>338</v>
      </c>
      <c r="G1371" t="s">
        <v>339</v>
      </c>
    </row>
    <row r="1372" spans="1:8" x14ac:dyDescent="0.3">
      <c r="A1372" t="s">
        <v>360</v>
      </c>
      <c r="B1372">
        <f>IFERROR(INDEX(MASTER_REGISTER!C:C,MATCH(C1372,MASTER_REGISTER!E:E,0)),"")</f>
        <v>12</v>
      </c>
      <c r="C1372" t="s">
        <v>288</v>
      </c>
      <c r="D1372" t="str">
        <f>IFERROR(INDEX(MASTER_REGISTER!F:F,MATCH(C1372,MASTER_REGISTER!E:E,0)),"")</f>
        <v>Lwazi Ndlovu</v>
      </c>
      <c r="E1372" t="s">
        <v>337</v>
      </c>
      <c r="F1372" t="s">
        <v>338</v>
      </c>
      <c r="G1372" t="s">
        <v>339</v>
      </c>
    </row>
    <row r="1373" spans="1:8" x14ac:dyDescent="0.3">
      <c r="A1373" t="s">
        <v>360</v>
      </c>
      <c r="B1373">
        <f>IFERROR(INDEX(MASTER_REGISTER!C:C,MATCH(C1373,MASTER_REGISTER!E:E,0)),"")</f>
        <v>12</v>
      </c>
      <c r="C1373" t="s">
        <v>292</v>
      </c>
      <c r="D1373" t="str">
        <f>IFERROR(INDEX(MASTER_REGISTER!F:F,MATCH(C1373,MASTER_REGISTER!E:E,0)),"")</f>
        <v>Ayanda Dlamini</v>
      </c>
      <c r="E1373" t="s">
        <v>337</v>
      </c>
      <c r="F1373" t="s">
        <v>338</v>
      </c>
      <c r="G1373" t="s">
        <v>339</v>
      </c>
    </row>
    <row r="1374" spans="1:8" x14ac:dyDescent="0.3">
      <c r="A1374" t="s">
        <v>360</v>
      </c>
      <c r="B1374">
        <f>IFERROR(INDEX(MASTER_REGISTER!C:C,MATCH(C1374,MASTER_REGISTER!E:E,0)),"")</f>
        <v>12</v>
      </c>
      <c r="C1374" t="s">
        <v>296</v>
      </c>
      <c r="D1374" t="str">
        <f>IFERROR(INDEX(MASTER_REGISTER!F:F,MATCH(C1374,MASTER_REGISTER!E:E,0)),"")</f>
        <v>Neo Ndlovu</v>
      </c>
      <c r="E1374" t="s">
        <v>337</v>
      </c>
      <c r="F1374" t="s">
        <v>338</v>
      </c>
      <c r="G1374" t="s">
        <v>339</v>
      </c>
    </row>
    <row r="1375" spans="1:8" x14ac:dyDescent="0.3">
      <c r="A1375" t="s">
        <v>360</v>
      </c>
      <c r="B1375">
        <f>IFERROR(INDEX(MASTER_REGISTER!C:C,MATCH(C1375,MASTER_REGISTER!E:E,0)),"")</f>
        <v>12</v>
      </c>
      <c r="C1375" t="s">
        <v>300</v>
      </c>
      <c r="D1375" t="str">
        <f>IFERROR(INDEX(MASTER_REGISTER!F:F,MATCH(C1375,MASTER_REGISTER!E:E,0)),"")</f>
        <v>Neo Ramushu</v>
      </c>
      <c r="E1375" t="s">
        <v>335</v>
      </c>
      <c r="H1375" t="s">
        <v>341</v>
      </c>
    </row>
    <row r="1376" spans="1:8" x14ac:dyDescent="0.3">
      <c r="A1376" t="s">
        <v>360</v>
      </c>
      <c r="B1376">
        <f>IFERROR(INDEX(MASTER_REGISTER!C:C,MATCH(C1376,MASTER_REGISTER!E:E,0)),"")</f>
        <v>12</v>
      </c>
      <c r="C1376" t="s">
        <v>304</v>
      </c>
      <c r="D1376" t="str">
        <f>IFERROR(INDEX(MASTER_REGISTER!F:F,MATCH(C1376,MASTER_REGISTER!E:E,0)),"")</f>
        <v>Karabo Baloyi</v>
      </c>
      <c r="E1376" t="s">
        <v>337</v>
      </c>
      <c r="F1376" t="s">
        <v>338</v>
      </c>
      <c r="G1376" t="s">
        <v>339</v>
      </c>
    </row>
    <row r="1377" spans="1:8" x14ac:dyDescent="0.3">
      <c r="A1377" t="s">
        <v>360</v>
      </c>
      <c r="B1377">
        <f>IFERROR(INDEX(MASTER_REGISTER!C:C,MATCH(C1377,MASTER_REGISTER!E:E,0)),"")</f>
        <v>12</v>
      </c>
      <c r="C1377" t="s">
        <v>308</v>
      </c>
      <c r="D1377" t="str">
        <f>IFERROR(INDEX(MASTER_REGISTER!F:F,MATCH(C1377,MASTER_REGISTER!E:E,0)),"")</f>
        <v>Tshepo Mokgadi</v>
      </c>
      <c r="E1377" t="s">
        <v>337</v>
      </c>
      <c r="F1377" t="s">
        <v>338</v>
      </c>
      <c r="G1377" t="s">
        <v>339</v>
      </c>
    </row>
    <row r="1378" spans="1:8" x14ac:dyDescent="0.3">
      <c r="A1378" t="s">
        <v>360</v>
      </c>
      <c r="B1378">
        <f>IFERROR(INDEX(MASTER_REGISTER!C:C,MATCH(C1378,MASTER_REGISTER!E:E,0)),"")</f>
        <v>12</v>
      </c>
      <c r="C1378" t="s">
        <v>311</v>
      </c>
      <c r="D1378" t="str">
        <f>IFERROR(INDEX(MASTER_REGISTER!F:F,MATCH(C1378,MASTER_REGISTER!E:E,0)),"")</f>
        <v>Sifiso Mavuso</v>
      </c>
      <c r="E1378" t="s">
        <v>337</v>
      </c>
      <c r="F1378" t="s">
        <v>338</v>
      </c>
      <c r="G1378" t="s">
        <v>339</v>
      </c>
    </row>
    <row r="1379" spans="1:8" x14ac:dyDescent="0.3">
      <c r="A1379" t="s">
        <v>360</v>
      </c>
      <c r="B1379">
        <f>IFERROR(INDEX(MASTER_REGISTER!C:C,MATCH(C1379,MASTER_REGISTER!E:E,0)),"")</f>
        <v>12</v>
      </c>
      <c r="C1379" t="s">
        <v>315</v>
      </c>
      <c r="D1379" t="str">
        <f>IFERROR(INDEX(MASTER_REGISTER!F:F,MATCH(C1379,MASTER_REGISTER!E:E,0)),"")</f>
        <v>Refilwe Sithole</v>
      </c>
      <c r="E1379" t="s">
        <v>337</v>
      </c>
      <c r="F1379" t="s">
        <v>338</v>
      </c>
      <c r="G1379" t="s">
        <v>339</v>
      </c>
    </row>
    <row r="1380" spans="1:8" x14ac:dyDescent="0.3">
      <c r="A1380" t="s">
        <v>360</v>
      </c>
      <c r="B1380">
        <f>IFERROR(INDEX(MASTER_REGISTER!C:C,MATCH(C1380,MASTER_REGISTER!E:E,0)),"")</f>
        <v>12</v>
      </c>
      <c r="C1380" t="s">
        <v>319</v>
      </c>
      <c r="D1380" t="str">
        <f>IFERROR(INDEX(MASTER_REGISTER!F:F,MATCH(C1380,MASTER_REGISTER!E:E,0)),"")</f>
        <v>Lerato Sithole</v>
      </c>
      <c r="E1380" t="s">
        <v>335</v>
      </c>
      <c r="H1380" t="s">
        <v>336</v>
      </c>
    </row>
    <row r="1381" spans="1:8" x14ac:dyDescent="0.3">
      <c r="A1381" t="s">
        <v>360</v>
      </c>
      <c r="B1381">
        <f>IFERROR(INDEX(MASTER_REGISTER!C:C,MATCH(C1381,MASTER_REGISTER!E:E,0)),"")</f>
        <v>12</v>
      </c>
      <c r="C1381" t="s">
        <v>323</v>
      </c>
      <c r="D1381" t="str">
        <f>IFERROR(INDEX(MASTER_REGISTER!F:F,MATCH(C1381,MASTER_REGISTER!E:E,0)),"")</f>
        <v>Sibusiso Ngobeni</v>
      </c>
      <c r="E1381" t="s">
        <v>337</v>
      </c>
      <c r="F1381" t="s">
        <v>338</v>
      </c>
      <c r="G1381" t="s">
        <v>339</v>
      </c>
    </row>
    <row r="1382" spans="1:8" x14ac:dyDescent="0.3">
      <c r="A1382" t="s">
        <v>361</v>
      </c>
      <c r="B1382">
        <f>IFERROR(INDEX(MASTER_REGISTER!C:C,MATCH(C1382,MASTER_REGISTER!E:E,0)),"")</f>
        <v>8</v>
      </c>
      <c r="C1382" t="s">
        <v>50</v>
      </c>
      <c r="D1382" t="str">
        <f>IFERROR(INDEX(MASTER_REGISTER!F:F,MATCH(C1382,MASTER_REGISTER!E:E,0)),"")</f>
        <v>Lerato Nkosi</v>
      </c>
      <c r="E1382" t="s">
        <v>337</v>
      </c>
      <c r="F1382" t="s">
        <v>338</v>
      </c>
      <c r="G1382" t="s">
        <v>339</v>
      </c>
    </row>
    <row r="1383" spans="1:8" x14ac:dyDescent="0.3">
      <c r="A1383" t="s">
        <v>361</v>
      </c>
      <c r="B1383">
        <f>IFERROR(INDEX(MASTER_REGISTER!C:C,MATCH(C1383,MASTER_REGISTER!E:E,0)),"")</f>
        <v>8</v>
      </c>
      <c r="C1383" t="s">
        <v>58</v>
      </c>
      <c r="D1383" t="str">
        <f>IFERROR(INDEX(MASTER_REGISTER!F:F,MATCH(C1383,MASTER_REGISTER!E:E,0)),"")</f>
        <v>Karabo Maseko</v>
      </c>
      <c r="E1383" t="s">
        <v>337</v>
      </c>
      <c r="F1383" t="s">
        <v>338</v>
      </c>
      <c r="G1383" t="s">
        <v>339</v>
      </c>
    </row>
    <row r="1384" spans="1:8" x14ac:dyDescent="0.3">
      <c r="A1384" t="s">
        <v>361</v>
      </c>
      <c r="B1384">
        <f>IFERROR(INDEX(MASTER_REGISTER!C:C,MATCH(C1384,MASTER_REGISTER!E:E,0)),"")</f>
        <v>8</v>
      </c>
      <c r="C1384" t="s">
        <v>64</v>
      </c>
      <c r="D1384" t="str">
        <f>IFERROR(INDEX(MASTER_REGISTER!F:F,MATCH(C1384,MASTER_REGISTER!E:E,0)),"")</f>
        <v>Sifiso Sithole</v>
      </c>
      <c r="E1384" t="s">
        <v>337</v>
      </c>
      <c r="F1384" t="s">
        <v>338</v>
      </c>
      <c r="G1384" t="s">
        <v>339</v>
      </c>
    </row>
    <row r="1385" spans="1:8" x14ac:dyDescent="0.3">
      <c r="A1385" t="s">
        <v>361</v>
      </c>
      <c r="B1385">
        <f>IFERROR(INDEX(MASTER_REGISTER!C:C,MATCH(C1385,MASTER_REGISTER!E:E,0)),"")</f>
        <v>8</v>
      </c>
      <c r="C1385" t="s">
        <v>70</v>
      </c>
      <c r="D1385" t="str">
        <f>IFERROR(INDEX(MASTER_REGISTER!F:F,MATCH(C1385,MASTER_REGISTER!E:E,0)),"")</f>
        <v>Tshepo Ndlovu</v>
      </c>
      <c r="E1385" t="s">
        <v>337</v>
      </c>
      <c r="F1385" t="s">
        <v>338</v>
      </c>
      <c r="G1385" t="s">
        <v>339</v>
      </c>
    </row>
    <row r="1386" spans="1:8" x14ac:dyDescent="0.3">
      <c r="A1386" t="s">
        <v>361</v>
      </c>
      <c r="B1386">
        <f>IFERROR(INDEX(MASTER_REGISTER!C:C,MATCH(C1386,MASTER_REGISTER!E:E,0)),"")</f>
        <v>8</v>
      </c>
      <c r="C1386" t="s">
        <v>76</v>
      </c>
      <c r="D1386" t="str">
        <f>IFERROR(INDEX(MASTER_REGISTER!F:F,MATCH(C1386,MASTER_REGISTER!E:E,0)),"")</f>
        <v>Lwazi Mthembu</v>
      </c>
      <c r="E1386" t="s">
        <v>337</v>
      </c>
      <c r="F1386" t="s">
        <v>338</v>
      </c>
      <c r="G1386" t="s">
        <v>339</v>
      </c>
    </row>
    <row r="1387" spans="1:8" x14ac:dyDescent="0.3">
      <c r="A1387" t="s">
        <v>361</v>
      </c>
      <c r="B1387">
        <f>IFERROR(INDEX(MASTER_REGISTER!C:C,MATCH(C1387,MASTER_REGISTER!E:E,0)),"")</f>
        <v>8</v>
      </c>
      <c r="C1387" t="s">
        <v>82</v>
      </c>
      <c r="D1387" t="str">
        <f>IFERROR(INDEX(MASTER_REGISTER!F:F,MATCH(C1387,MASTER_REGISTER!E:E,0)),"")</f>
        <v>Karabo Ngobeni</v>
      </c>
      <c r="E1387" t="s">
        <v>337</v>
      </c>
      <c r="F1387" t="s">
        <v>338</v>
      </c>
      <c r="G1387" t="s">
        <v>339</v>
      </c>
    </row>
    <row r="1388" spans="1:8" x14ac:dyDescent="0.3">
      <c r="A1388" t="s">
        <v>361</v>
      </c>
      <c r="B1388">
        <f>IFERROR(INDEX(MASTER_REGISTER!C:C,MATCH(C1388,MASTER_REGISTER!E:E,0)),"")</f>
        <v>8</v>
      </c>
      <c r="C1388" t="s">
        <v>88</v>
      </c>
      <c r="D1388" t="str">
        <f>IFERROR(INDEX(MASTER_REGISTER!F:F,MATCH(C1388,MASTER_REGISTER!E:E,0)),"")</f>
        <v>Mpho Sithole</v>
      </c>
      <c r="E1388" t="s">
        <v>337</v>
      </c>
      <c r="F1388" t="s">
        <v>338</v>
      </c>
      <c r="G1388" t="s">
        <v>339</v>
      </c>
    </row>
    <row r="1389" spans="1:8" x14ac:dyDescent="0.3">
      <c r="A1389" t="s">
        <v>361</v>
      </c>
      <c r="B1389">
        <f>IFERROR(INDEX(MASTER_REGISTER!C:C,MATCH(C1389,MASTER_REGISTER!E:E,0)),"")</f>
        <v>8</v>
      </c>
      <c r="C1389" t="s">
        <v>94</v>
      </c>
      <c r="D1389" t="str">
        <f>IFERROR(INDEX(MASTER_REGISTER!F:F,MATCH(C1389,MASTER_REGISTER!E:E,0)),"")</f>
        <v>Tshepo Ramushu</v>
      </c>
      <c r="E1389" t="s">
        <v>337</v>
      </c>
      <c r="F1389" t="s">
        <v>338</v>
      </c>
      <c r="G1389" t="s">
        <v>339</v>
      </c>
    </row>
    <row r="1390" spans="1:8" x14ac:dyDescent="0.3">
      <c r="A1390" t="s">
        <v>361</v>
      </c>
      <c r="B1390">
        <f>IFERROR(INDEX(MASTER_REGISTER!C:C,MATCH(C1390,MASTER_REGISTER!E:E,0)),"")</f>
        <v>8</v>
      </c>
      <c r="C1390" t="s">
        <v>100</v>
      </c>
      <c r="D1390" t="str">
        <f>IFERROR(INDEX(MASTER_REGISTER!F:F,MATCH(C1390,MASTER_REGISTER!E:E,0)),"")</f>
        <v>Lerato Kekana</v>
      </c>
      <c r="E1390" t="s">
        <v>337</v>
      </c>
      <c r="F1390" t="s">
        <v>338</v>
      </c>
      <c r="G1390" t="s">
        <v>339</v>
      </c>
    </row>
    <row r="1391" spans="1:8" x14ac:dyDescent="0.3">
      <c r="A1391" t="s">
        <v>361</v>
      </c>
      <c r="B1391">
        <f>IFERROR(INDEX(MASTER_REGISTER!C:C,MATCH(C1391,MASTER_REGISTER!E:E,0)),"")</f>
        <v>8</v>
      </c>
      <c r="C1391" t="s">
        <v>106</v>
      </c>
      <c r="D1391" t="str">
        <f>IFERROR(INDEX(MASTER_REGISTER!F:F,MATCH(C1391,MASTER_REGISTER!E:E,0)),"")</f>
        <v>Neo Ngobeni</v>
      </c>
      <c r="E1391" t="s">
        <v>337</v>
      </c>
      <c r="F1391" t="s">
        <v>338</v>
      </c>
      <c r="G1391" t="s">
        <v>339</v>
      </c>
    </row>
    <row r="1392" spans="1:8" x14ac:dyDescent="0.3">
      <c r="A1392" t="s">
        <v>361</v>
      </c>
      <c r="B1392">
        <f>IFERROR(INDEX(MASTER_REGISTER!C:C,MATCH(C1392,MASTER_REGISTER!E:E,0)),"")</f>
        <v>8</v>
      </c>
      <c r="C1392" t="s">
        <v>112</v>
      </c>
      <c r="D1392" t="str">
        <f>IFERROR(INDEX(MASTER_REGISTER!F:F,MATCH(C1392,MASTER_REGISTER!E:E,0)),"")</f>
        <v>Thabo Mokgadi</v>
      </c>
      <c r="E1392" t="s">
        <v>337</v>
      </c>
      <c r="F1392" t="s">
        <v>338</v>
      </c>
      <c r="G1392" t="s">
        <v>339</v>
      </c>
    </row>
    <row r="1393" spans="1:8" x14ac:dyDescent="0.3">
      <c r="A1393" t="s">
        <v>361</v>
      </c>
      <c r="B1393">
        <f>IFERROR(INDEX(MASTER_REGISTER!C:C,MATCH(C1393,MASTER_REGISTER!E:E,0)),"")</f>
        <v>8</v>
      </c>
      <c r="C1393" t="s">
        <v>118</v>
      </c>
      <c r="D1393" t="str">
        <f>IFERROR(INDEX(MASTER_REGISTER!F:F,MATCH(C1393,MASTER_REGISTER!E:E,0)),"")</f>
        <v>Sifiso Mthembu</v>
      </c>
      <c r="E1393" t="s">
        <v>337</v>
      </c>
      <c r="F1393" t="s">
        <v>338</v>
      </c>
      <c r="G1393" t="s">
        <v>339</v>
      </c>
    </row>
    <row r="1394" spans="1:8" x14ac:dyDescent="0.3">
      <c r="A1394" t="s">
        <v>361</v>
      </c>
      <c r="B1394">
        <f>IFERROR(INDEX(MASTER_REGISTER!C:C,MATCH(C1394,MASTER_REGISTER!E:E,0)),"")</f>
        <v>9</v>
      </c>
      <c r="C1394" t="s">
        <v>123</v>
      </c>
      <c r="D1394" t="str">
        <f>IFERROR(INDEX(MASTER_REGISTER!F:F,MATCH(C1394,MASTER_REGISTER!E:E,0)),"")</f>
        <v>Karabo Phiri</v>
      </c>
      <c r="E1394" t="s">
        <v>335</v>
      </c>
      <c r="H1394" t="s">
        <v>341</v>
      </c>
    </row>
    <row r="1395" spans="1:8" x14ac:dyDescent="0.3">
      <c r="A1395" t="s">
        <v>361</v>
      </c>
      <c r="B1395">
        <f>IFERROR(INDEX(MASTER_REGISTER!C:C,MATCH(C1395,MASTER_REGISTER!E:E,0)),"")</f>
        <v>9</v>
      </c>
      <c r="C1395" t="s">
        <v>128</v>
      </c>
      <c r="D1395" t="str">
        <f>IFERROR(INDEX(MASTER_REGISTER!F:F,MATCH(C1395,MASTER_REGISTER!E:E,0)),"")</f>
        <v>Lerato Mahlangu</v>
      </c>
      <c r="E1395" t="s">
        <v>337</v>
      </c>
      <c r="F1395" t="s">
        <v>338</v>
      </c>
      <c r="G1395" t="s">
        <v>339</v>
      </c>
    </row>
    <row r="1396" spans="1:8" x14ac:dyDescent="0.3">
      <c r="A1396" t="s">
        <v>361</v>
      </c>
      <c r="B1396">
        <f>IFERROR(INDEX(MASTER_REGISTER!C:C,MATCH(C1396,MASTER_REGISTER!E:E,0)),"")</f>
        <v>9</v>
      </c>
      <c r="C1396" t="s">
        <v>133</v>
      </c>
      <c r="D1396" t="str">
        <f>IFERROR(INDEX(MASTER_REGISTER!F:F,MATCH(C1396,MASTER_REGISTER!E:E,0)),"")</f>
        <v>Mpho Kekana</v>
      </c>
      <c r="E1396" t="s">
        <v>337</v>
      </c>
      <c r="F1396" t="s">
        <v>338</v>
      </c>
      <c r="G1396" t="s">
        <v>339</v>
      </c>
    </row>
    <row r="1397" spans="1:8" x14ac:dyDescent="0.3">
      <c r="A1397" t="s">
        <v>361</v>
      </c>
      <c r="B1397">
        <f>IFERROR(INDEX(MASTER_REGISTER!C:C,MATCH(C1397,MASTER_REGISTER!E:E,0)),"")</f>
        <v>9</v>
      </c>
      <c r="C1397" t="s">
        <v>138</v>
      </c>
      <c r="D1397" t="str">
        <f>IFERROR(INDEX(MASTER_REGISTER!F:F,MATCH(C1397,MASTER_REGISTER!E:E,0)),"")</f>
        <v>Thabo Molefe</v>
      </c>
      <c r="E1397" t="s">
        <v>335</v>
      </c>
      <c r="H1397" t="s">
        <v>341</v>
      </c>
    </row>
    <row r="1398" spans="1:8" x14ac:dyDescent="0.3">
      <c r="A1398" t="s">
        <v>361</v>
      </c>
      <c r="B1398">
        <f>IFERROR(INDEX(MASTER_REGISTER!C:C,MATCH(C1398,MASTER_REGISTER!E:E,0)),"")</f>
        <v>9</v>
      </c>
      <c r="C1398" t="s">
        <v>143</v>
      </c>
      <c r="D1398" t="str">
        <f>IFERROR(INDEX(MASTER_REGISTER!F:F,MATCH(C1398,MASTER_REGISTER!E:E,0)),"")</f>
        <v>Mpho Ngobeni</v>
      </c>
      <c r="E1398" t="s">
        <v>337</v>
      </c>
      <c r="F1398" t="s">
        <v>338</v>
      </c>
      <c r="G1398" t="s">
        <v>339</v>
      </c>
    </row>
    <row r="1399" spans="1:8" x14ac:dyDescent="0.3">
      <c r="A1399" t="s">
        <v>361</v>
      </c>
      <c r="B1399">
        <f>IFERROR(INDEX(MASTER_REGISTER!C:C,MATCH(C1399,MASTER_REGISTER!E:E,0)),"")</f>
        <v>9</v>
      </c>
      <c r="C1399" t="s">
        <v>148</v>
      </c>
      <c r="D1399" t="str">
        <f>IFERROR(INDEX(MASTER_REGISTER!F:F,MATCH(C1399,MASTER_REGISTER!E:E,0)),"")</f>
        <v>Siyanda Mhlongo</v>
      </c>
      <c r="E1399" t="s">
        <v>335</v>
      </c>
      <c r="H1399" t="s">
        <v>341</v>
      </c>
    </row>
    <row r="1400" spans="1:8" x14ac:dyDescent="0.3">
      <c r="A1400" t="s">
        <v>361</v>
      </c>
      <c r="B1400">
        <f>IFERROR(INDEX(MASTER_REGISTER!C:C,MATCH(C1400,MASTER_REGISTER!E:E,0)),"")</f>
        <v>9</v>
      </c>
      <c r="C1400" t="s">
        <v>153</v>
      </c>
      <c r="D1400" t="str">
        <f>IFERROR(INDEX(MASTER_REGISTER!F:F,MATCH(C1400,MASTER_REGISTER!E:E,0)),"")</f>
        <v>Siyanda Mahlangu</v>
      </c>
      <c r="E1400" t="s">
        <v>337</v>
      </c>
      <c r="F1400" t="s">
        <v>338</v>
      </c>
      <c r="G1400" t="s">
        <v>339</v>
      </c>
    </row>
    <row r="1401" spans="1:8" x14ac:dyDescent="0.3">
      <c r="A1401" t="s">
        <v>361</v>
      </c>
      <c r="B1401">
        <f>IFERROR(INDEX(MASTER_REGISTER!C:C,MATCH(C1401,MASTER_REGISTER!E:E,0)),"")</f>
        <v>9</v>
      </c>
      <c r="C1401" t="s">
        <v>158</v>
      </c>
      <c r="D1401" t="str">
        <f>IFERROR(INDEX(MASTER_REGISTER!F:F,MATCH(C1401,MASTER_REGISTER!E:E,0)),"")</f>
        <v>Sifiso Ramushu</v>
      </c>
      <c r="E1401" t="s">
        <v>335</v>
      </c>
      <c r="H1401" t="s">
        <v>336</v>
      </c>
    </row>
    <row r="1402" spans="1:8" x14ac:dyDescent="0.3">
      <c r="A1402" t="s">
        <v>361</v>
      </c>
      <c r="B1402">
        <f>IFERROR(INDEX(MASTER_REGISTER!C:C,MATCH(C1402,MASTER_REGISTER!E:E,0)),"")</f>
        <v>9</v>
      </c>
      <c r="C1402" t="s">
        <v>163</v>
      </c>
      <c r="D1402" t="str">
        <f>IFERROR(INDEX(MASTER_REGISTER!F:F,MATCH(C1402,MASTER_REGISTER!E:E,0)),"")</f>
        <v>Nandi Ngobeni</v>
      </c>
      <c r="E1402" t="s">
        <v>337</v>
      </c>
      <c r="F1402" t="s">
        <v>338</v>
      </c>
      <c r="G1402" t="s">
        <v>339</v>
      </c>
    </row>
    <row r="1403" spans="1:8" x14ac:dyDescent="0.3">
      <c r="A1403" t="s">
        <v>361</v>
      </c>
      <c r="B1403">
        <f>IFERROR(INDEX(MASTER_REGISTER!C:C,MATCH(C1403,MASTER_REGISTER!E:E,0)),"")</f>
        <v>9</v>
      </c>
      <c r="C1403" t="s">
        <v>168</v>
      </c>
      <c r="D1403" t="str">
        <f>IFERROR(INDEX(MASTER_REGISTER!F:F,MATCH(C1403,MASTER_REGISTER!E:E,0)),"")</f>
        <v>Karabo Mokgadi</v>
      </c>
      <c r="E1403" t="s">
        <v>337</v>
      </c>
      <c r="F1403" t="s">
        <v>338</v>
      </c>
      <c r="G1403" t="s">
        <v>339</v>
      </c>
    </row>
    <row r="1404" spans="1:8" x14ac:dyDescent="0.3">
      <c r="A1404" t="s">
        <v>361</v>
      </c>
      <c r="B1404">
        <f>IFERROR(INDEX(MASTER_REGISTER!C:C,MATCH(C1404,MASTER_REGISTER!E:E,0)),"")</f>
        <v>9</v>
      </c>
      <c r="C1404" t="s">
        <v>173</v>
      </c>
      <c r="D1404" t="str">
        <f>IFERROR(INDEX(MASTER_REGISTER!F:F,MATCH(C1404,MASTER_REGISTER!E:E,0)),"")</f>
        <v>Sifiso Mahlangu</v>
      </c>
      <c r="E1404" t="s">
        <v>337</v>
      </c>
      <c r="F1404" t="s">
        <v>338</v>
      </c>
      <c r="G1404" t="s">
        <v>339</v>
      </c>
    </row>
    <row r="1405" spans="1:8" x14ac:dyDescent="0.3">
      <c r="A1405" t="s">
        <v>361</v>
      </c>
      <c r="B1405">
        <f>IFERROR(INDEX(MASTER_REGISTER!C:C,MATCH(C1405,MASTER_REGISTER!E:E,0)),"")</f>
        <v>9</v>
      </c>
      <c r="C1405" t="s">
        <v>178</v>
      </c>
      <c r="D1405" t="str">
        <f>IFERROR(INDEX(MASTER_REGISTER!F:F,MATCH(C1405,MASTER_REGISTER!E:E,0)),"")</f>
        <v>Kgothatso Radebe</v>
      </c>
      <c r="E1405" t="s">
        <v>335</v>
      </c>
      <c r="H1405" t="s">
        <v>336</v>
      </c>
    </row>
    <row r="1406" spans="1:8" x14ac:dyDescent="0.3">
      <c r="A1406" t="s">
        <v>361</v>
      </c>
      <c r="B1406">
        <f>IFERROR(INDEX(MASTER_REGISTER!C:C,MATCH(C1406,MASTER_REGISTER!E:E,0)),"")</f>
        <v>10</v>
      </c>
      <c r="C1406" t="s">
        <v>183</v>
      </c>
      <c r="D1406" t="str">
        <f>IFERROR(INDEX(MASTER_REGISTER!F:F,MATCH(C1406,MASTER_REGISTER!E:E,0)),"")</f>
        <v>Lerato Maseko</v>
      </c>
      <c r="E1406" t="s">
        <v>337</v>
      </c>
      <c r="F1406" t="s">
        <v>338</v>
      </c>
      <c r="G1406" t="s">
        <v>339</v>
      </c>
    </row>
    <row r="1407" spans="1:8" x14ac:dyDescent="0.3">
      <c r="A1407" t="s">
        <v>361</v>
      </c>
      <c r="B1407">
        <f>IFERROR(INDEX(MASTER_REGISTER!C:C,MATCH(C1407,MASTER_REGISTER!E:E,0)),"")</f>
        <v>10</v>
      </c>
      <c r="C1407" t="s">
        <v>188</v>
      </c>
      <c r="D1407" t="str">
        <f>IFERROR(INDEX(MASTER_REGISTER!F:F,MATCH(C1407,MASTER_REGISTER!E:E,0)),"")</f>
        <v>Sibusiso Molefe</v>
      </c>
      <c r="E1407" t="s">
        <v>335</v>
      </c>
      <c r="H1407" t="s">
        <v>340</v>
      </c>
    </row>
    <row r="1408" spans="1:8" x14ac:dyDescent="0.3">
      <c r="A1408" t="s">
        <v>361</v>
      </c>
      <c r="B1408">
        <f>IFERROR(INDEX(MASTER_REGISTER!C:C,MATCH(C1408,MASTER_REGISTER!E:E,0)),"")</f>
        <v>10</v>
      </c>
      <c r="C1408" t="s">
        <v>193</v>
      </c>
      <c r="D1408" t="str">
        <f>IFERROR(INDEX(MASTER_REGISTER!F:F,MATCH(C1408,MASTER_REGISTER!E:E,0)),"")</f>
        <v>Nandi Molefe</v>
      </c>
      <c r="E1408" t="s">
        <v>337</v>
      </c>
      <c r="F1408" t="s">
        <v>338</v>
      </c>
      <c r="G1408" t="s">
        <v>339</v>
      </c>
    </row>
    <row r="1409" spans="1:8" x14ac:dyDescent="0.3">
      <c r="A1409" t="s">
        <v>361</v>
      </c>
      <c r="B1409">
        <f>IFERROR(INDEX(MASTER_REGISTER!C:C,MATCH(C1409,MASTER_REGISTER!E:E,0)),"")</f>
        <v>10</v>
      </c>
      <c r="C1409" t="s">
        <v>198</v>
      </c>
      <c r="D1409" t="str">
        <f>IFERROR(INDEX(MASTER_REGISTER!F:F,MATCH(C1409,MASTER_REGISTER!E:E,0)),"")</f>
        <v>Kgothatso Baloyi</v>
      </c>
      <c r="E1409" t="s">
        <v>335</v>
      </c>
      <c r="H1409" t="s">
        <v>340</v>
      </c>
    </row>
    <row r="1410" spans="1:8" x14ac:dyDescent="0.3">
      <c r="A1410" t="s">
        <v>361</v>
      </c>
      <c r="B1410">
        <f>IFERROR(INDEX(MASTER_REGISTER!C:C,MATCH(C1410,MASTER_REGISTER!E:E,0)),"")</f>
        <v>10</v>
      </c>
      <c r="C1410" t="s">
        <v>202</v>
      </c>
      <c r="D1410" t="str">
        <f>IFERROR(INDEX(MASTER_REGISTER!F:F,MATCH(C1410,MASTER_REGISTER!E:E,0)),"")</f>
        <v>Ayanda Mokoena</v>
      </c>
      <c r="E1410" t="s">
        <v>337</v>
      </c>
      <c r="F1410" t="s">
        <v>338</v>
      </c>
      <c r="G1410" t="s">
        <v>339</v>
      </c>
    </row>
    <row r="1411" spans="1:8" x14ac:dyDescent="0.3">
      <c r="A1411" t="s">
        <v>361</v>
      </c>
      <c r="B1411">
        <f>IFERROR(INDEX(MASTER_REGISTER!C:C,MATCH(C1411,MASTER_REGISTER!E:E,0)),"")</f>
        <v>10</v>
      </c>
      <c r="C1411" t="s">
        <v>206</v>
      </c>
      <c r="D1411" t="str">
        <f>IFERROR(INDEX(MASTER_REGISTER!F:F,MATCH(C1411,MASTER_REGISTER!E:E,0)),"")</f>
        <v>Lwazi Baloyi</v>
      </c>
      <c r="E1411" t="s">
        <v>337</v>
      </c>
      <c r="F1411" t="s">
        <v>338</v>
      </c>
      <c r="G1411" t="s">
        <v>339</v>
      </c>
    </row>
    <row r="1412" spans="1:8" x14ac:dyDescent="0.3">
      <c r="A1412" t="s">
        <v>361</v>
      </c>
      <c r="B1412">
        <f>IFERROR(INDEX(MASTER_REGISTER!C:C,MATCH(C1412,MASTER_REGISTER!E:E,0)),"")</f>
        <v>10</v>
      </c>
      <c r="C1412" t="s">
        <v>210</v>
      </c>
      <c r="D1412" t="str">
        <f>IFERROR(INDEX(MASTER_REGISTER!F:F,MATCH(C1412,MASTER_REGISTER!E:E,0)),"")</f>
        <v>Siyanda Mokoena</v>
      </c>
      <c r="E1412" t="s">
        <v>337</v>
      </c>
      <c r="F1412" t="s">
        <v>338</v>
      </c>
      <c r="G1412" t="s">
        <v>339</v>
      </c>
    </row>
    <row r="1413" spans="1:8" x14ac:dyDescent="0.3">
      <c r="A1413" t="s">
        <v>361</v>
      </c>
      <c r="B1413">
        <f>IFERROR(INDEX(MASTER_REGISTER!C:C,MATCH(C1413,MASTER_REGISTER!E:E,0)),"")</f>
        <v>10</v>
      </c>
      <c r="C1413" t="s">
        <v>214</v>
      </c>
      <c r="D1413" t="str">
        <f>IFERROR(INDEX(MASTER_REGISTER!F:F,MATCH(C1413,MASTER_REGISTER!E:E,0)),"")</f>
        <v>Mpho Ngobeni</v>
      </c>
      <c r="E1413" t="s">
        <v>337</v>
      </c>
      <c r="F1413" t="s">
        <v>338</v>
      </c>
      <c r="G1413" t="s">
        <v>339</v>
      </c>
    </row>
    <row r="1414" spans="1:8" x14ac:dyDescent="0.3">
      <c r="A1414" t="s">
        <v>361</v>
      </c>
      <c r="B1414">
        <f>IFERROR(INDEX(MASTER_REGISTER!C:C,MATCH(C1414,MASTER_REGISTER!E:E,0)),"")</f>
        <v>10</v>
      </c>
      <c r="C1414" t="s">
        <v>217</v>
      </c>
      <c r="D1414" t="str">
        <f>IFERROR(INDEX(MASTER_REGISTER!F:F,MATCH(C1414,MASTER_REGISTER!E:E,0)),"")</f>
        <v>Naledi Makhubela</v>
      </c>
      <c r="E1414" t="s">
        <v>337</v>
      </c>
      <c r="F1414" t="s">
        <v>338</v>
      </c>
      <c r="G1414" t="s">
        <v>339</v>
      </c>
    </row>
    <row r="1415" spans="1:8" x14ac:dyDescent="0.3">
      <c r="A1415" t="s">
        <v>361</v>
      </c>
      <c r="B1415">
        <f>IFERROR(INDEX(MASTER_REGISTER!C:C,MATCH(C1415,MASTER_REGISTER!E:E,0)),"")</f>
        <v>10</v>
      </c>
      <c r="C1415" t="s">
        <v>221</v>
      </c>
      <c r="D1415" t="str">
        <f>IFERROR(INDEX(MASTER_REGISTER!F:F,MATCH(C1415,MASTER_REGISTER!E:E,0)),"")</f>
        <v>Kgothatso Mokoena</v>
      </c>
      <c r="E1415" t="s">
        <v>337</v>
      </c>
      <c r="F1415" t="s">
        <v>338</v>
      </c>
      <c r="G1415" t="s">
        <v>339</v>
      </c>
    </row>
    <row r="1416" spans="1:8" x14ac:dyDescent="0.3">
      <c r="A1416" t="s">
        <v>361</v>
      </c>
      <c r="B1416">
        <f>IFERROR(INDEX(MASTER_REGISTER!C:C,MATCH(C1416,MASTER_REGISTER!E:E,0)),"")</f>
        <v>10</v>
      </c>
      <c r="C1416" t="s">
        <v>225</v>
      </c>
      <c r="D1416" t="str">
        <f>IFERROR(INDEX(MASTER_REGISTER!F:F,MATCH(C1416,MASTER_REGISTER!E:E,0)),"")</f>
        <v>Bongani Makhubela</v>
      </c>
      <c r="E1416" t="s">
        <v>337</v>
      </c>
      <c r="F1416" t="s">
        <v>338</v>
      </c>
      <c r="G1416" t="s">
        <v>339</v>
      </c>
    </row>
    <row r="1417" spans="1:8" x14ac:dyDescent="0.3">
      <c r="A1417" t="s">
        <v>361</v>
      </c>
      <c r="B1417">
        <f>IFERROR(INDEX(MASTER_REGISTER!C:C,MATCH(C1417,MASTER_REGISTER!E:E,0)),"")</f>
        <v>10</v>
      </c>
      <c r="C1417" t="s">
        <v>229</v>
      </c>
      <c r="D1417" t="str">
        <f>IFERROR(INDEX(MASTER_REGISTER!F:F,MATCH(C1417,MASTER_REGISTER!E:E,0)),"")</f>
        <v>Kagiso Kekana</v>
      </c>
      <c r="E1417" t="s">
        <v>335</v>
      </c>
      <c r="H1417" t="s">
        <v>336</v>
      </c>
    </row>
    <row r="1418" spans="1:8" x14ac:dyDescent="0.3">
      <c r="A1418" t="s">
        <v>361</v>
      </c>
      <c r="B1418">
        <f>IFERROR(INDEX(MASTER_REGISTER!C:C,MATCH(C1418,MASTER_REGISTER!E:E,0)),"")</f>
        <v>11</v>
      </c>
      <c r="C1418" t="s">
        <v>233</v>
      </c>
      <c r="D1418" t="str">
        <f>IFERROR(INDEX(MASTER_REGISTER!F:F,MATCH(C1418,MASTER_REGISTER!E:E,0)),"")</f>
        <v>Lwazi Makhubela</v>
      </c>
      <c r="E1418" t="s">
        <v>337</v>
      </c>
      <c r="F1418" t="s">
        <v>338</v>
      </c>
      <c r="G1418" t="s">
        <v>339</v>
      </c>
    </row>
    <row r="1419" spans="1:8" x14ac:dyDescent="0.3">
      <c r="A1419" t="s">
        <v>361</v>
      </c>
      <c r="B1419">
        <f>IFERROR(INDEX(MASTER_REGISTER!C:C,MATCH(C1419,MASTER_REGISTER!E:E,0)),"")</f>
        <v>11</v>
      </c>
      <c r="C1419" t="s">
        <v>237</v>
      </c>
      <c r="D1419" t="str">
        <f>IFERROR(INDEX(MASTER_REGISTER!F:F,MATCH(C1419,MASTER_REGISTER!E:E,0)),"")</f>
        <v>Lebogang Ramushu</v>
      </c>
      <c r="E1419" t="s">
        <v>337</v>
      </c>
      <c r="F1419" t="s">
        <v>338</v>
      </c>
      <c r="G1419" t="s">
        <v>339</v>
      </c>
    </row>
    <row r="1420" spans="1:8" x14ac:dyDescent="0.3">
      <c r="A1420" t="s">
        <v>361</v>
      </c>
      <c r="B1420">
        <f>IFERROR(INDEX(MASTER_REGISTER!C:C,MATCH(C1420,MASTER_REGISTER!E:E,0)),"")</f>
        <v>11</v>
      </c>
      <c r="C1420" t="s">
        <v>241</v>
      </c>
      <c r="D1420" t="str">
        <f>IFERROR(INDEX(MASTER_REGISTER!F:F,MATCH(C1420,MASTER_REGISTER!E:E,0)),"")</f>
        <v>Lerato Kekana</v>
      </c>
      <c r="E1420" t="s">
        <v>337</v>
      </c>
      <c r="F1420" t="s">
        <v>338</v>
      </c>
      <c r="G1420" t="s">
        <v>339</v>
      </c>
    </row>
    <row r="1421" spans="1:8" x14ac:dyDescent="0.3">
      <c r="A1421" t="s">
        <v>361</v>
      </c>
      <c r="B1421">
        <f>IFERROR(INDEX(MASTER_REGISTER!C:C,MATCH(C1421,MASTER_REGISTER!E:E,0)),"")</f>
        <v>11</v>
      </c>
      <c r="C1421" t="s">
        <v>244</v>
      </c>
      <c r="D1421" t="str">
        <f>IFERROR(INDEX(MASTER_REGISTER!F:F,MATCH(C1421,MASTER_REGISTER!E:E,0)),"")</f>
        <v>Bongani Ndlovu</v>
      </c>
      <c r="E1421" t="s">
        <v>337</v>
      </c>
      <c r="F1421" t="s">
        <v>338</v>
      </c>
      <c r="G1421" t="s">
        <v>339</v>
      </c>
    </row>
    <row r="1422" spans="1:8" x14ac:dyDescent="0.3">
      <c r="A1422" t="s">
        <v>361</v>
      </c>
      <c r="B1422">
        <f>IFERROR(INDEX(MASTER_REGISTER!C:C,MATCH(C1422,MASTER_REGISTER!E:E,0)),"")</f>
        <v>11</v>
      </c>
      <c r="C1422" t="s">
        <v>248</v>
      </c>
      <c r="D1422" t="str">
        <f>IFERROR(INDEX(MASTER_REGISTER!F:F,MATCH(C1422,MASTER_REGISTER!E:E,0)),"")</f>
        <v>Sifiso Dlamini</v>
      </c>
      <c r="E1422" t="s">
        <v>337</v>
      </c>
      <c r="F1422" t="s">
        <v>338</v>
      </c>
      <c r="G1422" t="s">
        <v>339</v>
      </c>
    </row>
    <row r="1423" spans="1:8" x14ac:dyDescent="0.3">
      <c r="A1423" t="s">
        <v>361</v>
      </c>
      <c r="B1423">
        <f>IFERROR(INDEX(MASTER_REGISTER!C:C,MATCH(C1423,MASTER_REGISTER!E:E,0)),"")</f>
        <v>11</v>
      </c>
      <c r="C1423" t="s">
        <v>252</v>
      </c>
      <c r="D1423" t="str">
        <f>IFERROR(INDEX(MASTER_REGISTER!F:F,MATCH(C1423,MASTER_REGISTER!E:E,0)),"")</f>
        <v>Refilwe Dlamini</v>
      </c>
      <c r="E1423" t="s">
        <v>337</v>
      </c>
      <c r="F1423" t="s">
        <v>338</v>
      </c>
      <c r="G1423" t="s">
        <v>339</v>
      </c>
    </row>
    <row r="1424" spans="1:8" x14ac:dyDescent="0.3">
      <c r="A1424" t="s">
        <v>361</v>
      </c>
      <c r="B1424">
        <f>IFERROR(INDEX(MASTER_REGISTER!C:C,MATCH(C1424,MASTER_REGISTER!E:E,0)),"")</f>
        <v>11</v>
      </c>
      <c r="C1424" t="s">
        <v>256</v>
      </c>
      <c r="D1424" t="str">
        <f>IFERROR(INDEX(MASTER_REGISTER!F:F,MATCH(C1424,MASTER_REGISTER!E:E,0)),"")</f>
        <v>Lwazi Maseko</v>
      </c>
      <c r="E1424" t="s">
        <v>337</v>
      </c>
      <c r="F1424" t="s">
        <v>338</v>
      </c>
      <c r="G1424" t="s">
        <v>339</v>
      </c>
    </row>
    <row r="1425" spans="1:8" x14ac:dyDescent="0.3">
      <c r="A1425" t="s">
        <v>361</v>
      </c>
      <c r="B1425">
        <f>IFERROR(INDEX(MASTER_REGISTER!C:C,MATCH(C1425,MASTER_REGISTER!E:E,0)),"")</f>
        <v>11</v>
      </c>
      <c r="C1425" t="s">
        <v>260</v>
      </c>
      <c r="D1425" t="str">
        <f>IFERROR(INDEX(MASTER_REGISTER!F:F,MATCH(C1425,MASTER_REGISTER!E:E,0)),"")</f>
        <v>Refilwe Mokgadi</v>
      </c>
      <c r="E1425" t="s">
        <v>337</v>
      </c>
      <c r="F1425" t="s">
        <v>338</v>
      </c>
      <c r="G1425" t="s">
        <v>339</v>
      </c>
    </row>
    <row r="1426" spans="1:8" x14ac:dyDescent="0.3">
      <c r="A1426" t="s">
        <v>361</v>
      </c>
      <c r="B1426">
        <f>IFERROR(INDEX(MASTER_REGISTER!C:C,MATCH(C1426,MASTER_REGISTER!E:E,0)),"")</f>
        <v>11</v>
      </c>
      <c r="C1426" t="s">
        <v>264</v>
      </c>
      <c r="D1426" t="str">
        <f>IFERROR(INDEX(MASTER_REGISTER!F:F,MATCH(C1426,MASTER_REGISTER!E:E,0)),"")</f>
        <v>Kgothatso Molefe</v>
      </c>
      <c r="E1426" t="s">
        <v>337</v>
      </c>
      <c r="F1426" t="s">
        <v>338</v>
      </c>
      <c r="G1426" t="s">
        <v>339</v>
      </c>
    </row>
    <row r="1427" spans="1:8" x14ac:dyDescent="0.3">
      <c r="A1427" t="s">
        <v>361</v>
      </c>
      <c r="B1427">
        <f>IFERROR(INDEX(MASTER_REGISTER!C:C,MATCH(C1427,MASTER_REGISTER!E:E,0)),"")</f>
        <v>11</v>
      </c>
      <c r="C1427" t="s">
        <v>268</v>
      </c>
      <c r="D1427" t="str">
        <f>IFERROR(INDEX(MASTER_REGISTER!F:F,MATCH(C1427,MASTER_REGISTER!E:E,0)),"")</f>
        <v>Tshepo Mokgadi</v>
      </c>
      <c r="E1427" t="s">
        <v>337</v>
      </c>
      <c r="F1427" t="s">
        <v>338</v>
      </c>
      <c r="G1427" t="s">
        <v>339</v>
      </c>
    </row>
    <row r="1428" spans="1:8" x14ac:dyDescent="0.3">
      <c r="A1428" t="s">
        <v>361</v>
      </c>
      <c r="B1428">
        <f>IFERROR(INDEX(MASTER_REGISTER!C:C,MATCH(C1428,MASTER_REGISTER!E:E,0)),"")</f>
        <v>11</v>
      </c>
      <c r="C1428" t="s">
        <v>272</v>
      </c>
      <c r="D1428" t="str">
        <f>IFERROR(INDEX(MASTER_REGISTER!F:F,MATCH(C1428,MASTER_REGISTER!E:E,0)),"")</f>
        <v>Tshepo Phiri</v>
      </c>
      <c r="E1428" t="s">
        <v>337</v>
      </c>
      <c r="F1428" t="s">
        <v>338</v>
      </c>
      <c r="G1428" t="s">
        <v>339</v>
      </c>
    </row>
    <row r="1429" spans="1:8" x14ac:dyDescent="0.3">
      <c r="A1429" t="s">
        <v>361</v>
      </c>
      <c r="B1429">
        <f>IFERROR(INDEX(MASTER_REGISTER!C:C,MATCH(C1429,MASTER_REGISTER!E:E,0)),"")</f>
        <v>11</v>
      </c>
      <c r="C1429" t="s">
        <v>276</v>
      </c>
      <c r="D1429" t="str">
        <f>IFERROR(INDEX(MASTER_REGISTER!F:F,MATCH(C1429,MASTER_REGISTER!E:E,0)),"")</f>
        <v>Zanele Ngobeni</v>
      </c>
      <c r="E1429" t="s">
        <v>337</v>
      </c>
      <c r="F1429" t="s">
        <v>338</v>
      </c>
      <c r="G1429" t="s">
        <v>339</v>
      </c>
    </row>
    <row r="1430" spans="1:8" x14ac:dyDescent="0.3">
      <c r="A1430" t="s">
        <v>361</v>
      </c>
      <c r="B1430">
        <f>IFERROR(INDEX(MASTER_REGISTER!C:C,MATCH(C1430,MASTER_REGISTER!E:E,0)),"")</f>
        <v>12</v>
      </c>
      <c r="C1430" t="s">
        <v>280</v>
      </c>
      <c r="D1430" t="str">
        <f>IFERROR(INDEX(MASTER_REGISTER!F:F,MATCH(C1430,MASTER_REGISTER!E:E,0)),"")</f>
        <v>Palesa Mokoena</v>
      </c>
      <c r="E1430" t="s">
        <v>337</v>
      </c>
      <c r="F1430" t="s">
        <v>338</v>
      </c>
      <c r="G1430" t="s">
        <v>339</v>
      </c>
    </row>
    <row r="1431" spans="1:8" x14ac:dyDescent="0.3">
      <c r="A1431" t="s">
        <v>361</v>
      </c>
      <c r="B1431">
        <f>IFERROR(INDEX(MASTER_REGISTER!C:C,MATCH(C1431,MASTER_REGISTER!E:E,0)),"")</f>
        <v>12</v>
      </c>
      <c r="C1431" t="s">
        <v>284</v>
      </c>
      <c r="D1431" t="str">
        <f>IFERROR(INDEX(MASTER_REGISTER!F:F,MATCH(C1431,MASTER_REGISTER!E:E,0)),"")</f>
        <v>Thabo Ramushu</v>
      </c>
      <c r="E1431" t="s">
        <v>337</v>
      </c>
      <c r="F1431" t="s">
        <v>338</v>
      </c>
      <c r="G1431" t="s">
        <v>339</v>
      </c>
    </row>
    <row r="1432" spans="1:8" x14ac:dyDescent="0.3">
      <c r="A1432" t="s">
        <v>361</v>
      </c>
      <c r="B1432">
        <f>IFERROR(INDEX(MASTER_REGISTER!C:C,MATCH(C1432,MASTER_REGISTER!E:E,0)),"")</f>
        <v>12</v>
      </c>
      <c r="C1432" t="s">
        <v>288</v>
      </c>
      <c r="D1432" t="str">
        <f>IFERROR(INDEX(MASTER_REGISTER!F:F,MATCH(C1432,MASTER_REGISTER!E:E,0)),"")</f>
        <v>Lwazi Ndlovu</v>
      </c>
      <c r="E1432" t="s">
        <v>337</v>
      </c>
      <c r="F1432" t="s">
        <v>338</v>
      </c>
      <c r="G1432" t="s">
        <v>339</v>
      </c>
    </row>
    <row r="1433" spans="1:8" x14ac:dyDescent="0.3">
      <c r="A1433" t="s">
        <v>361</v>
      </c>
      <c r="B1433">
        <f>IFERROR(INDEX(MASTER_REGISTER!C:C,MATCH(C1433,MASTER_REGISTER!E:E,0)),"")</f>
        <v>12</v>
      </c>
      <c r="C1433" t="s">
        <v>292</v>
      </c>
      <c r="D1433" t="str">
        <f>IFERROR(INDEX(MASTER_REGISTER!F:F,MATCH(C1433,MASTER_REGISTER!E:E,0)),"")</f>
        <v>Ayanda Dlamini</v>
      </c>
      <c r="E1433" t="s">
        <v>335</v>
      </c>
      <c r="H1433" t="s">
        <v>340</v>
      </c>
    </row>
    <row r="1434" spans="1:8" x14ac:dyDescent="0.3">
      <c r="A1434" t="s">
        <v>361</v>
      </c>
      <c r="B1434">
        <f>IFERROR(INDEX(MASTER_REGISTER!C:C,MATCH(C1434,MASTER_REGISTER!E:E,0)),"")</f>
        <v>12</v>
      </c>
      <c r="C1434" t="s">
        <v>296</v>
      </c>
      <c r="D1434" t="str">
        <f>IFERROR(INDEX(MASTER_REGISTER!F:F,MATCH(C1434,MASTER_REGISTER!E:E,0)),"")</f>
        <v>Neo Ndlovu</v>
      </c>
      <c r="E1434" t="s">
        <v>337</v>
      </c>
      <c r="F1434" t="s">
        <v>338</v>
      </c>
      <c r="G1434" t="s">
        <v>339</v>
      </c>
    </row>
    <row r="1435" spans="1:8" x14ac:dyDescent="0.3">
      <c r="A1435" t="s">
        <v>361</v>
      </c>
      <c r="B1435">
        <f>IFERROR(INDEX(MASTER_REGISTER!C:C,MATCH(C1435,MASTER_REGISTER!E:E,0)),"")</f>
        <v>12</v>
      </c>
      <c r="C1435" t="s">
        <v>300</v>
      </c>
      <c r="D1435" t="str">
        <f>IFERROR(INDEX(MASTER_REGISTER!F:F,MATCH(C1435,MASTER_REGISTER!E:E,0)),"")</f>
        <v>Neo Ramushu</v>
      </c>
      <c r="E1435" t="s">
        <v>337</v>
      </c>
      <c r="F1435" t="s">
        <v>338</v>
      </c>
      <c r="G1435" t="s">
        <v>339</v>
      </c>
    </row>
    <row r="1436" spans="1:8" x14ac:dyDescent="0.3">
      <c r="A1436" t="s">
        <v>361</v>
      </c>
      <c r="B1436">
        <f>IFERROR(INDEX(MASTER_REGISTER!C:C,MATCH(C1436,MASTER_REGISTER!E:E,0)),"")</f>
        <v>12</v>
      </c>
      <c r="C1436" t="s">
        <v>304</v>
      </c>
      <c r="D1436" t="str">
        <f>IFERROR(INDEX(MASTER_REGISTER!F:F,MATCH(C1436,MASTER_REGISTER!E:E,0)),"")</f>
        <v>Karabo Baloyi</v>
      </c>
      <c r="E1436" t="s">
        <v>337</v>
      </c>
      <c r="F1436" t="s">
        <v>338</v>
      </c>
      <c r="G1436" t="s">
        <v>339</v>
      </c>
    </row>
    <row r="1437" spans="1:8" x14ac:dyDescent="0.3">
      <c r="A1437" t="s">
        <v>361</v>
      </c>
      <c r="B1437">
        <f>IFERROR(INDEX(MASTER_REGISTER!C:C,MATCH(C1437,MASTER_REGISTER!E:E,0)),"")</f>
        <v>12</v>
      </c>
      <c r="C1437" t="s">
        <v>308</v>
      </c>
      <c r="D1437" t="str">
        <f>IFERROR(INDEX(MASTER_REGISTER!F:F,MATCH(C1437,MASTER_REGISTER!E:E,0)),"")</f>
        <v>Tshepo Mokgadi</v>
      </c>
      <c r="E1437" t="s">
        <v>337</v>
      </c>
      <c r="F1437" t="s">
        <v>338</v>
      </c>
      <c r="G1437" t="s">
        <v>339</v>
      </c>
    </row>
    <row r="1438" spans="1:8" x14ac:dyDescent="0.3">
      <c r="A1438" t="s">
        <v>361</v>
      </c>
      <c r="B1438">
        <f>IFERROR(INDEX(MASTER_REGISTER!C:C,MATCH(C1438,MASTER_REGISTER!E:E,0)),"")</f>
        <v>12</v>
      </c>
      <c r="C1438" t="s">
        <v>311</v>
      </c>
      <c r="D1438" t="str">
        <f>IFERROR(INDEX(MASTER_REGISTER!F:F,MATCH(C1438,MASTER_REGISTER!E:E,0)),"")</f>
        <v>Sifiso Mavuso</v>
      </c>
      <c r="E1438" t="s">
        <v>337</v>
      </c>
      <c r="F1438" t="s">
        <v>338</v>
      </c>
      <c r="G1438" t="s">
        <v>339</v>
      </c>
    </row>
    <row r="1439" spans="1:8" x14ac:dyDescent="0.3">
      <c r="A1439" t="s">
        <v>361</v>
      </c>
      <c r="B1439">
        <f>IFERROR(INDEX(MASTER_REGISTER!C:C,MATCH(C1439,MASTER_REGISTER!E:E,0)),"")</f>
        <v>12</v>
      </c>
      <c r="C1439" t="s">
        <v>315</v>
      </c>
      <c r="D1439" t="str">
        <f>IFERROR(INDEX(MASTER_REGISTER!F:F,MATCH(C1439,MASTER_REGISTER!E:E,0)),"")</f>
        <v>Refilwe Sithole</v>
      </c>
      <c r="E1439" t="s">
        <v>337</v>
      </c>
      <c r="F1439" t="s">
        <v>338</v>
      </c>
      <c r="G1439" t="s">
        <v>339</v>
      </c>
    </row>
    <row r="1440" spans="1:8" x14ac:dyDescent="0.3">
      <c r="A1440" t="s">
        <v>361</v>
      </c>
      <c r="B1440">
        <f>IFERROR(INDEX(MASTER_REGISTER!C:C,MATCH(C1440,MASTER_REGISTER!E:E,0)),"")</f>
        <v>12</v>
      </c>
      <c r="C1440" t="s">
        <v>319</v>
      </c>
      <c r="D1440" t="str">
        <f>IFERROR(INDEX(MASTER_REGISTER!F:F,MATCH(C1440,MASTER_REGISTER!E:E,0)),"")</f>
        <v>Lerato Sithole</v>
      </c>
      <c r="E1440" t="s">
        <v>337</v>
      </c>
      <c r="F1440" t="s">
        <v>338</v>
      </c>
      <c r="G1440" t="s">
        <v>339</v>
      </c>
    </row>
    <row r="1441" spans="1:8" x14ac:dyDescent="0.3">
      <c r="A1441" t="s">
        <v>361</v>
      </c>
      <c r="B1441">
        <f>IFERROR(INDEX(MASTER_REGISTER!C:C,MATCH(C1441,MASTER_REGISTER!E:E,0)),"")</f>
        <v>12</v>
      </c>
      <c r="C1441" t="s">
        <v>323</v>
      </c>
      <c r="D1441" t="str">
        <f>IFERROR(INDEX(MASTER_REGISTER!F:F,MATCH(C1441,MASTER_REGISTER!E:E,0)),"")</f>
        <v>Sibusiso Ngobeni</v>
      </c>
      <c r="E1441" t="s">
        <v>337</v>
      </c>
      <c r="F1441" t="s">
        <v>338</v>
      </c>
      <c r="G1441" t="s">
        <v>339</v>
      </c>
    </row>
    <row r="1442" spans="1:8" x14ac:dyDescent="0.3">
      <c r="A1442" t="s">
        <v>362</v>
      </c>
      <c r="B1442">
        <f>IFERROR(INDEX(MASTER_REGISTER!C:C,MATCH(C1442,MASTER_REGISTER!E:E,0)),"")</f>
        <v>8</v>
      </c>
      <c r="C1442" t="s">
        <v>50</v>
      </c>
      <c r="D1442" t="str">
        <f>IFERROR(INDEX(MASTER_REGISTER!F:F,MATCH(C1442,MASTER_REGISTER!E:E,0)),"")</f>
        <v>Lerato Nkosi</v>
      </c>
      <c r="E1442" t="s">
        <v>337</v>
      </c>
      <c r="F1442" t="s">
        <v>338</v>
      </c>
      <c r="G1442" t="s">
        <v>339</v>
      </c>
    </row>
    <row r="1443" spans="1:8" x14ac:dyDescent="0.3">
      <c r="A1443" t="s">
        <v>362</v>
      </c>
      <c r="B1443">
        <f>IFERROR(INDEX(MASTER_REGISTER!C:C,MATCH(C1443,MASTER_REGISTER!E:E,0)),"")</f>
        <v>8</v>
      </c>
      <c r="C1443" t="s">
        <v>58</v>
      </c>
      <c r="D1443" t="str">
        <f>IFERROR(INDEX(MASTER_REGISTER!F:F,MATCH(C1443,MASTER_REGISTER!E:E,0)),"")</f>
        <v>Karabo Maseko</v>
      </c>
      <c r="E1443" t="s">
        <v>335</v>
      </c>
      <c r="H1443" t="s">
        <v>336</v>
      </c>
    </row>
    <row r="1444" spans="1:8" x14ac:dyDescent="0.3">
      <c r="A1444" t="s">
        <v>362</v>
      </c>
      <c r="B1444">
        <f>IFERROR(INDEX(MASTER_REGISTER!C:C,MATCH(C1444,MASTER_REGISTER!E:E,0)),"")</f>
        <v>8</v>
      </c>
      <c r="C1444" t="s">
        <v>64</v>
      </c>
      <c r="D1444" t="str">
        <f>IFERROR(INDEX(MASTER_REGISTER!F:F,MATCH(C1444,MASTER_REGISTER!E:E,0)),"")</f>
        <v>Sifiso Sithole</v>
      </c>
      <c r="E1444" t="s">
        <v>337</v>
      </c>
      <c r="F1444" t="s">
        <v>338</v>
      </c>
      <c r="G1444" t="s">
        <v>339</v>
      </c>
    </row>
    <row r="1445" spans="1:8" x14ac:dyDescent="0.3">
      <c r="A1445" t="s">
        <v>362</v>
      </c>
      <c r="B1445">
        <f>IFERROR(INDEX(MASTER_REGISTER!C:C,MATCH(C1445,MASTER_REGISTER!E:E,0)),"")</f>
        <v>8</v>
      </c>
      <c r="C1445" t="s">
        <v>70</v>
      </c>
      <c r="D1445" t="str">
        <f>IFERROR(INDEX(MASTER_REGISTER!F:F,MATCH(C1445,MASTER_REGISTER!E:E,0)),"")</f>
        <v>Tshepo Ndlovu</v>
      </c>
      <c r="E1445" t="s">
        <v>337</v>
      </c>
      <c r="F1445" t="s">
        <v>338</v>
      </c>
      <c r="G1445" t="s">
        <v>339</v>
      </c>
    </row>
    <row r="1446" spans="1:8" x14ac:dyDescent="0.3">
      <c r="A1446" t="s">
        <v>362</v>
      </c>
      <c r="B1446">
        <f>IFERROR(INDEX(MASTER_REGISTER!C:C,MATCH(C1446,MASTER_REGISTER!E:E,0)),"")</f>
        <v>8</v>
      </c>
      <c r="C1446" t="s">
        <v>76</v>
      </c>
      <c r="D1446" t="str">
        <f>IFERROR(INDEX(MASTER_REGISTER!F:F,MATCH(C1446,MASTER_REGISTER!E:E,0)),"")</f>
        <v>Lwazi Mthembu</v>
      </c>
      <c r="E1446" t="s">
        <v>337</v>
      </c>
      <c r="F1446" t="s">
        <v>338</v>
      </c>
      <c r="G1446" t="s">
        <v>339</v>
      </c>
    </row>
    <row r="1447" spans="1:8" x14ac:dyDescent="0.3">
      <c r="A1447" t="s">
        <v>362</v>
      </c>
      <c r="B1447">
        <f>IFERROR(INDEX(MASTER_REGISTER!C:C,MATCH(C1447,MASTER_REGISTER!E:E,0)),"")</f>
        <v>8</v>
      </c>
      <c r="C1447" t="s">
        <v>82</v>
      </c>
      <c r="D1447" t="str">
        <f>IFERROR(INDEX(MASTER_REGISTER!F:F,MATCH(C1447,MASTER_REGISTER!E:E,0)),"")</f>
        <v>Karabo Ngobeni</v>
      </c>
      <c r="E1447" t="s">
        <v>337</v>
      </c>
      <c r="F1447" t="s">
        <v>338</v>
      </c>
      <c r="G1447" t="s">
        <v>339</v>
      </c>
    </row>
    <row r="1448" spans="1:8" x14ac:dyDescent="0.3">
      <c r="A1448" t="s">
        <v>362</v>
      </c>
      <c r="B1448">
        <f>IFERROR(INDEX(MASTER_REGISTER!C:C,MATCH(C1448,MASTER_REGISTER!E:E,0)),"")</f>
        <v>8</v>
      </c>
      <c r="C1448" t="s">
        <v>88</v>
      </c>
      <c r="D1448" t="str">
        <f>IFERROR(INDEX(MASTER_REGISTER!F:F,MATCH(C1448,MASTER_REGISTER!E:E,0)),"")</f>
        <v>Mpho Sithole</v>
      </c>
      <c r="E1448" t="s">
        <v>337</v>
      </c>
      <c r="F1448" t="s">
        <v>338</v>
      </c>
      <c r="G1448" t="s">
        <v>339</v>
      </c>
    </row>
    <row r="1449" spans="1:8" x14ac:dyDescent="0.3">
      <c r="A1449" t="s">
        <v>362</v>
      </c>
      <c r="B1449">
        <f>IFERROR(INDEX(MASTER_REGISTER!C:C,MATCH(C1449,MASTER_REGISTER!E:E,0)),"")</f>
        <v>8</v>
      </c>
      <c r="C1449" t="s">
        <v>94</v>
      </c>
      <c r="D1449" t="str">
        <f>IFERROR(INDEX(MASTER_REGISTER!F:F,MATCH(C1449,MASTER_REGISTER!E:E,0)),"")</f>
        <v>Tshepo Ramushu</v>
      </c>
      <c r="E1449" t="s">
        <v>335</v>
      </c>
      <c r="H1449" t="s">
        <v>342</v>
      </c>
    </row>
    <row r="1450" spans="1:8" x14ac:dyDescent="0.3">
      <c r="A1450" t="s">
        <v>362</v>
      </c>
      <c r="B1450">
        <f>IFERROR(INDEX(MASTER_REGISTER!C:C,MATCH(C1450,MASTER_REGISTER!E:E,0)),"")</f>
        <v>8</v>
      </c>
      <c r="C1450" t="s">
        <v>100</v>
      </c>
      <c r="D1450" t="str">
        <f>IFERROR(INDEX(MASTER_REGISTER!F:F,MATCH(C1450,MASTER_REGISTER!E:E,0)),"")</f>
        <v>Lerato Kekana</v>
      </c>
      <c r="E1450" t="s">
        <v>337</v>
      </c>
      <c r="F1450" t="s">
        <v>338</v>
      </c>
      <c r="G1450" t="s">
        <v>339</v>
      </c>
    </row>
    <row r="1451" spans="1:8" x14ac:dyDescent="0.3">
      <c r="A1451" t="s">
        <v>362</v>
      </c>
      <c r="B1451">
        <f>IFERROR(INDEX(MASTER_REGISTER!C:C,MATCH(C1451,MASTER_REGISTER!E:E,0)),"")</f>
        <v>8</v>
      </c>
      <c r="C1451" t="s">
        <v>106</v>
      </c>
      <c r="D1451" t="str">
        <f>IFERROR(INDEX(MASTER_REGISTER!F:F,MATCH(C1451,MASTER_REGISTER!E:E,0)),"")</f>
        <v>Neo Ngobeni</v>
      </c>
      <c r="E1451" t="s">
        <v>337</v>
      </c>
      <c r="F1451" t="s">
        <v>338</v>
      </c>
      <c r="G1451" t="s">
        <v>339</v>
      </c>
    </row>
    <row r="1452" spans="1:8" x14ac:dyDescent="0.3">
      <c r="A1452" t="s">
        <v>362</v>
      </c>
      <c r="B1452">
        <f>IFERROR(INDEX(MASTER_REGISTER!C:C,MATCH(C1452,MASTER_REGISTER!E:E,0)),"")</f>
        <v>8</v>
      </c>
      <c r="C1452" t="s">
        <v>112</v>
      </c>
      <c r="D1452" t="str">
        <f>IFERROR(INDEX(MASTER_REGISTER!F:F,MATCH(C1452,MASTER_REGISTER!E:E,0)),"")</f>
        <v>Thabo Mokgadi</v>
      </c>
      <c r="E1452" t="s">
        <v>337</v>
      </c>
      <c r="F1452" t="s">
        <v>338</v>
      </c>
      <c r="G1452" t="s">
        <v>339</v>
      </c>
    </row>
    <row r="1453" spans="1:8" x14ac:dyDescent="0.3">
      <c r="A1453" t="s">
        <v>362</v>
      </c>
      <c r="B1453">
        <f>IFERROR(INDEX(MASTER_REGISTER!C:C,MATCH(C1453,MASTER_REGISTER!E:E,0)),"")</f>
        <v>8</v>
      </c>
      <c r="C1453" t="s">
        <v>118</v>
      </c>
      <c r="D1453" t="str">
        <f>IFERROR(INDEX(MASTER_REGISTER!F:F,MATCH(C1453,MASTER_REGISTER!E:E,0)),"")</f>
        <v>Sifiso Mthembu</v>
      </c>
      <c r="E1453" t="s">
        <v>337</v>
      </c>
      <c r="F1453" t="s">
        <v>338</v>
      </c>
      <c r="G1453" t="s">
        <v>339</v>
      </c>
    </row>
    <row r="1454" spans="1:8" x14ac:dyDescent="0.3">
      <c r="A1454" t="s">
        <v>362</v>
      </c>
      <c r="B1454">
        <f>IFERROR(INDEX(MASTER_REGISTER!C:C,MATCH(C1454,MASTER_REGISTER!E:E,0)),"")</f>
        <v>9</v>
      </c>
      <c r="C1454" t="s">
        <v>123</v>
      </c>
      <c r="D1454" t="str">
        <f>IFERROR(INDEX(MASTER_REGISTER!F:F,MATCH(C1454,MASTER_REGISTER!E:E,0)),"")</f>
        <v>Karabo Phiri</v>
      </c>
      <c r="E1454" t="s">
        <v>337</v>
      </c>
      <c r="F1454" t="s">
        <v>338</v>
      </c>
      <c r="G1454" t="s">
        <v>339</v>
      </c>
    </row>
    <row r="1455" spans="1:8" x14ac:dyDescent="0.3">
      <c r="A1455" t="s">
        <v>362</v>
      </c>
      <c r="B1455">
        <f>IFERROR(INDEX(MASTER_REGISTER!C:C,MATCH(C1455,MASTER_REGISTER!E:E,0)),"")</f>
        <v>9</v>
      </c>
      <c r="C1455" t="s">
        <v>128</v>
      </c>
      <c r="D1455" t="str">
        <f>IFERROR(INDEX(MASTER_REGISTER!F:F,MATCH(C1455,MASTER_REGISTER!E:E,0)),"")</f>
        <v>Lerato Mahlangu</v>
      </c>
      <c r="E1455" t="s">
        <v>335</v>
      </c>
      <c r="H1455" t="s">
        <v>341</v>
      </c>
    </row>
    <row r="1456" spans="1:8" x14ac:dyDescent="0.3">
      <c r="A1456" t="s">
        <v>362</v>
      </c>
      <c r="B1456">
        <f>IFERROR(INDEX(MASTER_REGISTER!C:C,MATCH(C1456,MASTER_REGISTER!E:E,0)),"")</f>
        <v>9</v>
      </c>
      <c r="C1456" t="s">
        <v>133</v>
      </c>
      <c r="D1456" t="str">
        <f>IFERROR(INDEX(MASTER_REGISTER!F:F,MATCH(C1456,MASTER_REGISTER!E:E,0)),"")</f>
        <v>Mpho Kekana</v>
      </c>
      <c r="E1456" t="s">
        <v>337</v>
      </c>
      <c r="F1456" t="s">
        <v>338</v>
      </c>
      <c r="G1456" t="s">
        <v>339</v>
      </c>
    </row>
    <row r="1457" spans="1:8" x14ac:dyDescent="0.3">
      <c r="A1457" t="s">
        <v>362</v>
      </c>
      <c r="B1457">
        <f>IFERROR(INDEX(MASTER_REGISTER!C:C,MATCH(C1457,MASTER_REGISTER!E:E,0)),"")</f>
        <v>9</v>
      </c>
      <c r="C1457" t="s">
        <v>138</v>
      </c>
      <c r="D1457" t="str">
        <f>IFERROR(INDEX(MASTER_REGISTER!F:F,MATCH(C1457,MASTER_REGISTER!E:E,0)),"")</f>
        <v>Thabo Molefe</v>
      </c>
      <c r="E1457" t="s">
        <v>335</v>
      </c>
      <c r="H1457" t="s">
        <v>342</v>
      </c>
    </row>
    <row r="1458" spans="1:8" x14ac:dyDescent="0.3">
      <c r="A1458" t="s">
        <v>362</v>
      </c>
      <c r="B1458">
        <f>IFERROR(INDEX(MASTER_REGISTER!C:C,MATCH(C1458,MASTER_REGISTER!E:E,0)),"")</f>
        <v>9</v>
      </c>
      <c r="C1458" t="s">
        <v>143</v>
      </c>
      <c r="D1458" t="str">
        <f>IFERROR(INDEX(MASTER_REGISTER!F:F,MATCH(C1458,MASTER_REGISTER!E:E,0)),"")</f>
        <v>Mpho Ngobeni</v>
      </c>
      <c r="E1458" t="s">
        <v>337</v>
      </c>
      <c r="F1458" t="s">
        <v>338</v>
      </c>
      <c r="G1458" t="s">
        <v>339</v>
      </c>
    </row>
    <row r="1459" spans="1:8" x14ac:dyDescent="0.3">
      <c r="A1459" t="s">
        <v>362</v>
      </c>
      <c r="B1459">
        <f>IFERROR(INDEX(MASTER_REGISTER!C:C,MATCH(C1459,MASTER_REGISTER!E:E,0)),"")</f>
        <v>9</v>
      </c>
      <c r="C1459" t="s">
        <v>148</v>
      </c>
      <c r="D1459" t="str">
        <f>IFERROR(INDEX(MASTER_REGISTER!F:F,MATCH(C1459,MASTER_REGISTER!E:E,0)),"")</f>
        <v>Siyanda Mhlongo</v>
      </c>
      <c r="E1459" t="s">
        <v>337</v>
      </c>
      <c r="F1459" t="s">
        <v>338</v>
      </c>
      <c r="G1459" t="s">
        <v>339</v>
      </c>
    </row>
    <row r="1460" spans="1:8" x14ac:dyDescent="0.3">
      <c r="A1460" t="s">
        <v>362</v>
      </c>
      <c r="B1460">
        <f>IFERROR(INDEX(MASTER_REGISTER!C:C,MATCH(C1460,MASTER_REGISTER!E:E,0)),"")</f>
        <v>9</v>
      </c>
      <c r="C1460" t="s">
        <v>153</v>
      </c>
      <c r="D1460" t="str">
        <f>IFERROR(INDEX(MASTER_REGISTER!F:F,MATCH(C1460,MASTER_REGISTER!E:E,0)),"")</f>
        <v>Siyanda Mahlangu</v>
      </c>
      <c r="E1460" t="s">
        <v>335</v>
      </c>
      <c r="H1460" t="s">
        <v>341</v>
      </c>
    </row>
    <row r="1461" spans="1:8" x14ac:dyDescent="0.3">
      <c r="A1461" t="s">
        <v>362</v>
      </c>
      <c r="B1461">
        <f>IFERROR(INDEX(MASTER_REGISTER!C:C,MATCH(C1461,MASTER_REGISTER!E:E,0)),"")</f>
        <v>9</v>
      </c>
      <c r="C1461" t="s">
        <v>158</v>
      </c>
      <c r="D1461" t="str">
        <f>IFERROR(INDEX(MASTER_REGISTER!F:F,MATCH(C1461,MASTER_REGISTER!E:E,0)),"")</f>
        <v>Sifiso Ramushu</v>
      </c>
      <c r="E1461" t="s">
        <v>337</v>
      </c>
      <c r="F1461" t="s">
        <v>338</v>
      </c>
      <c r="G1461" t="s">
        <v>339</v>
      </c>
    </row>
    <row r="1462" spans="1:8" x14ac:dyDescent="0.3">
      <c r="A1462" t="s">
        <v>362</v>
      </c>
      <c r="B1462">
        <f>IFERROR(INDEX(MASTER_REGISTER!C:C,MATCH(C1462,MASTER_REGISTER!E:E,0)),"")</f>
        <v>9</v>
      </c>
      <c r="C1462" t="s">
        <v>163</v>
      </c>
      <c r="D1462" t="str">
        <f>IFERROR(INDEX(MASTER_REGISTER!F:F,MATCH(C1462,MASTER_REGISTER!E:E,0)),"")</f>
        <v>Nandi Ngobeni</v>
      </c>
      <c r="E1462" t="s">
        <v>335</v>
      </c>
      <c r="H1462" t="s">
        <v>336</v>
      </c>
    </row>
    <row r="1463" spans="1:8" x14ac:dyDescent="0.3">
      <c r="A1463" t="s">
        <v>362</v>
      </c>
      <c r="B1463">
        <f>IFERROR(INDEX(MASTER_REGISTER!C:C,MATCH(C1463,MASTER_REGISTER!E:E,0)),"")</f>
        <v>9</v>
      </c>
      <c r="C1463" t="s">
        <v>168</v>
      </c>
      <c r="D1463" t="str">
        <f>IFERROR(INDEX(MASTER_REGISTER!F:F,MATCH(C1463,MASTER_REGISTER!E:E,0)),"")</f>
        <v>Karabo Mokgadi</v>
      </c>
      <c r="E1463" t="s">
        <v>337</v>
      </c>
      <c r="F1463" t="s">
        <v>338</v>
      </c>
      <c r="G1463" t="s">
        <v>339</v>
      </c>
    </row>
    <row r="1464" spans="1:8" x14ac:dyDescent="0.3">
      <c r="A1464" t="s">
        <v>362</v>
      </c>
      <c r="B1464">
        <f>IFERROR(INDEX(MASTER_REGISTER!C:C,MATCH(C1464,MASTER_REGISTER!E:E,0)),"")</f>
        <v>9</v>
      </c>
      <c r="C1464" t="s">
        <v>173</v>
      </c>
      <c r="D1464" t="str">
        <f>IFERROR(INDEX(MASTER_REGISTER!F:F,MATCH(C1464,MASTER_REGISTER!E:E,0)),"")</f>
        <v>Sifiso Mahlangu</v>
      </c>
      <c r="E1464" t="s">
        <v>337</v>
      </c>
      <c r="F1464" t="s">
        <v>338</v>
      </c>
      <c r="G1464" t="s">
        <v>339</v>
      </c>
    </row>
    <row r="1465" spans="1:8" x14ac:dyDescent="0.3">
      <c r="A1465" t="s">
        <v>362</v>
      </c>
      <c r="B1465">
        <f>IFERROR(INDEX(MASTER_REGISTER!C:C,MATCH(C1465,MASTER_REGISTER!E:E,0)),"")</f>
        <v>9</v>
      </c>
      <c r="C1465" t="s">
        <v>178</v>
      </c>
      <c r="D1465" t="str">
        <f>IFERROR(INDEX(MASTER_REGISTER!F:F,MATCH(C1465,MASTER_REGISTER!E:E,0)),"")</f>
        <v>Kgothatso Radebe</v>
      </c>
      <c r="E1465" t="s">
        <v>337</v>
      </c>
      <c r="F1465" t="s">
        <v>338</v>
      </c>
      <c r="G1465" t="s">
        <v>339</v>
      </c>
    </row>
    <row r="1466" spans="1:8" x14ac:dyDescent="0.3">
      <c r="A1466" t="s">
        <v>362</v>
      </c>
      <c r="B1466">
        <f>IFERROR(INDEX(MASTER_REGISTER!C:C,MATCH(C1466,MASTER_REGISTER!E:E,0)),"")</f>
        <v>10</v>
      </c>
      <c r="C1466" t="s">
        <v>183</v>
      </c>
      <c r="D1466" t="str">
        <f>IFERROR(INDEX(MASTER_REGISTER!F:F,MATCH(C1466,MASTER_REGISTER!E:E,0)),"")</f>
        <v>Lerato Maseko</v>
      </c>
      <c r="E1466" t="s">
        <v>337</v>
      </c>
      <c r="F1466" t="s">
        <v>338</v>
      </c>
      <c r="G1466" t="s">
        <v>339</v>
      </c>
    </row>
    <row r="1467" spans="1:8" x14ac:dyDescent="0.3">
      <c r="A1467" t="s">
        <v>362</v>
      </c>
      <c r="B1467">
        <f>IFERROR(INDEX(MASTER_REGISTER!C:C,MATCH(C1467,MASTER_REGISTER!E:E,0)),"")</f>
        <v>10</v>
      </c>
      <c r="C1467" t="s">
        <v>188</v>
      </c>
      <c r="D1467" t="str">
        <f>IFERROR(INDEX(MASTER_REGISTER!F:F,MATCH(C1467,MASTER_REGISTER!E:E,0)),"")</f>
        <v>Sibusiso Molefe</v>
      </c>
      <c r="E1467" t="s">
        <v>337</v>
      </c>
      <c r="F1467" t="s">
        <v>338</v>
      </c>
      <c r="G1467" t="s">
        <v>339</v>
      </c>
    </row>
    <row r="1468" spans="1:8" x14ac:dyDescent="0.3">
      <c r="A1468" t="s">
        <v>362</v>
      </c>
      <c r="B1468">
        <f>IFERROR(INDEX(MASTER_REGISTER!C:C,MATCH(C1468,MASTER_REGISTER!E:E,0)),"")</f>
        <v>10</v>
      </c>
      <c r="C1468" t="s">
        <v>193</v>
      </c>
      <c r="D1468" t="str">
        <f>IFERROR(INDEX(MASTER_REGISTER!F:F,MATCH(C1468,MASTER_REGISTER!E:E,0)),"")</f>
        <v>Nandi Molefe</v>
      </c>
      <c r="E1468" t="s">
        <v>337</v>
      </c>
      <c r="F1468" t="s">
        <v>338</v>
      </c>
      <c r="G1468" t="s">
        <v>339</v>
      </c>
    </row>
    <row r="1469" spans="1:8" x14ac:dyDescent="0.3">
      <c r="A1469" t="s">
        <v>362</v>
      </c>
      <c r="B1469">
        <f>IFERROR(INDEX(MASTER_REGISTER!C:C,MATCH(C1469,MASTER_REGISTER!E:E,0)),"")</f>
        <v>10</v>
      </c>
      <c r="C1469" t="s">
        <v>198</v>
      </c>
      <c r="D1469" t="str">
        <f>IFERROR(INDEX(MASTER_REGISTER!F:F,MATCH(C1469,MASTER_REGISTER!E:E,0)),"")</f>
        <v>Kgothatso Baloyi</v>
      </c>
      <c r="E1469" t="s">
        <v>337</v>
      </c>
      <c r="F1469" t="s">
        <v>338</v>
      </c>
      <c r="G1469" t="s">
        <v>339</v>
      </c>
    </row>
    <row r="1470" spans="1:8" x14ac:dyDescent="0.3">
      <c r="A1470" t="s">
        <v>362</v>
      </c>
      <c r="B1470">
        <f>IFERROR(INDEX(MASTER_REGISTER!C:C,MATCH(C1470,MASTER_REGISTER!E:E,0)),"")</f>
        <v>10</v>
      </c>
      <c r="C1470" t="s">
        <v>202</v>
      </c>
      <c r="D1470" t="str">
        <f>IFERROR(INDEX(MASTER_REGISTER!F:F,MATCH(C1470,MASTER_REGISTER!E:E,0)),"")</f>
        <v>Ayanda Mokoena</v>
      </c>
      <c r="E1470" t="s">
        <v>335</v>
      </c>
      <c r="H1470" t="s">
        <v>336</v>
      </c>
    </row>
    <row r="1471" spans="1:8" x14ac:dyDescent="0.3">
      <c r="A1471" t="s">
        <v>362</v>
      </c>
      <c r="B1471">
        <f>IFERROR(INDEX(MASTER_REGISTER!C:C,MATCH(C1471,MASTER_REGISTER!E:E,0)),"")</f>
        <v>10</v>
      </c>
      <c r="C1471" t="s">
        <v>206</v>
      </c>
      <c r="D1471" t="str">
        <f>IFERROR(INDEX(MASTER_REGISTER!F:F,MATCH(C1471,MASTER_REGISTER!E:E,0)),"")</f>
        <v>Lwazi Baloyi</v>
      </c>
      <c r="E1471" t="s">
        <v>337</v>
      </c>
      <c r="F1471" t="s">
        <v>338</v>
      </c>
      <c r="G1471" t="s">
        <v>339</v>
      </c>
    </row>
    <row r="1472" spans="1:8" x14ac:dyDescent="0.3">
      <c r="A1472" t="s">
        <v>362</v>
      </c>
      <c r="B1472">
        <f>IFERROR(INDEX(MASTER_REGISTER!C:C,MATCH(C1472,MASTER_REGISTER!E:E,0)),"")</f>
        <v>10</v>
      </c>
      <c r="C1472" t="s">
        <v>210</v>
      </c>
      <c r="D1472" t="str">
        <f>IFERROR(INDEX(MASTER_REGISTER!F:F,MATCH(C1472,MASTER_REGISTER!E:E,0)),"")</f>
        <v>Siyanda Mokoena</v>
      </c>
      <c r="E1472" t="s">
        <v>337</v>
      </c>
      <c r="F1472" t="s">
        <v>338</v>
      </c>
      <c r="G1472" t="s">
        <v>339</v>
      </c>
    </row>
    <row r="1473" spans="1:7" x14ac:dyDescent="0.3">
      <c r="A1473" t="s">
        <v>362</v>
      </c>
      <c r="B1473">
        <f>IFERROR(INDEX(MASTER_REGISTER!C:C,MATCH(C1473,MASTER_REGISTER!E:E,0)),"")</f>
        <v>10</v>
      </c>
      <c r="C1473" t="s">
        <v>214</v>
      </c>
      <c r="D1473" t="str">
        <f>IFERROR(INDEX(MASTER_REGISTER!F:F,MATCH(C1473,MASTER_REGISTER!E:E,0)),"")</f>
        <v>Mpho Ngobeni</v>
      </c>
      <c r="E1473" t="s">
        <v>337</v>
      </c>
      <c r="F1473" t="s">
        <v>338</v>
      </c>
      <c r="G1473" t="s">
        <v>339</v>
      </c>
    </row>
    <row r="1474" spans="1:7" x14ac:dyDescent="0.3">
      <c r="A1474" t="s">
        <v>362</v>
      </c>
      <c r="B1474">
        <f>IFERROR(INDEX(MASTER_REGISTER!C:C,MATCH(C1474,MASTER_REGISTER!E:E,0)),"")</f>
        <v>10</v>
      </c>
      <c r="C1474" t="s">
        <v>217</v>
      </c>
      <c r="D1474" t="str">
        <f>IFERROR(INDEX(MASTER_REGISTER!F:F,MATCH(C1474,MASTER_REGISTER!E:E,0)),"")</f>
        <v>Naledi Makhubela</v>
      </c>
      <c r="E1474" t="s">
        <v>337</v>
      </c>
      <c r="F1474" t="s">
        <v>338</v>
      </c>
      <c r="G1474" t="s">
        <v>339</v>
      </c>
    </row>
    <row r="1475" spans="1:7" x14ac:dyDescent="0.3">
      <c r="A1475" t="s">
        <v>362</v>
      </c>
      <c r="B1475">
        <f>IFERROR(INDEX(MASTER_REGISTER!C:C,MATCH(C1475,MASTER_REGISTER!E:E,0)),"")</f>
        <v>10</v>
      </c>
      <c r="C1475" t="s">
        <v>221</v>
      </c>
      <c r="D1475" t="str">
        <f>IFERROR(INDEX(MASTER_REGISTER!F:F,MATCH(C1475,MASTER_REGISTER!E:E,0)),"")</f>
        <v>Kgothatso Mokoena</v>
      </c>
      <c r="E1475" t="s">
        <v>337</v>
      </c>
      <c r="F1475" t="s">
        <v>338</v>
      </c>
      <c r="G1475" t="s">
        <v>339</v>
      </c>
    </row>
    <row r="1476" spans="1:7" x14ac:dyDescent="0.3">
      <c r="A1476" t="s">
        <v>362</v>
      </c>
      <c r="B1476">
        <f>IFERROR(INDEX(MASTER_REGISTER!C:C,MATCH(C1476,MASTER_REGISTER!E:E,0)),"")</f>
        <v>10</v>
      </c>
      <c r="C1476" t="s">
        <v>225</v>
      </c>
      <c r="D1476" t="str">
        <f>IFERROR(INDEX(MASTER_REGISTER!F:F,MATCH(C1476,MASTER_REGISTER!E:E,0)),"")</f>
        <v>Bongani Makhubela</v>
      </c>
      <c r="E1476" t="s">
        <v>337</v>
      </c>
      <c r="F1476" t="s">
        <v>338</v>
      </c>
      <c r="G1476" t="s">
        <v>339</v>
      </c>
    </row>
    <row r="1477" spans="1:7" x14ac:dyDescent="0.3">
      <c r="A1477" t="s">
        <v>362</v>
      </c>
      <c r="B1477">
        <f>IFERROR(INDEX(MASTER_REGISTER!C:C,MATCH(C1477,MASTER_REGISTER!E:E,0)),"")</f>
        <v>10</v>
      </c>
      <c r="C1477" t="s">
        <v>229</v>
      </c>
      <c r="D1477" t="str">
        <f>IFERROR(INDEX(MASTER_REGISTER!F:F,MATCH(C1477,MASTER_REGISTER!E:E,0)),"")</f>
        <v>Kagiso Kekana</v>
      </c>
      <c r="E1477" t="s">
        <v>337</v>
      </c>
      <c r="F1477" t="s">
        <v>338</v>
      </c>
      <c r="G1477" t="s">
        <v>339</v>
      </c>
    </row>
    <row r="1478" spans="1:7" x14ac:dyDescent="0.3">
      <c r="A1478" t="s">
        <v>362</v>
      </c>
      <c r="B1478">
        <f>IFERROR(INDEX(MASTER_REGISTER!C:C,MATCH(C1478,MASTER_REGISTER!E:E,0)),"")</f>
        <v>11</v>
      </c>
      <c r="C1478" t="s">
        <v>233</v>
      </c>
      <c r="D1478" t="str">
        <f>IFERROR(INDEX(MASTER_REGISTER!F:F,MATCH(C1478,MASTER_REGISTER!E:E,0)),"")</f>
        <v>Lwazi Makhubela</v>
      </c>
      <c r="E1478" t="s">
        <v>337</v>
      </c>
      <c r="F1478" t="s">
        <v>338</v>
      </c>
      <c r="G1478" t="s">
        <v>339</v>
      </c>
    </row>
    <row r="1479" spans="1:7" x14ac:dyDescent="0.3">
      <c r="A1479" t="s">
        <v>362</v>
      </c>
      <c r="B1479">
        <f>IFERROR(INDEX(MASTER_REGISTER!C:C,MATCH(C1479,MASTER_REGISTER!E:E,0)),"")</f>
        <v>11</v>
      </c>
      <c r="C1479" t="s">
        <v>237</v>
      </c>
      <c r="D1479" t="str">
        <f>IFERROR(INDEX(MASTER_REGISTER!F:F,MATCH(C1479,MASTER_REGISTER!E:E,0)),"")</f>
        <v>Lebogang Ramushu</v>
      </c>
      <c r="E1479" t="s">
        <v>337</v>
      </c>
      <c r="F1479" t="s">
        <v>338</v>
      </c>
      <c r="G1479" t="s">
        <v>339</v>
      </c>
    </row>
    <row r="1480" spans="1:7" x14ac:dyDescent="0.3">
      <c r="A1480" t="s">
        <v>362</v>
      </c>
      <c r="B1480">
        <f>IFERROR(INDEX(MASTER_REGISTER!C:C,MATCH(C1480,MASTER_REGISTER!E:E,0)),"")</f>
        <v>11</v>
      </c>
      <c r="C1480" t="s">
        <v>241</v>
      </c>
      <c r="D1480" t="str">
        <f>IFERROR(INDEX(MASTER_REGISTER!F:F,MATCH(C1480,MASTER_REGISTER!E:E,0)),"")</f>
        <v>Lerato Kekana</v>
      </c>
      <c r="E1480" t="s">
        <v>337</v>
      </c>
      <c r="F1480" t="s">
        <v>338</v>
      </c>
      <c r="G1480" t="s">
        <v>339</v>
      </c>
    </row>
    <row r="1481" spans="1:7" x14ac:dyDescent="0.3">
      <c r="A1481" t="s">
        <v>362</v>
      </c>
      <c r="B1481">
        <f>IFERROR(INDEX(MASTER_REGISTER!C:C,MATCH(C1481,MASTER_REGISTER!E:E,0)),"")</f>
        <v>11</v>
      </c>
      <c r="C1481" t="s">
        <v>244</v>
      </c>
      <c r="D1481" t="str">
        <f>IFERROR(INDEX(MASTER_REGISTER!F:F,MATCH(C1481,MASTER_REGISTER!E:E,0)),"")</f>
        <v>Bongani Ndlovu</v>
      </c>
      <c r="E1481" t="s">
        <v>337</v>
      </c>
      <c r="F1481" t="s">
        <v>338</v>
      </c>
      <c r="G1481" t="s">
        <v>339</v>
      </c>
    </row>
    <row r="1482" spans="1:7" x14ac:dyDescent="0.3">
      <c r="A1482" t="s">
        <v>362</v>
      </c>
      <c r="B1482">
        <f>IFERROR(INDEX(MASTER_REGISTER!C:C,MATCH(C1482,MASTER_REGISTER!E:E,0)),"")</f>
        <v>11</v>
      </c>
      <c r="C1482" t="s">
        <v>248</v>
      </c>
      <c r="D1482" t="str">
        <f>IFERROR(INDEX(MASTER_REGISTER!F:F,MATCH(C1482,MASTER_REGISTER!E:E,0)),"")</f>
        <v>Sifiso Dlamini</v>
      </c>
      <c r="E1482" t="s">
        <v>337</v>
      </c>
      <c r="F1482" t="s">
        <v>338</v>
      </c>
      <c r="G1482" t="s">
        <v>339</v>
      </c>
    </row>
    <row r="1483" spans="1:7" x14ac:dyDescent="0.3">
      <c r="A1483" t="s">
        <v>362</v>
      </c>
      <c r="B1483">
        <f>IFERROR(INDEX(MASTER_REGISTER!C:C,MATCH(C1483,MASTER_REGISTER!E:E,0)),"")</f>
        <v>11</v>
      </c>
      <c r="C1483" t="s">
        <v>252</v>
      </c>
      <c r="D1483" t="str">
        <f>IFERROR(INDEX(MASTER_REGISTER!F:F,MATCH(C1483,MASTER_REGISTER!E:E,0)),"")</f>
        <v>Refilwe Dlamini</v>
      </c>
      <c r="E1483" t="s">
        <v>337</v>
      </c>
      <c r="F1483" t="s">
        <v>338</v>
      </c>
      <c r="G1483" t="s">
        <v>339</v>
      </c>
    </row>
    <row r="1484" spans="1:7" x14ac:dyDescent="0.3">
      <c r="A1484" t="s">
        <v>362</v>
      </c>
      <c r="B1484">
        <f>IFERROR(INDEX(MASTER_REGISTER!C:C,MATCH(C1484,MASTER_REGISTER!E:E,0)),"")</f>
        <v>11</v>
      </c>
      <c r="C1484" t="s">
        <v>256</v>
      </c>
      <c r="D1484" t="str">
        <f>IFERROR(INDEX(MASTER_REGISTER!F:F,MATCH(C1484,MASTER_REGISTER!E:E,0)),"")</f>
        <v>Lwazi Maseko</v>
      </c>
      <c r="E1484" t="s">
        <v>337</v>
      </c>
      <c r="F1484" t="s">
        <v>338</v>
      </c>
      <c r="G1484" t="s">
        <v>339</v>
      </c>
    </row>
    <row r="1485" spans="1:7" x14ac:dyDescent="0.3">
      <c r="A1485" t="s">
        <v>362</v>
      </c>
      <c r="B1485">
        <f>IFERROR(INDEX(MASTER_REGISTER!C:C,MATCH(C1485,MASTER_REGISTER!E:E,0)),"")</f>
        <v>11</v>
      </c>
      <c r="C1485" t="s">
        <v>260</v>
      </c>
      <c r="D1485" t="str">
        <f>IFERROR(INDEX(MASTER_REGISTER!F:F,MATCH(C1485,MASTER_REGISTER!E:E,0)),"")</f>
        <v>Refilwe Mokgadi</v>
      </c>
      <c r="E1485" t="s">
        <v>337</v>
      </c>
      <c r="F1485" t="s">
        <v>338</v>
      </c>
      <c r="G1485" t="s">
        <v>339</v>
      </c>
    </row>
    <row r="1486" spans="1:7" x14ac:dyDescent="0.3">
      <c r="A1486" t="s">
        <v>362</v>
      </c>
      <c r="B1486">
        <f>IFERROR(INDEX(MASTER_REGISTER!C:C,MATCH(C1486,MASTER_REGISTER!E:E,0)),"")</f>
        <v>11</v>
      </c>
      <c r="C1486" t="s">
        <v>264</v>
      </c>
      <c r="D1486" t="str">
        <f>IFERROR(INDEX(MASTER_REGISTER!F:F,MATCH(C1486,MASTER_REGISTER!E:E,0)),"")</f>
        <v>Kgothatso Molefe</v>
      </c>
      <c r="E1486" t="s">
        <v>337</v>
      </c>
      <c r="F1486" t="s">
        <v>338</v>
      </c>
      <c r="G1486" t="s">
        <v>339</v>
      </c>
    </row>
    <row r="1487" spans="1:7" x14ac:dyDescent="0.3">
      <c r="A1487" t="s">
        <v>362</v>
      </c>
      <c r="B1487">
        <f>IFERROR(INDEX(MASTER_REGISTER!C:C,MATCH(C1487,MASTER_REGISTER!E:E,0)),"")</f>
        <v>11</v>
      </c>
      <c r="C1487" t="s">
        <v>268</v>
      </c>
      <c r="D1487" t="str">
        <f>IFERROR(INDEX(MASTER_REGISTER!F:F,MATCH(C1487,MASTER_REGISTER!E:E,0)),"")</f>
        <v>Tshepo Mokgadi</v>
      </c>
      <c r="E1487" t="s">
        <v>337</v>
      </c>
      <c r="F1487" t="s">
        <v>338</v>
      </c>
      <c r="G1487" t="s">
        <v>339</v>
      </c>
    </row>
    <row r="1488" spans="1:7" x14ac:dyDescent="0.3">
      <c r="A1488" t="s">
        <v>362</v>
      </c>
      <c r="B1488">
        <f>IFERROR(INDEX(MASTER_REGISTER!C:C,MATCH(C1488,MASTER_REGISTER!E:E,0)),"")</f>
        <v>11</v>
      </c>
      <c r="C1488" t="s">
        <v>272</v>
      </c>
      <c r="D1488" t="str">
        <f>IFERROR(INDEX(MASTER_REGISTER!F:F,MATCH(C1488,MASTER_REGISTER!E:E,0)),"")</f>
        <v>Tshepo Phiri</v>
      </c>
      <c r="E1488" t="s">
        <v>337</v>
      </c>
      <c r="F1488" t="s">
        <v>338</v>
      </c>
      <c r="G1488" t="s">
        <v>339</v>
      </c>
    </row>
    <row r="1489" spans="1:8" x14ac:dyDescent="0.3">
      <c r="A1489" t="s">
        <v>362</v>
      </c>
      <c r="B1489">
        <f>IFERROR(INDEX(MASTER_REGISTER!C:C,MATCH(C1489,MASTER_REGISTER!E:E,0)),"")</f>
        <v>11</v>
      </c>
      <c r="C1489" t="s">
        <v>276</v>
      </c>
      <c r="D1489" t="str">
        <f>IFERROR(INDEX(MASTER_REGISTER!F:F,MATCH(C1489,MASTER_REGISTER!E:E,0)),"")</f>
        <v>Zanele Ngobeni</v>
      </c>
      <c r="E1489" t="s">
        <v>337</v>
      </c>
      <c r="F1489" t="s">
        <v>338</v>
      </c>
      <c r="G1489" t="s">
        <v>339</v>
      </c>
    </row>
    <row r="1490" spans="1:8" x14ac:dyDescent="0.3">
      <c r="A1490" t="s">
        <v>362</v>
      </c>
      <c r="B1490">
        <f>IFERROR(INDEX(MASTER_REGISTER!C:C,MATCH(C1490,MASTER_REGISTER!E:E,0)),"")</f>
        <v>12</v>
      </c>
      <c r="C1490" t="s">
        <v>280</v>
      </c>
      <c r="D1490" t="str">
        <f>IFERROR(INDEX(MASTER_REGISTER!F:F,MATCH(C1490,MASTER_REGISTER!E:E,0)),"")</f>
        <v>Palesa Mokoena</v>
      </c>
      <c r="E1490" t="s">
        <v>337</v>
      </c>
      <c r="F1490" t="s">
        <v>338</v>
      </c>
      <c r="G1490" t="s">
        <v>339</v>
      </c>
    </row>
    <row r="1491" spans="1:8" x14ac:dyDescent="0.3">
      <c r="A1491" t="s">
        <v>362</v>
      </c>
      <c r="B1491">
        <f>IFERROR(INDEX(MASTER_REGISTER!C:C,MATCH(C1491,MASTER_REGISTER!E:E,0)),"")</f>
        <v>12</v>
      </c>
      <c r="C1491" t="s">
        <v>284</v>
      </c>
      <c r="D1491" t="str">
        <f>IFERROR(INDEX(MASTER_REGISTER!F:F,MATCH(C1491,MASTER_REGISTER!E:E,0)),"")</f>
        <v>Thabo Ramushu</v>
      </c>
      <c r="E1491" t="s">
        <v>337</v>
      </c>
      <c r="F1491" t="s">
        <v>338</v>
      </c>
      <c r="G1491" t="s">
        <v>339</v>
      </c>
    </row>
    <row r="1492" spans="1:8" x14ac:dyDescent="0.3">
      <c r="A1492" t="s">
        <v>362</v>
      </c>
      <c r="B1492">
        <f>IFERROR(INDEX(MASTER_REGISTER!C:C,MATCH(C1492,MASTER_REGISTER!E:E,0)),"")</f>
        <v>12</v>
      </c>
      <c r="C1492" t="s">
        <v>288</v>
      </c>
      <c r="D1492" t="str">
        <f>IFERROR(INDEX(MASTER_REGISTER!F:F,MATCH(C1492,MASTER_REGISTER!E:E,0)),"")</f>
        <v>Lwazi Ndlovu</v>
      </c>
      <c r="E1492" t="s">
        <v>337</v>
      </c>
      <c r="F1492" t="s">
        <v>338</v>
      </c>
      <c r="G1492" t="s">
        <v>339</v>
      </c>
    </row>
    <row r="1493" spans="1:8" x14ac:dyDescent="0.3">
      <c r="A1493" t="s">
        <v>362</v>
      </c>
      <c r="B1493">
        <f>IFERROR(INDEX(MASTER_REGISTER!C:C,MATCH(C1493,MASTER_REGISTER!E:E,0)),"")</f>
        <v>12</v>
      </c>
      <c r="C1493" t="s">
        <v>292</v>
      </c>
      <c r="D1493" t="str">
        <f>IFERROR(INDEX(MASTER_REGISTER!F:F,MATCH(C1493,MASTER_REGISTER!E:E,0)),"")</f>
        <v>Ayanda Dlamini</v>
      </c>
      <c r="E1493" t="s">
        <v>337</v>
      </c>
      <c r="F1493" t="s">
        <v>338</v>
      </c>
      <c r="G1493" t="s">
        <v>339</v>
      </c>
    </row>
    <row r="1494" spans="1:8" x14ac:dyDescent="0.3">
      <c r="A1494" t="s">
        <v>362</v>
      </c>
      <c r="B1494">
        <f>IFERROR(INDEX(MASTER_REGISTER!C:C,MATCH(C1494,MASTER_REGISTER!E:E,0)),"")</f>
        <v>12</v>
      </c>
      <c r="C1494" t="s">
        <v>296</v>
      </c>
      <c r="D1494" t="str">
        <f>IFERROR(INDEX(MASTER_REGISTER!F:F,MATCH(C1494,MASTER_REGISTER!E:E,0)),"")</f>
        <v>Neo Ndlovu</v>
      </c>
      <c r="E1494" t="s">
        <v>337</v>
      </c>
      <c r="F1494" t="s">
        <v>338</v>
      </c>
      <c r="G1494" t="s">
        <v>339</v>
      </c>
    </row>
    <row r="1495" spans="1:8" x14ac:dyDescent="0.3">
      <c r="A1495" t="s">
        <v>362</v>
      </c>
      <c r="B1495">
        <f>IFERROR(INDEX(MASTER_REGISTER!C:C,MATCH(C1495,MASTER_REGISTER!E:E,0)),"")</f>
        <v>12</v>
      </c>
      <c r="C1495" t="s">
        <v>300</v>
      </c>
      <c r="D1495" t="str">
        <f>IFERROR(INDEX(MASTER_REGISTER!F:F,MATCH(C1495,MASTER_REGISTER!E:E,0)),"")</f>
        <v>Neo Ramushu</v>
      </c>
      <c r="E1495" t="s">
        <v>337</v>
      </c>
      <c r="F1495" t="s">
        <v>338</v>
      </c>
      <c r="G1495" t="s">
        <v>339</v>
      </c>
    </row>
    <row r="1496" spans="1:8" x14ac:dyDescent="0.3">
      <c r="A1496" t="s">
        <v>362</v>
      </c>
      <c r="B1496">
        <f>IFERROR(INDEX(MASTER_REGISTER!C:C,MATCH(C1496,MASTER_REGISTER!E:E,0)),"")</f>
        <v>12</v>
      </c>
      <c r="C1496" t="s">
        <v>304</v>
      </c>
      <c r="D1496" t="str">
        <f>IFERROR(INDEX(MASTER_REGISTER!F:F,MATCH(C1496,MASTER_REGISTER!E:E,0)),"")</f>
        <v>Karabo Baloyi</v>
      </c>
      <c r="E1496" t="s">
        <v>337</v>
      </c>
      <c r="F1496" t="s">
        <v>338</v>
      </c>
      <c r="G1496" t="s">
        <v>339</v>
      </c>
    </row>
    <row r="1497" spans="1:8" x14ac:dyDescent="0.3">
      <c r="A1497" t="s">
        <v>362</v>
      </c>
      <c r="B1497">
        <f>IFERROR(INDEX(MASTER_REGISTER!C:C,MATCH(C1497,MASTER_REGISTER!E:E,0)),"")</f>
        <v>12</v>
      </c>
      <c r="C1497" t="s">
        <v>308</v>
      </c>
      <c r="D1497" t="str">
        <f>IFERROR(INDEX(MASTER_REGISTER!F:F,MATCH(C1497,MASTER_REGISTER!E:E,0)),"")</f>
        <v>Tshepo Mokgadi</v>
      </c>
      <c r="E1497" t="s">
        <v>337</v>
      </c>
      <c r="F1497" t="s">
        <v>338</v>
      </c>
      <c r="G1497" t="s">
        <v>339</v>
      </c>
    </row>
    <row r="1498" spans="1:8" x14ac:dyDescent="0.3">
      <c r="A1498" t="s">
        <v>362</v>
      </c>
      <c r="B1498">
        <f>IFERROR(INDEX(MASTER_REGISTER!C:C,MATCH(C1498,MASTER_REGISTER!E:E,0)),"")</f>
        <v>12</v>
      </c>
      <c r="C1498" t="s">
        <v>311</v>
      </c>
      <c r="D1498" t="str">
        <f>IFERROR(INDEX(MASTER_REGISTER!F:F,MATCH(C1498,MASTER_REGISTER!E:E,0)),"")</f>
        <v>Sifiso Mavuso</v>
      </c>
      <c r="E1498" t="s">
        <v>337</v>
      </c>
      <c r="F1498" t="s">
        <v>338</v>
      </c>
      <c r="G1498" t="s">
        <v>339</v>
      </c>
    </row>
    <row r="1499" spans="1:8" x14ac:dyDescent="0.3">
      <c r="A1499" t="s">
        <v>362</v>
      </c>
      <c r="B1499">
        <f>IFERROR(INDEX(MASTER_REGISTER!C:C,MATCH(C1499,MASTER_REGISTER!E:E,0)),"")</f>
        <v>12</v>
      </c>
      <c r="C1499" t="s">
        <v>315</v>
      </c>
      <c r="D1499" t="str">
        <f>IFERROR(INDEX(MASTER_REGISTER!F:F,MATCH(C1499,MASTER_REGISTER!E:E,0)),"")</f>
        <v>Refilwe Sithole</v>
      </c>
      <c r="E1499" t="s">
        <v>335</v>
      </c>
      <c r="H1499" t="s">
        <v>340</v>
      </c>
    </row>
    <row r="1500" spans="1:8" x14ac:dyDescent="0.3">
      <c r="A1500" t="s">
        <v>362</v>
      </c>
      <c r="B1500">
        <f>IFERROR(INDEX(MASTER_REGISTER!C:C,MATCH(C1500,MASTER_REGISTER!E:E,0)),"")</f>
        <v>12</v>
      </c>
      <c r="C1500" t="s">
        <v>319</v>
      </c>
      <c r="D1500" t="str">
        <f>IFERROR(INDEX(MASTER_REGISTER!F:F,MATCH(C1500,MASTER_REGISTER!E:E,0)),"")</f>
        <v>Lerato Sithole</v>
      </c>
      <c r="E1500" t="s">
        <v>337</v>
      </c>
      <c r="F1500" t="s">
        <v>338</v>
      </c>
      <c r="G1500" t="s">
        <v>339</v>
      </c>
    </row>
    <row r="1501" spans="1:8" x14ac:dyDescent="0.3">
      <c r="A1501" t="s">
        <v>362</v>
      </c>
      <c r="B1501">
        <f>IFERROR(INDEX(MASTER_REGISTER!C:C,MATCH(C1501,MASTER_REGISTER!E:E,0)),"")</f>
        <v>12</v>
      </c>
      <c r="C1501" t="s">
        <v>323</v>
      </c>
      <c r="D1501" t="str">
        <f>IFERROR(INDEX(MASTER_REGISTER!F:F,MATCH(C1501,MASTER_REGISTER!E:E,0)),"")</f>
        <v>Sibusiso Ngobeni</v>
      </c>
      <c r="E1501" t="s">
        <v>337</v>
      </c>
      <c r="F1501" t="s">
        <v>338</v>
      </c>
      <c r="G1501" t="s">
        <v>339</v>
      </c>
    </row>
    <row r="1502" spans="1:8" x14ac:dyDescent="0.3">
      <c r="A1502" t="s">
        <v>363</v>
      </c>
      <c r="B1502">
        <f>IFERROR(INDEX(MASTER_REGISTER!C:C,MATCH(C1502,MASTER_REGISTER!E:E,0)),"")</f>
        <v>8</v>
      </c>
      <c r="C1502" t="s">
        <v>50</v>
      </c>
      <c r="D1502" t="str">
        <f>IFERROR(INDEX(MASTER_REGISTER!F:F,MATCH(C1502,MASTER_REGISTER!E:E,0)),"")</f>
        <v>Lerato Nkosi</v>
      </c>
      <c r="E1502" t="s">
        <v>337</v>
      </c>
      <c r="F1502" t="s">
        <v>338</v>
      </c>
      <c r="G1502" t="s">
        <v>339</v>
      </c>
    </row>
    <row r="1503" spans="1:8" x14ac:dyDescent="0.3">
      <c r="A1503" t="s">
        <v>363</v>
      </c>
      <c r="B1503">
        <f>IFERROR(INDEX(MASTER_REGISTER!C:C,MATCH(C1503,MASTER_REGISTER!E:E,0)),"")</f>
        <v>8</v>
      </c>
      <c r="C1503" t="s">
        <v>58</v>
      </c>
      <c r="D1503" t="str">
        <f>IFERROR(INDEX(MASTER_REGISTER!F:F,MATCH(C1503,MASTER_REGISTER!E:E,0)),"")</f>
        <v>Karabo Maseko</v>
      </c>
      <c r="E1503" t="s">
        <v>337</v>
      </c>
      <c r="F1503" t="s">
        <v>338</v>
      </c>
      <c r="G1503" t="s">
        <v>339</v>
      </c>
    </row>
    <row r="1504" spans="1:8" x14ac:dyDescent="0.3">
      <c r="A1504" t="s">
        <v>363</v>
      </c>
      <c r="B1504">
        <f>IFERROR(INDEX(MASTER_REGISTER!C:C,MATCH(C1504,MASTER_REGISTER!E:E,0)),"")</f>
        <v>8</v>
      </c>
      <c r="C1504" t="s">
        <v>64</v>
      </c>
      <c r="D1504" t="str">
        <f>IFERROR(INDEX(MASTER_REGISTER!F:F,MATCH(C1504,MASTER_REGISTER!E:E,0)),"")</f>
        <v>Sifiso Sithole</v>
      </c>
      <c r="E1504" t="s">
        <v>337</v>
      </c>
      <c r="F1504" t="s">
        <v>338</v>
      </c>
      <c r="G1504" t="s">
        <v>339</v>
      </c>
    </row>
    <row r="1505" spans="1:8" x14ac:dyDescent="0.3">
      <c r="A1505" t="s">
        <v>363</v>
      </c>
      <c r="B1505">
        <f>IFERROR(INDEX(MASTER_REGISTER!C:C,MATCH(C1505,MASTER_REGISTER!E:E,0)),"")</f>
        <v>8</v>
      </c>
      <c r="C1505" t="s">
        <v>70</v>
      </c>
      <c r="D1505" t="str">
        <f>IFERROR(INDEX(MASTER_REGISTER!F:F,MATCH(C1505,MASTER_REGISTER!E:E,0)),"")</f>
        <v>Tshepo Ndlovu</v>
      </c>
      <c r="E1505" t="s">
        <v>337</v>
      </c>
      <c r="F1505" t="s">
        <v>338</v>
      </c>
      <c r="G1505" t="s">
        <v>339</v>
      </c>
    </row>
    <row r="1506" spans="1:8" x14ac:dyDescent="0.3">
      <c r="A1506" t="s">
        <v>363</v>
      </c>
      <c r="B1506">
        <f>IFERROR(INDEX(MASTER_REGISTER!C:C,MATCH(C1506,MASTER_REGISTER!E:E,0)),"")</f>
        <v>8</v>
      </c>
      <c r="C1506" t="s">
        <v>76</v>
      </c>
      <c r="D1506" t="str">
        <f>IFERROR(INDEX(MASTER_REGISTER!F:F,MATCH(C1506,MASTER_REGISTER!E:E,0)),"")</f>
        <v>Lwazi Mthembu</v>
      </c>
      <c r="E1506" t="s">
        <v>337</v>
      </c>
      <c r="F1506" t="s">
        <v>338</v>
      </c>
      <c r="G1506" t="s">
        <v>339</v>
      </c>
    </row>
    <row r="1507" spans="1:8" x14ac:dyDescent="0.3">
      <c r="A1507" t="s">
        <v>363</v>
      </c>
      <c r="B1507">
        <f>IFERROR(INDEX(MASTER_REGISTER!C:C,MATCH(C1507,MASTER_REGISTER!E:E,0)),"")</f>
        <v>8</v>
      </c>
      <c r="C1507" t="s">
        <v>82</v>
      </c>
      <c r="D1507" t="str">
        <f>IFERROR(INDEX(MASTER_REGISTER!F:F,MATCH(C1507,MASTER_REGISTER!E:E,0)),"")</f>
        <v>Karabo Ngobeni</v>
      </c>
      <c r="E1507" t="s">
        <v>337</v>
      </c>
      <c r="F1507" t="s">
        <v>338</v>
      </c>
      <c r="G1507" t="s">
        <v>339</v>
      </c>
    </row>
    <row r="1508" spans="1:8" x14ac:dyDescent="0.3">
      <c r="A1508" t="s">
        <v>363</v>
      </c>
      <c r="B1508">
        <f>IFERROR(INDEX(MASTER_REGISTER!C:C,MATCH(C1508,MASTER_REGISTER!E:E,0)),"")</f>
        <v>8</v>
      </c>
      <c r="C1508" t="s">
        <v>88</v>
      </c>
      <c r="D1508" t="str">
        <f>IFERROR(INDEX(MASTER_REGISTER!F:F,MATCH(C1508,MASTER_REGISTER!E:E,0)),"")</f>
        <v>Mpho Sithole</v>
      </c>
      <c r="E1508" t="s">
        <v>337</v>
      </c>
      <c r="F1508" t="s">
        <v>338</v>
      </c>
      <c r="G1508" t="s">
        <v>339</v>
      </c>
    </row>
    <row r="1509" spans="1:8" x14ac:dyDescent="0.3">
      <c r="A1509" t="s">
        <v>363</v>
      </c>
      <c r="B1509">
        <f>IFERROR(INDEX(MASTER_REGISTER!C:C,MATCH(C1509,MASTER_REGISTER!E:E,0)),"")</f>
        <v>8</v>
      </c>
      <c r="C1509" t="s">
        <v>94</v>
      </c>
      <c r="D1509" t="str">
        <f>IFERROR(INDEX(MASTER_REGISTER!F:F,MATCH(C1509,MASTER_REGISTER!E:E,0)),"")</f>
        <v>Tshepo Ramushu</v>
      </c>
      <c r="E1509" t="s">
        <v>337</v>
      </c>
      <c r="F1509" t="s">
        <v>338</v>
      </c>
      <c r="G1509" t="s">
        <v>339</v>
      </c>
    </row>
    <row r="1510" spans="1:8" x14ac:dyDescent="0.3">
      <c r="A1510" t="s">
        <v>363</v>
      </c>
      <c r="B1510">
        <f>IFERROR(INDEX(MASTER_REGISTER!C:C,MATCH(C1510,MASTER_REGISTER!E:E,0)),"")</f>
        <v>8</v>
      </c>
      <c r="C1510" t="s">
        <v>100</v>
      </c>
      <c r="D1510" t="str">
        <f>IFERROR(INDEX(MASTER_REGISTER!F:F,MATCH(C1510,MASTER_REGISTER!E:E,0)),"")</f>
        <v>Lerato Kekana</v>
      </c>
      <c r="E1510" t="s">
        <v>337</v>
      </c>
      <c r="F1510" t="s">
        <v>338</v>
      </c>
      <c r="G1510" t="s">
        <v>339</v>
      </c>
    </row>
    <row r="1511" spans="1:8" x14ac:dyDescent="0.3">
      <c r="A1511" t="s">
        <v>363</v>
      </c>
      <c r="B1511">
        <f>IFERROR(INDEX(MASTER_REGISTER!C:C,MATCH(C1511,MASTER_REGISTER!E:E,0)),"")</f>
        <v>8</v>
      </c>
      <c r="C1511" t="s">
        <v>106</v>
      </c>
      <c r="D1511" t="str">
        <f>IFERROR(INDEX(MASTER_REGISTER!F:F,MATCH(C1511,MASTER_REGISTER!E:E,0)),"")</f>
        <v>Neo Ngobeni</v>
      </c>
      <c r="E1511" t="s">
        <v>337</v>
      </c>
      <c r="F1511" t="s">
        <v>338</v>
      </c>
      <c r="G1511" t="s">
        <v>339</v>
      </c>
    </row>
    <row r="1512" spans="1:8" x14ac:dyDescent="0.3">
      <c r="A1512" t="s">
        <v>363</v>
      </c>
      <c r="B1512">
        <f>IFERROR(INDEX(MASTER_REGISTER!C:C,MATCH(C1512,MASTER_REGISTER!E:E,0)),"")</f>
        <v>8</v>
      </c>
      <c r="C1512" t="s">
        <v>112</v>
      </c>
      <c r="D1512" t="str">
        <f>IFERROR(INDEX(MASTER_REGISTER!F:F,MATCH(C1512,MASTER_REGISTER!E:E,0)),"")</f>
        <v>Thabo Mokgadi</v>
      </c>
      <c r="E1512" t="s">
        <v>337</v>
      </c>
      <c r="F1512" t="s">
        <v>338</v>
      </c>
      <c r="G1512" t="s">
        <v>339</v>
      </c>
    </row>
    <row r="1513" spans="1:8" x14ac:dyDescent="0.3">
      <c r="A1513" t="s">
        <v>363</v>
      </c>
      <c r="B1513">
        <f>IFERROR(INDEX(MASTER_REGISTER!C:C,MATCH(C1513,MASTER_REGISTER!E:E,0)),"")</f>
        <v>8</v>
      </c>
      <c r="C1513" t="s">
        <v>118</v>
      </c>
      <c r="D1513" t="str">
        <f>IFERROR(INDEX(MASTER_REGISTER!F:F,MATCH(C1513,MASTER_REGISTER!E:E,0)),"")</f>
        <v>Sifiso Mthembu</v>
      </c>
      <c r="E1513" t="s">
        <v>337</v>
      </c>
      <c r="F1513" t="s">
        <v>338</v>
      </c>
      <c r="G1513" t="s">
        <v>339</v>
      </c>
    </row>
    <row r="1514" spans="1:8" x14ac:dyDescent="0.3">
      <c r="A1514" t="s">
        <v>363</v>
      </c>
      <c r="B1514">
        <f>IFERROR(INDEX(MASTER_REGISTER!C:C,MATCH(C1514,MASTER_REGISTER!E:E,0)),"")</f>
        <v>9</v>
      </c>
      <c r="C1514" t="s">
        <v>123</v>
      </c>
      <c r="D1514" t="str">
        <f>IFERROR(INDEX(MASTER_REGISTER!F:F,MATCH(C1514,MASTER_REGISTER!E:E,0)),"")</f>
        <v>Karabo Phiri</v>
      </c>
      <c r="E1514" t="s">
        <v>337</v>
      </c>
      <c r="F1514" t="s">
        <v>338</v>
      </c>
      <c r="G1514" t="s">
        <v>339</v>
      </c>
    </row>
    <row r="1515" spans="1:8" x14ac:dyDescent="0.3">
      <c r="A1515" t="s">
        <v>363</v>
      </c>
      <c r="B1515">
        <f>IFERROR(INDEX(MASTER_REGISTER!C:C,MATCH(C1515,MASTER_REGISTER!E:E,0)),"")</f>
        <v>9</v>
      </c>
      <c r="C1515" t="s">
        <v>128</v>
      </c>
      <c r="D1515" t="str">
        <f>IFERROR(INDEX(MASTER_REGISTER!F:F,MATCH(C1515,MASTER_REGISTER!E:E,0)),"")</f>
        <v>Lerato Mahlangu</v>
      </c>
      <c r="E1515" t="s">
        <v>337</v>
      </c>
      <c r="F1515" t="s">
        <v>338</v>
      </c>
      <c r="G1515" t="s">
        <v>339</v>
      </c>
    </row>
    <row r="1516" spans="1:8" x14ac:dyDescent="0.3">
      <c r="A1516" t="s">
        <v>363</v>
      </c>
      <c r="B1516">
        <f>IFERROR(INDEX(MASTER_REGISTER!C:C,MATCH(C1516,MASTER_REGISTER!E:E,0)),"")</f>
        <v>9</v>
      </c>
      <c r="C1516" t="s">
        <v>133</v>
      </c>
      <c r="D1516" t="str">
        <f>IFERROR(INDEX(MASTER_REGISTER!F:F,MATCH(C1516,MASTER_REGISTER!E:E,0)),"")</f>
        <v>Mpho Kekana</v>
      </c>
      <c r="E1516" t="s">
        <v>337</v>
      </c>
      <c r="F1516" t="s">
        <v>338</v>
      </c>
      <c r="G1516" t="s">
        <v>339</v>
      </c>
    </row>
    <row r="1517" spans="1:8" x14ac:dyDescent="0.3">
      <c r="A1517" t="s">
        <v>363</v>
      </c>
      <c r="B1517">
        <f>IFERROR(INDEX(MASTER_REGISTER!C:C,MATCH(C1517,MASTER_REGISTER!E:E,0)),"")</f>
        <v>9</v>
      </c>
      <c r="C1517" t="s">
        <v>138</v>
      </c>
      <c r="D1517" t="str">
        <f>IFERROR(INDEX(MASTER_REGISTER!F:F,MATCH(C1517,MASTER_REGISTER!E:E,0)),"")</f>
        <v>Thabo Molefe</v>
      </c>
      <c r="E1517" t="s">
        <v>335</v>
      </c>
      <c r="H1517" t="s">
        <v>336</v>
      </c>
    </row>
    <row r="1518" spans="1:8" x14ac:dyDescent="0.3">
      <c r="A1518" t="s">
        <v>363</v>
      </c>
      <c r="B1518">
        <f>IFERROR(INDEX(MASTER_REGISTER!C:C,MATCH(C1518,MASTER_REGISTER!E:E,0)),"")</f>
        <v>9</v>
      </c>
      <c r="C1518" t="s">
        <v>143</v>
      </c>
      <c r="D1518" t="str">
        <f>IFERROR(INDEX(MASTER_REGISTER!F:F,MATCH(C1518,MASTER_REGISTER!E:E,0)),"")</f>
        <v>Mpho Ngobeni</v>
      </c>
      <c r="E1518" t="s">
        <v>337</v>
      </c>
      <c r="F1518" t="s">
        <v>338</v>
      </c>
      <c r="G1518" t="s">
        <v>339</v>
      </c>
    </row>
    <row r="1519" spans="1:8" x14ac:dyDescent="0.3">
      <c r="A1519" t="s">
        <v>363</v>
      </c>
      <c r="B1519">
        <f>IFERROR(INDEX(MASTER_REGISTER!C:C,MATCH(C1519,MASTER_REGISTER!E:E,0)),"")</f>
        <v>9</v>
      </c>
      <c r="C1519" t="s">
        <v>148</v>
      </c>
      <c r="D1519" t="str">
        <f>IFERROR(INDEX(MASTER_REGISTER!F:F,MATCH(C1519,MASTER_REGISTER!E:E,0)),"")</f>
        <v>Siyanda Mhlongo</v>
      </c>
      <c r="E1519" t="s">
        <v>337</v>
      </c>
      <c r="F1519" t="s">
        <v>338</v>
      </c>
      <c r="G1519" t="s">
        <v>339</v>
      </c>
    </row>
    <row r="1520" spans="1:8" x14ac:dyDescent="0.3">
      <c r="A1520" t="s">
        <v>363</v>
      </c>
      <c r="B1520">
        <f>IFERROR(INDEX(MASTER_REGISTER!C:C,MATCH(C1520,MASTER_REGISTER!E:E,0)),"")</f>
        <v>9</v>
      </c>
      <c r="C1520" t="s">
        <v>153</v>
      </c>
      <c r="D1520" t="str">
        <f>IFERROR(INDEX(MASTER_REGISTER!F:F,MATCH(C1520,MASTER_REGISTER!E:E,0)),"")</f>
        <v>Siyanda Mahlangu</v>
      </c>
      <c r="E1520" t="s">
        <v>337</v>
      </c>
      <c r="F1520" t="s">
        <v>338</v>
      </c>
      <c r="G1520" t="s">
        <v>339</v>
      </c>
    </row>
    <row r="1521" spans="1:8" x14ac:dyDescent="0.3">
      <c r="A1521" t="s">
        <v>363</v>
      </c>
      <c r="B1521">
        <f>IFERROR(INDEX(MASTER_REGISTER!C:C,MATCH(C1521,MASTER_REGISTER!E:E,0)),"")</f>
        <v>9</v>
      </c>
      <c r="C1521" t="s">
        <v>158</v>
      </c>
      <c r="D1521" t="str">
        <f>IFERROR(INDEX(MASTER_REGISTER!F:F,MATCH(C1521,MASTER_REGISTER!E:E,0)),"")</f>
        <v>Sifiso Ramushu</v>
      </c>
      <c r="E1521" t="s">
        <v>337</v>
      </c>
      <c r="F1521" t="s">
        <v>338</v>
      </c>
      <c r="G1521" t="s">
        <v>339</v>
      </c>
    </row>
    <row r="1522" spans="1:8" x14ac:dyDescent="0.3">
      <c r="A1522" t="s">
        <v>363</v>
      </c>
      <c r="B1522">
        <f>IFERROR(INDEX(MASTER_REGISTER!C:C,MATCH(C1522,MASTER_REGISTER!E:E,0)),"")</f>
        <v>9</v>
      </c>
      <c r="C1522" t="s">
        <v>163</v>
      </c>
      <c r="D1522" t="str">
        <f>IFERROR(INDEX(MASTER_REGISTER!F:F,MATCH(C1522,MASTER_REGISTER!E:E,0)),"")</f>
        <v>Nandi Ngobeni</v>
      </c>
      <c r="E1522" t="s">
        <v>337</v>
      </c>
      <c r="F1522" t="s">
        <v>338</v>
      </c>
      <c r="G1522" t="s">
        <v>339</v>
      </c>
    </row>
    <row r="1523" spans="1:8" x14ac:dyDescent="0.3">
      <c r="A1523" t="s">
        <v>363</v>
      </c>
      <c r="B1523">
        <f>IFERROR(INDEX(MASTER_REGISTER!C:C,MATCH(C1523,MASTER_REGISTER!E:E,0)),"")</f>
        <v>9</v>
      </c>
      <c r="C1523" t="s">
        <v>168</v>
      </c>
      <c r="D1523" t="str">
        <f>IFERROR(INDEX(MASTER_REGISTER!F:F,MATCH(C1523,MASTER_REGISTER!E:E,0)),"")</f>
        <v>Karabo Mokgadi</v>
      </c>
      <c r="E1523" t="s">
        <v>337</v>
      </c>
      <c r="F1523" t="s">
        <v>338</v>
      </c>
      <c r="G1523" t="s">
        <v>339</v>
      </c>
    </row>
    <row r="1524" spans="1:8" x14ac:dyDescent="0.3">
      <c r="A1524" t="s">
        <v>363</v>
      </c>
      <c r="B1524">
        <f>IFERROR(INDEX(MASTER_REGISTER!C:C,MATCH(C1524,MASTER_REGISTER!E:E,0)),"")</f>
        <v>9</v>
      </c>
      <c r="C1524" t="s">
        <v>173</v>
      </c>
      <c r="D1524" t="str">
        <f>IFERROR(INDEX(MASTER_REGISTER!F:F,MATCH(C1524,MASTER_REGISTER!E:E,0)),"")</f>
        <v>Sifiso Mahlangu</v>
      </c>
      <c r="E1524" t="s">
        <v>337</v>
      </c>
      <c r="F1524" t="s">
        <v>338</v>
      </c>
      <c r="G1524" t="s">
        <v>339</v>
      </c>
    </row>
    <row r="1525" spans="1:8" x14ac:dyDescent="0.3">
      <c r="A1525" t="s">
        <v>363</v>
      </c>
      <c r="B1525">
        <f>IFERROR(INDEX(MASTER_REGISTER!C:C,MATCH(C1525,MASTER_REGISTER!E:E,0)),"")</f>
        <v>9</v>
      </c>
      <c r="C1525" t="s">
        <v>178</v>
      </c>
      <c r="D1525" t="str">
        <f>IFERROR(INDEX(MASTER_REGISTER!F:F,MATCH(C1525,MASTER_REGISTER!E:E,0)),"")</f>
        <v>Kgothatso Radebe</v>
      </c>
      <c r="E1525" t="s">
        <v>337</v>
      </c>
      <c r="F1525" t="s">
        <v>338</v>
      </c>
      <c r="G1525" t="s">
        <v>339</v>
      </c>
    </row>
    <row r="1526" spans="1:8" x14ac:dyDescent="0.3">
      <c r="A1526" t="s">
        <v>363</v>
      </c>
      <c r="B1526">
        <f>IFERROR(INDEX(MASTER_REGISTER!C:C,MATCH(C1526,MASTER_REGISTER!E:E,0)),"")</f>
        <v>10</v>
      </c>
      <c r="C1526" t="s">
        <v>183</v>
      </c>
      <c r="D1526" t="str">
        <f>IFERROR(INDEX(MASTER_REGISTER!F:F,MATCH(C1526,MASTER_REGISTER!E:E,0)),"")</f>
        <v>Lerato Maseko</v>
      </c>
      <c r="E1526" t="s">
        <v>337</v>
      </c>
      <c r="F1526" t="s">
        <v>338</v>
      </c>
      <c r="G1526" t="s">
        <v>339</v>
      </c>
    </row>
    <row r="1527" spans="1:8" x14ac:dyDescent="0.3">
      <c r="A1527" t="s">
        <v>363</v>
      </c>
      <c r="B1527">
        <f>IFERROR(INDEX(MASTER_REGISTER!C:C,MATCH(C1527,MASTER_REGISTER!E:E,0)),"")</f>
        <v>10</v>
      </c>
      <c r="C1527" t="s">
        <v>188</v>
      </c>
      <c r="D1527" t="str">
        <f>IFERROR(INDEX(MASTER_REGISTER!F:F,MATCH(C1527,MASTER_REGISTER!E:E,0)),"")</f>
        <v>Sibusiso Molefe</v>
      </c>
      <c r="E1527" t="s">
        <v>335</v>
      </c>
      <c r="H1527" t="s">
        <v>342</v>
      </c>
    </row>
    <row r="1528" spans="1:8" x14ac:dyDescent="0.3">
      <c r="A1528" t="s">
        <v>363</v>
      </c>
      <c r="B1528">
        <f>IFERROR(INDEX(MASTER_REGISTER!C:C,MATCH(C1528,MASTER_REGISTER!E:E,0)),"")</f>
        <v>10</v>
      </c>
      <c r="C1528" t="s">
        <v>193</v>
      </c>
      <c r="D1528" t="str">
        <f>IFERROR(INDEX(MASTER_REGISTER!F:F,MATCH(C1528,MASTER_REGISTER!E:E,0)),"")</f>
        <v>Nandi Molefe</v>
      </c>
      <c r="E1528" t="s">
        <v>337</v>
      </c>
      <c r="F1528" t="s">
        <v>338</v>
      </c>
      <c r="G1528" t="s">
        <v>339</v>
      </c>
    </row>
    <row r="1529" spans="1:8" x14ac:dyDescent="0.3">
      <c r="A1529" t="s">
        <v>363</v>
      </c>
      <c r="B1529">
        <f>IFERROR(INDEX(MASTER_REGISTER!C:C,MATCH(C1529,MASTER_REGISTER!E:E,0)),"")</f>
        <v>10</v>
      </c>
      <c r="C1529" t="s">
        <v>198</v>
      </c>
      <c r="D1529" t="str">
        <f>IFERROR(INDEX(MASTER_REGISTER!F:F,MATCH(C1529,MASTER_REGISTER!E:E,0)),"")</f>
        <v>Kgothatso Baloyi</v>
      </c>
      <c r="E1529" t="s">
        <v>337</v>
      </c>
      <c r="F1529" t="s">
        <v>338</v>
      </c>
      <c r="G1529" t="s">
        <v>339</v>
      </c>
    </row>
    <row r="1530" spans="1:8" x14ac:dyDescent="0.3">
      <c r="A1530" t="s">
        <v>363</v>
      </c>
      <c r="B1530">
        <f>IFERROR(INDEX(MASTER_REGISTER!C:C,MATCH(C1530,MASTER_REGISTER!E:E,0)),"")</f>
        <v>10</v>
      </c>
      <c r="C1530" t="s">
        <v>202</v>
      </c>
      <c r="D1530" t="str">
        <f>IFERROR(INDEX(MASTER_REGISTER!F:F,MATCH(C1530,MASTER_REGISTER!E:E,0)),"")</f>
        <v>Ayanda Mokoena</v>
      </c>
      <c r="E1530" t="s">
        <v>337</v>
      </c>
      <c r="F1530" t="s">
        <v>338</v>
      </c>
      <c r="G1530" t="s">
        <v>339</v>
      </c>
    </row>
    <row r="1531" spans="1:8" x14ac:dyDescent="0.3">
      <c r="A1531" t="s">
        <v>363</v>
      </c>
      <c r="B1531">
        <f>IFERROR(INDEX(MASTER_REGISTER!C:C,MATCH(C1531,MASTER_REGISTER!E:E,0)),"")</f>
        <v>10</v>
      </c>
      <c r="C1531" t="s">
        <v>206</v>
      </c>
      <c r="D1531" t="str">
        <f>IFERROR(INDEX(MASTER_REGISTER!F:F,MATCH(C1531,MASTER_REGISTER!E:E,0)),"")</f>
        <v>Lwazi Baloyi</v>
      </c>
      <c r="E1531" t="s">
        <v>335</v>
      </c>
      <c r="H1531" t="s">
        <v>342</v>
      </c>
    </row>
    <row r="1532" spans="1:8" x14ac:dyDescent="0.3">
      <c r="A1532" t="s">
        <v>363</v>
      </c>
      <c r="B1532">
        <f>IFERROR(INDEX(MASTER_REGISTER!C:C,MATCH(C1532,MASTER_REGISTER!E:E,0)),"")</f>
        <v>10</v>
      </c>
      <c r="C1532" t="s">
        <v>210</v>
      </c>
      <c r="D1532" t="str">
        <f>IFERROR(INDEX(MASTER_REGISTER!F:F,MATCH(C1532,MASTER_REGISTER!E:E,0)),"")</f>
        <v>Siyanda Mokoena</v>
      </c>
      <c r="E1532" t="s">
        <v>337</v>
      </c>
      <c r="F1532" t="s">
        <v>338</v>
      </c>
      <c r="G1532" t="s">
        <v>339</v>
      </c>
    </row>
    <row r="1533" spans="1:8" x14ac:dyDescent="0.3">
      <c r="A1533" t="s">
        <v>363</v>
      </c>
      <c r="B1533">
        <f>IFERROR(INDEX(MASTER_REGISTER!C:C,MATCH(C1533,MASTER_REGISTER!E:E,0)),"")</f>
        <v>10</v>
      </c>
      <c r="C1533" t="s">
        <v>214</v>
      </c>
      <c r="D1533" t="str">
        <f>IFERROR(INDEX(MASTER_REGISTER!F:F,MATCH(C1533,MASTER_REGISTER!E:E,0)),"")</f>
        <v>Mpho Ngobeni</v>
      </c>
      <c r="E1533" t="s">
        <v>337</v>
      </c>
      <c r="F1533" t="s">
        <v>338</v>
      </c>
      <c r="G1533" t="s">
        <v>339</v>
      </c>
    </row>
    <row r="1534" spans="1:8" x14ac:dyDescent="0.3">
      <c r="A1534" t="s">
        <v>363</v>
      </c>
      <c r="B1534">
        <f>IFERROR(INDEX(MASTER_REGISTER!C:C,MATCH(C1534,MASTER_REGISTER!E:E,0)),"")</f>
        <v>10</v>
      </c>
      <c r="C1534" t="s">
        <v>217</v>
      </c>
      <c r="D1534" t="str">
        <f>IFERROR(INDEX(MASTER_REGISTER!F:F,MATCH(C1534,MASTER_REGISTER!E:E,0)),"")</f>
        <v>Naledi Makhubela</v>
      </c>
      <c r="E1534" t="s">
        <v>337</v>
      </c>
      <c r="F1534" t="s">
        <v>338</v>
      </c>
      <c r="G1534" t="s">
        <v>339</v>
      </c>
    </row>
    <row r="1535" spans="1:8" x14ac:dyDescent="0.3">
      <c r="A1535" t="s">
        <v>363</v>
      </c>
      <c r="B1535">
        <f>IFERROR(INDEX(MASTER_REGISTER!C:C,MATCH(C1535,MASTER_REGISTER!E:E,0)),"")</f>
        <v>10</v>
      </c>
      <c r="C1535" t="s">
        <v>221</v>
      </c>
      <c r="D1535" t="str">
        <f>IFERROR(INDEX(MASTER_REGISTER!F:F,MATCH(C1535,MASTER_REGISTER!E:E,0)),"")</f>
        <v>Kgothatso Mokoena</v>
      </c>
      <c r="E1535" t="s">
        <v>335</v>
      </c>
      <c r="H1535" t="s">
        <v>336</v>
      </c>
    </row>
    <row r="1536" spans="1:8" x14ac:dyDescent="0.3">
      <c r="A1536" t="s">
        <v>363</v>
      </c>
      <c r="B1536">
        <f>IFERROR(INDEX(MASTER_REGISTER!C:C,MATCH(C1536,MASTER_REGISTER!E:E,0)),"")</f>
        <v>10</v>
      </c>
      <c r="C1536" t="s">
        <v>225</v>
      </c>
      <c r="D1536" t="str">
        <f>IFERROR(INDEX(MASTER_REGISTER!F:F,MATCH(C1536,MASTER_REGISTER!E:E,0)),"")</f>
        <v>Bongani Makhubela</v>
      </c>
      <c r="E1536" t="s">
        <v>337</v>
      </c>
      <c r="F1536" t="s">
        <v>338</v>
      </c>
      <c r="G1536" t="s">
        <v>339</v>
      </c>
    </row>
    <row r="1537" spans="1:8" x14ac:dyDescent="0.3">
      <c r="A1537" t="s">
        <v>363</v>
      </c>
      <c r="B1537">
        <f>IFERROR(INDEX(MASTER_REGISTER!C:C,MATCH(C1537,MASTER_REGISTER!E:E,0)),"")</f>
        <v>10</v>
      </c>
      <c r="C1537" t="s">
        <v>229</v>
      </c>
      <c r="D1537" t="str">
        <f>IFERROR(INDEX(MASTER_REGISTER!F:F,MATCH(C1537,MASTER_REGISTER!E:E,0)),"")</f>
        <v>Kagiso Kekana</v>
      </c>
      <c r="E1537" t="s">
        <v>337</v>
      </c>
      <c r="F1537" t="s">
        <v>338</v>
      </c>
      <c r="G1537" t="s">
        <v>339</v>
      </c>
    </row>
    <row r="1538" spans="1:8" x14ac:dyDescent="0.3">
      <c r="A1538" t="s">
        <v>363</v>
      </c>
      <c r="B1538">
        <f>IFERROR(INDEX(MASTER_REGISTER!C:C,MATCH(C1538,MASTER_REGISTER!E:E,0)),"")</f>
        <v>11</v>
      </c>
      <c r="C1538" t="s">
        <v>233</v>
      </c>
      <c r="D1538" t="str">
        <f>IFERROR(INDEX(MASTER_REGISTER!F:F,MATCH(C1538,MASTER_REGISTER!E:E,0)),"")</f>
        <v>Lwazi Makhubela</v>
      </c>
      <c r="E1538" t="s">
        <v>337</v>
      </c>
      <c r="F1538" t="s">
        <v>338</v>
      </c>
      <c r="G1538" t="s">
        <v>339</v>
      </c>
    </row>
    <row r="1539" spans="1:8" x14ac:dyDescent="0.3">
      <c r="A1539" t="s">
        <v>363</v>
      </c>
      <c r="B1539">
        <f>IFERROR(INDEX(MASTER_REGISTER!C:C,MATCH(C1539,MASTER_REGISTER!E:E,0)),"")</f>
        <v>11</v>
      </c>
      <c r="C1539" t="s">
        <v>237</v>
      </c>
      <c r="D1539" t="str">
        <f>IFERROR(INDEX(MASTER_REGISTER!F:F,MATCH(C1539,MASTER_REGISTER!E:E,0)),"")</f>
        <v>Lebogang Ramushu</v>
      </c>
      <c r="E1539" t="s">
        <v>337</v>
      </c>
      <c r="F1539" t="s">
        <v>338</v>
      </c>
      <c r="G1539" t="s">
        <v>339</v>
      </c>
    </row>
    <row r="1540" spans="1:8" x14ac:dyDescent="0.3">
      <c r="A1540" t="s">
        <v>363</v>
      </c>
      <c r="B1540">
        <f>IFERROR(INDEX(MASTER_REGISTER!C:C,MATCH(C1540,MASTER_REGISTER!E:E,0)),"")</f>
        <v>11</v>
      </c>
      <c r="C1540" t="s">
        <v>241</v>
      </c>
      <c r="D1540" t="str">
        <f>IFERROR(INDEX(MASTER_REGISTER!F:F,MATCH(C1540,MASTER_REGISTER!E:E,0)),"")</f>
        <v>Lerato Kekana</v>
      </c>
      <c r="E1540" t="s">
        <v>337</v>
      </c>
      <c r="F1540" t="s">
        <v>338</v>
      </c>
      <c r="G1540" t="s">
        <v>339</v>
      </c>
    </row>
    <row r="1541" spans="1:8" x14ac:dyDescent="0.3">
      <c r="A1541" t="s">
        <v>363</v>
      </c>
      <c r="B1541">
        <f>IFERROR(INDEX(MASTER_REGISTER!C:C,MATCH(C1541,MASTER_REGISTER!E:E,0)),"")</f>
        <v>11</v>
      </c>
      <c r="C1541" t="s">
        <v>244</v>
      </c>
      <c r="D1541" t="str">
        <f>IFERROR(INDEX(MASTER_REGISTER!F:F,MATCH(C1541,MASTER_REGISTER!E:E,0)),"")</f>
        <v>Bongani Ndlovu</v>
      </c>
      <c r="E1541" t="s">
        <v>337</v>
      </c>
      <c r="F1541" t="s">
        <v>338</v>
      </c>
      <c r="G1541" t="s">
        <v>339</v>
      </c>
    </row>
    <row r="1542" spans="1:8" x14ac:dyDescent="0.3">
      <c r="A1542" t="s">
        <v>363</v>
      </c>
      <c r="B1542">
        <f>IFERROR(INDEX(MASTER_REGISTER!C:C,MATCH(C1542,MASTER_REGISTER!E:E,0)),"")</f>
        <v>11</v>
      </c>
      <c r="C1542" t="s">
        <v>248</v>
      </c>
      <c r="D1542" t="str">
        <f>IFERROR(INDEX(MASTER_REGISTER!F:F,MATCH(C1542,MASTER_REGISTER!E:E,0)),"")</f>
        <v>Sifiso Dlamini</v>
      </c>
      <c r="E1542" t="s">
        <v>337</v>
      </c>
      <c r="F1542" t="s">
        <v>338</v>
      </c>
      <c r="G1542" t="s">
        <v>339</v>
      </c>
    </row>
    <row r="1543" spans="1:8" x14ac:dyDescent="0.3">
      <c r="A1543" t="s">
        <v>363</v>
      </c>
      <c r="B1543">
        <f>IFERROR(INDEX(MASTER_REGISTER!C:C,MATCH(C1543,MASTER_REGISTER!E:E,0)),"")</f>
        <v>11</v>
      </c>
      <c r="C1543" t="s">
        <v>252</v>
      </c>
      <c r="D1543" t="str">
        <f>IFERROR(INDEX(MASTER_REGISTER!F:F,MATCH(C1543,MASTER_REGISTER!E:E,0)),"")</f>
        <v>Refilwe Dlamini</v>
      </c>
      <c r="E1543" t="s">
        <v>337</v>
      </c>
      <c r="F1543" t="s">
        <v>338</v>
      </c>
      <c r="G1543" t="s">
        <v>339</v>
      </c>
    </row>
    <row r="1544" spans="1:8" x14ac:dyDescent="0.3">
      <c r="A1544" t="s">
        <v>363</v>
      </c>
      <c r="B1544">
        <f>IFERROR(INDEX(MASTER_REGISTER!C:C,MATCH(C1544,MASTER_REGISTER!E:E,0)),"")</f>
        <v>11</v>
      </c>
      <c r="C1544" t="s">
        <v>256</v>
      </c>
      <c r="D1544" t="str">
        <f>IFERROR(INDEX(MASTER_REGISTER!F:F,MATCH(C1544,MASTER_REGISTER!E:E,0)),"")</f>
        <v>Lwazi Maseko</v>
      </c>
      <c r="E1544" t="s">
        <v>337</v>
      </c>
      <c r="F1544" t="s">
        <v>338</v>
      </c>
      <c r="G1544" t="s">
        <v>339</v>
      </c>
    </row>
    <row r="1545" spans="1:8" x14ac:dyDescent="0.3">
      <c r="A1545" t="s">
        <v>363</v>
      </c>
      <c r="B1545">
        <f>IFERROR(INDEX(MASTER_REGISTER!C:C,MATCH(C1545,MASTER_REGISTER!E:E,0)),"")</f>
        <v>11</v>
      </c>
      <c r="C1545" t="s">
        <v>260</v>
      </c>
      <c r="D1545" t="str">
        <f>IFERROR(INDEX(MASTER_REGISTER!F:F,MATCH(C1545,MASTER_REGISTER!E:E,0)),"")</f>
        <v>Refilwe Mokgadi</v>
      </c>
      <c r="E1545" t="s">
        <v>337</v>
      </c>
      <c r="F1545" t="s">
        <v>338</v>
      </c>
      <c r="G1545" t="s">
        <v>339</v>
      </c>
    </row>
    <row r="1546" spans="1:8" x14ac:dyDescent="0.3">
      <c r="A1546" t="s">
        <v>363</v>
      </c>
      <c r="B1546">
        <f>IFERROR(INDEX(MASTER_REGISTER!C:C,MATCH(C1546,MASTER_REGISTER!E:E,0)),"")</f>
        <v>11</v>
      </c>
      <c r="C1546" t="s">
        <v>264</v>
      </c>
      <c r="D1546" t="str">
        <f>IFERROR(INDEX(MASTER_REGISTER!F:F,MATCH(C1546,MASTER_REGISTER!E:E,0)),"")</f>
        <v>Kgothatso Molefe</v>
      </c>
      <c r="E1546" t="s">
        <v>337</v>
      </c>
      <c r="F1546" t="s">
        <v>338</v>
      </c>
      <c r="G1546" t="s">
        <v>339</v>
      </c>
    </row>
    <row r="1547" spans="1:8" x14ac:dyDescent="0.3">
      <c r="A1547" t="s">
        <v>363</v>
      </c>
      <c r="B1547">
        <f>IFERROR(INDEX(MASTER_REGISTER!C:C,MATCH(C1547,MASTER_REGISTER!E:E,0)),"")</f>
        <v>11</v>
      </c>
      <c r="C1547" t="s">
        <v>268</v>
      </c>
      <c r="D1547" t="str">
        <f>IFERROR(INDEX(MASTER_REGISTER!F:F,MATCH(C1547,MASTER_REGISTER!E:E,0)),"")</f>
        <v>Tshepo Mokgadi</v>
      </c>
      <c r="E1547" t="s">
        <v>337</v>
      </c>
      <c r="F1547" t="s">
        <v>338</v>
      </c>
      <c r="G1547" t="s">
        <v>339</v>
      </c>
    </row>
    <row r="1548" spans="1:8" x14ac:dyDescent="0.3">
      <c r="A1548" t="s">
        <v>363</v>
      </c>
      <c r="B1548">
        <f>IFERROR(INDEX(MASTER_REGISTER!C:C,MATCH(C1548,MASTER_REGISTER!E:E,0)),"")</f>
        <v>11</v>
      </c>
      <c r="C1548" t="s">
        <v>272</v>
      </c>
      <c r="D1548" t="str">
        <f>IFERROR(INDEX(MASTER_REGISTER!F:F,MATCH(C1548,MASTER_REGISTER!E:E,0)),"")</f>
        <v>Tshepo Phiri</v>
      </c>
      <c r="E1548" t="s">
        <v>335</v>
      </c>
      <c r="H1548" t="s">
        <v>341</v>
      </c>
    </row>
    <row r="1549" spans="1:8" x14ac:dyDescent="0.3">
      <c r="A1549" t="s">
        <v>363</v>
      </c>
      <c r="B1549">
        <f>IFERROR(INDEX(MASTER_REGISTER!C:C,MATCH(C1549,MASTER_REGISTER!E:E,0)),"")</f>
        <v>11</v>
      </c>
      <c r="C1549" t="s">
        <v>276</v>
      </c>
      <c r="D1549" t="str">
        <f>IFERROR(INDEX(MASTER_REGISTER!F:F,MATCH(C1549,MASTER_REGISTER!E:E,0)),"")</f>
        <v>Zanele Ngobeni</v>
      </c>
      <c r="E1549" t="s">
        <v>337</v>
      </c>
      <c r="F1549" t="s">
        <v>338</v>
      </c>
      <c r="G1549" t="s">
        <v>339</v>
      </c>
    </row>
    <row r="1550" spans="1:8" x14ac:dyDescent="0.3">
      <c r="A1550" t="s">
        <v>363</v>
      </c>
      <c r="B1550">
        <f>IFERROR(INDEX(MASTER_REGISTER!C:C,MATCH(C1550,MASTER_REGISTER!E:E,0)),"")</f>
        <v>12</v>
      </c>
      <c r="C1550" t="s">
        <v>280</v>
      </c>
      <c r="D1550" t="str">
        <f>IFERROR(INDEX(MASTER_REGISTER!F:F,MATCH(C1550,MASTER_REGISTER!E:E,0)),"")</f>
        <v>Palesa Mokoena</v>
      </c>
      <c r="E1550" t="s">
        <v>337</v>
      </c>
      <c r="F1550" t="s">
        <v>338</v>
      </c>
      <c r="G1550" t="s">
        <v>339</v>
      </c>
    </row>
    <row r="1551" spans="1:8" x14ac:dyDescent="0.3">
      <c r="A1551" t="s">
        <v>363</v>
      </c>
      <c r="B1551">
        <f>IFERROR(INDEX(MASTER_REGISTER!C:C,MATCH(C1551,MASTER_REGISTER!E:E,0)),"")</f>
        <v>12</v>
      </c>
      <c r="C1551" t="s">
        <v>284</v>
      </c>
      <c r="D1551" t="str">
        <f>IFERROR(INDEX(MASTER_REGISTER!F:F,MATCH(C1551,MASTER_REGISTER!E:E,0)),"")</f>
        <v>Thabo Ramushu</v>
      </c>
      <c r="E1551" t="s">
        <v>337</v>
      </c>
      <c r="F1551" t="s">
        <v>338</v>
      </c>
      <c r="G1551" t="s">
        <v>339</v>
      </c>
    </row>
    <row r="1552" spans="1:8" x14ac:dyDescent="0.3">
      <c r="A1552" t="s">
        <v>363</v>
      </c>
      <c r="B1552">
        <f>IFERROR(INDEX(MASTER_REGISTER!C:C,MATCH(C1552,MASTER_REGISTER!E:E,0)),"")</f>
        <v>12</v>
      </c>
      <c r="C1552" t="s">
        <v>288</v>
      </c>
      <c r="D1552" t="str">
        <f>IFERROR(INDEX(MASTER_REGISTER!F:F,MATCH(C1552,MASTER_REGISTER!E:E,0)),"")</f>
        <v>Lwazi Ndlovu</v>
      </c>
      <c r="E1552" t="s">
        <v>337</v>
      </c>
      <c r="F1552" t="s">
        <v>338</v>
      </c>
      <c r="G1552" t="s">
        <v>339</v>
      </c>
    </row>
    <row r="1553" spans="1:8" x14ac:dyDescent="0.3">
      <c r="A1553" t="s">
        <v>363</v>
      </c>
      <c r="B1553">
        <f>IFERROR(INDEX(MASTER_REGISTER!C:C,MATCH(C1553,MASTER_REGISTER!E:E,0)),"")</f>
        <v>12</v>
      </c>
      <c r="C1553" t="s">
        <v>292</v>
      </c>
      <c r="D1553" t="str">
        <f>IFERROR(INDEX(MASTER_REGISTER!F:F,MATCH(C1553,MASTER_REGISTER!E:E,0)),"")</f>
        <v>Ayanda Dlamini</v>
      </c>
      <c r="E1553" t="s">
        <v>337</v>
      </c>
      <c r="F1553" t="s">
        <v>338</v>
      </c>
      <c r="G1553" t="s">
        <v>339</v>
      </c>
    </row>
    <row r="1554" spans="1:8" x14ac:dyDescent="0.3">
      <c r="A1554" t="s">
        <v>363</v>
      </c>
      <c r="B1554">
        <f>IFERROR(INDEX(MASTER_REGISTER!C:C,MATCH(C1554,MASTER_REGISTER!E:E,0)),"")</f>
        <v>12</v>
      </c>
      <c r="C1554" t="s">
        <v>296</v>
      </c>
      <c r="D1554" t="str">
        <f>IFERROR(INDEX(MASTER_REGISTER!F:F,MATCH(C1554,MASTER_REGISTER!E:E,0)),"")</f>
        <v>Neo Ndlovu</v>
      </c>
      <c r="E1554" t="s">
        <v>337</v>
      </c>
      <c r="F1554" t="s">
        <v>338</v>
      </c>
      <c r="G1554" t="s">
        <v>339</v>
      </c>
    </row>
    <row r="1555" spans="1:8" x14ac:dyDescent="0.3">
      <c r="A1555" t="s">
        <v>363</v>
      </c>
      <c r="B1555">
        <f>IFERROR(INDEX(MASTER_REGISTER!C:C,MATCH(C1555,MASTER_REGISTER!E:E,0)),"")</f>
        <v>12</v>
      </c>
      <c r="C1555" t="s">
        <v>300</v>
      </c>
      <c r="D1555" t="str">
        <f>IFERROR(INDEX(MASTER_REGISTER!F:F,MATCH(C1555,MASTER_REGISTER!E:E,0)),"")</f>
        <v>Neo Ramushu</v>
      </c>
      <c r="E1555" t="s">
        <v>337</v>
      </c>
      <c r="F1555" t="s">
        <v>338</v>
      </c>
      <c r="G1555" t="s">
        <v>339</v>
      </c>
    </row>
    <row r="1556" spans="1:8" x14ac:dyDescent="0.3">
      <c r="A1556" t="s">
        <v>363</v>
      </c>
      <c r="B1556">
        <f>IFERROR(INDEX(MASTER_REGISTER!C:C,MATCH(C1556,MASTER_REGISTER!E:E,0)),"")</f>
        <v>12</v>
      </c>
      <c r="C1556" t="s">
        <v>304</v>
      </c>
      <c r="D1556" t="str">
        <f>IFERROR(INDEX(MASTER_REGISTER!F:F,MATCH(C1556,MASTER_REGISTER!E:E,0)),"")</f>
        <v>Karabo Baloyi</v>
      </c>
      <c r="E1556" t="s">
        <v>337</v>
      </c>
      <c r="F1556" t="s">
        <v>338</v>
      </c>
      <c r="G1556" t="s">
        <v>339</v>
      </c>
    </row>
    <row r="1557" spans="1:8" x14ac:dyDescent="0.3">
      <c r="A1557" t="s">
        <v>363</v>
      </c>
      <c r="B1557">
        <f>IFERROR(INDEX(MASTER_REGISTER!C:C,MATCH(C1557,MASTER_REGISTER!E:E,0)),"")</f>
        <v>12</v>
      </c>
      <c r="C1557" t="s">
        <v>308</v>
      </c>
      <c r="D1557" t="str">
        <f>IFERROR(INDEX(MASTER_REGISTER!F:F,MATCH(C1557,MASTER_REGISTER!E:E,0)),"")</f>
        <v>Tshepo Mokgadi</v>
      </c>
      <c r="E1557" t="s">
        <v>335</v>
      </c>
      <c r="H1557" t="s">
        <v>341</v>
      </c>
    </row>
    <row r="1558" spans="1:8" x14ac:dyDescent="0.3">
      <c r="A1558" t="s">
        <v>363</v>
      </c>
      <c r="B1558">
        <f>IFERROR(INDEX(MASTER_REGISTER!C:C,MATCH(C1558,MASTER_REGISTER!E:E,0)),"")</f>
        <v>12</v>
      </c>
      <c r="C1558" t="s">
        <v>311</v>
      </c>
      <c r="D1558" t="str">
        <f>IFERROR(INDEX(MASTER_REGISTER!F:F,MATCH(C1558,MASTER_REGISTER!E:E,0)),"")</f>
        <v>Sifiso Mavuso</v>
      </c>
      <c r="E1558" t="s">
        <v>337</v>
      </c>
      <c r="F1558" t="s">
        <v>338</v>
      </c>
      <c r="G1558" t="s">
        <v>339</v>
      </c>
    </row>
    <row r="1559" spans="1:8" x14ac:dyDescent="0.3">
      <c r="A1559" t="s">
        <v>363</v>
      </c>
      <c r="B1559">
        <f>IFERROR(INDEX(MASTER_REGISTER!C:C,MATCH(C1559,MASTER_REGISTER!E:E,0)),"")</f>
        <v>12</v>
      </c>
      <c r="C1559" t="s">
        <v>315</v>
      </c>
      <c r="D1559" t="str">
        <f>IFERROR(INDEX(MASTER_REGISTER!F:F,MATCH(C1559,MASTER_REGISTER!E:E,0)),"")</f>
        <v>Refilwe Sithole</v>
      </c>
      <c r="E1559" t="s">
        <v>337</v>
      </c>
      <c r="F1559" t="s">
        <v>338</v>
      </c>
      <c r="G1559" t="s">
        <v>339</v>
      </c>
    </row>
    <row r="1560" spans="1:8" x14ac:dyDescent="0.3">
      <c r="A1560" t="s">
        <v>363</v>
      </c>
      <c r="B1560">
        <f>IFERROR(INDEX(MASTER_REGISTER!C:C,MATCH(C1560,MASTER_REGISTER!E:E,0)),"")</f>
        <v>12</v>
      </c>
      <c r="C1560" t="s">
        <v>319</v>
      </c>
      <c r="D1560" t="str">
        <f>IFERROR(INDEX(MASTER_REGISTER!F:F,MATCH(C1560,MASTER_REGISTER!E:E,0)),"")</f>
        <v>Lerato Sithole</v>
      </c>
      <c r="E1560" t="s">
        <v>337</v>
      </c>
      <c r="F1560" t="s">
        <v>338</v>
      </c>
      <c r="G1560" t="s">
        <v>339</v>
      </c>
    </row>
    <row r="1561" spans="1:8" x14ac:dyDescent="0.3">
      <c r="A1561" t="s">
        <v>363</v>
      </c>
      <c r="B1561">
        <f>IFERROR(INDEX(MASTER_REGISTER!C:C,MATCH(C1561,MASTER_REGISTER!E:E,0)),"")</f>
        <v>12</v>
      </c>
      <c r="C1561" t="s">
        <v>323</v>
      </c>
      <c r="D1561" t="str">
        <f>IFERROR(INDEX(MASTER_REGISTER!F:F,MATCH(C1561,MASTER_REGISTER!E:E,0)),"")</f>
        <v>Sibusiso Ngobeni</v>
      </c>
      <c r="E1561" t="s">
        <v>337</v>
      </c>
      <c r="F1561" t="s">
        <v>338</v>
      </c>
      <c r="G1561" t="s">
        <v>339</v>
      </c>
    </row>
    <row r="1562" spans="1:8" x14ac:dyDescent="0.3">
      <c r="A1562" t="s">
        <v>364</v>
      </c>
      <c r="B1562">
        <f>IFERROR(INDEX(MASTER_REGISTER!C:C,MATCH(C1562,MASTER_REGISTER!E:E,0)),"")</f>
        <v>8</v>
      </c>
      <c r="C1562" t="s">
        <v>50</v>
      </c>
      <c r="D1562" t="str">
        <f>IFERROR(INDEX(MASTER_REGISTER!F:F,MATCH(C1562,MASTER_REGISTER!E:E,0)),"")</f>
        <v>Lerato Nkosi</v>
      </c>
      <c r="E1562" t="s">
        <v>337</v>
      </c>
      <c r="F1562" t="s">
        <v>338</v>
      </c>
      <c r="G1562" t="s">
        <v>339</v>
      </c>
    </row>
    <row r="1563" spans="1:8" x14ac:dyDescent="0.3">
      <c r="A1563" t="s">
        <v>364</v>
      </c>
      <c r="B1563">
        <f>IFERROR(INDEX(MASTER_REGISTER!C:C,MATCH(C1563,MASTER_REGISTER!E:E,0)),"")</f>
        <v>8</v>
      </c>
      <c r="C1563" t="s">
        <v>58</v>
      </c>
      <c r="D1563" t="str">
        <f>IFERROR(INDEX(MASTER_REGISTER!F:F,MATCH(C1563,MASTER_REGISTER!E:E,0)),"")</f>
        <v>Karabo Maseko</v>
      </c>
      <c r="E1563" t="s">
        <v>337</v>
      </c>
      <c r="F1563" t="s">
        <v>338</v>
      </c>
      <c r="G1563" t="s">
        <v>339</v>
      </c>
    </row>
    <row r="1564" spans="1:8" x14ac:dyDescent="0.3">
      <c r="A1564" t="s">
        <v>364</v>
      </c>
      <c r="B1564">
        <f>IFERROR(INDEX(MASTER_REGISTER!C:C,MATCH(C1564,MASTER_REGISTER!E:E,0)),"")</f>
        <v>8</v>
      </c>
      <c r="C1564" t="s">
        <v>64</v>
      </c>
      <c r="D1564" t="str">
        <f>IFERROR(INDEX(MASTER_REGISTER!F:F,MATCH(C1564,MASTER_REGISTER!E:E,0)),"")</f>
        <v>Sifiso Sithole</v>
      </c>
      <c r="E1564" t="s">
        <v>337</v>
      </c>
      <c r="F1564" t="s">
        <v>338</v>
      </c>
      <c r="G1564" t="s">
        <v>339</v>
      </c>
    </row>
    <row r="1565" spans="1:8" x14ac:dyDescent="0.3">
      <c r="A1565" t="s">
        <v>364</v>
      </c>
      <c r="B1565">
        <f>IFERROR(INDEX(MASTER_REGISTER!C:C,MATCH(C1565,MASTER_REGISTER!E:E,0)),"")</f>
        <v>8</v>
      </c>
      <c r="C1565" t="s">
        <v>70</v>
      </c>
      <c r="D1565" t="str">
        <f>IFERROR(INDEX(MASTER_REGISTER!F:F,MATCH(C1565,MASTER_REGISTER!E:E,0)),"")</f>
        <v>Tshepo Ndlovu</v>
      </c>
      <c r="E1565" t="s">
        <v>337</v>
      </c>
      <c r="F1565" t="s">
        <v>338</v>
      </c>
      <c r="G1565" t="s">
        <v>339</v>
      </c>
    </row>
    <row r="1566" spans="1:8" x14ac:dyDescent="0.3">
      <c r="A1566" t="s">
        <v>364</v>
      </c>
      <c r="B1566">
        <f>IFERROR(INDEX(MASTER_REGISTER!C:C,MATCH(C1566,MASTER_REGISTER!E:E,0)),"")</f>
        <v>8</v>
      </c>
      <c r="C1566" t="s">
        <v>76</v>
      </c>
      <c r="D1566" t="str">
        <f>IFERROR(INDEX(MASTER_REGISTER!F:F,MATCH(C1566,MASTER_REGISTER!E:E,0)),"")</f>
        <v>Lwazi Mthembu</v>
      </c>
      <c r="E1566" t="s">
        <v>337</v>
      </c>
      <c r="F1566" t="s">
        <v>338</v>
      </c>
      <c r="G1566" t="s">
        <v>339</v>
      </c>
    </row>
    <row r="1567" spans="1:8" x14ac:dyDescent="0.3">
      <c r="A1567" t="s">
        <v>364</v>
      </c>
      <c r="B1567">
        <f>IFERROR(INDEX(MASTER_REGISTER!C:C,MATCH(C1567,MASTER_REGISTER!E:E,0)),"")</f>
        <v>8</v>
      </c>
      <c r="C1567" t="s">
        <v>82</v>
      </c>
      <c r="D1567" t="str">
        <f>IFERROR(INDEX(MASTER_REGISTER!F:F,MATCH(C1567,MASTER_REGISTER!E:E,0)),"")</f>
        <v>Karabo Ngobeni</v>
      </c>
      <c r="E1567" t="s">
        <v>337</v>
      </c>
      <c r="F1567" t="s">
        <v>338</v>
      </c>
      <c r="G1567" t="s">
        <v>339</v>
      </c>
    </row>
    <row r="1568" spans="1:8" x14ac:dyDescent="0.3">
      <c r="A1568" t="s">
        <v>364</v>
      </c>
      <c r="B1568">
        <f>IFERROR(INDEX(MASTER_REGISTER!C:C,MATCH(C1568,MASTER_REGISTER!E:E,0)),"")</f>
        <v>8</v>
      </c>
      <c r="C1568" t="s">
        <v>88</v>
      </c>
      <c r="D1568" t="str">
        <f>IFERROR(INDEX(MASTER_REGISTER!F:F,MATCH(C1568,MASTER_REGISTER!E:E,0)),"")</f>
        <v>Mpho Sithole</v>
      </c>
      <c r="E1568" t="s">
        <v>337</v>
      </c>
      <c r="F1568" t="s">
        <v>338</v>
      </c>
      <c r="G1568" t="s">
        <v>339</v>
      </c>
    </row>
    <row r="1569" spans="1:8" x14ac:dyDescent="0.3">
      <c r="A1569" t="s">
        <v>364</v>
      </c>
      <c r="B1569">
        <f>IFERROR(INDEX(MASTER_REGISTER!C:C,MATCH(C1569,MASTER_REGISTER!E:E,0)),"")</f>
        <v>8</v>
      </c>
      <c r="C1569" t="s">
        <v>94</v>
      </c>
      <c r="D1569" t="str">
        <f>IFERROR(INDEX(MASTER_REGISTER!F:F,MATCH(C1569,MASTER_REGISTER!E:E,0)),"")</f>
        <v>Tshepo Ramushu</v>
      </c>
      <c r="E1569" t="s">
        <v>337</v>
      </c>
      <c r="F1569" t="s">
        <v>338</v>
      </c>
      <c r="G1569" t="s">
        <v>339</v>
      </c>
    </row>
    <row r="1570" spans="1:8" x14ac:dyDescent="0.3">
      <c r="A1570" t="s">
        <v>364</v>
      </c>
      <c r="B1570">
        <f>IFERROR(INDEX(MASTER_REGISTER!C:C,MATCH(C1570,MASTER_REGISTER!E:E,0)),"")</f>
        <v>8</v>
      </c>
      <c r="C1570" t="s">
        <v>100</v>
      </c>
      <c r="D1570" t="str">
        <f>IFERROR(INDEX(MASTER_REGISTER!F:F,MATCH(C1570,MASTER_REGISTER!E:E,0)),"")</f>
        <v>Lerato Kekana</v>
      </c>
      <c r="E1570" t="s">
        <v>337</v>
      </c>
      <c r="F1570" t="s">
        <v>338</v>
      </c>
      <c r="G1570" t="s">
        <v>339</v>
      </c>
    </row>
    <row r="1571" spans="1:8" x14ac:dyDescent="0.3">
      <c r="A1571" t="s">
        <v>364</v>
      </c>
      <c r="B1571">
        <f>IFERROR(INDEX(MASTER_REGISTER!C:C,MATCH(C1571,MASTER_REGISTER!E:E,0)),"")</f>
        <v>8</v>
      </c>
      <c r="C1571" t="s">
        <v>106</v>
      </c>
      <c r="D1571" t="str">
        <f>IFERROR(INDEX(MASTER_REGISTER!F:F,MATCH(C1571,MASTER_REGISTER!E:E,0)),"")</f>
        <v>Neo Ngobeni</v>
      </c>
      <c r="E1571" t="s">
        <v>337</v>
      </c>
      <c r="F1571" t="s">
        <v>338</v>
      </c>
      <c r="G1571" t="s">
        <v>339</v>
      </c>
    </row>
    <row r="1572" spans="1:8" x14ac:dyDescent="0.3">
      <c r="A1572" t="s">
        <v>364</v>
      </c>
      <c r="B1572">
        <f>IFERROR(INDEX(MASTER_REGISTER!C:C,MATCH(C1572,MASTER_REGISTER!E:E,0)),"")</f>
        <v>8</v>
      </c>
      <c r="C1572" t="s">
        <v>112</v>
      </c>
      <c r="D1572" t="str">
        <f>IFERROR(INDEX(MASTER_REGISTER!F:F,MATCH(C1572,MASTER_REGISTER!E:E,0)),"")</f>
        <v>Thabo Mokgadi</v>
      </c>
      <c r="E1572" t="s">
        <v>337</v>
      </c>
      <c r="F1572" t="s">
        <v>338</v>
      </c>
      <c r="G1572" t="s">
        <v>339</v>
      </c>
    </row>
    <row r="1573" spans="1:8" x14ac:dyDescent="0.3">
      <c r="A1573" t="s">
        <v>364</v>
      </c>
      <c r="B1573">
        <f>IFERROR(INDEX(MASTER_REGISTER!C:C,MATCH(C1573,MASTER_REGISTER!E:E,0)),"")</f>
        <v>8</v>
      </c>
      <c r="C1573" t="s">
        <v>118</v>
      </c>
      <c r="D1573" t="str">
        <f>IFERROR(INDEX(MASTER_REGISTER!F:F,MATCH(C1573,MASTER_REGISTER!E:E,0)),"")</f>
        <v>Sifiso Mthembu</v>
      </c>
      <c r="E1573" t="s">
        <v>335</v>
      </c>
      <c r="H1573" t="s">
        <v>340</v>
      </c>
    </row>
    <row r="1574" spans="1:8" x14ac:dyDescent="0.3">
      <c r="A1574" t="s">
        <v>364</v>
      </c>
      <c r="B1574">
        <f>IFERROR(INDEX(MASTER_REGISTER!C:C,MATCH(C1574,MASTER_REGISTER!E:E,0)),"")</f>
        <v>9</v>
      </c>
      <c r="C1574" t="s">
        <v>123</v>
      </c>
      <c r="D1574" t="str">
        <f>IFERROR(INDEX(MASTER_REGISTER!F:F,MATCH(C1574,MASTER_REGISTER!E:E,0)),"")</f>
        <v>Karabo Phiri</v>
      </c>
      <c r="E1574" t="s">
        <v>337</v>
      </c>
      <c r="F1574" t="s">
        <v>338</v>
      </c>
      <c r="G1574" t="s">
        <v>339</v>
      </c>
    </row>
    <row r="1575" spans="1:8" x14ac:dyDescent="0.3">
      <c r="A1575" t="s">
        <v>364</v>
      </c>
      <c r="B1575">
        <f>IFERROR(INDEX(MASTER_REGISTER!C:C,MATCH(C1575,MASTER_REGISTER!E:E,0)),"")</f>
        <v>9</v>
      </c>
      <c r="C1575" t="s">
        <v>128</v>
      </c>
      <c r="D1575" t="str">
        <f>IFERROR(INDEX(MASTER_REGISTER!F:F,MATCH(C1575,MASTER_REGISTER!E:E,0)),"")</f>
        <v>Lerato Mahlangu</v>
      </c>
      <c r="E1575" t="s">
        <v>337</v>
      </c>
      <c r="F1575" t="s">
        <v>338</v>
      </c>
      <c r="G1575" t="s">
        <v>339</v>
      </c>
    </row>
    <row r="1576" spans="1:8" x14ac:dyDescent="0.3">
      <c r="A1576" t="s">
        <v>364</v>
      </c>
      <c r="B1576">
        <f>IFERROR(INDEX(MASTER_REGISTER!C:C,MATCH(C1576,MASTER_REGISTER!E:E,0)),"")</f>
        <v>9</v>
      </c>
      <c r="C1576" t="s">
        <v>133</v>
      </c>
      <c r="D1576" t="str">
        <f>IFERROR(INDEX(MASTER_REGISTER!F:F,MATCH(C1576,MASTER_REGISTER!E:E,0)),"")</f>
        <v>Mpho Kekana</v>
      </c>
      <c r="E1576" t="s">
        <v>337</v>
      </c>
      <c r="F1576" t="s">
        <v>338</v>
      </c>
      <c r="G1576" t="s">
        <v>339</v>
      </c>
    </row>
    <row r="1577" spans="1:8" x14ac:dyDescent="0.3">
      <c r="A1577" t="s">
        <v>364</v>
      </c>
      <c r="B1577">
        <f>IFERROR(INDEX(MASTER_REGISTER!C:C,MATCH(C1577,MASTER_REGISTER!E:E,0)),"")</f>
        <v>9</v>
      </c>
      <c r="C1577" t="s">
        <v>138</v>
      </c>
      <c r="D1577" t="str">
        <f>IFERROR(INDEX(MASTER_REGISTER!F:F,MATCH(C1577,MASTER_REGISTER!E:E,0)),"")</f>
        <v>Thabo Molefe</v>
      </c>
      <c r="E1577" t="s">
        <v>337</v>
      </c>
      <c r="F1577" t="s">
        <v>338</v>
      </c>
      <c r="G1577" t="s">
        <v>339</v>
      </c>
    </row>
    <row r="1578" spans="1:8" x14ac:dyDescent="0.3">
      <c r="A1578" t="s">
        <v>364</v>
      </c>
      <c r="B1578">
        <f>IFERROR(INDEX(MASTER_REGISTER!C:C,MATCH(C1578,MASTER_REGISTER!E:E,0)),"")</f>
        <v>9</v>
      </c>
      <c r="C1578" t="s">
        <v>143</v>
      </c>
      <c r="D1578" t="str">
        <f>IFERROR(INDEX(MASTER_REGISTER!F:F,MATCH(C1578,MASTER_REGISTER!E:E,0)),"")</f>
        <v>Mpho Ngobeni</v>
      </c>
      <c r="E1578" t="s">
        <v>337</v>
      </c>
      <c r="F1578" t="s">
        <v>338</v>
      </c>
      <c r="G1578" t="s">
        <v>339</v>
      </c>
    </row>
    <row r="1579" spans="1:8" x14ac:dyDescent="0.3">
      <c r="A1579" t="s">
        <v>364</v>
      </c>
      <c r="B1579">
        <f>IFERROR(INDEX(MASTER_REGISTER!C:C,MATCH(C1579,MASTER_REGISTER!E:E,0)),"")</f>
        <v>9</v>
      </c>
      <c r="C1579" t="s">
        <v>148</v>
      </c>
      <c r="D1579" t="str">
        <f>IFERROR(INDEX(MASTER_REGISTER!F:F,MATCH(C1579,MASTER_REGISTER!E:E,0)),"")</f>
        <v>Siyanda Mhlongo</v>
      </c>
      <c r="E1579" t="s">
        <v>337</v>
      </c>
      <c r="F1579" t="s">
        <v>338</v>
      </c>
      <c r="G1579" t="s">
        <v>339</v>
      </c>
    </row>
    <row r="1580" spans="1:8" x14ac:dyDescent="0.3">
      <c r="A1580" t="s">
        <v>364</v>
      </c>
      <c r="B1580">
        <f>IFERROR(INDEX(MASTER_REGISTER!C:C,MATCH(C1580,MASTER_REGISTER!E:E,0)),"")</f>
        <v>9</v>
      </c>
      <c r="C1580" t="s">
        <v>153</v>
      </c>
      <c r="D1580" t="str">
        <f>IFERROR(INDEX(MASTER_REGISTER!F:F,MATCH(C1580,MASTER_REGISTER!E:E,0)),"")</f>
        <v>Siyanda Mahlangu</v>
      </c>
      <c r="E1580" t="s">
        <v>337</v>
      </c>
      <c r="F1580" t="s">
        <v>338</v>
      </c>
      <c r="G1580" t="s">
        <v>339</v>
      </c>
    </row>
    <row r="1581" spans="1:8" x14ac:dyDescent="0.3">
      <c r="A1581" t="s">
        <v>364</v>
      </c>
      <c r="B1581">
        <f>IFERROR(INDEX(MASTER_REGISTER!C:C,MATCH(C1581,MASTER_REGISTER!E:E,0)),"")</f>
        <v>9</v>
      </c>
      <c r="C1581" t="s">
        <v>158</v>
      </c>
      <c r="D1581" t="str">
        <f>IFERROR(INDEX(MASTER_REGISTER!F:F,MATCH(C1581,MASTER_REGISTER!E:E,0)),"")</f>
        <v>Sifiso Ramushu</v>
      </c>
      <c r="E1581" t="s">
        <v>337</v>
      </c>
      <c r="F1581" t="s">
        <v>338</v>
      </c>
      <c r="G1581" t="s">
        <v>339</v>
      </c>
    </row>
    <row r="1582" spans="1:8" x14ac:dyDescent="0.3">
      <c r="A1582" t="s">
        <v>364</v>
      </c>
      <c r="B1582">
        <f>IFERROR(INDEX(MASTER_REGISTER!C:C,MATCH(C1582,MASTER_REGISTER!E:E,0)),"")</f>
        <v>9</v>
      </c>
      <c r="C1582" t="s">
        <v>163</v>
      </c>
      <c r="D1582" t="str">
        <f>IFERROR(INDEX(MASTER_REGISTER!F:F,MATCH(C1582,MASTER_REGISTER!E:E,0)),"")</f>
        <v>Nandi Ngobeni</v>
      </c>
      <c r="E1582" t="s">
        <v>337</v>
      </c>
      <c r="F1582" t="s">
        <v>338</v>
      </c>
      <c r="G1582" t="s">
        <v>339</v>
      </c>
    </row>
    <row r="1583" spans="1:8" x14ac:dyDescent="0.3">
      <c r="A1583" t="s">
        <v>364</v>
      </c>
      <c r="B1583">
        <f>IFERROR(INDEX(MASTER_REGISTER!C:C,MATCH(C1583,MASTER_REGISTER!E:E,0)),"")</f>
        <v>9</v>
      </c>
      <c r="C1583" t="s">
        <v>168</v>
      </c>
      <c r="D1583" t="str">
        <f>IFERROR(INDEX(MASTER_REGISTER!F:F,MATCH(C1583,MASTER_REGISTER!E:E,0)),"")</f>
        <v>Karabo Mokgadi</v>
      </c>
      <c r="E1583" t="s">
        <v>337</v>
      </c>
      <c r="F1583" t="s">
        <v>338</v>
      </c>
      <c r="G1583" t="s">
        <v>339</v>
      </c>
    </row>
    <row r="1584" spans="1:8" x14ac:dyDescent="0.3">
      <c r="A1584" t="s">
        <v>364</v>
      </c>
      <c r="B1584">
        <f>IFERROR(INDEX(MASTER_REGISTER!C:C,MATCH(C1584,MASTER_REGISTER!E:E,0)),"")</f>
        <v>9</v>
      </c>
      <c r="C1584" t="s">
        <v>173</v>
      </c>
      <c r="D1584" t="str">
        <f>IFERROR(INDEX(MASTER_REGISTER!F:F,MATCH(C1584,MASTER_REGISTER!E:E,0)),"")</f>
        <v>Sifiso Mahlangu</v>
      </c>
      <c r="E1584" t="s">
        <v>337</v>
      </c>
      <c r="F1584" t="s">
        <v>338</v>
      </c>
      <c r="G1584" t="s">
        <v>339</v>
      </c>
    </row>
    <row r="1585" spans="1:8" x14ac:dyDescent="0.3">
      <c r="A1585" t="s">
        <v>364</v>
      </c>
      <c r="B1585">
        <f>IFERROR(INDEX(MASTER_REGISTER!C:C,MATCH(C1585,MASTER_REGISTER!E:E,0)),"")</f>
        <v>9</v>
      </c>
      <c r="C1585" t="s">
        <v>178</v>
      </c>
      <c r="D1585" t="str">
        <f>IFERROR(INDEX(MASTER_REGISTER!F:F,MATCH(C1585,MASTER_REGISTER!E:E,0)),"")</f>
        <v>Kgothatso Radebe</v>
      </c>
      <c r="E1585" t="s">
        <v>335</v>
      </c>
      <c r="H1585" t="s">
        <v>342</v>
      </c>
    </row>
    <row r="1586" spans="1:8" x14ac:dyDescent="0.3">
      <c r="A1586" t="s">
        <v>364</v>
      </c>
      <c r="B1586">
        <f>IFERROR(INDEX(MASTER_REGISTER!C:C,MATCH(C1586,MASTER_REGISTER!E:E,0)),"")</f>
        <v>10</v>
      </c>
      <c r="C1586" t="s">
        <v>183</v>
      </c>
      <c r="D1586" t="str">
        <f>IFERROR(INDEX(MASTER_REGISTER!F:F,MATCH(C1586,MASTER_REGISTER!E:E,0)),"")</f>
        <v>Lerato Maseko</v>
      </c>
      <c r="E1586" t="s">
        <v>337</v>
      </c>
      <c r="F1586" t="s">
        <v>338</v>
      </c>
      <c r="G1586" t="s">
        <v>339</v>
      </c>
    </row>
    <row r="1587" spans="1:8" x14ac:dyDescent="0.3">
      <c r="A1587" t="s">
        <v>364</v>
      </c>
      <c r="B1587">
        <f>IFERROR(INDEX(MASTER_REGISTER!C:C,MATCH(C1587,MASTER_REGISTER!E:E,0)),"")</f>
        <v>10</v>
      </c>
      <c r="C1587" t="s">
        <v>188</v>
      </c>
      <c r="D1587" t="str">
        <f>IFERROR(INDEX(MASTER_REGISTER!F:F,MATCH(C1587,MASTER_REGISTER!E:E,0)),"")</f>
        <v>Sibusiso Molefe</v>
      </c>
      <c r="E1587" t="s">
        <v>335</v>
      </c>
      <c r="H1587" t="s">
        <v>336</v>
      </c>
    </row>
    <row r="1588" spans="1:8" x14ac:dyDescent="0.3">
      <c r="A1588" t="s">
        <v>364</v>
      </c>
      <c r="B1588">
        <f>IFERROR(INDEX(MASTER_REGISTER!C:C,MATCH(C1588,MASTER_REGISTER!E:E,0)),"")</f>
        <v>10</v>
      </c>
      <c r="C1588" t="s">
        <v>193</v>
      </c>
      <c r="D1588" t="str">
        <f>IFERROR(INDEX(MASTER_REGISTER!F:F,MATCH(C1588,MASTER_REGISTER!E:E,0)),"")</f>
        <v>Nandi Molefe</v>
      </c>
      <c r="E1588" t="s">
        <v>337</v>
      </c>
      <c r="F1588" t="s">
        <v>338</v>
      </c>
      <c r="G1588" t="s">
        <v>339</v>
      </c>
    </row>
    <row r="1589" spans="1:8" x14ac:dyDescent="0.3">
      <c r="A1589" t="s">
        <v>364</v>
      </c>
      <c r="B1589">
        <f>IFERROR(INDEX(MASTER_REGISTER!C:C,MATCH(C1589,MASTER_REGISTER!E:E,0)),"")</f>
        <v>10</v>
      </c>
      <c r="C1589" t="s">
        <v>198</v>
      </c>
      <c r="D1589" t="str">
        <f>IFERROR(INDEX(MASTER_REGISTER!F:F,MATCH(C1589,MASTER_REGISTER!E:E,0)),"")</f>
        <v>Kgothatso Baloyi</v>
      </c>
      <c r="E1589" t="s">
        <v>337</v>
      </c>
      <c r="F1589" t="s">
        <v>338</v>
      </c>
      <c r="G1589" t="s">
        <v>339</v>
      </c>
    </row>
    <row r="1590" spans="1:8" x14ac:dyDescent="0.3">
      <c r="A1590" t="s">
        <v>364</v>
      </c>
      <c r="B1590">
        <f>IFERROR(INDEX(MASTER_REGISTER!C:C,MATCH(C1590,MASTER_REGISTER!E:E,0)),"")</f>
        <v>10</v>
      </c>
      <c r="C1590" t="s">
        <v>202</v>
      </c>
      <c r="D1590" t="str">
        <f>IFERROR(INDEX(MASTER_REGISTER!F:F,MATCH(C1590,MASTER_REGISTER!E:E,0)),"")</f>
        <v>Ayanda Mokoena</v>
      </c>
      <c r="E1590" t="s">
        <v>337</v>
      </c>
      <c r="F1590" t="s">
        <v>338</v>
      </c>
      <c r="G1590" t="s">
        <v>339</v>
      </c>
    </row>
    <row r="1591" spans="1:8" x14ac:dyDescent="0.3">
      <c r="A1591" t="s">
        <v>364</v>
      </c>
      <c r="B1591">
        <f>IFERROR(INDEX(MASTER_REGISTER!C:C,MATCH(C1591,MASTER_REGISTER!E:E,0)),"")</f>
        <v>10</v>
      </c>
      <c r="C1591" t="s">
        <v>206</v>
      </c>
      <c r="D1591" t="str">
        <f>IFERROR(INDEX(MASTER_REGISTER!F:F,MATCH(C1591,MASTER_REGISTER!E:E,0)),"")</f>
        <v>Lwazi Baloyi</v>
      </c>
      <c r="E1591" t="s">
        <v>337</v>
      </c>
      <c r="F1591" t="s">
        <v>338</v>
      </c>
      <c r="G1591" t="s">
        <v>339</v>
      </c>
    </row>
    <row r="1592" spans="1:8" x14ac:dyDescent="0.3">
      <c r="A1592" t="s">
        <v>364</v>
      </c>
      <c r="B1592">
        <f>IFERROR(INDEX(MASTER_REGISTER!C:C,MATCH(C1592,MASTER_REGISTER!E:E,0)),"")</f>
        <v>10</v>
      </c>
      <c r="C1592" t="s">
        <v>210</v>
      </c>
      <c r="D1592" t="str">
        <f>IFERROR(INDEX(MASTER_REGISTER!F:F,MATCH(C1592,MASTER_REGISTER!E:E,0)),"")</f>
        <v>Siyanda Mokoena</v>
      </c>
      <c r="E1592" t="s">
        <v>337</v>
      </c>
      <c r="F1592" t="s">
        <v>338</v>
      </c>
      <c r="G1592" t="s">
        <v>339</v>
      </c>
    </row>
    <row r="1593" spans="1:8" x14ac:dyDescent="0.3">
      <c r="A1593" t="s">
        <v>364</v>
      </c>
      <c r="B1593">
        <f>IFERROR(INDEX(MASTER_REGISTER!C:C,MATCH(C1593,MASTER_REGISTER!E:E,0)),"")</f>
        <v>10</v>
      </c>
      <c r="C1593" t="s">
        <v>214</v>
      </c>
      <c r="D1593" t="str">
        <f>IFERROR(INDEX(MASTER_REGISTER!F:F,MATCH(C1593,MASTER_REGISTER!E:E,0)),"")</f>
        <v>Mpho Ngobeni</v>
      </c>
      <c r="E1593" t="s">
        <v>337</v>
      </c>
      <c r="F1593" t="s">
        <v>338</v>
      </c>
      <c r="G1593" t="s">
        <v>339</v>
      </c>
    </row>
    <row r="1594" spans="1:8" x14ac:dyDescent="0.3">
      <c r="A1594" t="s">
        <v>364</v>
      </c>
      <c r="B1594">
        <f>IFERROR(INDEX(MASTER_REGISTER!C:C,MATCH(C1594,MASTER_REGISTER!E:E,0)),"")</f>
        <v>10</v>
      </c>
      <c r="C1594" t="s">
        <v>217</v>
      </c>
      <c r="D1594" t="str">
        <f>IFERROR(INDEX(MASTER_REGISTER!F:F,MATCH(C1594,MASTER_REGISTER!E:E,0)),"")</f>
        <v>Naledi Makhubela</v>
      </c>
      <c r="E1594" t="s">
        <v>335</v>
      </c>
      <c r="H1594" t="s">
        <v>336</v>
      </c>
    </row>
    <row r="1595" spans="1:8" x14ac:dyDescent="0.3">
      <c r="A1595" t="s">
        <v>364</v>
      </c>
      <c r="B1595">
        <f>IFERROR(INDEX(MASTER_REGISTER!C:C,MATCH(C1595,MASTER_REGISTER!E:E,0)),"")</f>
        <v>10</v>
      </c>
      <c r="C1595" t="s">
        <v>221</v>
      </c>
      <c r="D1595" t="str">
        <f>IFERROR(INDEX(MASTER_REGISTER!F:F,MATCH(C1595,MASTER_REGISTER!E:E,0)),"")</f>
        <v>Kgothatso Mokoena</v>
      </c>
      <c r="E1595" t="s">
        <v>337</v>
      </c>
      <c r="F1595" t="s">
        <v>338</v>
      </c>
      <c r="G1595" t="s">
        <v>339</v>
      </c>
    </row>
    <row r="1596" spans="1:8" x14ac:dyDescent="0.3">
      <c r="A1596" t="s">
        <v>364</v>
      </c>
      <c r="B1596">
        <f>IFERROR(INDEX(MASTER_REGISTER!C:C,MATCH(C1596,MASTER_REGISTER!E:E,0)),"")</f>
        <v>10</v>
      </c>
      <c r="C1596" t="s">
        <v>225</v>
      </c>
      <c r="D1596" t="str">
        <f>IFERROR(INDEX(MASTER_REGISTER!F:F,MATCH(C1596,MASTER_REGISTER!E:E,0)),"")</f>
        <v>Bongani Makhubela</v>
      </c>
      <c r="E1596" t="s">
        <v>337</v>
      </c>
      <c r="F1596" t="s">
        <v>338</v>
      </c>
      <c r="G1596" t="s">
        <v>339</v>
      </c>
    </row>
    <row r="1597" spans="1:8" x14ac:dyDescent="0.3">
      <c r="A1597" t="s">
        <v>364</v>
      </c>
      <c r="B1597">
        <f>IFERROR(INDEX(MASTER_REGISTER!C:C,MATCH(C1597,MASTER_REGISTER!E:E,0)),"")</f>
        <v>10</v>
      </c>
      <c r="C1597" t="s">
        <v>229</v>
      </c>
      <c r="D1597" t="str">
        <f>IFERROR(INDEX(MASTER_REGISTER!F:F,MATCH(C1597,MASTER_REGISTER!E:E,0)),"")</f>
        <v>Kagiso Kekana</v>
      </c>
      <c r="E1597" t="s">
        <v>335</v>
      </c>
      <c r="H1597" t="s">
        <v>341</v>
      </c>
    </row>
    <row r="1598" spans="1:8" x14ac:dyDescent="0.3">
      <c r="A1598" t="s">
        <v>364</v>
      </c>
      <c r="B1598">
        <f>IFERROR(INDEX(MASTER_REGISTER!C:C,MATCH(C1598,MASTER_REGISTER!E:E,0)),"")</f>
        <v>11</v>
      </c>
      <c r="C1598" t="s">
        <v>233</v>
      </c>
      <c r="D1598" t="str">
        <f>IFERROR(INDEX(MASTER_REGISTER!F:F,MATCH(C1598,MASTER_REGISTER!E:E,0)),"")</f>
        <v>Lwazi Makhubela</v>
      </c>
      <c r="E1598" t="s">
        <v>337</v>
      </c>
      <c r="F1598" t="s">
        <v>338</v>
      </c>
      <c r="G1598" t="s">
        <v>339</v>
      </c>
    </row>
    <row r="1599" spans="1:8" x14ac:dyDescent="0.3">
      <c r="A1599" t="s">
        <v>364</v>
      </c>
      <c r="B1599">
        <f>IFERROR(INDEX(MASTER_REGISTER!C:C,MATCH(C1599,MASTER_REGISTER!E:E,0)),"")</f>
        <v>11</v>
      </c>
      <c r="C1599" t="s">
        <v>237</v>
      </c>
      <c r="D1599" t="str">
        <f>IFERROR(INDEX(MASTER_REGISTER!F:F,MATCH(C1599,MASTER_REGISTER!E:E,0)),"")</f>
        <v>Lebogang Ramushu</v>
      </c>
      <c r="E1599" t="s">
        <v>337</v>
      </c>
      <c r="F1599" t="s">
        <v>338</v>
      </c>
      <c r="G1599" t="s">
        <v>339</v>
      </c>
    </row>
    <row r="1600" spans="1:8" x14ac:dyDescent="0.3">
      <c r="A1600" t="s">
        <v>364</v>
      </c>
      <c r="B1600">
        <f>IFERROR(INDEX(MASTER_REGISTER!C:C,MATCH(C1600,MASTER_REGISTER!E:E,0)),"")</f>
        <v>11</v>
      </c>
      <c r="C1600" t="s">
        <v>241</v>
      </c>
      <c r="D1600" t="str">
        <f>IFERROR(INDEX(MASTER_REGISTER!F:F,MATCH(C1600,MASTER_REGISTER!E:E,0)),"")</f>
        <v>Lerato Kekana</v>
      </c>
      <c r="E1600" t="s">
        <v>337</v>
      </c>
      <c r="F1600" t="s">
        <v>338</v>
      </c>
      <c r="G1600" t="s">
        <v>339</v>
      </c>
    </row>
    <row r="1601" spans="1:8" x14ac:dyDescent="0.3">
      <c r="A1601" t="s">
        <v>364</v>
      </c>
      <c r="B1601">
        <f>IFERROR(INDEX(MASTER_REGISTER!C:C,MATCH(C1601,MASTER_REGISTER!E:E,0)),"")</f>
        <v>11</v>
      </c>
      <c r="C1601" t="s">
        <v>244</v>
      </c>
      <c r="D1601" t="str">
        <f>IFERROR(INDEX(MASTER_REGISTER!F:F,MATCH(C1601,MASTER_REGISTER!E:E,0)),"")</f>
        <v>Bongani Ndlovu</v>
      </c>
      <c r="E1601" t="s">
        <v>337</v>
      </c>
      <c r="F1601" t="s">
        <v>338</v>
      </c>
      <c r="G1601" t="s">
        <v>339</v>
      </c>
    </row>
    <row r="1602" spans="1:8" x14ac:dyDescent="0.3">
      <c r="A1602" t="s">
        <v>364</v>
      </c>
      <c r="B1602">
        <f>IFERROR(INDEX(MASTER_REGISTER!C:C,MATCH(C1602,MASTER_REGISTER!E:E,0)),"")</f>
        <v>11</v>
      </c>
      <c r="C1602" t="s">
        <v>248</v>
      </c>
      <c r="D1602" t="str">
        <f>IFERROR(INDEX(MASTER_REGISTER!F:F,MATCH(C1602,MASTER_REGISTER!E:E,0)),"")</f>
        <v>Sifiso Dlamini</v>
      </c>
      <c r="E1602" t="s">
        <v>337</v>
      </c>
      <c r="F1602" t="s">
        <v>338</v>
      </c>
      <c r="G1602" t="s">
        <v>339</v>
      </c>
    </row>
    <row r="1603" spans="1:8" x14ac:dyDescent="0.3">
      <c r="A1603" t="s">
        <v>364</v>
      </c>
      <c r="B1603">
        <f>IFERROR(INDEX(MASTER_REGISTER!C:C,MATCH(C1603,MASTER_REGISTER!E:E,0)),"")</f>
        <v>11</v>
      </c>
      <c r="C1603" t="s">
        <v>252</v>
      </c>
      <c r="D1603" t="str">
        <f>IFERROR(INDEX(MASTER_REGISTER!F:F,MATCH(C1603,MASTER_REGISTER!E:E,0)),"")</f>
        <v>Refilwe Dlamini</v>
      </c>
      <c r="E1603" t="s">
        <v>337</v>
      </c>
      <c r="F1603" t="s">
        <v>338</v>
      </c>
      <c r="G1603" t="s">
        <v>339</v>
      </c>
    </row>
    <row r="1604" spans="1:8" x14ac:dyDescent="0.3">
      <c r="A1604" t="s">
        <v>364</v>
      </c>
      <c r="B1604">
        <f>IFERROR(INDEX(MASTER_REGISTER!C:C,MATCH(C1604,MASTER_REGISTER!E:E,0)),"")</f>
        <v>11</v>
      </c>
      <c r="C1604" t="s">
        <v>256</v>
      </c>
      <c r="D1604" t="str">
        <f>IFERROR(INDEX(MASTER_REGISTER!F:F,MATCH(C1604,MASTER_REGISTER!E:E,0)),"")</f>
        <v>Lwazi Maseko</v>
      </c>
      <c r="E1604" t="s">
        <v>335</v>
      </c>
      <c r="H1604" t="s">
        <v>341</v>
      </c>
    </row>
    <row r="1605" spans="1:8" x14ac:dyDescent="0.3">
      <c r="A1605" t="s">
        <v>364</v>
      </c>
      <c r="B1605">
        <f>IFERROR(INDEX(MASTER_REGISTER!C:C,MATCH(C1605,MASTER_REGISTER!E:E,0)),"")</f>
        <v>11</v>
      </c>
      <c r="C1605" t="s">
        <v>260</v>
      </c>
      <c r="D1605" t="str">
        <f>IFERROR(INDEX(MASTER_REGISTER!F:F,MATCH(C1605,MASTER_REGISTER!E:E,0)),"")</f>
        <v>Refilwe Mokgadi</v>
      </c>
      <c r="E1605" t="s">
        <v>337</v>
      </c>
      <c r="F1605" t="s">
        <v>338</v>
      </c>
      <c r="G1605" t="s">
        <v>339</v>
      </c>
    </row>
    <row r="1606" spans="1:8" x14ac:dyDescent="0.3">
      <c r="A1606" t="s">
        <v>364</v>
      </c>
      <c r="B1606">
        <f>IFERROR(INDEX(MASTER_REGISTER!C:C,MATCH(C1606,MASTER_REGISTER!E:E,0)),"")</f>
        <v>11</v>
      </c>
      <c r="C1606" t="s">
        <v>264</v>
      </c>
      <c r="D1606" t="str">
        <f>IFERROR(INDEX(MASTER_REGISTER!F:F,MATCH(C1606,MASTER_REGISTER!E:E,0)),"")</f>
        <v>Kgothatso Molefe</v>
      </c>
      <c r="E1606" t="s">
        <v>335</v>
      </c>
      <c r="H1606" t="s">
        <v>342</v>
      </c>
    </row>
    <row r="1607" spans="1:8" x14ac:dyDescent="0.3">
      <c r="A1607" t="s">
        <v>364</v>
      </c>
      <c r="B1607">
        <f>IFERROR(INDEX(MASTER_REGISTER!C:C,MATCH(C1607,MASTER_REGISTER!E:E,0)),"")</f>
        <v>11</v>
      </c>
      <c r="C1607" t="s">
        <v>268</v>
      </c>
      <c r="D1607" t="str">
        <f>IFERROR(INDEX(MASTER_REGISTER!F:F,MATCH(C1607,MASTER_REGISTER!E:E,0)),"")</f>
        <v>Tshepo Mokgadi</v>
      </c>
      <c r="E1607" t="s">
        <v>337</v>
      </c>
      <c r="F1607" t="s">
        <v>338</v>
      </c>
      <c r="G1607" t="s">
        <v>339</v>
      </c>
    </row>
    <row r="1608" spans="1:8" x14ac:dyDescent="0.3">
      <c r="A1608" t="s">
        <v>364</v>
      </c>
      <c r="B1608">
        <f>IFERROR(INDEX(MASTER_REGISTER!C:C,MATCH(C1608,MASTER_REGISTER!E:E,0)),"")</f>
        <v>11</v>
      </c>
      <c r="C1608" t="s">
        <v>272</v>
      </c>
      <c r="D1608" t="str">
        <f>IFERROR(INDEX(MASTER_REGISTER!F:F,MATCH(C1608,MASTER_REGISTER!E:E,0)),"")</f>
        <v>Tshepo Phiri</v>
      </c>
      <c r="E1608" t="s">
        <v>337</v>
      </c>
      <c r="F1608" t="s">
        <v>338</v>
      </c>
      <c r="G1608" t="s">
        <v>339</v>
      </c>
    </row>
    <row r="1609" spans="1:8" x14ac:dyDescent="0.3">
      <c r="A1609" t="s">
        <v>364</v>
      </c>
      <c r="B1609">
        <f>IFERROR(INDEX(MASTER_REGISTER!C:C,MATCH(C1609,MASTER_REGISTER!E:E,0)),"")</f>
        <v>11</v>
      </c>
      <c r="C1609" t="s">
        <v>276</v>
      </c>
      <c r="D1609" t="str">
        <f>IFERROR(INDEX(MASTER_REGISTER!F:F,MATCH(C1609,MASTER_REGISTER!E:E,0)),"")</f>
        <v>Zanele Ngobeni</v>
      </c>
      <c r="E1609" t="s">
        <v>337</v>
      </c>
      <c r="F1609" t="s">
        <v>338</v>
      </c>
      <c r="G1609" t="s">
        <v>339</v>
      </c>
    </row>
    <row r="1610" spans="1:8" x14ac:dyDescent="0.3">
      <c r="A1610" t="s">
        <v>364</v>
      </c>
      <c r="B1610">
        <f>IFERROR(INDEX(MASTER_REGISTER!C:C,MATCH(C1610,MASTER_REGISTER!E:E,0)),"")</f>
        <v>12</v>
      </c>
      <c r="C1610" t="s">
        <v>280</v>
      </c>
      <c r="D1610" t="str">
        <f>IFERROR(INDEX(MASTER_REGISTER!F:F,MATCH(C1610,MASTER_REGISTER!E:E,0)),"")</f>
        <v>Palesa Mokoena</v>
      </c>
      <c r="E1610" t="s">
        <v>335</v>
      </c>
      <c r="H1610" t="s">
        <v>342</v>
      </c>
    </row>
    <row r="1611" spans="1:8" x14ac:dyDescent="0.3">
      <c r="A1611" t="s">
        <v>364</v>
      </c>
      <c r="B1611">
        <f>IFERROR(INDEX(MASTER_REGISTER!C:C,MATCH(C1611,MASTER_REGISTER!E:E,0)),"")</f>
        <v>12</v>
      </c>
      <c r="C1611" t="s">
        <v>284</v>
      </c>
      <c r="D1611" t="str">
        <f>IFERROR(INDEX(MASTER_REGISTER!F:F,MATCH(C1611,MASTER_REGISTER!E:E,0)),"")</f>
        <v>Thabo Ramushu</v>
      </c>
      <c r="E1611" t="s">
        <v>337</v>
      </c>
      <c r="F1611" t="s">
        <v>338</v>
      </c>
      <c r="G1611" t="s">
        <v>339</v>
      </c>
    </row>
    <row r="1612" spans="1:8" x14ac:dyDescent="0.3">
      <c r="A1612" t="s">
        <v>364</v>
      </c>
      <c r="B1612">
        <f>IFERROR(INDEX(MASTER_REGISTER!C:C,MATCH(C1612,MASTER_REGISTER!E:E,0)),"")</f>
        <v>12</v>
      </c>
      <c r="C1612" t="s">
        <v>288</v>
      </c>
      <c r="D1612" t="str">
        <f>IFERROR(INDEX(MASTER_REGISTER!F:F,MATCH(C1612,MASTER_REGISTER!E:E,0)),"")</f>
        <v>Lwazi Ndlovu</v>
      </c>
      <c r="E1612" t="s">
        <v>337</v>
      </c>
      <c r="F1612" t="s">
        <v>338</v>
      </c>
      <c r="G1612" t="s">
        <v>339</v>
      </c>
    </row>
    <row r="1613" spans="1:8" x14ac:dyDescent="0.3">
      <c r="A1613" t="s">
        <v>364</v>
      </c>
      <c r="B1613">
        <f>IFERROR(INDEX(MASTER_REGISTER!C:C,MATCH(C1613,MASTER_REGISTER!E:E,0)),"")</f>
        <v>12</v>
      </c>
      <c r="C1613" t="s">
        <v>292</v>
      </c>
      <c r="D1613" t="str">
        <f>IFERROR(INDEX(MASTER_REGISTER!F:F,MATCH(C1613,MASTER_REGISTER!E:E,0)),"")</f>
        <v>Ayanda Dlamini</v>
      </c>
      <c r="E1613" t="s">
        <v>337</v>
      </c>
      <c r="F1613" t="s">
        <v>338</v>
      </c>
      <c r="G1613" t="s">
        <v>339</v>
      </c>
    </row>
    <row r="1614" spans="1:8" x14ac:dyDescent="0.3">
      <c r="A1614" t="s">
        <v>364</v>
      </c>
      <c r="B1614">
        <f>IFERROR(INDEX(MASTER_REGISTER!C:C,MATCH(C1614,MASTER_REGISTER!E:E,0)),"")</f>
        <v>12</v>
      </c>
      <c r="C1614" t="s">
        <v>296</v>
      </c>
      <c r="D1614" t="str">
        <f>IFERROR(INDEX(MASTER_REGISTER!F:F,MATCH(C1614,MASTER_REGISTER!E:E,0)),"")</f>
        <v>Neo Ndlovu</v>
      </c>
      <c r="E1614" t="s">
        <v>337</v>
      </c>
      <c r="F1614" t="s">
        <v>338</v>
      </c>
      <c r="G1614" t="s">
        <v>339</v>
      </c>
    </row>
    <row r="1615" spans="1:8" x14ac:dyDescent="0.3">
      <c r="A1615" t="s">
        <v>364</v>
      </c>
      <c r="B1615">
        <f>IFERROR(INDEX(MASTER_REGISTER!C:C,MATCH(C1615,MASTER_REGISTER!E:E,0)),"")</f>
        <v>12</v>
      </c>
      <c r="C1615" t="s">
        <v>300</v>
      </c>
      <c r="D1615" t="str">
        <f>IFERROR(INDEX(MASTER_REGISTER!F:F,MATCH(C1615,MASTER_REGISTER!E:E,0)),"")</f>
        <v>Neo Ramushu</v>
      </c>
      <c r="E1615" t="s">
        <v>337</v>
      </c>
      <c r="F1615" t="s">
        <v>338</v>
      </c>
      <c r="G1615" t="s">
        <v>339</v>
      </c>
    </row>
    <row r="1616" spans="1:8" x14ac:dyDescent="0.3">
      <c r="A1616" t="s">
        <v>364</v>
      </c>
      <c r="B1616">
        <f>IFERROR(INDEX(MASTER_REGISTER!C:C,MATCH(C1616,MASTER_REGISTER!E:E,0)),"")</f>
        <v>12</v>
      </c>
      <c r="C1616" t="s">
        <v>304</v>
      </c>
      <c r="D1616" t="str">
        <f>IFERROR(INDEX(MASTER_REGISTER!F:F,MATCH(C1616,MASTER_REGISTER!E:E,0)),"")</f>
        <v>Karabo Baloyi</v>
      </c>
      <c r="E1616" t="s">
        <v>337</v>
      </c>
      <c r="F1616" t="s">
        <v>338</v>
      </c>
      <c r="G1616" t="s">
        <v>339</v>
      </c>
    </row>
    <row r="1617" spans="1:8" x14ac:dyDescent="0.3">
      <c r="A1617" t="s">
        <v>364</v>
      </c>
      <c r="B1617">
        <f>IFERROR(INDEX(MASTER_REGISTER!C:C,MATCH(C1617,MASTER_REGISTER!E:E,0)),"")</f>
        <v>12</v>
      </c>
      <c r="C1617" t="s">
        <v>308</v>
      </c>
      <c r="D1617" t="str">
        <f>IFERROR(INDEX(MASTER_REGISTER!F:F,MATCH(C1617,MASTER_REGISTER!E:E,0)),"")</f>
        <v>Tshepo Mokgadi</v>
      </c>
      <c r="E1617" t="s">
        <v>337</v>
      </c>
      <c r="F1617" t="s">
        <v>338</v>
      </c>
      <c r="G1617" t="s">
        <v>339</v>
      </c>
    </row>
    <row r="1618" spans="1:8" x14ac:dyDescent="0.3">
      <c r="A1618" t="s">
        <v>364</v>
      </c>
      <c r="B1618">
        <f>IFERROR(INDEX(MASTER_REGISTER!C:C,MATCH(C1618,MASTER_REGISTER!E:E,0)),"")</f>
        <v>12</v>
      </c>
      <c r="C1618" t="s">
        <v>311</v>
      </c>
      <c r="D1618" t="str">
        <f>IFERROR(INDEX(MASTER_REGISTER!F:F,MATCH(C1618,MASTER_REGISTER!E:E,0)),"")</f>
        <v>Sifiso Mavuso</v>
      </c>
      <c r="E1618" t="s">
        <v>337</v>
      </c>
      <c r="F1618" t="s">
        <v>338</v>
      </c>
      <c r="G1618" t="s">
        <v>339</v>
      </c>
    </row>
    <row r="1619" spans="1:8" x14ac:dyDescent="0.3">
      <c r="A1619" t="s">
        <v>364</v>
      </c>
      <c r="B1619">
        <f>IFERROR(INDEX(MASTER_REGISTER!C:C,MATCH(C1619,MASTER_REGISTER!E:E,0)),"")</f>
        <v>12</v>
      </c>
      <c r="C1619" t="s">
        <v>315</v>
      </c>
      <c r="D1619" t="str">
        <f>IFERROR(INDEX(MASTER_REGISTER!F:F,MATCH(C1619,MASTER_REGISTER!E:E,0)),"")</f>
        <v>Refilwe Sithole</v>
      </c>
      <c r="E1619" t="s">
        <v>337</v>
      </c>
      <c r="F1619" t="s">
        <v>338</v>
      </c>
      <c r="G1619" t="s">
        <v>339</v>
      </c>
    </row>
    <row r="1620" spans="1:8" x14ac:dyDescent="0.3">
      <c r="A1620" t="s">
        <v>364</v>
      </c>
      <c r="B1620">
        <f>IFERROR(INDEX(MASTER_REGISTER!C:C,MATCH(C1620,MASTER_REGISTER!E:E,0)),"")</f>
        <v>12</v>
      </c>
      <c r="C1620" t="s">
        <v>319</v>
      </c>
      <c r="D1620" t="str">
        <f>IFERROR(INDEX(MASTER_REGISTER!F:F,MATCH(C1620,MASTER_REGISTER!E:E,0)),"")</f>
        <v>Lerato Sithole</v>
      </c>
      <c r="E1620" t="s">
        <v>335</v>
      </c>
      <c r="H1620" t="s">
        <v>340</v>
      </c>
    </row>
    <row r="1621" spans="1:8" x14ac:dyDescent="0.3">
      <c r="A1621" t="s">
        <v>364</v>
      </c>
      <c r="B1621">
        <f>IFERROR(INDEX(MASTER_REGISTER!C:C,MATCH(C1621,MASTER_REGISTER!E:E,0)),"")</f>
        <v>12</v>
      </c>
      <c r="C1621" t="s">
        <v>323</v>
      </c>
      <c r="D1621" t="str">
        <f>IFERROR(INDEX(MASTER_REGISTER!F:F,MATCH(C1621,MASTER_REGISTER!E:E,0)),"")</f>
        <v>Sibusiso Ngobeni</v>
      </c>
      <c r="E1621" t="s">
        <v>337</v>
      </c>
      <c r="F1621" t="s">
        <v>338</v>
      </c>
      <c r="G1621" t="s">
        <v>339</v>
      </c>
    </row>
    <row r="1622" spans="1:8" x14ac:dyDescent="0.3">
      <c r="A1622" t="s">
        <v>365</v>
      </c>
      <c r="B1622">
        <f>IFERROR(INDEX(MASTER_REGISTER!C:C,MATCH(C1622,MASTER_REGISTER!E:E,0)),"")</f>
        <v>8</v>
      </c>
      <c r="C1622" t="s">
        <v>50</v>
      </c>
      <c r="D1622" t="str">
        <f>IFERROR(INDEX(MASTER_REGISTER!F:F,MATCH(C1622,MASTER_REGISTER!E:E,0)),"")</f>
        <v>Lerato Nkosi</v>
      </c>
      <c r="E1622" t="s">
        <v>337</v>
      </c>
      <c r="F1622" t="s">
        <v>338</v>
      </c>
      <c r="G1622" t="s">
        <v>339</v>
      </c>
    </row>
    <row r="1623" spans="1:8" x14ac:dyDescent="0.3">
      <c r="A1623" t="s">
        <v>365</v>
      </c>
      <c r="B1623">
        <f>IFERROR(INDEX(MASTER_REGISTER!C:C,MATCH(C1623,MASTER_REGISTER!E:E,0)),"")</f>
        <v>8</v>
      </c>
      <c r="C1623" t="s">
        <v>58</v>
      </c>
      <c r="D1623" t="str">
        <f>IFERROR(INDEX(MASTER_REGISTER!F:F,MATCH(C1623,MASTER_REGISTER!E:E,0)),"")</f>
        <v>Karabo Maseko</v>
      </c>
      <c r="E1623" t="s">
        <v>337</v>
      </c>
      <c r="F1623" t="s">
        <v>338</v>
      </c>
      <c r="G1623" t="s">
        <v>339</v>
      </c>
    </row>
    <row r="1624" spans="1:8" x14ac:dyDescent="0.3">
      <c r="A1624" t="s">
        <v>365</v>
      </c>
      <c r="B1624">
        <f>IFERROR(INDEX(MASTER_REGISTER!C:C,MATCH(C1624,MASTER_REGISTER!E:E,0)),"")</f>
        <v>8</v>
      </c>
      <c r="C1624" t="s">
        <v>64</v>
      </c>
      <c r="D1624" t="str">
        <f>IFERROR(INDEX(MASTER_REGISTER!F:F,MATCH(C1624,MASTER_REGISTER!E:E,0)),"")</f>
        <v>Sifiso Sithole</v>
      </c>
      <c r="E1624" t="s">
        <v>337</v>
      </c>
      <c r="F1624" t="s">
        <v>338</v>
      </c>
      <c r="G1624" t="s">
        <v>339</v>
      </c>
    </row>
    <row r="1625" spans="1:8" x14ac:dyDescent="0.3">
      <c r="A1625" t="s">
        <v>365</v>
      </c>
      <c r="B1625">
        <f>IFERROR(INDEX(MASTER_REGISTER!C:C,MATCH(C1625,MASTER_REGISTER!E:E,0)),"")</f>
        <v>8</v>
      </c>
      <c r="C1625" t="s">
        <v>70</v>
      </c>
      <c r="D1625" t="str">
        <f>IFERROR(INDEX(MASTER_REGISTER!F:F,MATCH(C1625,MASTER_REGISTER!E:E,0)),"")</f>
        <v>Tshepo Ndlovu</v>
      </c>
      <c r="E1625" t="s">
        <v>337</v>
      </c>
      <c r="F1625" t="s">
        <v>338</v>
      </c>
      <c r="G1625" t="s">
        <v>339</v>
      </c>
    </row>
    <row r="1626" spans="1:8" x14ac:dyDescent="0.3">
      <c r="A1626" t="s">
        <v>365</v>
      </c>
      <c r="B1626">
        <f>IFERROR(INDEX(MASTER_REGISTER!C:C,MATCH(C1626,MASTER_REGISTER!E:E,0)),"")</f>
        <v>8</v>
      </c>
      <c r="C1626" t="s">
        <v>76</v>
      </c>
      <c r="D1626" t="str">
        <f>IFERROR(INDEX(MASTER_REGISTER!F:F,MATCH(C1626,MASTER_REGISTER!E:E,0)),"")</f>
        <v>Lwazi Mthembu</v>
      </c>
      <c r="E1626" t="s">
        <v>337</v>
      </c>
      <c r="F1626" t="s">
        <v>338</v>
      </c>
      <c r="G1626" t="s">
        <v>339</v>
      </c>
    </row>
    <row r="1627" spans="1:8" x14ac:dyDescent="0.3">
      <c r="A1627" t="s">
        <v>365</v>
      </c>
      <c r="B1627">
        <f>IFERROR(INDEX(MASTER_REGISTER!C:C,MATCH(C1627,MASTER_REGISTER!E:E,0)),"")</f>
        <v>8</v>
      </c>
      <c r="C1627" t="s">
        <v>82</v>
      </c>
      <c r="D1627" t="str">
        <f>IFERROR(INDEX(MASTER_REGISTER!F:F,MATCH(C1627,MASTER_REGISTER!E:E,0)),"")</f>
        <v>Karabo Ngobeni</v>
      </c>
      <c r="E1627" t="s">
        <v>337</v>
      </c>
      <c r="F1627" t="s">
        <v>338</v>
      </c>
      <c r="G1627" t="s">
        <v>339</v>
      </c>
    </row>
    <row r="1628" spans="1:8" x14ac:dyDescent="0.3">
      <c r="A1628" t="s">
        <v>365</v>
      </c>
      <c r="B1628">
        <f>IFERROR(INDEX(MASTER_REGISTER!C:C,MATCH(C1628,MASTER_REGISTER!E:E,0)),"")</f>
        <v>8</v>
      </c>
      <c r="C1628" t="s">
        <v>88</v>
      </c>
      <c r="D1628" t="str">
        <f>IFERROR(INDEX(MASTER_REGISTER!F:F,MATCH(C1628,MASTER_REGISTER!E:E,0)),"")</f>
        <v>Mpho Sithole</v>
      </c>
      <c r="E1628" t="s">
        <v>337</v>
      </c>
      <c r="F1628" t="s">
        <v>338</v>
      </c>
      <c r="G1628" t="s">
        <v>339</v>
      </c>
    </row>
    <row r="1629" spans="1:8" x14ac:dyDescent="0.3">
      <c r="A1629" t="s">
        <v>365</v>
      </c>
      <c r="B1629">
        <f>IFERROR(INDEX(MASTER_REGISTER!C:C,MATCH(C1629,MASTER_REGISTER!E:E,0)),"")</f>
        <v>8</v>
      </c>
      <c r="C1629" t="s">
        <v>94</v>
      </c>
      <c r="D1629" t="str">
        <f>IFERROR(INDEX(MASTER_REGISTER!F:F,MATCH(C1629,MASTER_REGISTER!E:E,0)),"")</f>
        <v>Tshepo Ramushu</v>
      </c>
      <c r="E1629" t="s">
        <v>337</v>
      </c>
      <c r="F1629" t="s">
        <v>338</v>
      </c>
      <c r="G1629" t="s">
        <v>339</v>
      </c>
    </row>
    <row r="1630" spans="1:8" x14ac:dyDescent="0.3">
      <c r="A1630" t="s">
        <v>365</v>
      </c>
      <c r="B1630">
        <f>IFERROR(INDEX(MASTER_REGISTER!C:C,MATCH(C1630,MASTER_REGISTER!E:E,0)),"")</f>
        <v>8</v>
      </c>
      <c r="C1630" t="s">
        <v>100</v>
      </c>
      <c r="D1630" t="str">
        <f>IFERROR(INDEX(MASTER_REGISTER!F:F,MATCH(C1630,MASTER_REGISTER!E:E,0)),"")</f>
        <v>Lerato Kekana</v>
      </c>
      <c r="E1630" t="s">
        <v>337</v>
      </c>
      <c r="F1630" t="s">
        <v>338</v>
      </c>
      <c r="G1630" t="s">
        <v>339</v>
      </c>
    </row>
    <row r="1631" spans="1:8" x14ac:dyDescent="0.3">
      <c r="A1631" t="s">
        <v>365</v>
      </c>
      <c r="B1631">
        <f>IFERROR(INDEX(MASTER_REGISTER!C:C,MATCH(C1631,MASTER_REGISTER!E:E,0)),"")</f>
        <v>8</v>
      </c>
      <c r="C1631" t="s">
        <v>106</v>
      </c>
      <c r="D1631" t="str">
        <f>IFERROR(INDEX(MASTER_REGISTER!F:F,MATCH(C1631,MASTER_REGISTER!E:E,0)),"")</f>
        <v>Neo Ngobeni</v>
      </c>
      <c r="E1631" t="s">
        <v>337</v>
      </c>
      <c r="F1631" t="s">
        <v>338</v>
      </c>
      <c r="G1631" t="s">
        <v>339</v>
      </c>
    </row>
    <row r="1632" spans="1:8" x14ac:dyDescent="0.3">
      <c r="A1632" t="s">
        <v>365</v>
      </c>
      <c r="B1632">
        <f>IFERROR(INDEX(MASTER_REGISTER!C:C,MATCH(C1632,MASTER_REGISTER!E:E,0)),"")</f>
        <v>8</v>
      </c>
      <c r="C1632" t="s">
        <v>112</v>
      </c>
      <c r="D1632" t="str">
        <f>IFERROR(INDEX(MASTER_REGISTER!F:F,MATCH(C1632,MASTER_REGISTER!E:E,0)),"")</f>
        <v>Thabo Mokgadi</v>
      </c>
      <c r="E1632" t="s">
        <v>337</v>
      </c>
      <c r="F1632" t="s">
        <v>338</v>
      </c>
      <c r="G1632" t="s">
        <v>339</v>
      </c>
    </row>
    <row r="1633" spans="1:8" x14ac:dyDescent="0.3">
      <c r="A1633" t="s">
        <v>365</v>
      </c>
      <c r="B1633">
        <f>IFERROR(INDEX(MASTER_REGISTER!C:C,MATCH(C1633,MASTER_REGISTER!E:E,0)),"")</f>
        <v>8</v>
      </c>
      <c r="C1633" t="s">
        <v>118</v>
      </c>
      <c r="D1633" t="str">
        <f>IFERROR(INDEX(MASTER_REGISTER!F:F,MATCH(C1633,MASTER_REGISTER!E:E,0)),"")</f>
        <v>Sifiso Mthembu</v>
      </c>
      <c r="E1633" t="s">
        <v>337</v>
      </c>
      <c r="F1633" t="s">
        <v>338</v>
      </c>
      <c r="G1633" t="s">
        <v>339</v>
      </c>
    </row>
    <row r="1634" spans="1:8" x14ac:dyDescent="0.3">
      <c r="A1634" t="s">
        <v>365</v>
      </c>
      <c r="B1634">
        <f>IFERROR(INDEX(MASTER_REGISTER!C:C,MATCH(C1634,MASTER_REGISTER!E:E,0)),"")</f>
        <v>9</v>
      </c>
      <c r="C1634" t="s">
        <v>123</v>
      </c>
      <c r="D1634" t="str">
        <f>IFERROR(INDEX(MASTER_REGISTER!F:F,MATCH(C1634,MASTER_REGISTER!E:E,0)),"")</f>
        <v>Karabo Phiri</v>
      </c>
      <c r="E1634" t="s">
        <v>337</v>
      </c>
      <c r="F1634" t="s">
        <v>338</v>
      </c>
      <c r="G1634" t="s">
        <v>339</v>
      </c>
    </row>
    <row r="1635" spans="1:8" x14ac:dyDescent="0.3">
      <c r="A1635" t="s">
        <v>365</v>
      </c>
      <c r="B1635">
        <f>IFERROR(INDEX(MASTER_REGISTER!C:C,MATCH(C1635,MASTER_REGISTER!E:E,0)),"")</f>
        <v>9</v>
      </c>
      <c r="C1635" t="s">
        <v>128</v>
      </c>
      <c r="D1635" t="str">
        <f>IFERROR(INDEX(MASTER_REGISTER!F:F,MATCH(C1635,MASTER_REGISTER!E:E,0)),"")</f>
        <v>Lerato Mahlangu</v>
      </c>
      <c r="E1635" t="s">
        <v>337</v>
      </c>
      <c r="F1635" t="s">
        <v>338</v>
      </c>
      <c r="G1635" t="s">
        <v>339</v>
      </c>
    </row>
    <row r="1636" spans="1:8" x14ac:dyDescent="0.3">
      <c r="A1636" t="s">
        <v>365</v>
      </c>
      <c r="B1636">
        <f>IFERROR(INDEX(MASTER_REGISTER!C:C,MATCH(C1636,MASTER_REGISTER!E:E,0)),"")</f>
        <v>9</v>
      </c>
      <c r="C1636" t="s">
        <v>133</v>
      </c>
      <c r="D1636" t="str">
        <f>IFERROR(INDEX(MASTER_REGISTER!F:F,MATCH(C1636,MASTER_REGISTER!E:E,0)),"")</f>
        <v>Mpho Kekana</v>
      </c>
      <c r="E1636" t="s">
        <v>335</v>
      </c>
      <c r="H1636" t="s">
        <v>341</v>
      </c>
    </row>
    <row r="1637" spans="1:8" x14ac:dyDescent="0.3">
      <c r="A1637" t="s">
        <v>365</v>
      </c>
      <c r="B1637">
        <f>IFERROR(INDEX(MASTER_REGISTER!C:C,MATCH(C1637,MASTER_REGISTER!E:E,0)),"")</f>
        <v>9</v>
      </c>
      <c r="C1637" t="s">
        <v>138</v>
      </c>
      <c r="D1637" t="str">
        <f>IFERROR(INDEX(MASTER_REGISTER!F:F,MATCH(C1637,MASTER_REGISTER!E:E,0)),"")</f>
        <v>Thabo Molefe</v>
      </c>
      <c r="E1637" t="s">
        <v>337</v>
      </c>
      <c r="F1637" t="s">
        <v>338</v>
      </c>
      <c r="G1637" t="s">
        <v>339</v>
      </c>
    </row>
    <row r="1638" spans="1:8" x14ac:dyDescent="0.3">
      <c r="A1638" t="s">
        <v>365</v>
      </c>
      <c r="B1638">
        <f>IFERROR(INDEX(MASTER_REGISTER!C:C,MATCH(C1638,MASTER_REGISTER!E:E,0)),"")</f>
        <v>9</v>
      </c>
      <c r="C1638" t="s">
        <v>143</v>
      </c>
      <c r="D1638" t="str">
        <f>IFERROR(INDEX(MASTER_REGISTER!F:F,MATCH(C1638,MASTER_REGISTER!E:E,0)),"")</f>
        <v>Mpho Ngobeni</v>
      </c>
      <c r="E1638" t="s">
        <v>337</v>
      </c>
      <c r="F1638" t="s">
        <v>338</v>
      </c>
      <c r="G1638" t="s">
        <v>339</v>
      </c>
    </row>
    <row r="1639" spans="1:8" x14ac:dyDescent="0.3">
      <c r="A1639" t="s">
        <v>365</v>
      </c>
      <c r="B1639">
        <f>IFERROR(INDEX(MASTER_REGISTER!C:C,MATCH(C1639,MASTER_REGISTER!E:E,0)),"")</f>
        <v>9</v>
      </c>
      <c r="C1639" t="s">
        <v>148</v>
      </c>
      <c r="D1639" t="str">
        <f>IFERROR(INDEX(MASTER_REGISTER!F:F,MATCH(C1639,MASTER_REGISTER!E:E,0)),"")</f>
        <v>Siyanda Mhlongo</v>
      </c>
      <c r="E1639" t="s">
        <v>337</v>
      </c>
      <c r="F1639" t="s">
        <v>338</v>
      </c>
      <c r="G1639" t="s">
        <v>339</v>
      </c>
    </row>
    <row r="1640" spans="1:8" x14ac:dyDescent="0.3">
      <c r="A1640" t="s">
        <v>365</v>
      </c>
      <c r="B1640">
        <f>IFERROR(INDEX(MASTER_REGISTER!C:C,MATCH(C1640,MASTER_REGISTER!E:E,0)),"")</f>
        <v>9</v>
      </c>
      <c r="C1640" t="s">
        <v>153</v>
      </c>
      <c r="D1640" t="str">
        <f>IFERROR(INDEX(MASTER_REGISTER!F:F,MATCH(C1640,MASTER_REGISTER!E:E,0)),"")</f>
        <v>Siyanda Mahlangu</v>
      </c>
      <c r="E1640" t="s">
        <v>337</v>
      </c>
      <c r="F1640" t="s">
        <v>338</v>
      </c>
      <c r="G1640" t="s">
        <v>339</v>
      </c>
    </row>
    <row r="1641" spans="1:8" x14ac:dyDescent="0.3">
      <c r="A1641" t="s">
        <v>365</v>
      </c>
      <c r="B1641">
        <f>IFERROR(INDEX(MASTER_REGISTER!C:C,MATCH(C1641,MASTER_REGISTER!E:E,0)),"")</f>
        <v>9</v>
      </c>
      <c r="C1641" t="s">
        <v>158</v>
      </c>
      <c r="D1641" t="str">
        <f>IFERROR(INDEX(MASTER_REGISTER!F:F,MATCH(C1641,MASTER_REGISTER!E:E,0)),"")</f>
        <v>Sifiso Ramushu</v>
      </c>
      <c r="E1641" t="s">
        <v>337</v>
      </c>
      <c r="F1641" t="s">
        <v>338</v>
      </c>
      <c r="G1641" t="s">
        <v>339</v>
      </c>
    </row>
    <row r="1642" spans="1:8" x14ac:dyDescent="0.3">
      <c r="A1642" t="s">
        <v>365</v>
      </c>
      <c r="B1642">
        <f>IFERROR(INDEX(MASTER_REGISTER!C:C,MATCH(C1642,MASTER_REGISTER!E:E,0)),"")</f>
        <v>9</v>
      </c>
      <c r="C1642" t="s">
        <v>163</v>
      </c>
      <c r="D1642" t="str">
        <f>IFERROR(INDEX(MASTER_REGISTER!F:F,MATCH(C1642,MASTER_REGISTER!E:E,0)),"")</f>
        <v>Nandi Ngobeni</v>
      </c>
      <c r="E1642" t="s">
        <v>337</v>
      </c>
      <c r="F1642" t="s">
        <v>338</v>
      </c>
      <c r="G1642" t="s">
        <v>339</v>
      </c>
    </row>
    <row r="1643" spans="1:8" x14ac:dyDescent="0.3">
      <c r="A1643" t="s">
        <v>365</v>
      </c>
      <c r="B1643">
        <f>IFERROR(INDEX(MASTER_REGISTER!C:C,MATCH(C1643,MASTER_REGISTER!E:E,0)),"")</f>
        <v>9</v>
      </c>
      <c r="C1643" t="s">
        <v>168</v>
      </c>
      <c r="D1643" t="str">
        <f>IFERROR(INDEX(MASTER_REGISTER!F:F,MATCH(C1643,MASTER_REGISTER!E:E,0)),"")</f>
        <v>Karabo Mokgadi</v>
      </c>
      <c r="E1643" t="s">
        <v>335</v>
      </c>
      <c r="H1643" t="s">
        <v>340</v>
      </c>
    </row>
    <row r="1644" spans="1:8" x14ac:dyDescent="0.3">
      <c r="A1644" t="s">
        <v>365</v>
      </c>
      <c r="B1644">
        <f>IFERROR(INDEX(MASTER_REGISTER!C:C,MATCH(C1644,MASTER_REGISTER!E:E,0)),"")</f>
        <v>9</v>
      </c>
      <c r="C1644" t="s">
        <v>173</v>
      </c>
      <c r="D1644" t="str">
        <f>IFERROR(INDEX(MASTER_REGISTER!F:F,MATCH(C1644,MASTER_REGISTER!E:E,0)),"")</f>
        <v>Sifiso Mahlangu</v>
      </c>
      <c r="E1644" t="s">
        <v>337</v>
      </c>
      <c r="F1644" t="s">
        <v>338</v>
      </c>
      <c r="G1644" t="s">
        <v>339</v>
      </c>
    </row>
    <row r="1645" spans="1:8" x14ac:dyDescent="0.3">
      <c r="A1645" t="s">
        <v>365</v>
      </c>
      <c r="B1645">
        <f>IFERROR(INDEX(MASTER_REGISTER!C:C,MATCH(C1645,MASTER_REGISTER!E:E,0)),"")</f>
        <v>9</v>
      </c>
      <c r="C1645" t="s">
        <v>178</v>
      </c>
      <c r="D1645" t="str">
        <f>IFERROR(INDEX(MASTER_REGISTER!F:F,MATCH(C1645,MASTER_REGISTER!E:E,0)),"")</f>
        <v>Kgothatso Radebe</v>
      </c>
      <c r="E1645" t="s">
        <v>337</v>
      </c>
      <c r="F1645" t="s">
        <v>338</v>
      </c>
      <c r="G1645" t="s">
        <v>339</v>
      </c>
    </row>
    <row r="1646" spans="1:8" x14ac:dyDescent="0.3">
      <c r="A1646" t="s">
        <v>365</v>
      </c>
      <c r="B1646">
        <f>IFERROR(INDEX(MASTER_REGISTER!C:C,MATCH(C1646,MASTER_REGISTER!E:E,0)),"")</f>
        <v>10</v>
      </c>
      <c r="C1646" t="s">
        <v>183</v>
      </c>
      <c r="D1646" t="str">
        <f>IFERROR(INDEX(MASTER_REGISTER!F:F,MATCH(C1646,MASTER_REGISTER!E:E,0)),"")</f>
        <v>Lerato Maseko</v>
      </c>
      <c r="E1646" t="s">
        <v>337</v>
      </c>
      <c r="F1646" t="s">
        <v>338</v>
      </c>
      <c r="G1646" t="s">
        <v>339</v>
      </c>
    </row>
    <row r="1647" spans="1:8" x14ac:dyDescent="0.3">
      <c r="A1647" t="s">
        <v>365</v>
      </c>
      <c r="B1647">
        <f>IFERROR(INDEX(MASTER_REGISTER!C:C,MATCH(C1647,MASTER_REGISTER!E:E,0)),"")</f>
        <v>10</v>
      </c>
      <c r="C1647" t="s">
        <v>188</v>
      </c>
      <c r="D1647" t="str">
        <f>IFERROR(INDEX(MASTER_REGISTER!F:F,MATCH(C1647,MASTER_REGISTER!E:E,0)),"")</f>
        <v>Sibusiso Molefe</v>
      </c>
      <c r="E1647" t="s">
        <v>337</v>
      </c>
      <c r="F1647" t="s">
        <v>338</v>
      </c>
      <c r="G1647" t="s">
        <v>339</v>
      </c>
    </row>
    <row r="1648" spans="1:8" x14ac:dyDescent="0.3">
      <c r="A1648" t="s">
        <v>365</v>
      </c>
      <c r="B1648">
        <f>IFERROR(INDEX(MASTER_REGISTER!C:C,MATCH(C1648,MASTER_REGISTER!E:E,0)),"")</f>
        <v>10</v>
      </c>
      <c r="C1648" t="s">
        <v>193</v>
      </c>
      <c r="D1648" t="str">
        <f>IFERROR(INDEX(MASTER_REGISTER!F:F,MATCH(C1648,MASTER_REGISTER!E:E,0)),"")</f>
        <v>Nandi Molefe</v>
      </c>
      <c r="E1648" t="s">
        <v>337</v>
      </c>
      <c r="F1648" t="s">
        <v>338</v>
      </c>
      <c r="G1648" t="s">
        <v>339</v>
      </c>
    </row>
    <row r="1649" spans="1:8" x14ac:dyDescent="0.3">
      <c r="A1649" t="s">
        <v>365</v>
      </c>
      <c r="B1649">
        <f>IFERROR(INDEX(MASTER_REGISTER!C:C,MATCH(C1649,MASTER_REGISTER!E:E,0)),"")</f>
        <v>10</v>
      </c>
      <c r="C1649" t="s">
        <v>198</v>
      </c>
      <c r="D1649" t="str">
        <f>IFERROR(INDEX(MASTER_REGISTER!F:F,MATCH(C1649,MASTER_REGISTER!E:E,0)),"")</f>
        <v>Kgothatso Baloyi</v>
      </c>
      <c r="E1649" t="s">
        <v>337</v>
      </c>
      <c r="F1649" t="s">
        <v>338</v>
      </c>
      <c r="G1649" t="s">
        <v>339</v>
      </c>
    </row>
    <row r="1650" spans="1:8" x14ac:dyDescent="0.3">
      <c r="A1650" t="s">
        <v>365</v>
      </c>
      <c r="B1650">
        <f>IFERROR(INDEX(MASTER_REGISTER!C:C,MATCH(C1650,MASTER_REGISTER!E:E,0)),"")</f>
        <v>10</v>
      </c>
      <c r="C1650" t="s">
        <v>202</v>
      </c>
      <c r="D1650" t="str">
        <f>IFERROR(INDEX(MASTER_REGISTER!F:F,MATCH(C1650,MASTER_REGISTER!E:E,0)),"")</f>
        <v>Ayanda Mokoena</v>
      </c>
      <c r="E1650" t="s">
        <v>337</v>
      </c>
      <c r="F1650" t="s">
        <v>338</v>
      </c>
      <c r="G1650" t="s">
        <v>339</v>
      </c>
    </row>
    <row r="1651" spans="1:8" x14ac:dyDescent="0.3">
      <c r="A1651" t="s">
        <v>365</v>
      </c>
      <c r="B1651">
        <f>IFERROR(INDEX(MASTER_REGISTER!C:C,MATCH(C1651,MASTER_REGISTER!E:E,0)),"")</f>
        <v>10</v>
      </c>
      <c r="C1651" t="s">
        <v>206</v>
      </c>
      <c r="D1651" t="str">
        <f>IFERROR(INDEX(MASTER_REGISTER!F:F,MATCH(C1651,MASTER_REGISTER!E:E,0)),"")</f>
        <v>Lwazi Baloyi</v>
      </c>
      <c r="E1651" t="s">
        <v>337</v>
      </c>
      <c r="F1651" t="s">
        <v>338</v>
      </c>
      <c r="G1651" t="s">
        <v>339</v>
      </c>
    </row>
    <row r="1652" spans="1:8" x14ac:dyDescent="0.3">
      <c r="A1652" t="s">
        <v>365</v>
      </c>
      <c r="B1652">
        <f>IFERROR(INDEX(MASTER_REGISTER!C:C,MATCH(C1652,MASTER_REGISTER!E:E,0)),"")</f>
        <v>10</v>
      </c>
      <c r="C1652" t="s">
        <v>210</v>
      </c>
      <c r="D1652" t="str">
        <f>IFERROR(INDEX(MASTER_REGISTER!F:F,MATCH(C1652,MASTER_REGISTER!E:E,0)),"")</f>
        <v>Siyanda Mokoena</v>
      </c>
      <c r="E1652" t="s">
        <v>337</v>
      </c>
      <c r="F1652" t="s">
        <v>338</v>
      </c>
      <c r="G1652" t="s">
        <v>339</v>
      </c>
    </row>
    <row r="1653" spans="1:8" x14ac:dyDescent="0.3">
      <c r="A1653" t="s">
        <v>365</v>
      </c>
      <c r="B1653">
        <f>IFERROR(INDEX(MASTER_REGISTER!C:C,MATCH(C1653,MASTER_REGISTER!E:E,0)),"")</f>
        <v>10</v>
      </c>
      <c r="C1653" t="s">
        <v>214</v>
      </c>
      <c r="D1653" t="str">
        <f>IFERROR(INDEX(MASTER_REGISTER!F:F,MATCH(C1653,MASTER_REGISTER!E:E,0)),"")</f>
        <v>Mpho Ngobeni</v>
      </c>
      <c r="E1653" t="s">
        <v>337</v>
      </c>
      <c r="F1653" t="s">
        <v>338</v>
      </c>
      <c r="G1653" t="s">
        <v>339</v>
      </c>
    </row>
    <row r="1654" spans="1:8" x14ac:dyDescent="0.3">
      <c r="A1654" t="s">
        <v>365</v>
      </c>
      <c r="B1654">
        <f>IFERROR(INDEX(MASTER_REGISTER!C:C,MATCH(C1654,MASTER_REGISTER!E:E,0)),"")</f>
        <v>10</v>
      </c>
      <c r="C1654" t="s">
        <v>217</v>
      </c>
      <c r="D1654" t="str">
        <f>IFERROR(INDEX(MASTER_REGISTER!F:F,MATCH(C1654,MASTER_REGISTER!E:E,0)),"")</f>
        <v>Naledi Makhubela</v>
      </c>
      <c r="E1654" t="s">
        <v>337</v>
      </c>
      <c r="F1654" t="s">
        <v>338</v>
      </c>
      <c r="G1654" t="s">
        <v>339</v>
      </c>
    </row>
    <row r="1655" spans="1:8" x14ac:dyDescent="0.3">
      <c r="A1655" t="s">
        <v>365</v>
      </c>
      <c r="B1655">
        <f>IFERROR(INDEX(MASTER_REGISTER!C:C,MATCH(C1655,MASTER_REGISTER!E:E,0)),"")</f>
        <v>10</v>
      </c>
      <c r="C1655" t="s">
        <v>221</v>
      </c>
      <c r="D1655" t="str">
        <f>IFERROR(INDEX(MASTER_REGISTER!F:F,MATCH(C1655,MASTER_REGISTER!E:E,0)),"")</f>
        <v>Kgothatso Mokoena</v>
      </c>
      <c r="E1655" t="s">
        <v>337</v>
      </c>
      <c r="F1655" t="s">
        <v>338</v>
      </c>
      <c r="G1655" t="s">
        <v>339</v>
      </c>
    </row>
    <row r="1656" spans="1:8" x14ac:dyDescent="0.3">
      <c r="A1656" t="s">
        <v>365</v>
      </c>
      <c r="B1656">
        <f>IFERROR(INDEX(MASTER_REGISTER!C:C,MATCH(C1656,MASTER_REGISTER!E:E,0)),"")</f>
        <v>10</v>
      </c>
      <c r="C1656" t="s">
        <v>225</v>
      </c>
      <c r="D1656" t="str">
        <f>IFERROR(INDEX(MASTER_REGISTER!F:F,MATCH(C1656,MASTER_REGISTER!E:E,0)),"")</f>
        <v>Bongani Makhubela</v>
      </c>
      <c r="E1656" t="s">
        <v>337</v>
      </c>
      <c r="F1656" t="s">
        <v>338</v>
      </c>
      <c r="G1656" t="s">
        <v>339</v>
      </c>
    </row>
    <row r="1657" spans="1:8" x14ac:dyDescent="0.3">
      <c r="A1657" t="s">
        <v>365</v>
      </c>
      <c r="B1657">
        <f>IFERROR(INDEX(MASTER_REGISTER!C:C,MATCH(C1657,MASTER_REGISTER!E:E,0)),"")</f>
        <v>10</v>
      </c>
      <c r="C1657" t="s">
        <v>229</v>
      </c>
      <c r="D1657" t="str">
        <f>IFERROR(INDEX(MASTER_REGISTER!F:F,MATCH(C1657,MASTER_REGISTER!E:E,0)),"")</f>
        <v>Kagiso Kekana</v>
      </c>
      <c r="E1657" t="s">
        <v>337</v>
      </c>
      <c r="F1657" t="s">
        <v>338</v>
      </c>
      <c r="G1657" t="s">
        <v>339</v>
      </c>
    </row>
    <row r="1658" spans="1:8" x14ac:dyDescent="0.3">
      <c r="A1658" t="s">
        <v>365</v>
      </c>
      <c r="B1658">
        <f>IFERROR(INDEX(MASTER_REGISTER!C:C,MATCH(C1658,MASTER_REGISTER!E:E,0)),"")</f>
        <v>11</v>
      </c>
      <c r="C1658" t="s">
        <v>233</v>
      </c>
      <c r="D1658" t="str">
        <f>IFERROR(INDEX(MASTER_REGISTER!F:F,MATCH(C1658,MASTER_REGISTER!E:E,0)),"")</f>
        <v>Lwazi Makhubela</v>
      </c>
      <c r="E1658" t="s">
        <v>337</v>
      </c>
      <c r="F1658" t="s">
        <v>338</v>
      </c>
      <c r="G1658" t="s">
        <v>339</v>
      </c>
    </row>
    <row r="1659" spans="1:8" x14ac:dyDescent="0.3">
      <c r="A1659" t="s">
        <v>365</v>
      </c>
      <c r="B1659">
        <f>IFERROR(INDEX(MASTER_REGISTER!C:C,MATCH(C1659,MASTER_REGISTER!E:E,0)),"")</f>
        <v>11</v>
      </c>
      <c r="C1659" t="s">
        <v>237</v>
      </c>
      <c r="D1659" t="str">
        <f>IFERROR(INDEX(MASTER_REGISTER!F:F,MATCH(C1659,MASTER_REGISTER!E:E,0)),"")</f>
        <v>Lebogang Ramushu</v>
      </c>
      <c r="E1659" t="s">
        <v>337</v>
      </c>
      <c r="F1659" t="s">
        <v>338</v>
      </c>
      <c r="G1659" t="s">
        <v>339</v>
      </c>
    </row>
    <row r="1660" spans="1:8" x14ac:dyDescent="0.3">
      <c r="A1660" t="s">
        <v>365</v>
      </c>
      <c r="B1660">
        <f>IFERROR(INDEX(MASTER_REGISTER!C:C,MATCH(C1660,MASTER_REGISTER!E:E,0)),"")</f>
        <v>11</v>
      </c>
      <c r="C1660" t="s">
        <v>241</v>
      </c>
      <c r="D1660" t="str">
        <f>IFERROR(INDEX(MASTER_REGISTER!F:F,MATCH(C1660,MASTER_REGISTER!E:E,0)),"")</f>
        <v>Lerato Kekana</v>
      </c>
      <c r="E1660" t="s">
        <v>337</v>
      </c>
      <c r="F1660" t="s">
        <v>338</v>
      </c>
      <c r="G1660" t="s">
        <v>339</v>
      </c>
    </row>
    <row r="1661" spans="1:8" x14ac:dyDescent="0.3">
      <c r="A1661" t="s">
        <v>365</v>
      </c>
      <c r="B1661">
        <f>IFERROR(INDEX(MASTER_REGISTER!C:C,MATCH(C1661,MASTER_REGISTER!E:E,0)),"")</f>
        <v>11</v>
      </c>
      <c r="C1661" t="s">
        <v>244</v>
      </c>
      <c r="D1661" t="str">
        <f>IFERROR(INDEX(MASTER_REGISTER!F:F,MATCH(C1661,MASTER_REGISTER!E:E,0)),"")</f>
        <v>Bongani Ndlovu</v>
      </c>
      <c r="E1661" t="s">
        <v>337</v>
      </c>
      <c r="F1661" t="s">
        <v>338</v>
      </c>
      <c r="G1661" t="s">
        <v>339</v>
      </c>
    </row>
    <row r="1662" spans="1:8" x14ac:dyDescent="0.3">
      <c r="A1662" t="s">
        <v>365</v>
      </c>
      <c r="B1662">
        <f>IFERROR(INDEX(MASTER_REGISTER!C:C,MATCH(C1662,MASTER_REGISTER!E:E,0)),"")</f>
        <v>11</v>
      </c>
      <c r="C1662" t="s">
        <v>248</v>
      </c>
      <c r="D1662" t="str">
        <f>IFERROR(INDEX(MASTER_REGISTER!F:F,MATCH(C1662,MASTER_REGISTER!E:E,0)),"")</f>
        <v>Sifiso Dlamini</v>
      </c>
      <c r="E1662" t="s">
        <v>335</v>
      </c>
      <c r="H1662" t="s">
        <v>340</v>
      </c>
    </row>
    <row r="1663" spans="1:8" x14ac:dyDescent="0.3">
      <c r="A1663" t="s">
        <v>365</v>
      </c>
      <c r="B1663">
        <f>IFERROR(INDEX(MASTER_REGISTER!C:C,MATCH(C1663,MASTER_REGISTER!E:E,0)),"")</f>
        <v>11</v>
      </c>
      <c r="C1663" t="s">
        <v>252</v>
      </c>
      <c r="D1663" t="str">
        <f>IFERROR(INDEX(MASTER_REGISTER!F:F,MATCH(C1663,MASTER_REGISTER!E:E,0)),"")</f>
        <v>Refilwe Dlamini</v>
      </c>
      <c r="E1663" t="s">
        <v>335</v>
      </c>
      <c r="H1663" t="s">
        <v>340</v>
      </c>
    </row>
    <row r="1664" spans="1:8" x14ac:dyDescent="0.3">
      <c r="A1664" t="s">
        <v>365</v>
      </c>
      <c r="B1664">
        <f>IFERROR(INDEX(MASTER_REGISTER!C:C,MATCH(C1664,MASTER_REGISTER!E:E,0)),"")</f>
        <v>11</v>
      </c>
      <c r="C1664" t="s">
        <v>256</v>
      </c>
      <c r="D1664" t="str">
        <f>IFERROR(INDEX(MASTER_REGISTER!F:F,MATCH(C1664,MASTER_REGISTER!E:E,0)),"")</f>
        <v>Lwazi Maseko</v>
      </c>
      <c r="E1664" t="s">
        <v>337</v>
      </c>
      <c r="F1664" t="s">
        <v>338</v>
      </c>
      <c r="G1664" t="s">
        <v>339</v>
      </c>
    </row>
    <row r="1665" spans="1:8" x14ac:dyDescent="0.3">
      <c r="A1665" t="s">
        <v>365</v>
      </c>
      <c r="B1665">
        <f>IFERROR(INDEX(MASTER_REGISTER!C:C,MATCH(C1665,MASTER_REGISTER!E:E,0)),"")</f>
        <v>11</v>
      </c>
      <c r="C1665" t="s">
        <v>260</v>
      </c>
      <c r="D1665" t="str">
        <f>IFERROR(INDEX(MASTER_REGISTER!F:F,MATCH(C1665,MASTER_REGISTER!E:E,0)),"")</f>
        <v>Refilwe Mokgadi</v>
      </c>
      <c r="E1665" t="s">
        <v>335</v>
      </c>
      <c r="H1665" t="s">
        <v>340</v>
      </c>
    </row>
    <row r="1666" spans="1:8" x14ac:dyDescent="0.3">
      <c r="A1666" t="s">
        <v>365</v>
      </c>
      <c r="B1666">
        <f>IFERROR(INDEX(MASTER_REGISTER!C:C,MATCH(C1666,MASTER_REGISTER!E:E,0)),"")</f>
        <v>11</v>
      </c>
      <c r="C1666" t="s">
        <v>264</v>
      </c>
      <c r="D1666" t="str">
        <f>IFERROR(INDEX(MASTER_REGISTER!F:F,MATCH(C1666,MASTER_REGISTER!E:E,0)),"")</f>
        <v>Kgothatso Molefe</v>
      </c>
      <c r="E1666" t="s">
        <v>337</v>
      </c>
      <c r="F1666" t="s">
        <v>338</v>
      </c>
      <c r="G1666" t="s">
        <v>339</v>
      </c>
    </row>
    <row r="1667" spans="1:8" x14ac:dyDescent="0.3">
      <c r="A1667" t="s">
        <v>365</v>
      </c>
      <c r="B1667">
        <f>IFERROR(INDEX(MASTER_REGISTER!C:C,MATCH(C1667,MASTER_REGISTER!E:E,0)),"")</f>
        <v>11</v>
      </c>
      <c r="C1667" t="s">
        <v>268</v>
      </c>
      <c r="D1667" t="str">
        <f>IFERROR(INDEX(MASTER_REGISTER!F:F,MATCH(C1667,MASTER_REGISTER!E:E,0)),"")</f>
        <v>Tshepo Mokgadi</v>
      </c>
      <c r="E1667" t="s">
        <v>337</v>
      </c>
      <c r="F1667" t="s">
        <v>338</v>
      </c>
      <c r="G1667" t="s">
        <v>339</v>
      </c>
    </row>
    <row r="1668" spans="1:8" x14ac:dyDescent="0.3">
      <c r="A1668" t="s">
        <v>365</v>
      </c>
      <c r="B1668">
        <f>IFERROR(INDEX(MASTER_REGISTER!C:C,MATCH(C1668,MASTER_REGISTER!E:E,0)),"")</f>
        <v>11</v>
      </c>
      <c r="C1668" t="s">
        <v>272</v>
      </c>
      <c r="D1668" t="str">
        <f>IFERROR(INDEX(MASTER_REGISTER!F:F,MATCH(C1668,MASTER_REGISTER!E:E,0)),"")</f>
        <v>Tshepo Phiri</v>
      </c>
      <c r="E1668" t="s">
        <v>337</v>
      </c>
      <c r="F1668" t="s">
        <v>338</v>
      </c>
      <c r="G1668" t="s">
        <v>339</v>
      </c>
    </row>
    <row r="1669" spans="1:8" x14ac:dyDescent="0.3">
      <c r="A1669" t="s">
        <v>365</v>
      </c>
      <c r="B1669">
        <f>IFERROR(INDEX(MASTER_REGISTER!C:C,MATCH(C1669,MASTER_REGISTER!E:E,0)),"")</f>
        <v>11</v>
      </c>
      <c r="C1669" t="s">
        <v>276</v>
      </c>
      <c r="D1669" t="str">
        <f>IFERROR(INDEX(MASTER_REGISTER!F:F,MATCH(C1669,MASTER_REGISTER!E:E,0)),"")</f>
        <v>Zanele Ngobeni</v>
      </c>
      <c r="E1669" t="s">
        <v>337</v>
      </c>
      <c r="F1669" t="s">
        <v>338</v>
      </c>
      <c r="G1669" t="s">
        <v>339</v>
      </c>
    </row>
    <row r="1670" spans="1:8" x14ac:dyDescent="0.3">
      <c r="A1670" t="s">
        <v>365</v>
      </c>
      <c r="B1670">
        <f>IFERROR(INDEX(MASTER_REGISTER!C:C,MATCH(C1670,MASTER_REGISTER!E:E,0)),"")</f>
        <v>12</v>
      </c>
      <c r="C1670" t="s">
        <v>280</v>
      </c>
      <c r="D1670" t="str">
        <f>IFERROR(INDEX(MASTER_REGISTER!F:F,MATCH(C1670,MASTER_REGISTER!E:E,0)),"")</f>
        <v>Palesa Mokoena</v>
      </c>
      <c r="E1670" t="s">
        <v>337</v>
      </c>
      <c r="F1670" t="s">
        <v>338</v>
      </c>
      <c r="G1670" t="s">
        <v>339</v>
      </c>
    </row>
    <row r="1671" spans="1:8" x14ac:dyDescent="0.3">
      <c r="A1671" t="s">
        <v>365</v>
      </c>
      <c r="B1671">
        <f>IFERROR(INDEX(MASTER_REGISTER!C:C,MATCH(C1671,MASTER_REGISTER!E:E,0)),"")</f>
        <v>12</v>
      </c>
      <c r="C1671" t="s">
        <v>284</v>
      </c>
      <c r="D1671" t="str">
        <f>IFERROR(INDEX(MASTER_REGISTER!F:F,MATCH(C1671,MASTER_REGISTER!E:E,0)),"")</f>
        <v>Thabo Ramushu</v>
      </c>
      <c r="E1671" t="s">
        <v>337</v>
      </c>
      <c r="F1671" t="s">
        <v>338</v>
      </c>
      <c r="G1671" t="s">
        <v>339</v>
      </c>
    </row>
    <row r="1672" spans="1:8" x14ac:dyDescent="0.3">
      <c r="A1672" t="s">
        <v>365</v>
      </c>
      <c r="B1672">
        <f>IFERROR(INDEX(MASTER_REGISTER!C:C,MATCH(C1672,MASTER_REGISTER!E:E,0)),"")</f>
        <v>12</v>
      </c>
      <c r="C1672" t="s">
        <v>288</v>
      </c>
      <c r="D1672" t="str">
        <f>IFERROR(INDEX(MASTER_REGISTER!F:F,MATCH(C1672,MASTER_REGISTER!E:E,0)),"")</f>
        <v>Lwazi Ndlovu</v>
      </c>
      <c r="E1672" t="s">
        <v>337</v>
      </c>
      <c r="F1672" t="s">
        <v>338</v>
      </c>
      <c r="G1672" t="s">
        <v>339</v>
      </c>
    </row>
    <row r="1673" spans="1:8" x14ac:dyDescent="0.3">
      <c r="A1673" t="s">
        <v>365</v>
      </c>
      <c r="B1673">
        <f>IFERROR(INDEX(MASTER_REGISTER!C:C,MATCH(C1673,MASTER_REGISTER!E:E,0)),"")</f>
        <v>12</v>
      </c>
      <c r="C1673" t="s">
        <v>292</v>
      </c>
      <c r="D1673" t="str">
        <f>IFERROR(INDEX(MASTER_REGISTER!F:F,MATCH(C1673,MASTER_REGISTER!E:E,0)),"")</f>
        <v>Ayanda Dlamini</v>
      </c>
      <c r="E1673" t="s">
        <v>337</v>
      </c>
      <c r="F1673" t="s">
        <v>338</v>
      </c>
      <c r="G1673" t="s">
        <v>339</v>
      </c>
    </row>
    <row r="1674" spans="1:8" x14ac:dyDescent="0.3">
      <c r="A1674" t="s">
        <v>365</v>
      </c>
      <c r="B1674">
        <f>IFERROR(INDEX(MASTER_REGISTER!C:C,MATCH(C1674,MASTER_REGISTER!E:E,0)),"")</f>
        <v>12</v>
      </c>
      <c r="C1674" t="s">
        <v>296</v>
      </c>
      <c r="D1674" t="str">
        <f>IFERROR(INDEX(MASTER_REGISTER!F:F,MATCH(C1674,MASTER_REGISTER!E:E,0)),"")</f>
        <v>Neo Ndlovu</v>
      </c>
      <c r="E1674" t="s">
        <v>337</v>
      </c>
      <c r="F1674" t="s">
        <v>338</v>
      </c>
      <c r="G1674" t="s">
        <v>339</v>
      </c>
    </row>
    <row r="1675" spans="1:8" x14ac:dyDescent="0.3">
      <c r="A1675" t="s">
        <v>365</v>
      </c>
      <c r="B1675">
        <f>IFERROR(INDEX(MASTER_REGISTER!C:C,MATCH(C1675,MASTER_REGISTER!E:E,0)),"")</f>
        <v>12</v>
      </c>
      <c r="C1675" t="s">
        <v>300</v>
      </c>
      <c r="D1675" t="str">
        <f>IFERROR(INDEX(MASTER_REGISTER!F:F,MATCH(C1675,MASTER_REGISTER!E:E,0)),"")</f>
        <v>Neo Ramushu</v>
      </c>
      <c r="E1675" t="s">
        <v>337</v>
      </c>
      <c r="F1675" t="s">
        <v>338</v>
      </c>
      <c r="G1675" t="s">
        <v>339</v>
      </c>
    </row>
    <row r="1676" spans="1:8" x14ac:dyDescent="0.3">
      <c r="A1676" t="s">
        <v>365</v>
      </c>
      <c r="B1676">
        <f>IFERROR(INDEX(MASTER_REGISTER!C:C,MATCH(C1676,MASTER_REGISTER!E:E,0)),"")</f>
        <v>12</v>
      </c>
      <c r="C1676" t="s">
        <v>304</v>
      </c>
      <c r="D1676" t="str">
        <f>IFERROR(INDEX(MASTER_REGISTER!F:F,MATCH(C1676,MASTER_REGISTER!E:E,0)),"")</f>
        <v>Karabo Baloyi</v>
      </c>
      <c r="E1676" t="s">
        <v>337</v>
      </c>
      <c r="F1676" t="s">
        <v>338</v>
      </c>
      <c r="G1676" t="s">
        <v>339</v>
      </c>
    </row>
    <row r="1677" spans="1:8" x14ac:dyDescent="0.3">
      <c r="A1677" t="s">
        <v>365</v>
      </c>
      <c r="B1677">
        <f>IFERROR(INDEX(MASTER_REGISTER!C:C,MATCH(C1677,MASTER_REGISTER!E:E,0)),"")</f>
        <v>12</v>
      </c>
      <c r="C1677" t="s">
        <v>308</v>
      </c>
      <c r="D1677" t="str">
        <f>IFERROR(INDEX(MASTER_REGISTER!F:F,MATCH(C1677,MASTER_REGISTER!E:E,0)),"")</f>
        <v>Tshepo Mokgadi</v>
      </c>
      <c r="E1677" t="s">
        <v>337</v>
      </c>
      <c r="F1677" t="s">
        <v>338</v>
      </c>
      <c r="G1677" t="s">
        <v>339</v>
      </c>
    </row>
    <row r="1678" spans="1:8" x14ac:dyDescent="0.3">
      <c r="A1678" t="s">
        <v>365</v>
      </c>
      <c r="B1678">
        <f>IFERROR(INDEX(MASTER_REGISTER!C:C,MATCH(C1678,MASTER_REGISTER!E:E,0)),"")</f>
        <v>12</v>
      </c>
      <c r="C1678" t="s">
        <v>311</v>
      </c>
      <c r="D1678" t="str">
        <f>IFERROR(INDEX(MASTER_REGISTER!F:F,MATCH(C1678,MASTER_REGISTER!E:E,0)),"")</f>
        <v>Sifiso Mavuso</v>
      </c>
      <c r="E1678" t="s">
        <v>335</v>
      </c>
      <c r="H1678" t="s">
        <v>336</v>
      </c>
    </row>
    <row r="1679" spans="1:8" x14ac:dyDescent="0.3">
      <c r="A1679" t="s">
        <v>365</v>
      </c>
      <c r="B1679">
        <f>IFERROR(INDEX(MASTER_REGISTER!C:C,MATCH(C1679,MASTER_REGISTER!E:E,0)),"")</f>
        <v>12</v>
      </c>
      <c r="C1679" t="s">
        <v>315</v>
      </c>
      <c r="D1679" t="str">
        <f>IFERROR(INDEX(MASTER_REGISTER!F:F,MATCH(C1679,MASTER_REGISTER!E:E,0)),"")</f>
        <v>Refilwe Sithole</v>
      </c>
      <c r="E1679" t="s">
        <v>337</v>
      </c>
      <c r="F1679" t="s">
        <v>338</v>
      </c>
      <c r="G1679" t="s">
        <v>339</v>
      </c>
    </row>
    <row r="1680" spans="1:8" x14ac:dyDescent="0.3">
      <c r="A1680" t="s">
        <v>365</v>
      </c>
      <c r="B1680">
        <f>IFERROR(INDEX(MASTER_REGISTER!C:C,MATCH(C1680,MASTER_REGISTER!E:E,0)),"")</f>
        <v>12</v>
      </c>
      <c r="C1680" t="s">
        <v>319</v>
      </c>
      <c r="D1680" t="str">
        <f>IFERROR(INDEX(MASTER_REGISTER!F:F,MATCH(C1680,MASTER_REGISTER!E:E,0)),"")</f>
        <v>Lerato Sithole</v>
      </c>
      <c r="E1680" t="s">
        <v>337</v>
      </c>
      <c r="F1680" t="s">
        <v>338</v>
      </c>
      <c r="G1680" t="s">
        <v>339</v>
      </c>
    </row>
    <row r="1681" spans="1:8" x14ac:dyDescent="0.3">
      <c r="A1681" t="s">
        <v>365</v>
      </c>
      <c r="B1681">
        <f>IFERROR(INDEX(MASTER_REGISTER!C:C,MATCH(C1681,MASTER_REGISTER!E:E,0)),"")</f>
        <v>12</v>
      </c>
      <c r="C1681" t="s">
        <v>323</v>
      </c>
      <c r="D1681" t="str">
        <f>IFERROR(INDEX(MASTER_REGISTER!F:F,MATCH(C1681,MASTER_REGISTER!E:E,0)),"")</f>
        <v>Sibusiso Ngobeni</v>
      </c>
      <c r="E1681" t="s">
        <v>337</v>
      </c>
      <c r="F1681" t="s">
        <v>338</v>
      </c>
      <c r="G1681" t="s">
        <v>339</v>
      </c>
    </row>
    <row r="1682" spans="1:8" x14ac:dyDescent="0.3">
      <c r="A1682" t="s">
        <v>366</v>
      </c>
      <c r="B1682">
        <f>IFERROR(INDEX(MASTER_REGISTER!C:C,MATCH(C1682,MASTER_REGISTER!E:E,0)),"")</f>
        <v>8</v>
      </c>
      <c r="C1682" t="s">
        <v>50</v>
      </c>
      <c r="D1682" t="str">
        <f>IFERROR(INDEX(MASTER_REGISTER!F:F,MATCH(C1682,MASTER_REGISTER!E:E,0)),"")</f>
        <v>Lerato Nkosi</v>
      </c>
      <c r="E1682" t="s">
        <v>337</v>
      </c>
      <c r="F1682" t="s">
        <v>338</v>
      </c>
      <c r="G1682" t="s">
        <v>339</v>
      </c>
    </row>
    <row r="1683" spans="1:8" x14ac:dyDescent="0.3">
      <c r="A1683" t="s">
        <v>366</v>
      </c>
      <c r="B1683">
        <f>IFERROR(INDEX(MASTER_REGISTER!C:C,MATCH(C1683,MASTER_REGISTER!E:E,0)),"")</f>
        <v>8</v>
      </c>
      <c r="C1683" t="s">
        <v>58</v>
      </c>
      <c r="D1683" t="str">
        <f>IFERROR(INDEX(MASTER_REGISTER!F:F,MATCH(C1683,MASTER_REGISTER!E:E,0)),"")</f>
        <v>Karabo Maseko</v>
      </c>
      <c r="E1683" t="s">
        <v>337</v>
      </c>
      <c r="F1683" t="s">
        <v>338</v>
      </c>
      <c r="G1683" t="s">
        <v>339</v>
      </c>
    </row>
    <row r="1684" spans="1:8" x14ac:dyDescent="0.3">
      <c r="A1684" t="s">
        <v>366</v>
      </c>
      <c r="B1684">
        <f>IFERROR(INDEX(MASTER_REGISTER!C:C,MATCH(C1684,MASTER_REGISTER!E:E,0)),"")</f>
        <v>8</v>
      </c>
      <c r="C1684" t="s">
        <v>64</v>
      </c>
      <c r="D1684" t="str">
        <f>IFERROR(INDEX(MASTER_REGISTER!F:F,MATCH(C1684,MASTER_REGISTER!E:E,0)),"")</f>
        <v>Sifiso Sithole</v>
      </c>
      <c r="E1684" t="s">
        <v>337</v>
      </c>
      <c r="F1684" t="s">
        <v>338</v>
      </c>
      <c r="G1684" t="s">
        <v>339</v>
      </c>
    </row>
    <row r="1685" spans="1:8" x14ac:dyDescent="0.3">
      <c r="A1685" t="s">
        <v>366</v>
      </c>
      <c r="B1685">
        <f>IFERROR(INDEX(MASTER_REGISTER!C:C,MATCH(C1685,MASTER_REGISTER!E:E,0)),"")</f>
        <v>8</v>
      </c>
      <c r="C1685" t="s">
        <v>70</v>
      </c>
      <c r="D1685" t="str">
        <f>IFERROR(INDEX(MASTER_REGISTER!F:F,MATCH(C1685,MASTER_REGISTER!E:E,0)),"")</f>
        <v>Tshepo Ndlovu</v>
      </c>
      <c r="E1685" t="s">
        <v>337</v>
      </c>
      <c r="F1685" t="s">
        <v>338</v>
      </c>
      <c r="G1685" t="s">
        <v>339</v>
      </c>
    </row>
    <row r="1686" spans="1:8" x14ac:dyDescent="0.3">
      <c r="A1686" t="s">
        <v>366</v>
      </c>
      <c r="B1686">
        <f>IFERROR(INDEX(MASTER_REGISTER!C:C,MATCH(C1686,MASTER_REGISTER!E:E,0)),"")</f>
        <v>8</v>
      </c>
      <c r="C1686" t="s">
        <v>76</v>
      </c>
      <c r="D1686" t="str">
        <f>IFERROR(INDEX(MASTER_REGISTER!F:F,MATCH(C1686,MASTER_REGISTER!E:E,0)),"")</f>
        <v>Lwazi Mthembu</v>
      </c>
      <c r="E1686" t="s">
        <v>337</v>
      </c>
      <c r="F1686" t="s">
        <v>338</v>
      </c>
      <c r="G1686" t="s">
        <v>339</v>
      </c>
    </row>
    <row r="1687" spans="1:8" x14ac:dyDescent="0.3">
      <c r="A1687" t="s">
        <v>366</v>
      </c>
      <c r="B1687">
        <f>IFERROR(INDEX(MASTER_REGISTER!C:C,MATCH(C1687,MASTER_REGISTER!E:E,0)),"")</f>
        <v>8</v>
      </c>
      <c r="C1687" t="s">
        <v>82</v>
      </c>
      <c r="D1687" t="str">
        <f>IFERROR(INDEX(MASTER_REGISTER!F:F,MATCH(C1687,MASTER_REGISTER!E:E,0)),"")</f>
        <v>Karabo Ngobeni</v>
      </c>
      <c r="E1687" t="s">
        <v>337</v>
      </c>
      <c r="F1687" t="s">
        <v>338</v>
      </c>
      <c r="G1687" t="s">
        <v>339</v>
      </c>
    </row>
    <row r="1688" spans="1:8" x14ac:dyDescent="0.3">
      <c r="A1688" t="s">
        <v>366</v>
      </c>
      <c r="B1688">
        <f>IFERROR(INDEX(MASTER_REGISTER!C:C,MATCH(C1688,MASTER_REGISTER!E:E,0)),"")</f>
        <v>8</v>
      </c>
      <c r="C1688" t="s">
        <v>88</v>
      </c>
      <c r="D1688" t="str">
        <f>IFERROR(INDEX(MASTER_REGISTER!F:F,MATCH(C1688,MASTER_REGISTER!E:E,0)),"")</f>
        <v>Mpho Sithole</v>
      </c>
      <c r="E1688" t="s">
        <v>335</v>
      </c>
      <c r="H1688" t="s">
        <v>340</v>
      </c>
    </row>
    <row r="1689" spans="1:8" x14ac:dyDescent="0.3">
      <c r="A1689" t="s">
        <v>366</v>
      </c>
      <c r="B1689">
        <f>IFERROR(INDEX(MASTER_REGISTER!C:C,MATCH(C1689,MASTER_REGISTER!E:E,0)),"")</f>
        <v>8</v>
      </c>
      <c r="C1689" t="s">
        <v>94</v>
      </c>
      <c r="D1689" t="str">
        <f>IFERROR(INDEX(MASTER_REGISTER!F:F,MATCH(C1689,MASTER_REGISTER!E:E,0)),"")</f>
        <v>Tshepo Ramushu</v>
      </c>
      <c r="E1689" t="s">
        <v>337</v>
      </c>
      <c r="F1689" t="s">
        <v>338</v>
      </c>
      <c r="G1689" t="s">
        <v>339</v>
      </c>
    </row>
    <row r="1690" spans="1:8" x14ac:dyDescent="0.3">
      <c r="A1690" t="s">
        <v>366</v>
      </c>
      <c r="B1690">
        <f>IFERROR(INDEX(MASTER_REGISTER!C:C,MATCH(C1690,MASTER_REGISTER!E:E,0)),"")</f>
        <v>8</v>
      </c>
      <c r="C1690" t="s">
        <v>100</v>
      </c>
      <c r="D1690" t="str">
        <f>IFERROR(INDEX(MASTER_REGISTER!F:F,MATCH(C1690,MASTER_REGISTER!E:E,0)),"")</f>
        <v>Lerato Kekana</v>
      </c>
      <c r="E1690" t="s">
        <v>337</v>
      </c>
      <c r="F1690" t="s">
        <v>338</v>
      </c>
      <c r="G1690" t="s">
        <v>339</v>
      </c>
    </row>
    <row r="1691" spans="1:8" x14ac:dyDescent="0.3">
      <c r="A1691" t="s">
        <v>366</v>
      </c>
      <c r="B1691">
        <f>IFERROR(INDEX(MASTER_REGISTER!C:C,MATCH(C1691,MASTER_REGISTER!E:E,0)),"")</f>
        <v>8</v>
      </c>
      <c r="C1691" t="s">
        <v>106</v>
      </c>
      <c r="D1691" t="str">
        <f>IFERROR(INDEX(MASTER_REGISTER!F:F,MATCH(C1691,MASTER_REGISTER!E:E,0)),"")</f>
        <v>Neo Ngobeni</v>
      </c>
      <c r="E1691" t="s">
        <v>337</v>
      </c>
      <c r="F1691" t="s">
        <v>338</v>
      </c>
      <c r="G1691" t="s">
        <v>339</v>
      </c>
    </row>
    <row r="1692" spans="1:8" x14ac:dyDescent="0.3">
      <c r="A1692" t="s">
        <v>366</v>
      </c>
      <c r="B1692">
        <f>IFERROR(INDEX(MASTER_REGISTER!C:C,MATCH(C1692,MASTER_REGISTER!E:E,0)),"")</f>
        <v>8</v>
      </c>
      <c r="C1692" t="s">
        <v>112</v>
      </c>
      <c r="D1692" t="str">
        <f>IFERROR(INDEX(MASTER_REGISTER!F:F,MATCH(C1692,MASTER_REGISTER!E:E,0)),"")</f>
        <v>Thabo Mokgadi</v>
      </c>
      <c r="E1692" t="s">
        <v>335</v>
      </c>
      <c r="H1692" t="s">
        <v>342</v>
      </c>
    </row>
    <row r="1693" spans="1:8" x14ac:dyDescent="0.3">
      <c r="A1693" t="s">
        <v>366</v>
      </c>
      <c r="B1693">
        <f>IFERROR(INDEX(MASTER_REGISTER!C:C,MATCH(C1693,MASTER_REGISTER!E:E,0)),"")</f>
        <v>8</v>
      </c>
      <c r="C1693" t="s">
        <v>118</v>
      </c>
      <c r="D1693" t="str">
        <f>IFERROR(INDEX(MASTER_REGISTER!F:F,MATCH(C1693,MASTER_REGISTER!E:E,0)),"")</f>
        <v>Sifiso Mthembu</v>
      </c>
      <c r="E1693" t="s">
        <v>337</v>
      </c>
      <c r="F1693" t="s">
        <v>338</v>
      </c>
      <c r="G1693" t="s">
        <v>339</v>
      </c>
    </row>
    <row r="1694" spans="1:8" x14ac:dyDescent="0.3">
      <c r="A1694" t="s">
        <v>366</v>
      </c>
      <c r="B1694">
        <f>IFERROR(INDEX(MASTER_REGISTER!C:C,MATCH(C1694,MASTER_REGISTER!E:E,0)),"")</f>
        <v>9</v>
      </c>
      <c r="C1694" t="s">
        <v>123</v>
      </c>
      <c r="D1694" t="str">
        <f>IFERROR(INDEX(MASTER_REGISTER!F:F,MATCH(C1694,MASTER_REGISTER!E:E,0)),"")</f>
        <v>Karabo Phiri</v>
      </c>
      <c r="E1694" t="s">
        <v>337</v>
      </c>
      <c r="F1694" t="s">
        <v>338</v>
      </c>
      <c r="G1694" t="s">
        <v>339</v>
      </c>
    </row>
    <row r="1695" spans="1:8" x14ac:dyDescent="0.3">
      <c r="A1695" t="s">
        <v>366</v>
      </c>
      <c r="B1695">
        <f>IFERROR(INDEX(MASTER_REGISTER!C:C,MATCH(C1695,MASTER_REGISTER!E:E,0)),"")</f>
        <v>9</v>
      </c>
      <c r="C1695" t="s">
        <v>128</v>
      </c>
      <c r="D1695" t="str">
        <f>IFERROR(INDEX(MASTER_REGISTER!F:F,MATCH(C1695,MASTER_REGISTER!E:E,0)),"")</f>
        <v>Lerato Mahlangu</v>
      </c>
      <c r="E1695" t="s">
        <v>337</v>
      </c>
      <c r="F1695" t="s">
        <v>338</v>
      </c>
      <c r="G1695" t="s">
        <v>339</v>
      </c>
    </row>
    <row r="1696" spans="1:8" x14ac:dyDescent="0.3">
      <c r="A1696" t="s">
        <v>366</v>
      </c>
      <c r="B1696">
        <f>IFERROR(INDEX(MASTER_REGISTER!C:C,MATCH(C1696,MASTER_REGISTER!E:E,0)),"")</f>
        <v>9</v>
      </c>
      <c r="C1696" t="s">
        <v>133</v>
      </c>
      <c r="D1696" t="str">
        <f>IFERROR(INDEX(MASTER_REGISTER!F:F,MATCH(C1696,MASTER_REGISTER!E:E,0)),"")</f>
        <v>Mpho Kekana</v>
      </c>
      <c r="E1696" t="s">
        <v>337</v>
      </c>
      <c r="F1696" t="s">
        <v>338</v>
      </c>
      <c r="G1696" t="s">
        <v>339</v>
      </c>
    </row>
    <row r="1697" spans="1:8" x14ac:dyDescent="0.3">
      <c r="A1697" t="s">
        <v>366</v>
      </c>
      <c r="B1697">
        <f>IFERROR(INDEX(MASTER_REGISTER!C:C,MATCH(C1697,MASTER_REGISTER!E:E,0)),"")</f>
        <v>9</v>
      </c>
      <c r="C1697" t="s">
        <v>138</v>
      </c>
      <c r="D1697" t="str">
        <f>IFERROR(INDEX(MASTER_REGISTER!F:F,MATCH(C1697,MASTER_REGISTER!E:E,0)),"")</f>
        <v>Thabo Molefe</v>
      </c>
      <c r="E1697" t="s">
        <v>337</v>
      </c>
      <c r="F1697" t="s">
        <v>338</v>
      </c>
      <c r="G1697" t="s">
        <v>339</v>
      </c>
    </row>
    <row r="1698" spans="1:8" x14ac:dyDescent="0.3">
      <c r="A1698" t="s">
        <v>366</v>
      </c>
      <c r="B1698">
        <f>IFERROR(INDEX(MASTER_REGISTER!C:C,MATCH(C1698,MASTER_REGISTER!E:E,0)),"")</f>
        <v>9</v>
      </c>
      <c r="C1698" t="s">
        <v>143</v>
      </c>
      <c r="D1698" t="str">
        <f>IFERROR(INDEX(MASTER_REGISTER!F:F,MATCH(C1698,MASTER_REGISTER!E:E,0)),"")</f>
        <v>Mpho Ngobeni</v>
      </c>
      <c r="E1698" t="s">
        <v>335</v>
      </c>
      <c r="H1698" t="s">
        <v>340</v>
      </c>
    </row>
    <row r="1699" spans="1:8" x14ac:dyDescent="0.3">
      <c r="A1699" t="s">
        <v>366</v>
      </c>
      <c r="B1699">
        <f>IFERROR(INDEX(MASTER_REGISTER!C:C,MATCH(C1699,MASTER_REGISTER!E:E,0)),"")</f>
        <v>9</v>
      </c>
      <c r="C1699" t="s">
        <v>148</v>
      </c>
      <c r="D1699" t="str">
        <f>IFERROR(INDEX(MASTER_REGISTER!F:F,MATCH(C1699,MASTER_REGISTER!E:E,0)),"")</f>
        <v>Siyanda Mhlongo</v>
      </c>
      <c r="E1699" t="s">
        <v>337</v>
      </c>
      <c r="F1699" t="s">
        <v>338</v>
      </c>
      <c r="G1699" t="s">
        <v>339</v>
      </c>
    </row>
    <row r="1700" spans="1:8" x14ac:dyDescent="0.3">
      <c r="A1700" t="s">
        <v>366</v>
      </c>
      <c r="B1700">
        <f>IFERROR(INDEX(MASTER_REGISTER!C:C,MATCH(C1700,MASTER_REGISTER!E:E,0)),"")</f>
        <v>9</v>
      </c>
      <c r="C1700" t="s">
        <v>153</v>
      </c>
      <c r="D1700" t="str">
        <f>IFERROR(INDEX(MASTER_REGISTER!F:F,MATCH(C1700,MASTER_REGISTER!E:E,0)),"")</f>
        <v>Siyanda Mahlangu</v>
      </c>
      <c r="E1700" t="s">
        <v>337</v>
      </c>
      <c r="F1700" t="s">
        <v>338</v>
      </c>
      <c r="G1700" t="s">
        <v>339</v>
      </c>
    </row>
    <row r="1701" spans="1:8" x14ac:dyDescent="0.3">
      <c r="A1701" t="s">
        <v>366</v>
      </c>
      <c r="B1701">
        <f>IFERROR(INDEX(MASTER_REGISTER!C:C,MATCH(C1701,MASTER_REGISTER!E:E,0)),"")</f>
        <v>9</v>
      </c>
      <c r="C1701" t="s">
        <v>158</v>
      </c>
      <c r="D1701" t="str">
        <f>IFERROR(INDEX(MASTER_REGISTER!F:F,MATCH(C1701,MASTER_REGISTER!E:E,0)),"")</f>
        <v>Sifiso Ramushu</v>
      </c>
      <c r="E1701" t="s">
        <v>337</v>
      </c>
      <c r="F1701" t="s">
        <v>338</v>
      </c>
      <c r="G1701" t="s">
        <v>339</v>
      </c>
    </row>
    <row r="1702" spans="1:8" x14ac:dyDescent="0.3">
      <c r="A1702" t="s">
        <v>366</v>
      </c>
      <c r="B1702">
        <f>IFERROR(INDEX(MASTER_REGISTER!C:C,MATCH(C1702,MASTER_REGISTER!E:E,0)),"")</f>
        <v>9</v>
      </c>
      <c r="C1702" t="s">
        <v>163</v>
      </c>
      <c r="D1702" t="str">
        <f>IFERROR(INDEX(MASTER_REGISTER!F:F,MATCH(C1702,MASTER_REGISTER!E:E,0)),"")</f>
        <v>Nandi Ngobeni</v>
      </c>
      <c r="E1702" t="s">
        <v>335</v>
      </c>
      <c r="H1702" t="s">
        <v>336</v>
      </c>
    </row>
    <row r="1703" spans="1:8" x14ac:dyDescent="0.3">
      <c r="A1703" t="s">
        <v>366</v>
      </c>
      <c r="B1703">
        <f>IFERROR(INDEX(MASTER_REGISTER!C:C,MATCH(C1703,MASTER_REGISTER!E:E,0)),"")</f>
        <v>9</v>
      </c>
      <c r="C1703" t="s">
        <v>168</v>
      </c>
      <c r="D1703" t="str">
        <f>IFERROR(INDEX(MASTER_REGISTER!F:F,MATCH(C1703,MASTER_REGISTER!E:E,0)),"")</f>
        <v>Karabo Mokgadi</v>
      </c>
      <c r="E1703" t="s">
        <v>337</v>
      </c>
      <c r="F1703" t="s">
        <v>338</v>
      </c>
      <c r="G1703" t="s">
        <v>339</v>
      </c>
    </row>
    <row r="1704" spans="1:8" x14ac:dyDescent="0.3">
      <c r="A1704" t="s">
        <v>366</v>
      </c>
      <c r="B1704">
        <f>IFERROR(INDEX(MASTER_REGISTER!C:C,MATCH(C1704,MASTER_REGISTER!E:E,0)),"")</f>
        <v>9</v>
      </c>
      <c r="C1704" t="s">
        <v>173</v>
      </c>
      <c r="D1704" t="str">
        <f>IFERROR(INDEX(MASTER_REGISTER!F:F,MATCH(C1704,MASTER_REGISTER!E:E,0)),"")</f>
        <v>Sifiso Mahlangu</v>
      </c>
      <c r="E1704" t="s">
        <v>337</v>
      </c>
      <c r="F1704" t="s">
        <v>338</v>
      </c>
      <c r="G1704" t="s">
        <v>339</v>
      </c>
    </row>
    <row r="1705" spans="1:8" x14ac:dyDescent="0.3">
      <c r="A1705" t="s">
        <v>366</v>
      </c>
      <c r="B1705">
        <f>IFERROR(INDEX(MASTER_REGISTER!C:C,MATCH(C1705,MASTER_REGISTER!E:E,0)),"")</f>
        <v>9</v>
      </c>
      <c r="C1705" t="s">
        <v>178</v>
      </c>
      <c r="D1705" t="str">
        <f>IFERROR(INDEX(MASTER_REGISTER!F:F,MATCH(C1705,MASTER_REGISTER!E:E,0)),"")</f>
        <v>Kgothatso Radebe</v>
      </c>
      <c r="E1705" t="s">
        <v>337</v>
      </c>
      <c r="F1705" t="s">
        <v>338</v>
      </c>
      <c r="G1705" t="s">
        <v>339</v>
      </c>
    </row>
    <row r="1706" spans="1:8" x14ac:dyDescent="0.3">
      <c r="A1706" t="s">
        <v>366</v>
      </c>
      <c r="B1706">
        <f>IFERROR(INDEX(MASTER_REGISTER!C:C,MATCH(C1706,MASTER_REGISTER!E:E,0)),"")</f>
        <v>10</v>
      </c>
      <c r="C1706" t="s">
        <v>183</v>
      </c>
      <c r="D1706" t="str">
        <f>IFERROR(INDEX(MASTER_REGISTER!F:F,MATCH(C1706,MASTER_REGISTER!E:E,0)),"")</f>
        <v>Lerato Maseko</v>
      </c>
      <c r="E1706" t="s">
        <v>337</v>
      </c>
      <c r="F1706" t="s">
        <v>338</v>
      </c>
      <c r="G1706" t="s">
        <v>339</v>
      </c>
    </row>
    <row r="1707" spans="1:8" x14ac:dyDescent="0.3">
      <c r="A1707" t="s">
        <v>366</v>
      </c>
      <c r="B1707">
        <f>IFERROR(INDEX(MASTER_REGISTER!C:C,MATCH(C1707,MASTER_REGISTER!E:E,0)),"")</f>
        <v>10</v>
      </c>
      <c r="C1707" t="s">
        <v>188</v>
      </c>
      <c r="D1707" t="str">
        <f>IFERROR(INDEX(MASTER_REGISTER!F:F,MATCH(C1707,MASTER_REGISTER!E:E,0)),"")</f>
        <v>Sibusiso Molefe</v>
      </c>
      <c r="E1707" t="s">
        <v>337</v>
      </c>
      <c r="F1707" t="s">
        <v>338</v>
      </c>
      <c r="G1707" t="s">
        <v>339</v>
      </c>
    </row>
    <row r="1708" spans="1:8" x14ac:dyDescent="0.3">
      <c r="A1708" t="s">
        <v>366</v>
      </c>
      <c r="B1708">
        <f>IFERROR(INDEX(MASTER_REGISTER!C:C,MATCH(C1708,MASTER_REGISTER!E:E,0)),"")</f>
        <v>10</v>
      </c>
      <c r="C1708" t="s">
        <v>193</v>
      </c>
      <c r="D1708" t="str">
        <f>IFERROR(INDEX(MASTER_REGISTER!F:F,MATCH(C1708,MASTER_REGISTER!E:E,0)),"")</f>
        <v>Nandi Molefe</v>
      </c>
      <c r="E1708" t="s">
        <v>337</v>
      </c>
      <c r="F1708" t="s">
        <v>338</v>
      </c>
      <c r="G1708" t="s">
        <v>339</v>
      </c>
    </row>
    <row r="1709" spans="1:8" x14ac:dyDescent="0.3">
      <c r="A1709" t="s">
        <v>366</v>
      </c>
      <c r="B1709">
        <f>IFERROR(INDEX(MASTER_REGISTER!C:C,MATCH(C1709,MASTER_REGISTER!E:E,0)),"")</f>
        <v>10</v>
      </c>
      <c r="C1709" t="s">
        <v>198</v>
      </c>
      <c r="D1709" t="str">
        <f>IFERROR(INDEX(MASTER_REGISTER!F:F,MATCH(C1709,MASTER_REGISTER!E:E,0)),"")</f>
        <v>Kgothatso Baloyi</v>
      </c>
      <c r="E1709" t="s">
        <v>335</v>
      </c>
      <c r="H1709" t="s">
        <v>341</v>
      </c>
    </row>
    <row r="1710" spans="1:8" x14ac:dyDescent="0.3">
      <c r="A1710" t="s">
        <v>366</v>
      </c>
      <c r="B1710">
        <f>IFERROR(INDEX(MASTER_REGISTER!C:C,MATCH(C1710,MASTER_REGISTER!E:E,0)),"")</f>
        <v>10</v>
      </c>
      <c r="C1710" t="s">
        <v>202</v>
      </c>
      <c r="D1710" t="str">
        <f>IFERROR(INDEX(MASTER_REGISTER!F:F,MATCH(C1710,MASTER_REGISTER!E:E,0)),"")</f>
        <v>Ayanda Mokoena</v>
      </c>
      <c r="E1710" t="s">
        <v>337</v>
      </c>
      <c r="F1710" t="s">
        <v>338</v>
      </c>
      <c r="G1710" t="s">
        <v>339</v>
      </c>
    </row>
    <row r="1711" spans="1:8" x14ac:dyDescent="0.3">
      <c r="A1711" t="s">
        <v>366</v>
      </c>
      <c r="B1711">
        <f>IFERROR(INDEX(MASTER_REGISTER!C:C,MATCH(C1711,MASTER_REGISTER!E:E,0)),"")</f>
        <v>10</v>
      </c>
      <c r="C1711" t="s">
        <v>206</v>
      </c>
      <c r="D1711" t="str">
        <f>IFERROR(INDEX(MASTER_REGISTER!F:F,MATCH(C1711,MASTER_REGISTER!E:E,0)),"")</f>
        <v>Lwazi Baloyi</v>
      </c>
      <c r="E1711" t="s">
        <v>337</v>
      </c>
      <c r="F1711" t="s">
        <v>338</v>
      </c>
      <c r="G1711" t="s">
        <v>339</v>
      </c>
    </row>
    <row r="1712" spans="1:8" x14ac:dyDescent="0.3">
      <c r="A1712" t="s">
        <v>366</v>
      </c>
      <c r="B1712">
        <f>IFERROR(INDEX(MASTER_REGISTER!C:C,MATCH(C1712,MASTER_REGISTER!E:E,0)),"")</f>
        <v>10</v>
      </c>
      <c r="C1712" t="s">
        <v>210</v>
      </c>
      <c r="D1712" t="str">
        <f>IFERROR(INDEX(MASTER_REGISTER!F:F,MATCH(C1712,MASTER_REGISTER!E:E,0)),"")</f>
        <v>Siyanda Mokoena</v>
      </c>
      <c r="E1712" t="s">
        <v>337</v>
      </c>
      <c r="F1712" t="s">
        <v>338</v>
      </c>
      <c r="G1712" t="s">
        <v>339</v>
      </c>
    </row>
    <row r="1713" spans="1:8" x14ac:dyDescent="0.3">
      <c r="A1713" t="s">
        <v>366</v>
      </c>
      <c r="B1713">
        <f>IFERROR(INDEX(MASTER_REGISTER!C:C,MATCH(C1713,MASTER_REGISTER!E:E,0)),"")</f>
        <v>10</v>
      </c>
      <c r="C1713" t="s">
        <v>214</v>
      </c>
      <c r="D1713" t="str">
        <f>IFERROR(INDEX(MASTER_REGISTER!F:F,MATCH(C1713,MASTER_REGISTER!E:E,0)),"")</f>
        <v>Mpho Ngobeni</v>
      </c>
      <c r="E1713" t="s">
        <v>337</v>
      </c>
      <c r="F1713" t="s">
        <v>338</v>
      </c>
      <c r="G1713" t="s">
        <v>339</v>
      </c>
    </row>
    <row r="1714" spans="1:8" x14ac:dyDescent="0.3">
      <c r="A1714" t="s">
        <v>366</v>
      </c>
      <c r="B1714">
        <f>IFERROR(INDEX(MASTER_REGISTER!C:C,MATCH(C1714,MASTER_REGISTER!E:E,0)),"")</f>
        <v>10</v>
      </c>
      <c r="C1714" t="s">
        <v>217</v>
      </c>
      <c r="D1714" t="str">
        <f>IFERROR(INDEX(MASTER_REGISTER!F:F,MATCH(C1714,MASTER_REGISTER!E:E,0)),"")</f>
        <v>Naledi Makhubela</v>
      </c>
      <c r="E1714" t="s">
        <v>337</v>
      </c>
      <c r="F1714" t="s">
        <v>338</v>
      </c>
      <c r="G1714" t="s">
        <v>339</v>
      </c>
    </row>
    <row r="1715" spans="1:8" x14ac:dyDescent="0.3">
      <c r="A1715" t="s">
        <v>366</v>
      </c>
      <c r="B1715">
        <f>IFERROR(INDEX(MASTER_REGISTER!C:C,MATCH(C1715,MASTER_REGISTER!E:E,0)),"")</f>
        <v>10</v>
      </c>
      <c r="C1715" t="s">
        <v>221</v>
      </c>
      <c r="D1715" t="str">
        <f>IFERROR(INDEX(MASTER_REGISTER!F:F,MATCH(C1715,MASTER_REGISTER!E:E,0)),"")</f>
        <v>Kgothatso Mokoena</v>
      </c>
      <c r="E1715" t="s">
        <v>337</v>
      </c>
      <c r="F1715" t="s">
        <v>338</v>
      </c>
      <c r="G1715" t="s">
        <v>339</v>
      </c>
    </row>
    <row r="1716" spans="1:8" x14ac:dyDescent="0.3">
      <c r="A1716" t="s">
        <v>366</v>
      </c>
      <c r="B1716">
        <f>IFERROR(INDEX(MASTER_REGISTER!C:C,MATCH(C1716,MASTER_REGISTER!E:E,0)),"")</f>
        <v>10</v>
      </c>
      <c r="C1716" t="s">
        <v>225</v>
      </c>
      <c r="D1716" t="str">
        <f>IFERROR(INDEX(MASTER_REGISTER!F:F,MATCH(C1716,MASTER_REGISTER!E:E,0)),"")</f>
        <v>Bongani Makhubela</v>
      </c>
      <c r="E1716" t="s">
        <v>335</v>
      </c>
      <c r="H1716" t="s">
        <v>342</v>
      </c>
    </row>
    <row r="1717" spans="1:8" x14ac:dyDescent="0.3">
      <c r="A1717" t="s">
        <v>366</v>
      </c>
      <c r="B1717">
        <f>IFERROR(INDEX(MASTER_REGISTER!C:C,MATCH(C1717,MASTER_REGISTER!E:E,0)),"")</f>
        <v>10</v>
      </c>
      <c r="C1717" t="s">
        <v>229</v>
      </c>
      <c r="D1717" t="str">
        <f>IFERROR(INDEX(MASTER_REGISTER!F:F,MATCH(C1717,MASTER_REGISTER!E:E,0)),"")</f>
        <v>Kagiso Kekana</v>
      </c>
      <c r="E1717" t="s">
        <v>337</v>
      </c>
      <c r="F1717" t="s">
        <v>338</v>
      </c>
      <c r="G1717" t="s">
        <v>339</v>
      </c>
    </row>
    <row r="1718" spans="1:8" x14ac:dyDescent="0.3">
      <c r="A1718" t="s">
        <v>366</v>
      </c>
      <c r="B1718">
        <f>IFERROR(INDEX(MASTER_REGISTER!C:C,MATCH(C1718,MASTER_REGISTER!E:E,0)),"")</f>
        <v>11</v>
      </c>
      <c r="C1718" t="s">
        <v>233</v>
      </c>
      <c r="D1718" t="str">
        <f>IFERROR(INDEX(MASTER_REGISTER!F:F,MATCH(C1718,MASTER_REGISTER!E:E,0)),"")</f>
        <v>Lwazi Makhubela</v>
      </c>
      <c r="E1718" t="s">
        <v>337</v>
      </c>
      <c r="F1718" t="s">
        <v>338</v>
      </c>
      <c r="G1718" t="s">
        <v>339</v>
      </c>
    </row>
    <row r="1719" spans="1:8" x14ac:dyDescent="0.3">
      <c r="A1719" t="s">
        <v>366</v>
      </c>
      <c r="B1719">
        <f>IFERROR(INDEX(MASTER_REGISTER!C:C,MATCH(C1719,MASTER_REGISTER!E:E,0)),"")</f>
        <v>11</v>
      </c>
      <c r="C1719" t="s">
        <v>237</v>
      </c>
      <c r="D1719" t="str">
        <f>IFERROR(INDEX(MASTER_REGISTER!F:F,MATCH(C1719,MASTER_REGISTER!E:E,0)),"")</f>
        <v>Lebogang Ramushu</v>
      </c>
      <c r="E1719" t="s">
        <v>337</v>
      </c>
      <c r="F1719" t="s">
        <v>338</v>
      </c>
      <c r="G1719" t="s">
        <v>339</v>
      </c>
    </row>
    <row r="1720" spans="1:8" x14ac:dyDescent="0.3">
      <c r="A1720" t="s">
        <v>366</v>
      </c>
      <c r="B1720">
        <f>IFERROR(INDEX(MASTER_REGISTER!C:C,MATCH(C1720,MASTER_REGISTER!E:E,0)),"")</f>
        <v>11</v>
      </c>
      <c r="C1720" t="s">
        <v>241</v>
      </c>
      <c r="D1720" t="str">
        <f>IFERROR(INDEX(MASTER_REGISTER!F:F,MATCH(C1720,MASTER_REGISTER!E:E,0)),"")</f>
        <v>Lerato Kekana</v>
      </c>
      <c r="E1720" t="s">
        <v>337</v>
      </c>
      <c r="F1720" t="s">
        <v>338</v>
      </c>
      <c r="G1720" t="s">
        <v>339</v>
      </c>
    </row>
    <row r="1721" spans="1:8" x14ac:dyDescent="0.3">
      <c r="A1721" t="s">
        <v>366</v>
      </c>
      <c r="B1721">
        <f>IFERROR(INDEX(MASTER_REGISTER!C:C,MATCH(C1721,MASTER_REGISTER!E:E,0)),"")</f>
        <v>11</v>
      </c>
      <c r="C1721" t="s">
        <v>244</v>
      </c>
      <c r="D1721" t="str">
        <f>IFERROR(INDEX(MASTER_REGISTER!F:F,MATCH(C1721,MASTER_REGISTER!E:E,0)),"")</f>
        <v>Bongani Ndlovu</v>
      </c>
      <c r="E1721" t="s">
        <v>335</v>
      </c>
      <c r="H1721" t="s">
        <v>336</v>
      </c>
    </row>
    <row r="1722" spans="1:8" x14ac:dyDescent="0.3">
      <c r="A1722" t="s">
        <v>366</v>
      </c>
      <c r="B1722">
        <f>IFERROR(INDEX(MASTER_REGISTER!C:C,MATCH(C1722,MASTER_REGISTER!E:E,0)),"")</f>
        <v>11</v>
      </c>
      <c r="C1722" t="s">
        <v>248</v>
      </c>
      <c r="D1722" t="str">
        <f>IFERROR(INDEX(MASTER_REGISTER!F:F,MATCH(C1722,MASTER_REGISTER!E:E,0)),"")</f>
        <v>Sifiso Dlamini</v>
      </c>
      <c r="E1722" t="s">
        <v>337</v>
      </c>
      <c r="F1722" t="s">
        <v>338</v>
      </c>
      <c r="G1722" t="s">
        <v>339</v>
      </c>
    </row>
    <row r="1723" spans="1:8" x14ac:dyDescent="0.3">
      <c r="A1723" t="s">
        <v>366</v>
      </c>
      <c r="B1723">
        <f>IFERROR(INDEX(MASTER_REGISTER!C:C,MATCH(C1723,MASTER_REGISTER!E:E,0)),"")</f>
        <v>11</v>
      </c>
      <c r="C1723" t="s">
        <v>252</v>
      </c>
      <c r="D1723" t="str">
        <f>IFERROR(INDEX(MASTER_REGISTER!F:F,MATCH(C1723,MASTER_REGISTER!E:E,0)),"")</f>
        <v>Refilwe Dlamini</v>
      </c>
      <c r="E1723" t="s">
        <v>335</v>
      </c>
      <c r="H1723" t="s">
        <v>342</v>
      </c>
    </row>
    <row r="1724" spans="1:8" x14ac:dyDescent="0.3">
      <c r="A1724" t="s">
        <v>366</v>
      </c>
      <c r="B1724">
        <f>IFERROR(INDEX(MASTER_REGISTER!C:C,MATCH(C1724,MASTER_REGISTER!E:E,0)),"")</f>
        <v>11</v>
      </c>
      <c r="C1724" t="s">
        <v>256</v>
      </c>
      <c r="D1724" t="str">
        <f>IFERROR(INDEX(MASTER_REGISTER!F:F,MATCH(C1724,MASTER_REGISTER!E:E,0)),"")</f>
        <v>Lwazi Maseko</v>
      </c>
      <c r="E1724" t="s">
        <v>337</v>
      </c>
      <c r="F1724" t="s">
        <v>338</v>
      </c>
      <c r="G1724" t="s">
        <v>339</v>
      </c>
    </row>
    <row r="1725" spans="1:8" x14ac:dyDescent="0.3">
      <c r="A1725" t="s">
        <v>366</v>
      </c>
      <c r="B1725">
        <f>IFERROR(INDEX(MASTER_REGISTER!C:C,MATCH(C1725,MASTER_REGISTER!E:E,0)),"")</f>
        <v>11</v>
      </c>
      <c r="C1725" t="s">
        <v>260</v>
      </c>
      <c r="D1725" t="str">
        <f>IFERROR(INDEX(MASTER_REGISTER!F:F,MATCH(C1725,MASTER_REGISTER!E:E,0)),"")</f>
        <v>Refilwe Mokgadi</v>
      </c>
      <c r="E1725" t="s">
        <v>337</v>
      </c>
      <c r="F1725" t="s">
        <v>338</v>
      </c>
      <c r="G1725" t="s">
        <v>339</v>
      </c>
    </row>
    <row r="1726" spans="1:8" x14ac:dyDescent="0.3">
      <c r="A1726" t="s">
        <v>366</v>
      </c>
      <c r="B1726">
        <f>IFERROR(INDEX(MASTER_REGISTER!C:C,MATCH(C1726,MASTER_REGISTER!E:E,0)),"")</f>
        <v>11</v>
      </c>
      <c r="C1726" t="s">
        <v>264</v>
      </c>
      <c r="D1726" t="str">
        <f>IFERROR(INDEX(MASTER_REGISTER!F:F,MATCH(C1726,MASTER_REGISTER!E:E,0)),"")</f>
        <v>Kgothatso Molefe</v>
      </c>
      <c r="E1726" t="s">
        <v>337</v>
      </c>
      <c r="F1726" t="s">
        <v>338</v>
      </c>
      <c r="G1726" t="s">
        <v>339</v>
      </c>
    </row>
    <row r="1727" spans="1:8" x14ac:dyDescent="0.3">
      <c r="A1727" t="s">
        <v>366</v>
      </c>
      <c r="B1727">
        <f>IFERROR(INDEX(MASTER_REGISTER!C:C,MATCH(C1727,MASTER_REGISTER!E:E,0)),"")</f>
        <v>11</v>
      </c>
      <c r="C1727" t="s">
        <v>268</v>
      </c>
      <c r="D1727" t="str">
        <f>IFERROR(INDEX(MASTER_REGISTER!F:F,MATCH(C1727,MASTER_REGISTER!E:E,0)),"")</f>
        <v>Tshepo Mokgadi</v>
      </c>
      <c r="E1727" t="s">
        <v>337</v>
      </c>
      <c r="F1727" t="s">
        <v>338</v>
      </c>
      <c r="G1727" t="s">
        <v>339</v>
      </c>
    </row>
    <row r="1728" spans="1:8" x14ac:dyDescent="0.3">
      <c r="A1728" t="s">
        <v>366</v>
      </c>
      <c r="B1728">
        <f>IFERROR(INDEX(MASTER_REGISTER!C:C,MATCH(C1728,MASTER_REGISTER!E:E,0)),"")</f>
        <v>11</v>
      </c>
      <c r="C1728" t="s">
        <v>272</v>
      </c>
      <c r="D1728" t="str">
        <f>IFERROR(INDEX(MASTER_REGISTER!F:F,MATCH(C1728,MASTER_REGISTER!E:E,0)),"")</f>
        <v>Tshepo Phiri</v>
      </c>
      <c r="E1728" t="s">
        <v>337</v>
      </c>
      <c r="F1728" t="s">
        <v>338</v>
      </c>
      <c r="G1728" t="s">
        <v>339</v>
      </c>
    </row>
    <row r="1729" spans="1:8" x14ac:dyDescent="0.3">
      <c r="A1729" t="s">
        <v>366</v>
      </c>
      <c r="B1729">
        <f>IFERROR(INDEX(MASTER_REGISTER!C:C,MATCH(C1729,MASTER_REGISTER!E:E,0)),"")</f>
        <v>11</v>
      </c>
      <c r="C1729" t="s">
        <v>276</v>
      </c>
      <c r="D1729" t="str">
        <f>IFERROR(INDEX(MASTER_REGISTER!F:F,MATCH(C1729,MASTER_REGISTER!E:E,0)),"")</f>
        <v>Zanele Ngobeni</v>
      </c>
      <c r="E1729" t="s">
        <v>337</v>
      </c>
      <c r="F1729" t="s">
        <v>338</v>
      </c>
      <c r="G1729" t="s">
        <v>339</v>
      </c>
    </row>
    <row r="1730" spans="1:8" x14ac:dyDescent="0.3">
      <c r="A1730" t="s">
        <v>366</v>
      </c>
      <c r="B1730">
        <f>IFERROR(INDEX(MASTER_REGISTER!C:C,MATCH(C1730,MASTER_REGISTER!E:E,0)),"")</f>
        <v>12</v>
      </c>
      <c r="C1730" t="s">
        <v>280</v>
      </c>
      <c r="D1730" t="str">
        <f>IFERROR(INDEX(MASTER_REGISTER!F:F,MATCH(C1730,MASTER_REGISTER!E:E,0)),"")</f>
        <v>Palesa Mokoena</v>
      </c>
      <c r="E1730" t="s">
        <v>337</v>
      </c>
      <c r="F1730" t="s">
        <v>338</v>
      </c>
      <c r="G1730" t="s">
        <v>339</v>
      </c>
    </row>
    <row r="1731" spans="1:8" x14ac:dyDescent="0.3">
      <c r="A1731" t="s">
        <v>366</v>
      </c>
      <c r="B1731">
        <f>IFERROR(INDEX(MASTER_REGISTER!C:C,MATCH(C1731,MASTER_REGISTER!E:E,0)),"")</f>
        <v>12</v>
      </c>
      <c r="C1731" t="s">
        <v>284</v>
      </c>
      <c r="D1731" t="str">
        <f>IFERROR(INDEX(MASTER_REGISTER!F:F,MATCH(C1731,MASTER_REGISTER!E:E,0)),"")</f>
        <v>Thabo Ramushu</v>
      </c>
      <c r="E1731" t="s">
        <v>337</v>
      </c>
      <c r="F1731" t="s">
        <v>338</v>
      </c>
      <c r="G1731" t="s">
        <v>339</v>
      </c>
    </row>
    <row r="1732" spans="1:8" x14ac:dyDescent="0.3">
      <c r="A1732" t="s">
        <v>366</v>
      </c>
      <c r="B1732">
        <f>IFERROR(INDEX(MASTER_REGISTER!C:C,MATCH(C1732,MASTER_REGISTER!E:E,0)),"")</f>
        <v>12</v>
      </c>
      <c r="C1732" t="s">
        <v>288</v>
      </c>
      <c r="D1732" t="str">
        <f>IFERROR(INDEX(MASTER_REGISTER!F:F,MATCH(C1732,MASTER_REGISTER!E:E,0)),"")</f>
        <v>Lwazi Ndlovu</v>
      </c>
      <c r="E1732" t="s">
        <v>337</v>
      </c>
      <c r="F1732" t="s">
        <v>338</v>
      </c>
      <c r="G1732" t="s">
        <v>339</v>
      </c>
    </row>
    <row r="1733" spans="1:8" x14ac:dyDescent="0.3">
      <c r="A1733" t="s">
        <v>366</v>
      </c>
      <c r="B1733">
        <f>IFERROR(INDEX(MASTER_REGISTER!C:C,MATCH(C1733,MASTER_REGISTER!E:E,0)),"")</f>
        <v>12</v>
      </c>
      <c r="C1733" t="s">
        <v>292</v>
      </c>
      <c r="D1733" t="str">
        <f>IFERROR(INDEX(MASTER_REGISTER!F:F,MATCH(C1733,MASTER_REGISTER!E:E,0)),"")</f>
        <v>Ayanda Dlamini</v>
      </c>
      <c r="E1733" t="s">
        <v>337</v>
      </c>
      <c r="F1733" t="s">
        <v>338</v>
      </c>
      <c r="G1733" t="s">
        <v>339</v>
      </c>
    </row>
    <row r="1734" spans="1:8" x14ac:dyDescent="0.3">
      <c r="A1734" t="s">
        <v>366</v>
      </c>
      <c r="B1734">
        <f>IFERROR(INDEX(MASTER_REGISTER!C:C,MATCH(C1734,MASTER_REGISTER!E:E,0)),"")</f>
        <v>12</v>
      </c>
      <c r="C1734" t="s">
        <v>296</v>
      </c>
      <c r="D1734" t="str">
        <f>IFERROR(INDEX(MASTER_REGISTER!F:F,MATCH(C1734,MASTER_REGISTER!E:E,0)),"")</f>
        <v>Neo Ndlovu</v>
      </c>
      <c r="E1734" t="s">
        <v>337</v>
      </c>
      <c r="F1734" t="s">
        <v>338</v>
      </c>
      <c r="G1734" t="s">
        <v>339</v>
      </c>
    </row>
    <row r="1735" spans="1:8" x14ac:dyDescent="0.3">
      <c r="A1735" t="s">
        <v>366</v>
      </c>
      <c r="B1735">
        <f>IFERROR(INDEX(MASTER_REGISTER!C:C,MATCH(C1735,MASTER_REGISTER!E:E,0)),"")</f>
        <v>12</v>
      </c>
      <c r="C1735" t="s">
        <v>300</v>
      </c>
      <c r="D1735" t="str">
        <f>IFERROR(INDEX(MASTER_REGISTER!F:F,MATCH(C1735,MASTER_REGISTER!E:E,0)),"")</f>
        <v>Neo Ramushu</v>
      </c>
      <c r="E1735" t="s">
        <v>337</v>
      </c>
      <c r="F1735" t="s">
        <v>338</v>
      </c>
      <c r="G1735" t="s">
        <v>339</v>
      </c>
    </row>
    <row r="1736" spans="1:8" x14ac:dyDescent="0.3">
      <c r="A1736" t="s">
        <v>366</v>
      </c>
      <c r="B1736">
        <f>IFERROR(INDEX(MASTER_REGISTER!C:C,MATCH(C1736,MASTER_REGISTER!E:E,0)),"")</f>
        <v>12</v>
      </c>
      <c r="C1736" t="s">
        <v>304</v>
      </c>
      <c r="D1736" t="str">
        <f>IFERROR(INDEX(MASTER_REGISTER!F:F,MATCH(C1736,MASTER_REGISTER!E:E,0)),"")</f>
        <v>Karabo Baloyi</v>
      </c>
      <c r="E1736" t="s">
        <v>337</v>
      </c>
      <c r="F1736" t="s">
        <v>338</v>
      </c>
      <c r="G1736" t="s">
        <v>339</v>
      </c>
    </row>
    <row r="1737" spans="1:8" x14ac:dyDescent="0.3">
      <c r="A1737" t="s">
        <v>366</v>
      </c>
      <c r="B1737">
        <f>IFERROR(INDEX(MASTER_REGISTER!C:C,MATCH(C1737,MASTER_REGISTER!E:E,0)),"")</f>
        <v>12</v>
      </c>
      <c r="C1737" t="s">
        <v>308</v>
      </c>
      <c r="D1737" t="str">
        <f>IFERROR(INDEX(MASTER_REGISTER!F:F,MATCH(C1737,MASTER_REGISTER!E:E,0)),"")</f>
        <v>Tshepo Mokgadi</v>
      </c>
      <c r="E1737" t="s">
        <v>337</v>
      </c>
      <c r="F1737" t="s">
        <v>338</v>
      </c>
      <c r="G1737" t="s">
        <v>339</v>
      </c>
    </row>
    <row r="1738" spans="1:8" x14ac:dyDescent="0.3">
      <c r="A1738" t="s">
        <v>366</v>
      </c>
      <c r="B1738">
        <f>IFERROR(INDEX(MASTER_REGISTER!C:C,MATCH(C1738,MASTER_REGISTER!E:E,0)),"")</f>
        <v>12</v>
      </c>
      <c r="C1738" t="s">
        <v>311</v>
      </c>
      <c r="D1738" t="str">
        <f>IFERROR(INDEX(MASTER_REGISTER!F:F,MATCH(C1738,MASTER_REGISTER!E:E,0)),"")</f>
        <v>Sifiso Mavuso</v>
      </c>
      <c r="E1738" t="s">
        <v>337</v>
      </c>
      <c r="F1738" t="s">
        <v>338</v>
      </c>
      <c r="G1738" t="s">
        <v>339</v>
      </c>
    </row>
    <row r="1739" spans="1:8" x14ac:dyDescent="0.3">
      <c r="A1739" t="s">
        <v>366</v>
      </c>
      <c r="B1739">
        <f>IFERROR(INDEX(MASTER_REGISTER!C:C,MATCH(C1739,MASTER_REGISTER!E:E,0)),"")</f>
        <v>12</v>
      </c>
      <c r="C1739" t="s">
        <v>315</v>
      </c>
      <c r="D1739" t="str">
        <f>IFERROR(INDEX(MASTER_REGISTER!F:F,MATCH(C1739,MASTER_REGISTER!E:E,0)),"")</f>
        <v>Refilwe Sithole</v>
      </c>
      <c r="E1739" t="s">
        <v>337</v>
      </c>
      <c r="F1739" t="s">
        <v>338</v>
      </c>
      <c r="G1739" t="s">
        <v>339</v>
      </c>
    </row>
    <row r="1740" spans="1:8" x14ac:dyDescent="0.3">
      <c r="A1740" t="s">
        <v>366</v>
      </c>
      <c r="B1740">
        <f>IFERROR(INDEX(MASTER_REGISTER!C:C,MATCH(C1740,MASTER_REGISTER!E:E,0)),"")</f>
        <v>12</v>
      </c>
      <c r="C1740" t="s">
        <v>319</v>
      </c>
      <c r="D1740" t="str">
        <f>IFERROR(INDEX(MASTER_REGISTER!F:F,MATCH(C1740,MASTER_REGISTER!E:E,0)),"")</f>
        <v>Lerato Sithole</v>
      </c>
      <c r="E1740" t="s">
        <v>335</v>
      </c>
      <c r="H1740" t="s">
        <v>336</v>
      </c>
    </row>
    <row r="1741" spans="1:8" x14ac:dyDescent="0.3">
      <c r="A1741" t="s">
        <v>366</v>
      </c>
      <c r="B1741">
        <f>IFERROR(INDEX(MASTER_REGISTER!C:C,MATCH(C1741,MASTER_REGISTER!E:E,0)),"")</f>
        <v>12</v>
      </c>
      <c r="C1741" t="s">
        <v>323</v>
      </c>
      <c r="D1741" t="str">
        <f>IFERROR(INDEX(MASTER_REGISTER!F:F,MATCH(C1741,MASTER_REGISTER!E:E,0)),"")</f>
        <v>Sibusiso Ngobeni</v>
      </c>
      <c r="E1741" t="s">
        <v>337</v>
      </c>
      <c r="F1741" t="s">
        <v>338</v>
      </c>
      <c r="G1741" t="s">
        <v>339</v>
      </c>
    </row>
    <row r="1742" spans="1:8" x14ac:dyDescent="0.3">
      <c r="A1742" t="s">
        <v>367</v>
      </c>
      <c r="B1742">
        <f>IFERROR(INDEX(MASTER_REGISTER!C:C,MATCH(C1742,MASTER_REGISTER!E:E,0)),"")</f>
        <v>8</v>
      </c>
      <c r="C1742" t="s">
        <v>50</v>
      </c>
      <c r="D1742" t="str">
        <f>IFERROR(INDEX(MASTER_REGISTER!F:F,MATCH(C1742,MASTER_REGISTER!E:E,0)),"")</f>
        <v>Lerato Nkosi</v>
      </c>
      <c r="E1742" t="s">
        <v>337</v>
      </c>
      <c r="F1742" t="s">
        <v>338</v>
      </c>
      <c r="G1742" t="s">
        <v>339</v>
      </c>
    </row>
    <row r="1743" spans="1:8" x14ac:dyDescent="0.3">
      <c r="A1743" t="s">
        <v>367</v>
      </c>
      <c r="B1743">
        <f>IFERROR(INDEX(MASTER_REGISTER!C:C,MATCH(C1743,MASTER_REGISTER!E:E,0)),"")</f>
        <v>8</v>
      </c>
      <c r="C1743" t="s">
        <v>58</v>
      </c>
      <c r="D1743" t="str">
        <f>IFERROR(INDEX(MASTER_REGISTER!F:F,MATCH(C1743,MASTER_REGISTER!E:E,0)),"")</f>
        <v>Karabo Maseko</v>
      </c>
      <c r="E1743" t="s">
        <v>337</v>
      </c>
      <c r="F1743" t="s">
        <v>338</v>
      </c>
      <c r="G1743" t="s">
        <v>339</v>
      </c>
    </row>
    <row r="1744" spans="1:8" x14ac:dyDescent="0.3">
      <c r="A1744" t="s">
        <v>367</v>
      </c>
      <c r="B1744">
        <f>IFERROR(INDEX(MASTER_REGISTER!C:C,MATCH(C1744,MASTER_REGISTER!E:E,0)),"")</f>
        <v>8</v>
      </c>
      <c r="C1744" t="s">
        <v>64</v>
      </c>
      <c r="D1744" t="str">
        <f>IFERROR(INDEX(MASTER_REGISTER!F:F,MATCH(C1744,MASTER_REGISTER!E:E,0)),"")</f>
        <v>Sifiso Sithole</v>
      </c>
      <c r="E1744" t="s">
        <v>335</v>
      </c>
      <c r="H1744" t="s">
        <v>340</v>
      </c>
    </row>
    <row r="1745" spans="1:8" x14ac:dyDescent="0.3">
      <c r="A1745" t="s">
        <v>367</v>
      </c>
      <c r="B1745">
        <f>IFERROR(INDEX(MASTER_REGISTER!C:C,MATCH(C1745,MASTER_REGISTER!E:E,0)),"")</f>
        <v>8</v>
      </c>
      <c r="C1745" t="s">
        <v>70</v>
      </c>
      <c r="D1745" t="str">
        <f>IFERROR(INDEX(MASTER_REGISTER!F:F,MATCH(C1745,MASTER_REGISTER!E:E,0)),"")</f>
        <v>Tshepo Ndlovu</v>
      </c>
      <c r="E1745" t="s">
        <v>337</v>
      </c>
      <c r="F1745" t="s">
        <v>338</v>
      </c>
      <c r="G1745" t="s">
        <v>339</v>
      </c>
    </row>
    <row r="1746" spans="1:8" x14ac:dyDescent="0.3">
      <c r="A1746" t="s">
        <v>367</v>
      </c>
      <c r="B1746">
        <f>IFERROR(INDEX(MASTER_REGISTER!C:C,MATCH(C1746,MASTER_REGISTER!E:E,0)),"")</f>
        <v>8</v>
      </c>
      <c r="C1746" t="s">
        <v>76</v>
      </c>
      <c r="D1746" t="str">
        <f>IFERROR(INDEX(MASTER_REGISTER!F:F,MATCH(C1746,MASTER_REGISTER!E:E,0)),"")</f>
        <v>Lwazi Mthembu</v>
      </c>
      <c r="E1746" t="s">
        <v>337</v>
      </c>
      <c r="F1746" t="s">
        <v>338</v>
      </c>
      <c r="G1746" t="s">
        <v>339</v>
      </c>
    </row>
    <row r="1747" spans="1:8" x14ac:dyDescent="0.3">
      <c r="A1747" t="s">
        <v>367</v>
      </c>
      <c r="B1747">
        <f>IFERROR(INDEX(MASTER_REGISTER!C:C,MATCH(C1747,MASTER_REGISTER!E:E,0)),"")</f>
        <v>8</v>
      </c>
      <c r="C1747" t="s">
        <v>82</v>
      </c>
      <c r="D1747" t="str">
        <f>IFERROR(INDEX(MASTER_REGISTER!F:F,MATCH(C1747,MASTER_REGISTER!E:E,0)),"")</f>
        <v>Karabo Ngobeni</v>
      </c>
      <c r="E1747" t="s">
        <v>337</v>
      </c>
      <c r="F1747" t="s">
        <v>338</v>
      </c>
      <c r="G1747" t="s">
        <v>339</v>
      </c>
    </row>
    <row r="1748" spans="1:8" x14ac:dyDescent="0.3">
      <c r="A1748" t="s">
        <v>367</v>
      </c>
      <c r="B1748">
        <f>IFERROR(INDEX(MASTER_REGISTER!C:C,MATCH(C1748,MASTER_REGISTER!E:E,0)),"")</f>
        <v>8</v>
      </c>
      <c r="C1748" t="s">
        <v>88</v>
      </c>
      <c r="D1748" t="str">
        <f>IFERROR(INDEX(MASTER_REGISTER!F:F,MATCH(C1748,MASTER_REGISTER!E:E,0)),"")</f>
        <v>Mpho Sithole</v>
      </c>
      <c r="E1748" t="s">
        <v>337</v>
      </c>
      <c r="F1748" t="s">
        <v>338</v>
      </c>
      <c r="G1748" t="s">
        <v>339</v>
      </c>
    </row>
    <row r="1749" spans="1:8" x14ac:dyDescent="0.3">
      <c r="A1749" t="s">
        <v>367</v>
      </c>
      <c r="B1749">
        <f>IFERROR(INDEX(MASTER_REGISTER!C:C,MATCH(C1749,MASTER_REGISTER!E:E,0)),"")</f>
        <v>8</v>
      </c>
      <c r="C1749" t="s">
        <v>94</v>
      </c>
      <c r="D1749" t="str">
        <f>IFERROR(INDEX(MASTER_REGISTER!F:F,MATCH(C1749,MASTER_REGISTER!E:E,0)),"")</f>
        <v>Tshepo Ramushu</v>
      </c>
      <c r="E1749" t="s">
        <v>337</v>
      </c>
      <c r="F1749" t="s">
        <v>338</v>
      </c>
      <c r="G1749" t="s">
        <v>339</v>
      </c>
    </row>
    <row r="1750" spans="1:8" x14ac:dyDescent="0.3">
      <c r="A1750" t="s">
        <v>367</v>
      </c>
      <c r="B1750">
        <f>IFERROR(INDEX(MASTER_REGISTER!C:C,MATCH(C1750,MASTER_REGISTER!E:E,0)),"")</f>
        <v>8</v>
      </c>
      <c r="C1750" t="s">
        <v>100</v>
      </c>
      <c r="D1750" t="str">
        <f>IFERROR(INDEX(MASTER_REGISTER!F:F,MATCH(C1750,MASTER_REGISTER!E:E,0)),"")</f>
        <v>Lerato Kekana</v>
      </c>
      <c r="E1750" t="s">
        <v>337</v>
      </c>
      <c r="F1750" t="s">
        <v>338</v>
      </c>
      <c r="G1750" t="s">
        <v>339</v>
      </c>
    </row>
    <row r="1751" spans="1:8" x14ac:dyDescent="0.3">
      <c r="A1751" t="s">
        <v>367</v>
      </c>
      <c r="B1751">
        <f>IFERROR(INDEX(MASTER_REGISTER!C:C,MATCH(C1751,MASTER_REGISTER!E:E,0)),"")</f>
        <v>8</v>
      </c>
      <c r="C1751" t="s">
        <v>106</v>
      </c>
      <c r="D1751" t="str">
        <f>IFERROR(INDEX(MASTER_REGISTER!F:F,MATCH(C1751,MASTER_REGISTER!E:E,0)),"")</f>
        <v>Neo Ngobeni</v>
      </c>
      <c r="E1751" t="s">
        <v>335</v>
      </c>
      <c r="H1751" t="s">
        <v>340</v>
      </c>
    </row>
    <row r="1752" spans="1:8" x14ac:dyDescent="0.3">
      <c r="A1752" t="s">
        <v>367</v>
      </c>
      <c r="B1752">
        <f>IFERROR(INDEX(MASTER_REGISTER!C:C,MATCH(C1752,MASTER_REGISTER!E:E,0)),"")</f>
        <v>8</v>
      </c>
      <c r="C1752" t="s">
        <v>112</v>
      </c>
      <c r="D1752" t="str">
        <f>IFERROR(INDEX(MASTER_REGISTER!F:F,MATCH(C1752,MASTER_REGISTER!E:E,0)),"")</f>
        <v>Thabo Mokgadi</v>
      </c>
      <c r="E1752" t="s">
        <v>337</v>
      </c>
      <c r="F1752" t="s">
        <v>338</v>
      </c>
      <c r="G1752" t="s">
        <v>339</v>
      </c>
    </row>
    <row r="1753" spans="1:8" x14ac:dyDescent="0.3">
      <c r="A1753" t="s">
        <v>367</v>
      </c>
      <c r="B1753">
        <f>IFERROR(INDEX(MASTER_REGISTER!C:C,MATCH(C1753,MASTER_REGISTER!E:E,0)),"")</f>
        <v>8</v>
      </c>
      <c r="C1753" t="s">
        <v>118</v>
      </c>
      <c r="D1753" t="str">
        <f>IFERROR(INDEX(MASTER_REGISTER!F:F,MATCH(C1753,MASTER_REGISTER!E:E,0)),"")</f>
        <v>Sifiso Mthembu</v>
      </c>
      <c r="E1753" t="s">
        <v>337</v>
      </c>
      <c r="F1753" t="s">
        <v>338</v>
      </c>
      <c r="G1753" t="s">
        <v>339</v>
      </c>
    </row>
    <row r="1754" spans="1:8" x14ac:dyDescent="0.3">
      <c r="A1754" t="s">
        <v>367</v>
      </c>
      <c r="B1754">
        <f>IFERROR(INDEX(MASTER_REGISTER!C:C,MATCH(C1754,MASTER_REGISTER!E:E,0)),"")</f>
        <v>9</v>
      </c>
      <c r="C1754" t="s">
        <v>123</v>
      </c>
      <c r="D1754" t="str">
        <f>IFERROR(INDEX(MASTER_REGISTER!F:F,MATCH(C1754,MASTER_REGISTER!E:E,0)),"")</f>
        <v>Karabo Phiri</v>
      </c>
      <c r="E1754" t="s">
        <v>337</v>
      </c>
      <c r="F1754" t="s">
        <v>338</v>
      </c>
      <c r="G1754" t="s">
        <v>339</v>
      </c>
    </row>
    <row r="1755" spans="1:8" x14ac:dyDescent="0.3">
      <c r="A1755" t="s">
        <v>367</v>
      </c>
      <c r="B1755">
        <f>IFERROR(INDEX(MASTER_REGISTER!C:C,MATCH(C1755,MASTER_REGISTER!E:E,0)),"")</f>
        <v>9</v>
      </c>
      <c r="C1755" t="s">
        <v>128</v>
      </c>
      <c r="D1755" t="str">
        <f>IFERROR(INDEX(MASTER_REGISTER!F:F,MATCH(C1755,MASTER_REGISTER!E:E,0)),"")</f>
        <v>Lerato Mahlangu</v>
      </c>
      <c r="E1755" t="s">
        <v>337</v>
      </c>
      <c r="F1755" t="s">
        <v>338</v>
      </c>
      <c r="G1755" t="s">
        <v>339</v>
      </c>
    </row>
    <row r="1756" spans="1:8" x14ac:dyDescent="0.3">
      <c r="A1756" t="s">
        <v>367</v>
      </c>
      <c r="B1756">
        <f>IFERROR(INDEX(MASTER_REGISTER!C:C,MATCH(C1756,MASTER_REGISTER!E:E,0)),"")</f>
        <v>9</v>
      </c>
      <c r="C1756" t="s">
        <v>133</v>
      </c>
      <c r="D1756" t="str">
        <f>IFERROR(INDEX(MASTER_REGISTER!F:F,MATCH(C1756,MASTER_REGISTER!E:E,0)),"")</f>
        <v>Mpho Kekana</v>
      </c>
      <c r="E1756" t="s">
        <v>337</v>
      </c>
      <c r="F1756" t="s">
        <v>338</v>
      </c>
      <c r="G1756" t="s">
        <v>339</v>
      </c>
    </row>
    <row r="1757" spans="1:8" x14ac:dyDescent="0.3">
      <c r="A1757" t="s">
        <v>367</v>
      </c>
      <c r="B1757">
        <f>IFERROR(INDEX(MASTER_REGISTER!C:C,MATCH(C1757,MASTER_REGISTER!E:E,0)),"")</f>
        <v>9</v>
      </c>
      <c r="C1757" t="s">
        <v>138</v>
      </c>
      <c r="D1757" t="str">
        <f>IFERROR(INDEX(MASTER_REGISTER!F:F,MATCH(C1757,MASTER_REGISTER!E:E,0)),"")</f>
        <v>Thabo Molefe</v>
      </c>
      <c r="E1757" t="s">
        <v>337</v>
      </c>
      <c r="F1757" t="s">
        <v>338</v>
      </c>
      <c r="G1757" t="s">
        <v>339</v>
      </c>
    </row>
    <row r="1758" spans="1:8" x14ac:dyDescent="0.3">
      <c r="A1758" t="s">
        <v>367</v>
      </c>
      <c r="B1758">
        <f>IFERROR(INDEX(MASTER_REGISTER!C:C,MATCH(C1758,MASTER_REGISTER!E:E,0)),"")</f>
        <v>9</v>
      </c>
      <c r="C1758" t="s">
        <v>143</v>
      </c>
      <c r="D1758" t="str">
        <f>IFERROR(INDEX(MASTER_REGISTER!F:F,MATCH(C1758,MASTER_REGISTER!E:E,0)),"")</f>
        <v>Mpho Ngobeni</v>
      </c>
      <c r="E1758" t="s">
        <v>337</v>
      </c>
      <c r="F1758" t="s">
        <v>338</v>
      </c>
      <c r="G1758" t="s">
        <v>339</v>
      </c>
    </row>
    <row r="1759" spans="1:8" x14ac:dyDescent="0.3">
      <c r="A1759" t="s">
        <v>367</v>
      </c>
      <c r="B1759">
        <f>IFERROR(INDEX(MASTER_REGISTER!C:C,MATCH(C1759,MASTER_REGISTER!E:E,0)),"")</f>
        <v>9</v>
      </c>
      <c r="C1759" t="s">
        <v>148</v>
      </c>
      <c r="D1759" t="str">
        <f>IFERROR(INDEX(MASTER_REGISTER!F:F,MATCH(C1759,MASTER_REGISTER!E:E,0)),"")</f>
        <v>Siyanda Mhlongo</v>
      </c>
      <c r="E1759" t="s">
        <v>337</v>
      </c>
      <c r="F1759" t="s">
        <v>338</v>
      </c>
      <c r="G1759" t="s">
        <v>339</v>
      </c>
    </row>
    <row r="1760" spans="1:8" x14ac:dyDescent="0.3">
      <c r="A1760" t="s">
        <v>367</v>
      </c>
      <c r="B1760">
        <f>IFERROR(INDEX(MASTER_REGISTER!C:C,MATCH(C1760,MASTER_REGISTER!E:E,0)),"")</f>
        <v>9</v>
      </c>
      <c r="C1760" t="s">
        <v>153</v>
      </c>
      <c r="D1760" t="str">
        <f>IFERROR(INDEX(MASTER_REGISTER!F:F,MATCH(C1760,MASTER_REGISTER!E:E,0)),"")</f>
        <v>Siyanda Mahlangu</v>
      </c>
      <c r="E1760" t="s">
        <v>337</v>
      </c>
      <c r="F1760" t="s">
        <v>338</v>
      </c>
      <c r="G1760" t="s">
        <v>339</v>
      </c>
    </row>
    <row r="1761" spans="1:8" x14ac:dyDescent="0.3">
      <c r="A1761" t="s">
        <v>367</v>
      </c>
      <c r="B1761">
        <f>IFERROR(INDEX(MASTER_REGISTER!C:C,MATCH(C1761,MASTER_REGISTER!E:E,0)),"")</f>
        <v>9</v>
      </c>
      <c r="C1761" t="s">
        <v>158</v>
      </c>
      <c r="D1761" t="str">
        <f>IFERROR(INDEX(MASTER_REGISTER!F:F,MATCH(C1761,MASTER_REGISTER!E:E,0)),"")</f>
        <v>Sifiso Ramushu</v>
      </c>
      <c r="E1761" t="s">
        <v>337</v>
      </c>
      <c r="F1761" t="s">
        <v>338</v>
      </c>
      <c r="G1761" t="s">
        <v>339</v>
      </c>
    </row>
    <row r="1762" spans="1:8" x14ac:dyDescent="0.3">
      <c r="A1762" t="s">
        <v>367</v>
      </c>
      <c r="B1762">
        <f>IFERROR(INDEX(MASTER_REGISTER!C:C,MATCH(C1762,MASTER_REGISTER!E:E,0)),"")</f>
        <v>9</v>
      </c>
      <c r="C1762" t="s">
        <v>163</v>
      </c>
      <c r="D1762" t="str">
        <f>IFERROR(INDEX(MASTER_REGISTER!F:F,MATCH(C1762,MASTER_REGISTER!E:E,0)),"")</f>
        <v>Nandi Ngobeni</v>
      </c>
      <c r="E1762" t="s">
        <v>335</v>
      </c>
      <c r="H1762" t="s">
        <v>342</v>
      </c>
    </row>
    <row r="1763" spans="1:8" x14ac:dyDescent="0.3">
      <c r="A1763" t="s">
        <v>367</v>
      </c>
      <c r="B1763">
        <f>IFERROR(INDEX(MASTER_REGISTER!C:C,MATCH(C1763,MASTER_REGISTER!E:E,0)),"")</f>
        <v>9</v>
      </c>
      <c r="C1763" t="s">
        <v>168</v>
      </c>
      <c r="D1763" t="str">
        <f>IFERROR(INDEX(MASTER_REGISTER!F:F,MATCH(C1763,MASTER_REGISTER!E:E,0)),"")</f>
        <v>Karabo Mokgadi</v>
      </c>
      <c r="E1763" t="s">
        <v>337</v>
      </c>
      <c r="F1763" t="s">
        <v>338</v>
      </c>
      <c r="G1763" t="s">
        <v>339</v>
      </c>
    </row>
    <row r="1764" spans="1:8" x14ac:dyDescent="0.3">
      <c r="A1764" t="s">
        <v>367</v>
      </c>
      <c r="B1764">
        <f>IFERROR(INDEX(MASTER_REGISTER!C:C,MATCH(C1764,MASTER_REGISTER!E:E,0)),"")</f>
        <v>9</v>
      </c>
      <c r="C1764" t="s">
        <v>173</v>
      </c>
      <c r="D1764" t="str">
        <f>IFERROR(INDEX(MASTER_REGISTER!F:F,MATCH(C1764,MASTER_REGISTER!E:E,0)),"")</f>
        <v>Sifiso Mahlangu</v>
      </c>
      <c r="E1764" t="s">
        <v>335</v>
      </c>
      <c r="H1764" t="s">
        <v>340</v>
      </c>
    </row>
    <row r="1765" spans="1:8" x14ac:dyDescent="0.3">
      <c r="A1765" t="s">
        <v>367</v>
      </c>
      <c r="B1765">
        <f>IFERROR(INDEX(MASTER_REGISTER!C:C,MATCH(C1765,MASTER_REGISTER!E:E,0)),"")</f>
        <v>9</v>
      </c>
      <c r="C1765" t="s">
        <v>178</v>
      </c>
      <c r="D1765" t="str">
        <f>IFERROR(INDEX(MASTER_REGISTER!F:F,MATCH(C1765,MASTER_REGISTER!E:E,0)),"")</f>
        <v>Kgothatso Radebe</v>
      </c>
      <c r="E1765" t="s">
        <v>337</v>
      </c>
      <c r="F1765" t="s">
        <v>338</v>
      </c>
      <c r="G1765" t="s">
        <v>339</v>
      </c>
    </row>
    <row r="1766" spans="1:8" x14ac:dyDescent="0.3">
      <c r="A1766" t="s">
        <v>367</v>
      </c>
      <c r="B1766">
        <f>IFERROR(INDEX(MASTER_REGISTER!C:C,MATCH(C1766,MASTER_REGISTER!E:E,0)),"")</f>
        <v>10</v>
      </c>
      <c r="C1766" t="s">
        <v>183</v>
      </c>
      <c r="D1766" t="str">
        <f>IFERROR(INDEX(MASTER_REGISTER!F:F,MATCH(C1766,MASTER_REGISTER!E:E,0)),"")</f>
        <v>Lerato Maseko</v>
      </c>
      <c r="E1766" t="s">
        <v>337</v>
      </c>
      <c r="F1766" t="s">
        <v>338</v>
      </c>
      <c r="G1766" t="s">
        <v>339</v>
      </c>
    </row>
    <row r="1767" spans="1:8" x14ac:dyDescent="0.3">
      <c r="A1767" t="s">
        <v>367</v>
      </c>
      <c r="B1767">
        <f>IFERROR(INDEX(MASTER_REGISTER!C:C,MATCH(C1767,MASTER_REGISTER!E:E,0)),"")</f>
        <v>10</v>
      </c>
      <c r="C1767" t="s">
        <v>188</v>
      </c>
      <c r="D1767" t="str">
        <f>IFERROR(INDEX(MASTER_REGISTER!F:F,MATCH(C1767,MASTER_REGISTER!E:E,0)),"")</f>
        <v>Sibusiso Molefe</v>
      </c>
      <c r="E1767" t="s">
        <v>335</v>
      </c>
      <c r="H1767" t="s">
        <v>336</v>
      </c>
    </row>
    <row r="1768" spans="1:8" x14ac:dyDescent="0.3">
      <c r="A1768" t="s">
        <v>367</v>
      </c>
      <c r="B1768">
        <f>IFERROR(INDEX(MASTER_REGISTER!C:C,MATCH(C1768,MASTER_REGISTER!E:E,0)),"")</f>
        <v>10</v>
      </c>
      <c r="C1768" t="s">
        <v>193</v>
      </c>
      <c r="D1768" t="str">
        <f>IFERROR(INDEX(MASTER_REGISTER!F:F,MATCH(C1768,MASTER_REGISTER!E:E,0)),"")</f>
        <v>Nandi Molefe</v>
      </c>
      <c r="E1768" t="s">
        <v>337</v>
      </c>
      <c r="F1768" t="s">
        <v>338</v>
      </c>
      <c r="G1768" t="s">
        <v>339</v>
      </c>
    </row>
    <row r="1769" spans="1:8" x14ac:dyDescent="0.3">
      <c r="A1769" t="s">
        <v>367</v>
      </c>
      <c r="B1769">
        <f>IFERROR(INDEX(MASTER_REGISTER!C:C,MATCH(C1769,MASTER_REGISTER!E:E,0)),"")</f>
        <v>10</v>
      </c>
      <c r="C1769" t="s">
        <v>198</v>
      </c>
      <c r="D1769" t="str">
        <f>IFERROR(INDEX(MASTER_REGISTER!F:F,MATCH(C1769,MASTER_REGISTER!E:E,0)),"")</f>
        <v>Kgothatso Baloyi</v>
      </c>
      <c r="E1769" t="s">
        <v>337</v>
      </c>
      <c r="F1769" t="s">
        <v>338</v>
      </c>
      <c r="G1769" t="s">
        <v>339</v>
      </c>
    </row>
    <row r="1770" spans="1:8" x14ac:dyDescent="0.3">
      <c r="A1770" t="s">
        <v>367</v>
      </c>
      <c r="B1770">
        <f>IFERROR(INDEX(MASTER_REGISTER!C:C,MATCH(C1770,MASTER_REGISTER!E:E,0)),"")</f>
        <v>10</v>
      </c>
      <c r="C1770" t="s">
        <v>202</v>
      </c>
      <c r="D1770" t="str">
        <f>IFERROR(INDEX(MASTER_REGISTER!F:F,MATCH(C1770,MASTER_REGISTER!E:E,0)),"")</f>
        <v>Ayanda Mokoena</v>
      </c>
      <c r="E1770" t="s">
        <v>335</v>
      </c>
      <c r="H1770" t="s">
        <v>342</v>
      </c>
    </row>
    <row r="1771" spans="1:8" x14ac:dyDescent="0.3">
      <c r="A1771" t="s">
        <v>367</v>
      </c>
      <c r="B1771">
        <f>IFERROR(INDEX(MASTER_REGISTER!C:C,MATCH(C1771,MASTER_REGISTER!E:E,0)),"")</f>
        <v>10</v>
      </c>
      <c r="C1771" t="s">
        <v>206</v>
      </c>
      <c r="D1771" t="str">
        <f>IFERROR(INDEX(MASTER_REGISTER!F:F,MATCH(C1771,MASTER_REGISTER!E:E,0)),"")</f>
        <v>Lwazi Baloyi</v>
      </c>
      <c r="E1771" t="s">
        <v>337</v>
      </c>
      <c r="F1771" t="s">
        <v>338</v>
      </c>
      <c r="G1771" t="s">
        <v>339</v>
      </c>
    </row>
    <row r="1772" spans="1:8" x14ac:dyDescent="0.3">
      <c r="A1772" t="s">
        <v>367</v>
      </c>
      <c r="B1772">
        <f>IFERROR(INDEX(MASTER_REGISTER!C:C,MATCH(C1772,MASTER_REGISTER!E:E,0)),"")</f>
        <v>10</v>
      </c>
      <c r="C1772" t="s">
        <v>210</v>
      </c>
      <c r="D1772" t="str">
        <f>IFERROR(INDEX(MASTER_REGISTER!F:F,MATCH(C1772,MASTER_REGISTER!E:E,0)),"")</f>
        <v>Siyanda Mokoena</v>
      </c>
      <c r="E1772" t="s">
        <v>337</v>
      </c>
      <c r="F1772" t="s">
        <v>338</v>
      </c>
      <c r="G1772" t="s">
        <v>339</v>
      </c>
    </row>
    <row r="1773" spans="1:8" x14ac:dyDescent="0.3">
      <c r="A1773" t="s">
        <v>367</v>
      </c>
      <c r="B1773">
        <f>IFERROR(INDEX(MASTER_REGISTER!C:C,MATCH(C1773,MASTER_REGISTER!E:E,0)),"")</f>
        <v>10</v>
      </c>
      <c r="C1773" t="s">
        <v>214</v>
      </c>
      <c r="D1773" t="str">
        <f>IFERROR(INDEX(MASTER_REGISTER!F:F,MATCH(C1773,MASTER_REGISTER!E:E,0)),"")</f>
        <v>Mpho Ngobeni</v>
      </c>
      <c r="E1773" t="s">
        <v>337</v>
      </c>
      <c r="F1773" t="s">
        <v>338</v>
      </c>
      <c r="G1773" t="s">
        <v>339</v>
      </c>
    </row>
    <row r="1774" spans="1:8" x14ac:dyDescent="0.3">
      <c r="A1774" t="s">
        <v>367</v>
      </c>
      <c r="B1774">
        <f>IFERROR(INDEX(MASTER_REGISTER!C:C,MATCH(C1774,MASTER_REGISTER!E:E,0)),"")</f>
        <v>10</v>
      </c>
      <c r="C1774" t="s">
        <v>217</v>
      </c>
      <c r="D1774" t="str">
        <f>IFERROR(INDEX(MASTER_REGISTER!F:F,MATCH(C1774,MASTER_REGISTER!E:E,0)),"")</f>
        <v>Naledi Makhubela</v>
      </c>
      <c r="E1774" t="s">
        <v>337</v>
      </c>
      <c r="F1774" t="s">
        <v>338</v>
      </c>
      <c r="G1774" t="s">
        <v>339</v>
      </c>
    </row>
    <row r="1775" spans="1:8" x14ac:dyDescent="0.3">
      <c r="A1775" t="s">
        <v>367</v>
      </c>
      <c r="B1775">
        <f>IFERROR(INDEX(MASTER_REGISTER!C:C,MATCH(C1775,MASTER_REGISTER!E:E,0)),"")</f>
        <v>10</v>
      </c>
      <c r="C1775" t="s">
        <v>221</v>
      </c>
      <c r="D1775" t="str">
        <f>IFERROR(INDEX(MASTER_REGISTER!F:F,MATCH(C1775,MASTER_REGISTER!E:E,0)),"")</f>
        <v>Kgothatso Mokoena</v>
      </c>
      <c r="E1775" t="s">
        <v>337</v>
      </c>
      <c r="F1775" t="s">
        <v>338</v>
      </c>
      <c r="G1775" t="s">
        <v>339</v>
      </c>
    </row>
    <row r="1776" spans="1:8" x14ac:dyDescent="0.3">
      <c r="A1776" t="s">
        <v>367</v>
      </c>
      <c r="B1776">
        <f>IFERROR(INDEX(MASTER_REGISTER!C:C,MATCH(C1776,MASTER_REGISTER!E:E,0)),"")</f>
        <v>10</v>
      </c>
      <c r="C1776" t="s">
        <v>225</v>
      </c>
      <c r="D1776" t="str">
        <f>IFERROR(INDEX(MASTER_REGISTER!F:F,MATCH(C1776,MASTER_REGISTER!E:E,0)),"")</f>
        <v>Bongani Makhubela</v>
      </c>
      <c r="E1776" t="s">
        <v>337</v>
      </c>
      <c r="F1776" t="s">
        <v>338</v>
      </c>
      <c r="G1776" t="s">
        <v>339</v>
      </c>
    </row>
    <row r="1777" spans="1:8" x14ac:dyDescent="0.3">
      <c r="A1777" t="s">
        <v>367</v>
      </c>
      <c r="B1777">
        <f>IFERROR(INDEX(MASTER_REGISTER!C:C,MATCH(C1777,MASTER_REGISTER!E:E,0)),"")</f>
        <v>10</v>
      </c>
      <c r="C1777" t="s">
        <v>229</v>
      </c>
      <c r="D1777" t="str">
        <f>IFERROR(INDEX(MASTER_REGISTER!F:F,MATCH(C1777,MASTER_REGISTER!E:E,0)),"")</f>
        <v>Kagiso Kekana</v>
      </c>
      <c r="E1777" t="s">
        <v>335</v>
      </c>
      <c r="H1777" t="s">
        <v>340</v>
      </c>
    </row>
    <row r="1778" spans="1:8" x14ac:dyDescent="0.3">
      <c r="A1778" t="s">
        <v>367</v>
      </c>
      <c r="B1778">
        <f>IFERROR(INDEX(MASTER_REGISTER!C:C,MATCH(C1778,MASTER_REGISTER!E:E,0)),"")</f>
        <v>11</v>
      </c>
      <c r="C1778" t="s">
        <v>233</v>
      </c>
      <c r="D1778" t="str">
        <f>IFERROR(INDEX(MASTER_REGISTER!F:F,MATCH(C1778,MASTER_REGISTER!E:E,0)),"")</f>
        <v>Lwazi Makhubela</v>
      </c>
      <c r="E1778" t="s">
        <v>337</v>
      </c>
      <c r="F1778" t="s">
        <v>338</v>
      </c>
      <c r="G1778" t="s">
        <v>339</v>
      </c>
    </row>
    <row r="1779" spans="1:8" x14ac:dyDescent="0.3">
      <c r="A1779" t="s">
        <v>367</v>
      </c>
      <c r="B1779">
        <f>IFERROR(INDEX(MASTER_REGISTER!C:C,MATCH(C1779,MASTER_REGISTER!E:E,0)),"")</f>
        <v>11</v>
      </c>
      <c r="C1779" t="s">
        <v>237</v>
      </c>
      <c r="D1779" t="str">
        <f>IFERROR(INDEX(MASTER_REGISTER!F:F,MATCH(C1779,MASTER_REGISTER!E:E,0)),"")</f>
        <v>Lebogang Ramushu</v>
      </c>
      <c r="E1779" t="s">
        <v>337</v>
      </c>
      <c r="F1779" t="s">
        <v>338</v>
      </c>
      <c r="G1779" t="s">
        <v>339</v>
      </c>
    </row>
    <row r="1780" spans="1:8" x14ac:dyDescent="0.3">
      <c r="A1780" t="s">
        <v>367</v>
      </c>
      <c r="B1780">
        <f>IFERROR(INDEX(MASTER_REGISTER!C:C,MATCH(C1780,MASTER_REGISTER!E:E,0)),"")</f>
        <v>11</v>
      </c>
      <c r="C1780" t="s">
        <v>241</v>
      </c>
      <c r="D1780" t="str">
        <f>IFERROR(INDEX(MASTER_REGISTER!F:F,MATCH(C1780,MASTER_REGISTER!E:E,0)),"")</f>
        <v>Lerato Kekana</v>
      </c>
      <c r="E1780" t="s">
        <v>337</v>
      </c>
      <c r="F1780" t="s">
        <v>338</v>
      </c>
      <c r="G1780" t="s">
        <v>339</v>
      </c>
    </row>
    <row r="1781" spans="1:8" x14ac:dyDescent="0.3">
      <c r="A1781" t="s">
        <v>367</v>
      </c>
      <c r="B1781">
        <f>IFERROR(INDEX(MASTER_REGISTER!C:C,MATCH(C1781,MASTER_REGISTER!E:E,0)),"")</f>
        <v>11</v>
      </c>
      <c r="C1781" t="s">
        <v>244</v>
      </c>
      <c r="D1781" t="str">
        <f>IFERROR(INDEX(MASTER_REGISTER!F:F,MATCH(C1781,MASTER_REGISTER!E:E,0)),"")</f>
        <v>Bongani Ndlovu</v>
      </c>
      <c r="E1781" t="s">
        <v>337</v>
      </c>
      <c r="F1781" t="s">
        <v>338</v>
      </c>
      <c r="G1781" t="s">
        <v>339</v>
      </c>
    </row>
    <row r="1782" spans="1:8" x14ac:dyDescent="0.3">
      <c r="A1782" t="s">
        <v>367</v>
      </c>
      <c r="B1782">
        <f>IFERROR(INDEX(MASTER_REGISTER!C:C,MATCH(C1782,MASTER_REGISTER!E:E,0)),"")</f>
        <v>11</v>
      </c>
      <c r="C1782" t="s">
        <v>248</v>
      </c>
      <c r="D1782" t="str">
        <f>IFERROR(INDEX(MASTER_REGISTER!F:F,MATCH(C1782,MASTER_REGISTER!E:E,0)),"")</f>
        <v>Sifiso Dlamini</v>
      </c>
      <c r="E1782" t="s">
        <v>337</v>
      </c>
      <c r="F1782" t="s">
        <v>338</v>
      </c>
      <c r="G1782" t="s">
        <v>339</v>
      </c>
    </row>
    <row r="1783" spans="1:8" x14ac:dyDescent="0.3">
      <c r="A1783" t="s">
        <v>367</v>
      </c>
      <c r="B1783">
        <f>IFERROR(INDEX(MASTER_REGISTER!C:C,MATCH(C1783,MASTER_REGISTER!E:E,0)),"")</f>
        <v>11</v>
      </c>
      <c r="C1783" t="s">
        <v>252</v>
      </c>
      <c r="D1783" t="str">
        <f>IFERROR(INDEX(MASTER_REGISTER!F:F,MATCH(C1783,MASTER_REGISTER!E:E,0)),"")</f>
        <v>Refilwe Dlamini</v>
      </c>
      <c r="E1783" t="s">
        <v>337</v>
      </c>
      <c r="F1783" t="s">
        <v>338</v>
      </c>
      <c r="G1783" t="s">
        <v>339</v>
      </c>
    </row>
    <row r="1784" spans="1:8" x14ac:dyDescent="0.3">
      <c r="A1784" t="s">
        <v>367</v>
      </c>
      <c r="B1784">
        <f>IFERROR(INDEX(MASTER_REGISTER!C:C,MATCH(C1784,MASTER_REGISTER!E:E,0)),"")</f>
        <v>11</v>
      </c>
      <c r="C1784" t="s">
        <v>256</v>
      </c>
      <c r="D1784" t="str">
        <f>IFERROR(INDEX(MASTER_REGISTER!F:F,MATCH(C1784,MASTER_REGISTER!E:E,0)),"")</f>
        <v>Lwazi Maseko</v>
      </c>
      <c r="E1784" t="s">
        <v>337</v>
      </c>
      <c r="F1784" t="s">
        <v>338</v>
      </c>
      <c r="G1784" t="s">
        <v>339</v>
      </c>
    </row>
    <row r="1785" spans="1:8" x14ac:dyDescent="0.3">
      <c r="A1785" t="s">
        <v>367</v>
      </c>
      <c r="B1785">
        <f>IFERROR(INDEX(MASTER_REGISTER!C:C,MATCH(C1785,MASTER_REGISTER!E:E,0)),"")</f>
        <v>11</v>
      </c>
      <c r="C1785" t="s">
        <v>260</v>
      </c>
      <c r="D1785" t="str">
        <f>IFERROR(INDEX(MASTER_REGISTER!F:F,MATCH(C1785,MASTER_REGISTER!E:E,0)),"")</f>
        <v>Refilwe Mokgadi</v>
      </c>
      <c r="E1785" t="s">
        <v>337</v>
      </c>
      <c r="F1785" t="s">
        <v>338</v>
      </c>
      <c r="G1785" t="s">
        <v>339</v>
      </c>
    </row>
    <row r="1786" spans="1:8" x14ac:dyDescent="0.3">
      <c r="A1786" t="s">
        <v>367</v>
      </c>
      <c r="B1786">
        <f>IFERROR(INDEX(MASTER_REGISTER!C:C,MATCH(C1786,MASTER_REGISTER!E:E,0)),"")</f>
        <v>11</v>
      </c>
      <c r="C1786" t="s">
        <v>264</v>
      </c>
      <c r="D1786" t="str">
        <f>IFERROR(INDEX(MASTER_REGISTER!F:F,MATCH(C1786,MASTER_REGISTER!E:E,0)),"")</f>
        <v>Kgothatso Molefe</v>
      </c>
      <c r="E1786" t="s">
        <v>337</v>
      </c>
      <c r="F1786" t="s">
        <v>338</v>
      </c>
      <c r="G1786" t="s">
        <v>339</v>
      </c>
    </row>
    <row r="1787" spans="1:8" x14ac:dyDescent="0.3">
      <c r="A1787" t="s">
        <v>367</v>
      </c>
      <c r="B1787">
        <f>IFERROR(INDEX(MASTER_REGISTER!C:C,MATCH(C1787,MASTER_REGISTER!E:E,0)),"")</f>
        <v>11</v>
      </c>
      <c r="C1787" t="s">
        <v>268</v>
      </c>
      <c r="D1787" t="str">
        <f>IFERROR(INDEX(MASTER_REGISTER!F:F,MATCH(C1787,MASTER_REGISTER!E:E,0)),"")</f>
        <v>Tshepo Mokgadi</v>
      </c>
      <c r="E1787" t="s">
        <v>337</v>
      </c>
      <c r="F1787" t="s">
        <v>338</v>
      </c>
      <c r="G1787" t="s">
        <v>339</v>
      </c>
    </row>
    <row r="1788" spans="1:8" x14ac:dyDescent="0.3">
      <c r="A1788" t="s">
        <v>367</v>
      </c>
      <c r="B1788">
        <f>IFERROR(INDEX(MASTER_REGISTER!C:C,MATCH(C1788,MASTER_REGISTER!E:E,0)),"")</f>
        <v>11</v>
      </c>
      <c r="C1788" t="s">
        <v>272</v>
      </c>
      <c r="D1788" t="str">
        <f>IFERROR(INDEX(MASTER_REGISTER!F:F,MATCH(C1788,MASTER_REGISTER!E:E,0)),"")</f>
        <v>Tshepo Phiri</v>
      </c>
      <c r="E1788" t="s">
        <v>337</v>
      </c>
      <c r="F1788" t="s">
        <v>338</v>
      </c>
      <c r="G1788" t="s">
        <v>339</v>
      </c>
    </row>
    <row r="1789" spans="1:8" x14ac:dyDescent="0.3">
      <c r="A1789" t="s">
        <v>367</v>
      </c>
      <c r="B1789">
        <f>IFERROR(INDEX(MASTER_REGISTER!C:C,MATCH(C1789,MASTER_REGISTER!E:E,0)),"")</f>
        <v>11</v>
      </c>
      <c r="C1789" t="s">
        <v>276</v>
      </c>
      <c r="D1789" t="str">
        <f>IFERROR(INDEX(MASTER_REGISTER!F:F,MATCH(C1789,MASTER_REGISTER!E:E,0)),"")</f>
        <v>Zanele Ngobeni</v>
      </c>
      <c r="E1789" t="s">
        <v>337</v>
      </c>
      <c r="F1789" t="s">
        <v>338</v>
      </c>
      <c r="G1789" t="s">
        <v>339</v>
      </c>
    </row>
    <row r="1790" spans="1:8" x14ac:dyDescent="0.3">
      <c r="A1790" t="s">
        <v>367</v>
      </c>
      <c r="B1790">
        <f>IFERROR(INDEX(MASTER_REGISTER!C:C,MATCH(C1790,MASTER_REGISTER!E:E,0)),"")</f>
        <v>12</v>
      </c>
      <c r="C1790" t="s">
        <v>280</v>
      </c>
      <c r="D1790" t="str">
        <f>IFERROR(INDEX(MASTER_REGISTER!F:F,MATCH(C1790,MASTER_REGISTER!E:E,0)),"")</f>
        <v>Palesa Mokoena</v>
      </c>
      <c r="E1790" t="s">
        <v>337</v>
      </c>
      <c r="F1790" t="s">
        <v>338</v>
      </c>
      <c r="G1790" t="s">
        <v>339</v>
      </c>
    </row>
    <row r="1791" spans="1:8" x14ac:dyDescent="0.3">
      <c r="A1791" t="s">
        <v>367</v>
      </c>
      <c r="B1791">
        <f>IFERROR(INDEX(MASTER_REGISTER!C:C,MATCH(C1791,MASTER_REGISTER!E:E,0)),"")</f>
        <v>12</v>
      </c>
      <c r="C1791" t="s">
        <v>284</v>
      </c>
      <c r="D1791" t="str">
        <f>IFERROR(INDEX(MASTER_REGISTER!F:F,MATCH(C1791,MASTER_REGISTER!E:E,0)),"")</f>
        <v>Thabo Ramushu</v>
      </c>
      <c r="E1791" t="s">
        <v>337</v>
      </c>
      <c r="F1791" t="s">
        <v>338</v>
      </c>
      <c r="G1791" t="s">
        <v>339</v>
      </c>
    </row>
    <row r="1792" spans="1:8" x14ac:dyDescent="0.3">
      <c r="A1792" t="s">
        <v>367</v>
      </c>
      <c r="B1792">
        <f>IFERROR(INDEX(MASTER_REGISTER!C:C,MATCH(C1792,MASTER_REGISTER!E:E,0)),"")</f>
        <v>12</v>
      </c>
      <c r="C1792" t="s">
        <v>288</v>
      </c>
      <c r="D1792" t="str">
        <f>IFERROR(INDEX(MASTER_REGISTER!F:F,MATCH(C1792,MASTER_REGISTER!E:E,0)),"")</f>
        <v>Lwazi Ndlovu</v>
      </c>
      <c r="E1792" t="s">
        <v>337</v>
      </c>
      <c r="F1792" t="s">
        <v>338</v>
      </c>
      <c r="G1792" t="s">
        <v>339</v>
      </c>
    </row>
    <row r="1793" spans="1:8" x14ac:dyDescent="0.3">
      <c r="A1793" t="s">
        <v>367</v>
      </c>
      <c r="B1793">
        <f>IFERROR(INDEX(MASTER_REGISTER!C:C,MATCH(C1793,MASTER_REGISTER!E:E,0)),"")</f>
        <v>12</v>
      </c>
      <c r="C1793" t="s">
        <v>292</v>
      </c>
      <c r="D1793" t="str">
        <f>IFERROR(INDEX(MASTER_REGISTER!F:F,MATCH(C1793,MASTER_REGISTER!E:E,0)),"")</f>
        <v>Ayanda Dlamini</v>
      </c>
      <c r="E1793" t="s">
        <v>337</v>
      </c>
      <c r="F1793" t="s">
        <v>338</v>
      </c>
      <c r="G1793" t="s">
        <v>339</v>
      </c>
    </row>
    <row r="1794" spans="1:8" x14ac:dyDescent="0.3">
      <c r="A1794" t="s">
        <v>367</v>
      </c>
      <c r="B1794">
        <f>IFERROR(INDEX(MASTER_REGISTER!C:C,MATCH(C1794,MASTER_REGISTER!E:E,0)),"")</f>
        <v>12</v>
      </c>
      <c r="C1794" t="s">
        <v>296</v>
      </c>
      <c r="D1794" t="str">
        <f>IFERROR(INDEX(MASTER_REGISTER!F:F,MATCH(C1794,MASTER_REGISTER!E:E,0)),"")</f>
        <v>Neo Ndlovu</v>
      </c>
      <c r="E1794" t="s">
        <v>337</v>
      </c>
      <c r="F1794" t="s">
        <v>338</v>
      </c>
      <c r="G1794" t="s">
        <v>339</v>
      </c>
    </row>
    <row r="1795" spans="1:8" x14ac:dyDescent="0.3">
      <c r="A1795" t="s">
        <v>367</v>
      </c>
      <c r="B1795">
        <f>IFERROR(INDEX(MASTER_REGISTER!C:C,MATCH(C1795,MASTER_REGISTER!E:E,0)),"")</f>
        <v>12</v>
      </c>
      <c r="C1795" t="s">
        <v>300</v>
      </c>
      <c r="D1795" t="str">
        <f>IFERROR(INDEX(MASTER_REGISTER!F:F,MATCH(C1795,MASTER_REGISTER!E:E,0)),"")</f>
        <v>Neo Ramushu</v>
      </c>
      <c r="E1795" t="s">
        <v>337</v>
      </c>
      <c r="F1795" t="s">
        <v>338</v>
      </c>
      <c r="G1795" t="s">
        <v>339</v>
      </c>
    </row>
    <row r="1796" spans="1:8" x14ac:dyDescent="0.3">
      <c r="A1796" t="s">
        <v>367</v>
      </c>
      <c r="B1796">
        <f>IFERROR(INDEX(MASTER_REGISTER!C:C,MATCH(C1796,MASTER_REGISTER!E:E,0)),"")</f>
        <v>12</v>
      </c>
      <c r="C1796" t="s">
        <v>304</v>
      </c>
      <c r="D1796" t="str">
        <f>IFERROR(INDEX(MASTER_REGISTER!F:F,MATCH(C1796,MASTER_REGISTER!E:E,0)),"")</f>
        <v>Karabo Baloyi</v>
      </c>
      <c r="E1796" t="s">
        <v>337</v>
      </c>
      <c r="F1796" t="s">
        <v>338</v>
      </c>
      <c r="G1796" t="s">
        <v>339</v>
      </c>
    </row>
    <row r="1797" spans="1:8" x14ac:dyDescent="0.3">
      <c r="A1797" t="s">
        <v>367</v>
      </c>
      <c r="B1797">
        <f>IFERROR(INDEX(MASTER_REGISTER!C:C,MATCH(C1797,MASTER_REGISTER!E:E,0)),"")</f>
        <v>12</v>
      </c>
      <c r="C1797" t="s">
        <v>308</v>
      </c>
      <c r="D1797" t="str">
        <f>IFERROR(INDEX(MASTER_REGISTER!F:F,MATCH(C1797,MASTER_REGISTER!E:E,0)),"")</f>
        <v>Tshepo Mokgadi</v>
      </c>
      <c r="E1797" t="s">
        <v>337</v>
      </c>
      <c r="F1797" t="s">
        <v>338</v>
      </c>
      <c r="G1797" t="s">
        <v>339</v>
      </c>
    </row>
    <row r="1798" spans="1:8" x14ac:dyDescent="0.3">
      <c r="A1798" t="s">
        <v>367</v>
      </c>
      <c r="B1798">
        <f>IFERROR(INDEX(MASTER_REGISTER!C:C,MATCH(C1798,MASTER_REGISTER!E:E,0)),"")</f>
        <v>12</v>
      </c>
      <c r="C1798" t="s">
        <v>311</v>
      </c>
      <c r="D1798" t="str">
        <f>IFERROR(INDEX(MASTER_REGISTER!F:F,MATCH(C1798,MASTER_REGISTER!E:E,0)),"")</f>
        <v>Sifiso Mavuso</v>
      </c>
      <c r="E1798" t="s">
        <v>337</v>
      </c>
      <c r="F1798" t="s">
        <v>338</v>
      </c>
      <c r="G1798" t="s">
        <v>339</v>
      </c>
    </row>
    <row r="1799" spans="1:8" x14ac:dyDescent="0.3">
      <c r="A1799" t="s">
        <v>367</v>
      </c>
      <c r="B1799">
        <f>IFERROR(INDEX(MASTER_REGISTER!C:C,MATCH(C1799,MASTER_REGISTER!E:E,0)),"")</f>
        <v>12</v>
      </c>
      <c r="C1799" t="s">
        <v>315</v>
      </c>
      <c r="D1799" t="str">
        <f>IFERROR(INDEX(MASTER_REGISTER!F:F,MATCH(C1799,MASTER_REGISTER!E:E,0)),"")</f>
        <v>Refilwe Sithole</v>
      </c>
      <c r="E1799" t="s">
        <v>335</v>
      </c>
      <c r="H1799" t="s">
        <v>341</v>
      </c>
    </row>
    <row r="1800" spans="1:8" x14ac:dyDescent="0.3">
      <c r="A1800" t="s">
        <v>367</v>
      </c>
      <c r="B1800">
        <f>IFERROR(INDEX(MASTER_REGISTER!C:C,MATCH(C1800,MASTER_REGISTER!E:E,0)),"")</f>
        <v>12</v>
      </c>
      <c r="C1800" t="s">
        <v>319</v>
      </c>
      <c r="D1800" t="str">
        <f>IFERROR(INDEX(MASTER_REGISTER!F:F,MATCH(C1800,MASTER_REGISTER!E:E,0)),"")</f>
        <v>Lerato Sithole</v>
      </c>
      <c r="E1800" t="s">
        <v>337</v>
      </c>
      <c r="F1800" t="s">
        <v>338</v>
      </c>
      <c r="G1800" t="s">
        <v>339</v>
      </c>
    </row>
    <row r="1801" spans="1:8" x14ac:dyDescent="0.3">
      <c r="A1801" t="s">
        <v>367</v>
      </c>
      <c r="B1801">
        <f>IFERROR(INDEX(MASTER_REGISTER!C:C,MATCH(C1801,MASTER_REGISTER!E:E,0)),"")</f>
        <v>12</v>
      </c>
      <c r="C1801" t="s">
        <v>323</v>
      </c>
      <c r="D1801" t="str">
        <f>IFERROR(INDEX(MASTER_REGISTER!F:F,MATCH(C1801,MASTER_REGISTER!E:E,0)),"")</f>
        <v>Sibusiso Ngobeni</v>
      </c>
      <c r="E1801" t="s">
        <v>337</v>
      </c>
      <c r="F1801" t="s">
        <v>338</v>
      </c>
      <c r="G1801" t="s">
        <v>339</v>
      </c>
    </row>
    <row r="1802" spans="1:8" x14ac:dyDescent="0.3">
      <c r="A1802" t="s">
        <v>368</v>
      </c>
      <c r="B1802">
        <f>IFERROR(INDEX(MASTER_REGISTER!C:C,MATCH(C1802,MASTER_REGISTER!E:E,0)),"")</f>
        <v>8</v>
      </c>
      <c r="C1802" t="s">
        <v>50</v>
      </c>
      <c r="D1802" t="str">
        <f>IFERROR(INDEX(MASTER_REGISTER!F:F,MATCH(C1802,MASTER_REGISTER!E:E,0)),"")</f>
        <v>Lerato Nkosi</v>
      </c>
      <c r="E1802" t="s">
        <v>337</v>
      </c>
      <c r="F1802" t="s">
        <v>338</v>
      </c>
      <c r="G1802" t="s">
        <v>339</v>
      </c>
    </row>
    <row r="1803" spans="1:8" x14ac:dyDescent="0.3">
      <c r="A1803" t="s">
        <v>368</v>
      </c>
      <c r="B1803">
        <f>IFERROR(INDEX(MASTER_REGISTER!C:C,MATCH(C1803,MASTER_REGISTER!E:E,0)),"")</f>
        <v>8</v>
      </c>
      <c r="C1803" t="s">
        <v>58</v>
      </c>
      <c r="D1803" t="str">
        <f>IFERROR(INDEX(MASTER_REGISTER!F:F,MATCH(C1803,MASTER_REGISTER!E:E,0)),"")</f>
        <v>Karabo Maseko</v>
      </c>
      <c r="E1803" t="s">
        <v>337</v>
      </c>
      <c r="F1803" t="s">
        <v>338</v>
      </c>
      <c r="G1803" t="s">
        <v>339</v>
      </c>
    </row>
    <row r="1804" spans="1:8" x14ac:dyDescent="0.3">
      <c r="A1804" t="s">
        <v>368</v>
      </c>
      <c r="B1804">
        <f>IFERROR(INDEX(MASTER_REGISTER!C:C,MATCH(C1804,MASTER_REGISTER!E:E,0)),"")</f>
        <v>8</v>
      </c>
      <c r="C1804" t="s">
        <v>64</v>
      </c>
      <c r="D1804" t="str">
        <f>IFERROR(INDEX(MASTER_REGISTER!F:F,MATCH(C1804,MASTER_REGISTER!E:E,0)),"")</f>
        <v>Sifiso Sithole</v>
      </c>
      <c r="E1804" t="s">
        <v>337</v>
      </c>
      <c r="F1804" t="s">
        <v>338</v>
      </c>
      <c r="G1804" t="s">
        <v>339</v>
      </c>
    </row>
    <row r="1805" spans="1:8" x14ac:dyDescent="0.3">
      <c r="A1805" t="s">
        <v>368</v>
      </c>
      <c r="B1805">
        <f>IFERROR(INDEX(MASTER_REGISTER!C:C,MATCH(C1805,MASTER_REGISTER!E:E,0)),"")</f>
        <v>8</v>
      </c>
      <c r="C1805" t="s">
        <v>70</v>
      </c>
      <c r="D1805" t="str">
        <f>IFERROR(INDEX(MASTER_REGISTER!F:F,MATCH(C1805,MASTER_REGISTER!E:E,0)),"")</f>
        <v>Tshepo Ndlovu</v>
      </c>
      <c r="E1805" t="s">
        <v>337</v>
      </c>
      <c r="F1805" t="s">
        <v>338</v>
      </c>
      <c r="G1805" t="s">
        <v>339</v>
      </c>
    </row>
    <row r="1806" spans="1:8" x14ac:dyDescent="0.3">
      <c r="A1806" t="s">
        <v>368</v>
      </c>
      <c r="B1806">
        <f>IFERROR(INDEX(MASTER_REGISTER!C:C,MATCH(C1806,MASTER_REGISTER!E:E,0)),"")</f>
        <v>8</v>
      </c>
      <c r="C1806" t="s">
        <v>76</v>
      </c>
      <c r="D1806" t="str">
        <f>IFERROR(INDEX(MASTER_REGISTER!F:F,MATCH(C1806,MASTER_REGISTER!E:E,0)),"")</f>
        <v>Lwazi Mthembu</v>
      </c>
      <c r="E1806" t="s">
        <v>335</v>
      </c>
      <c r="H1806" t="s">
        <v>340</v>
      </c>
    </row>
    <row r="1807" spans="1:8" x14ac:dyDescent="0.3">
      <c r="A1807" t="s">
        <v>368</v>
      </c>
      <c r="B1807">
        <f>IFERROR(INDEX(MASTER_REGISTER!C:C,MATCH(C1807,MASTER_REGISTER!E:E,0)),"")</f>
        <v>8</v>
      </c>
      <c r="C1807" t="s">
        <v>82</v>
      </c>
      <c r="D1807" t="str">
        <f>IFERROR(INDEX(MASTER_REGISTER!F:F,MATCH(C1807,MASTER_REGISTER!E:E,0)),"")</f>
        <v>Karabo Ngobeni</v>
      </c>
      <c r="E1807" t="s">
        <v>337</v>
      </c>
      <c r="F1807" t="s">
        <v>338</v>
      </c>
      <c r="G1807" t="s">
        <v>339</v>
      </c>
    </row>
    <row r="1808" spans="1:8" x14ac:dyDescent="0.3">
      <c r="A1808" t="s">
        <v>368</v>
      </c>
      <c r="B1808">
        <f>IFERROR(INDEX(MASTER_REGISTER!C:C,MATCH(C1808,MASTER_REGISTER!E:E,0)),"")</f>
        <v>8</v>
      </c>
      <c r="C1808" t="s">
        <v>88</v>
      </c>
      <c r="D1808" t="str">
        <f>IFERROR(INDEX(MASTER_REGISTER!F:F,MATCH(C1808,MASTER_REGISTER!E:E,0)),"")</f>
        <v>Mpho Sithole</v>
      </c>
      <c r="E1808" t="s">
        <v>337</v>
      </c>
      <c r="F1808" t="s">
        <v>338</v>
      </c>
      <c r="G1808" t="s">
        <v>339</v>
      </c>
    </row>
    <row r="1809" spans="1:8" x14ac:dyDescent="0.3">
      <c r="A1809" t="s">
        <v>368</v>
      </c>
      <c r="B1809">
        <f>IFERROR(INDEX(MASTER_REGISTER!C:C,MATCH(C1809,MASTER_REGISTER!E:E,0)),"")</f>
        <v>8</v>
      </c>
      <c r="C1809" t="s">
        <v>94</v>
      </c>
      <c r="D1809" t="str">
        <f>IFERROR(INDEX(MASTER_REGISTER!F:F,MATCH(C1809,MASTER_REGISTER!E:E,0)),"")</f>
        <v>Tshepo Ramushu</v>
      </c>
      <c r="E1809" t="s">
        <v>337</v>
      </c>
      <c r="F1809" t="s">
        <v>338</v>
      </c>
      <c r="G1809" t="s">
        <v>339</v>
      </c>
    </row>
    <row r="1810" spans="1:8" x14ac:dyDescent="0.3">
      <c r="A1810" t="s">
        <v>368</v>
      </c>
      <c r="B1810">
        <f>IFERROR(INDEX(MASTER_REGISTER!C:C,MATCH(C1810,MASTER_REGISTER!E:E,0)),"")</f>
        <v>8</v>
      </c>
      <c r="C1810" t="s">
        <v>100</v>
      </c>
      <c r="D1810" t="str">
        <f>IFERROR(INDEX(MASTER_REGISTER!F:F,MATCH(C1810,MASTER_REGISTER!E:E,0)),"")</f>
        <v>Lerato Kekana</v>
      </c>
      <c r="E1810" t="s">
        <v>337</v>
      </c>
      <c r="F1810" t="s">
        <v>338</v>
      </c>
      <c r="G1810" t="s">
        <v>339</v>
      </c>
    </row>
    <row r="1811" spans="1:8" x14ac:dyDescent="0.3">
      <c r="A1811" t="s">
        <v>368</v>
      </c>
      <c r="B1811">
        <f>IFERROR(INDEX(MASTER_REGISTER!C:C,MATCH(C1811,MASTER_REGISTER!E:E,0)),"")</f>
        <v>8</v>
      </c>
      <c r="C1811" t="s">
        <v>106</v>
      </c>
      <c r="D1811" t="str">
        <f>IFERROR(INDEX(MASTER_REGISTER!F:F,MATCH(C1811,MASTER_REGISTER!E:E,0)),"")</f>
        <v>Neo Ngobeni</v>
      </c>
      <c r="E1811" t="s">
        <v>337</v>
      </c>
      <c r="F1811" t="s">
        <v>338</v>
      </c>
      <c r="G1811" t="s">
        <v>339</v>
      </c>
    </row>
    <row r="1812" spans="1:8" x14ac:dyDescent="0.3">
      <c r="A1812" t="s">
        <v>368</v>
      </c>
      <c r="B1812">
        <f>IFERROR(INDEX(MASTER_REGISTER!C:C,MATCH(C1812,MASTER_REGISTER!E:E,0)),"")</f>
        <v>8</v>
      </c>
      <c r="C1812" t="s">
        <v>112</v>
      </c>
      <c r="D1812" t="str">
        <f>IFERROR(INDEX(MASTER_REGISTER!F:F,MATCH(C1812,MASTER_REGISTER!E:E,0)),"")</f>
        <v>Thabo Mokgadi</v>
      </c>
      <c r="E1812" t="s">
        <v>335</v>
      </c>
      <c r="H1812" t="s">
        <v>340</v>
      </c>
    </row>
    <row r="1813" spans="1:8" x14ac:dyDescent="0.3">
      <c r="A1813" t="s">
        <v>368</v>
      </c>
      <c r="B1813">
        <f>IFERROR(INDEX(MASTER_REGISTER!C:C,MATCH(C1813,MASTER_REGISTER!E:E,0)),"")</f>
        <v>8</v>
      </c>
      <c r="C1813" t="s">
        <v>118</v>
      </c>
      <c r="D1813" t="str">
        <f>IFERROR(INDEX(MASTER_REGISTER!F:F,MATCH(C1813,MASTER_REGISTER!E:E,0)),"")</f>
        <v>Sifiso Mthembu</v>
      </c>
      <c r="E1813" t="s">
        <v>337</v>
      </c>
      <c r="F1813" t="s">
        <v>338</v>
      </c>
      <c r="G1813" t="s">
        <v>339</v>
      </c>
    </row>
    <row r="1814" spans="1:8" x14ac:dyDescent="0.3">
      <c r="A1814" t="s">
        <v>368</v>
      </c>
      <c r="B1814">
        <f>IFERROR(INDEX(MASTER_REGISTER!C:C,MATCH(C1814,MASTER_REGISTER!E:E,0)),"")</f>
        <v>9</v>
      </c>
      <c r="C1814" t="s">
        <v>123</v>
      </c>
      <c r="D1814" t="str">
        <f>IFERROR(INDEX(MASTER_REGISTER!F:F,MATCH(C1814,MASTER_REGISTER!E:E,0)),"")</f>
        <v>Karabo Phiri</v>
      </c>
      <c r="E1814" t="s">
        <v>337</v>
      </c>
      <c r="F1814" t="s">
        <v>338</v>
      </c>
      <c r="G1814" t="s">
        <v>339</v>
      </c>
    </row>
    <row r="1815" spans="1:8" x14ac:dyDescent="0.3">
      <c r="A1815" t="s">
        <v>368</v>
      </c>
      <c r="B1815">
        <f>IFERROR(INDEX(MASTER_REGISTER!C:C,MATCH(C1815,MASTER_REGISTER!E:E,0)),"")</f>
        <v>9</v>
      </c>
      <c r="C1815" t="s">
        <v>128</v>
      </c>
      <c r="D1815" t="str">
        <f>IFERROR(INDEX(MASTER_REGISTER!F:F,MATCH(C1815,MASTER_REGISTER!E:E,0)),"")</f>
        <v>Lerato Mahlangu</v>
      </c>
      <c r="E1815" t="s">
        <v>337</v>
      </c>
      <c r="F1815" t="s">
        <v>338</v>
      </c>
      <c r="G1815" t="s">
        <v>339</v>
      </c>
    </row>
    <row r="1816" spans="1:8" x14ac:dyDescent="0.3">
      <c r="A1816" t="s">
        <v>368</v>
      </c>
      <c r="B1816">
        <f>IFERROR(INDEX(MASTER_REGISTER!C:C,MATCH(C1816,MASTER_REGISTER!E:E,0)),"")</f>
        <v>9</v>
      </c>
      <c r="C1816" t="s">
        <v>133</v>
      </c>
      <c r="D1816" t="str">
        <f>IFERROR(INDEX(MASTER_REGISTER!F:F,MATCH(C1816,MASTER_REGISTER!E:E,0)),"")</f>
        <v>Mpho Kekana</v>
      </c>
      <c r="E1816" t="s">
        <v>337</v>
      </c>
      <c r="F1816" t="s">
        <v>338</v>
      </c>
      <c r="G1816" t="s">
        <v>339</v>
      </c>
    </row>
    <row r="1817" spans="1:8" x14ac:dyDescent="0.3">
      <c r="A1817" t="s">
        <v>368</v>
      </c>
      <c r="B1817">
        <f>IFERROR(INDEX(MASTER_REGISTER!C:C,MATCH(C1817,MASTER_REGISTER!E:E,0)),"")</f>
        <v>9</v>
      </c>
      <c r="C1817" t="s">
        <v>138</v>
      </c>
      <c r="D1817" t="str">
        <f>IFERROR(INDEX(MASTER_REGISTER!F:F,MATCH(C1817,MASTER_REGISTER!E:E,0)),"")</f>
        <v>Thabo Molefe</v>
      </c>
      <c r="E1817" t="s">
        <v>337</v>
      </c>
      <c r="F1817" t="s">
        <v>338</v>
      </c>
      <c r="G1817" t="s">
        <v>339</v>
      </c>
    </row>
    <row r="1818" spans="1:8" x14ac:dyDescent="0.3">
      <c r="A1818" t="s">
        <v>368</v>
      </c>
      <c r="B1818">
        <f>IFERROR(INDEX(MASTER_REGISTER!C:C,MATCH(C1818,MASTER_REGISTER!E:E,0)),"")</f>
        <v>9</v>
      </c>
      <c r="C1818" t="s">
        <v>143</v>
      </c>
      <c r="D1818" t="str">
        <f>IFERROR(INDEX(MASTER_REGISTER!F:F,MATCH(C1818,MASTER_REGISTER!E:E,0)),"")</f>
        <v>Mpho Ngobeni</v>
      </c>
      <c r="E1818" t="s">
        <v>337</v>
      </c>
      <c r="F1818" t="s">
        <v>338</v>
      </c>
      <c r="G1818" t="s">
        <v>339</v>
      </c>
    </row>
    <row r="1819" spans="1:8" x14ac:dyDescent="0.3">
      <c r="A1819" t="s">
        <v>368</v>
      </c>
      <c r="B1819">
        <f>IFERROR(INDEX(MASTER_REGISTER!C:C,MATCH(C1819,MASTER_REGISTER!E:E,0)),"")</f>
        <v>9</v>
      </c>
      <c r="C1819" t="s">
        <v>148</v>
      </c>
      <c r="D1819" t="str">
        <f>IFERROR(INDEX(MASTER_REGISTER!F:F,MATCH(C1819,MASTER_REGISTER!E:E,0)),"")</f>
        <v>Siyanda Mhlongo</v>
      </c>
      <c r="E1819" t="s">
        <v>335</v>
      </c>
      <c r="H1819" t="s">
        <v>341</v>
      </c>
    </row>
    <row r="1820" spans="1:8" x14ac:dyDescent="0.3">
      <c r="A1820" t="s">
        <v>368</v>
      </c>
      <c r="B1820">
        <f>IFERROR(INDEX(MASTER_REGISTER!C:C,MATCH(C1820,MASTER_REGISTER!E:E,0)),"")</f>
        <v>9</v>
      </c>
      <c r="C1820" t="s">
        <v>153</v>
      </c>
      <c r="D1820" t="str">
        <f>IFERROR(INDEX(MASTER_REGISTER!F:F,MATCH(C1820,MASTER_REGISTER!E:E,0)),"")</f>
        <v>Siyanda Mahlangu</v>
      </c>
      <c r="E1820" t="s">
        <v>337</v>
      </c>
      <c r="F1820" t="s">
        <v>338</v>
      </c>
      <c r="G1820" t="s">
        <v>339</v>
      </c>
    </row>
    <row r="1821" spans="1:8" x14ac:dyDescent="0.3">
      <c r="A1821" t="s">
        <v>368</v>
      </c>
      <c r="B1821">
        <f>IFERROR(INDEX(MASTER_REGISTER!C:C,MATCH(C1821,MASTER_REGISTER!E:E,0)),"")</f>
        <v>9</v>
      </c>
      <c r="C1821" t="s">
        <v>158</v>
      </c>
      <c r="D1821" t="str">
        <f>IFERROR(INDEX(MASTER_REGISTER!F:F,MATCH(C1821,MASTER_REGISTER!E:E,0)),"")</f>
        <v>Sifiso Ramushu</v>
      </c>
      <c r="E1821" t="s">
        <v>337</v>
      </c>
      <c r="F1821" t="s">
        <v>338</v>
      </c>
      <c r="G1821" t="s">
        <v>339</v>
      </c>
    </row>
    <row r="1822" spans="1:8" x14ac:dyDescent="0.3">
      <c r="A1822" t="s">
        <v>368</v>
      </c>
      <c r="B1822">
        <f>IFERROR(INDEX(MASTER_REGISTER!C:C,MATCH(C1822,MASTER_REGISTER!E:E,0)),"")</f>
        <v>9</v>
      </c>
      <c r="C1822" t="s">
        <v>163</v>
      </c>
      <c r="D1822" t="str">
        <f>IFERROR(INDEX(MASTER_REGISTER!F:F,MATCH(C1822,MASTER_REGISTER!E:E,0)),"")</f>
        <v>Nandi Ngobeni</v>
      </c>
      <c r="E1822" t="s">
        <v>337</v>
      </c>
      <c r="F1822" t="s">
        <v>338</v>
      </c>
      <c r="G1822" t="s">
        <v>339</v>
      </c>
    </row>
    <row r="1823" spans="1:8" x14ac:dyDescent="0.3">
      <c r="A1823" t="s">
        <v>368</v>
      </c>
      <c r="B1823">
        <f>IFERROR(INDEX(MASTER_REGISTER!C:C,MATCH(C1823,MASTER_REGISTER!E:E,0)),"")</f>
        <v>9</v>
      </c>
      <c r="C1823" t="s">
        <v>168</v>
      </c>
      <c r="D1823" t="str">
        <f>IFERROR(INDEX(MASTER_REGISTER!F:F,MATCH(C1823,MASTER_REGISTER!E:E,0)),"")</f>
        <v>Karabo Mokgadi</v>
      </c>
      <c r="E1823" t="s">
        <v>337</v>
      </c>
      <c r="F1823" t="s">
        <v>338</v>
      </c>
      <c r="G1823" t="s">
        <v>339</v>
      </c>
    </row>
    <row r="1824" spans="1:8" x14ac:dyDescent="0.3">
      <c r="A1824" t="s">
        <v>368</v>
      </c>
      <c r="B1824">
        <f>IFERROR(INDEX(MASTER_REGISTER!C:C,MATCH(C1824,MASTER_REGISTER!E:E,0)),"")</f>
        <v>9</v>
      </c>
      <c r="C1824" t="s">
        <v>173</v>
      </c>
      <c r="D1824" t="str">
        <f>IFERROR(INDEX(MASTER_REGISTER!F:F,MATCH(C1824,MASTER_REGISTER!E:E,0)),"")</f>
        <v>Sifiso Mahlangu</v>
      </c>
      <c r="E1824" t="s">
        <v>335</v>
      </c>
      <c r="H1824" t="s">
        <v>340</v>
      </c>
    </row>
    <row r="1825" spans="1:8" x14ac:dyDescent="0.3">
      <c r="A1825" t="s">
        <v>368</v>
      </c>
      <c r="B1825">
        <f>IFERROR(INDEX(MASTER_REGISTER!C:C,MATCH(C1825,MASTER_REGISTER!E:E,0)),"")</f>
        <v>9</v>
      </c>
      <c r="C1825" t="s">
        <v>178</v>
      </c>
      <c r="D1825" t="str">
        <f>IFERROR(INDEX(MASTER_REGISTER!F:F,MATCH(C1825,MASTER_REGISTER!E:E,0)),"")</f>
        <v>Kgothatso Radebe</v>
      </c>
      <c r="E1825" t="s">
        <v>337</v>
      </c>
      <c r="F1825" t="s">
        <v>338</v>
      </c>
      <c r="G1825" t="s">
        <v>339</v>
      </c>
    </row>
    <row r="1826" spans="1:8" x14ac:dyDescent="0.3">
      <c r="A1826" t="s">
        <v>368</v>
      </c>
      <c r="B1826">
        <f>IFERROR(INDEX(MASTER_REGISTER!C:C,MATCH(C1826,MASTER_REGISTER!E:E,0)),"")</f>
        <v>10</v>
      </c>
      <c r="C1826" t="s">
        <v>183</v>
      </c>
      <c r="D1826" t="str">
        <f>IFERROR(INDEX(MASTER_REGISTER!F:F,MATCH(C1826,MASTER_REGISTER!E:E,0)),"")</f>
        <v>Lerato Maseko</v>
      </c>
      <c r="E1826" t="s">
        <v>337</v>
      </c>
      <c r="F1826" t="s">
        <v>338</v>
      </c>
      <c r="G1826" t="s">
        <v>339</v>
      </c>
    </row>
    <row r="1827" spans="1:8" x14ac:dyDescent="0.3">
      <c r="A1827" t="s">
        <v>368</v>
      </c>
      <c r="B1827">
        <f>IFERROR(INDEX(MASTER_REGISTER!C:C,MATCH(C1827,MASTER_REGISTER!E:E,0)),"")</f>
        <v>10</v>
      </c>
      <c r="C1827" t="s">
        <v>188</v>
      </c>
      <c r="D1827" t="str">
        <f>IFERROR(INDEX(MASTER_REGISTER!F:F,MATCH(C1827,MASTER_REGISTER!E:E,0)),"")</f>
        <v>Sibusiso Molefe</v>
      </c>
      <c r="E1827" t="s">
        <v>337</v>
      </c>
      <c r="F1827" t="s">
        <v>338</v>
      </c>
      <c r="G1827" t="s">
        <v>339</v>
      </c>
    </row>
    <row r="1828" spans="1:8" x14ac:dyDescent="0.3">
      <c r="A1828" t="s">
        <v>368</v>
      </c>
      <c r="B1828">
        <f>IFERROR(INDEX(MASTER_REGISTER!C:C,MATCH(C1828,MASTER_REGISTER!E:E,0)),"")</f>
        <v>10</v>
      </c>
      <c r="C1828" t="s">
        <v>193</v>
      </c>
      <c r="D1828" t="str">
        <f>IFERROR(INDEX(MASTER_REGISTER!F:F,MATCH(C1828,MASTER_REGISTER!E:E,0)),"")</f>
        <v>Nandi Molefe</v>
      </c>
      <c r="E1828" t="s">
        <v>335</v>
      </c>
      <c r="H1828" t="s">
        <v>340</v>
      </c>
    </row>
    <row r="1829" spans="1:8" x14ac:dyDescent="0.3">
      <c r="A1829" t="s">
        <v>368</v>
      </c>
      <c r="B1829">
        <f>IFERROR(INDEX(MASTER_REGISTER!C:C,MATCH(C1829,MASTER_REGISTER!E:E,0)),"")</f>
        <v>10</v>
      </c>
      <c r="C1829" t="s">
        <v>198</v>
      </c>
      <c r="D1829" t="str">
        <f>IFERROR(INDEX(MASTER_REGISTER!F:F,MATCH(C1829,MASTER_REGISTER!E:E,0)),"")</f>
        <v>Kgothatso Baloyi</v>
      </c>
      <c r="E1829" t="s">
        <v>337</v>
      </c>
      <c r="F1829" t="s">
        <v>338</v>
      </c>
      <c r="G1829" t="s">
        <v>339</v>
      </c>
    </row>
    <row r="1830" spans="1:8" x14ac:dyDescent="0.3">
      <c r="A1830" t="s">
        <v>368</v>
      </c>
      <c r="B1830">
        <f>IFERROR(INDEX(MASTER_REGISTER!C:C,MATCH(C1830,MASTER_REGISTER!E:E,0)),"")</f>
        <v>10</v>
      </c>
      <c r="C1830" t="s">
        <v>202</v>
      </c>
      <c r="D1830" t="str">
        <f>IFERROR(INDEX(MASTER_REGISTER!F:F,MATCH(C1830,MASTER_REGISTER!E:E,0)),"")</f>
        <v>Ayanda Mokoena</v>
      </c>
      <c r="E1830" t="s">
        <v>337</v>
      </c>
      <c r="F1830" t="s">
        <v>338</v>
      </c>
      <c r="G1830" t="s">
        <v>339</v>
      </c>
    </row>
    <row r="1831" spans="1:8" x14ac:dyDescent="0.3">
      <c r="A1831" t="s">
        <v>368</v>
      </c>
      <c r="B1831">
        <f>IFERROR(INDEX(MASTER_REGISTER!C:C,MATCH(C1831,MASTER_REGISTER!E:E,0)),"")</f>
        <v>10</v>
      </c>
      <c r="C1831" t="s">
        <v>206</v>
      </c>
      <c r="D1831" t="str">
        <f>IFERROR(INDEX(MASTER_REGISTER!F:F,MATCH(C1831,MASTER_REGISTER!E:E,0)),"")</f>
        <v>Lwazi Baloyi</v>
      </c>
      <c r="E1831" t="s">
        <v>337</v>
      </c>
      <c r="F1831" t="s">
        <v>338</v>
      </c>
      <c r="G1831" t="s">
        <v>339</v>
      </c>
    </row>
    <row r="1832" spans="1:8" x14ac:dyDescent="0.3">
      <c r="A1832" t="s">
        <v>368</v>
      </c>
      <c r="B1832">
        <f>IFERROR(INDEX(MASTER_REGISTER!C:C,MATCH(C1832,MASTER_REGISTER!E:E,0)),"")</f>
        <v>10</v>
      </c>
      <c r="C1832" t="s">
        <v>210</v>
      </c>
      <c r="D1832" t="str">
        <f>IFERROR(INDEX(MASTER_REGISTER!F:F,MATCH(C1832,MASTER_REGISTER!E:E,0)),"")</f>
        <v>Siyanda Mokoena</v>
      </c>
      <c r="E1832" t="s">
        <v>337</v>
      </c>
      <c r="F1832" t="s">
        <v>338</v>
      </c>
      <c r="G1832" t="s">
        <v>339</v>
      </c>
    </row>
    <row r="1833" spans="1:8" x14ac:dyDescent="0.3">
      <c r="A1833" t="s">
        <v>368</v>
      </c>
      <c r="B1833">
        <f>IFERROR(INDEX(MASTER_REGISTER!C:C,MATCH(C1833,MASTER_REGISTER!E:E,0)),"")</f>
        <v>10</v>
      </c>
      <c r="C1833" t="s">
        <v>214</v>
      </c>
      <c r="D1833" t="str">
        <f>IFERROR(INDEX(MASTER_REGISTER!F:F,MATCH(C1833,MASTER_REGISTER!E:E,0)),"")</f>
        <v>Mpho Ngobeni</v>
      </c>
      <c r="E1833" t="s">
        <v>337</v>
      </c>
      <c r="F1833" t="s">
        <v>338</v>
      </c>
      <c r="G1833" t="s">
        <v>339</v>
      </c>
    </row>
    <row r="1834" spans="1:8" x14ac:dyDescent="0.3">
      <c r="A1834" t="s">
        <v>368</v>
      </c>
      <c r="B1834">
        <f>IFERROR(INDEX(MASTER_REGISTER!C:C,MATCH(C1834,MASTER_REGISTER!E:E,0)),"")</f>
        <v>10</v>
      </c>
      <c r="C1834" t="s">
        <v>217</v>
      </c>
      <c r="D1834" t="str">
        <f>IFERROR(INDEX(MASTER_REGISTER!F:F,MATCH(C1834,MASTER_REGISTER!E:E,0)),"")</f>
        <v>Naledi Makhubela</v>
      </c>
      <c r="E1834" t="s">
        <v>335</v>
      </c>
      <c r="H1834" t="s">
        <v>341</v>
      </c>
    </row>
    <row r="1835" spans="1:8" x14ac:dyDescent="0.3">
      <c r="A1835" t="s">
        <v>368</v>
      </c>
      <c r="B1835">
        <f>IFERROR(INDEX(MASTER_REGISTER!C:C,MATCH(C1835,MASTER_REGISTER!E:E,0)),"")</f>
        <v>10</v>
      </c>
      <c r="C1835" t="s">
        <v>221</v>
      </c>
      <c r="D1835" t="str">
        <f>IFERROR(INDEX(MASTER_REGISTER!F:F,MATCH(C1835,MASTER_REGISTER!E:E,0)),"")</f>
        <v>Kgothatso Mokoena</v>
      </c>
      <c r="E1835" t="s">
        <v>337</v>
      </c>
      <c r="F1835" t="s">
        <v>338</v>
      </c>
      <c r="G1835" t="s">
        <v>339</v>
      </c>
    </row>
    <row r="1836" spans="1:8" x14ac:dyDescent="0.3">
      <c r="A1836" t="s">
        <v>368</v>
      </c>
      <c r="B1836">
        <f>IFERROR(INDEX(MASTER_REGISTER!C:C,MATCH(C1836,MASTER_REGISTER!E:E,0)),"")</f>
        <v>10</v>
      </c>
      <c r="C1836" t="s">
        <v>225</v>
      </c>
      <c r="D1836" t="str">
        <f>IFERROR(INDEX(MASTER_REGISTER!F:F,MATCH(C1836,MASTER_REGISTER!E:E,0)),"")</f>
        <v>Bongani Makhubela</v>
      </c>
      <c r="E1836" t="s">
        <v>337</v>
      </c>
      <c r="F1836" t="s">
        <v>338</v>
      </c>
      <c r="G1836" t="s">
        <v>339</v>
      </c>
    </row>
    <row r="1837" spans="1:8" x14ac:dyDescent="0.3">
      <c r="A1837" t="s">
        <v>368</v>
      </c>
      <c r="B1837">
        <f>IFERROR(INDEX(MASTER_REGISTER!C:C,MATCH(C1837,MASTER_REGISTER!E:E,0)),"")</f>
        <v>10</v>
      </c>
      <c r="C1837" t="s">
        <v>229</v>
      </c>
      <c r="D1837" t="str">
        <f>IFERROR(INDEX(MASTER_REGISTER!F:F,MATCH(C1837,MASTER_REGISTER!E:E,0)),"")</f>
        <v>Kagiso Kekana</v>
      </c>
      <c r="E1837" t="s">
        <v>337</v>
      </c>
      <c r="F1837" t="s">
        <v>338</v>
      </c>
      <c r="G1837" t="s">
        <v>339</v>
      </c>
    </row>
    <row r="1838" spans="1:8" x14ac:dyDescent="0.3">
      <c r="A1838" t="s">
        <v>368</v>
      </c>
      <c r="B1838">
        <f>IFERROR(INDEX(MASTER_REGISTER!C:C,MATCH(C1838,MASTER_REGISTER!E:E,0)),"")</f>
        <v>11</v>
      </c>
      <c r="C1838" t="s">
        <v>233</v>
      </c>
      <c r="D1838" t="str">
        <f>IFERROR(INDEX(MASTER_REGISTER!F:F,MATCH(C1838,MASTER_REGISTER!E:E,0)),"")</f>
        <v>Lwazi Makhubela</v>
      </c>
      <c r="E1838" t="s">
        <v>337</v>
      </c>
      <c r="F1838" t="s">
        <v>338</v>
      </c>
      <c r="G1838" t="s">
        <v>339</v>
      </c>
    </row>
    <row r="1839" spans="1:8" x14ac:dyDescent="0.3">
      <c r="A1839" t="s">
        <v>368</v>
      </c>
      <c r="B1839">
        <f>IFERROR(INDEX(MASTER_REGISTER!C:C,MATCH(C1839,MASTER_REGISTER!E:E,0)),"")</f>
        <v>11</v>
      </c>
      <c r="C1839" t="s">
        <v>237</v>
      </c>
      <c r="D1839" t="str">
        <f>IFERROR(INDEX(MASTER_REGISTER!F:F,MATCH(C1839,MASTER_REGISTER!E:E,0)),"")</f>
        <v>Lebogang Ramushu</v>
      </c>
      <c r="E1839" t="s">
        <v>337</v>
      </c>
      <c r="F1839" t="s">
        <v>338</v>
      </c>
      <c r="G1839" t="s">
        <v>339</v>
      </c>
    </row>
    <row r="1840" spans="1:8" x14ac:dyDescent="0.3">
      <c r="A1840" t="s">
        <v>368</v>
      </c>
      <c r="B1840">
        <f>IFERROR(INDEX(MASTER_REGISTER!C:C,MATCH(C1840,MASTER_REGISTER!E:E,0)),"")</f>
        <v>11</v>
      </c>
      <c r="C1840" t="s">
        <v>241</v>
      </c>
      <c r="D1840" t="str">
        <f>IFERROR(INDEX(MASTER_REGISTER!F:F,MATCH(C1840,MASTER_REGISTER!E:E,0)),"")</f>
        <v>Lerato Kekana</v>
      </c>
      <c r="E1840" t="s">
        <v>337</v>
      </c>
      <c r="F1840" t="s">
        <v>338</v>
      </c>
      <c r="G1840" t="s">
        <v>339</v>
      </c>
    </row>
    <row r="1841" spans="1:8" x14ac:dyDescent="0.3">
      <c r="A1841" t="s">
        <v>368</v>
      </c>
      <c r="B1841">
        <f>IFERROR(INDEX(MASTER_REGISTER!C:C,MATCH(C1841,MASTER_REGISTER!E:E,0)),"")</f>
        <v>11</v>
      </c>
      <c r="C1841" t="s">
        <v>244</v>
      </c>
      <c r="D1841" t="str">
        <f>IFERROR(INDEX(MASTER_REGISTER!F:F,MATCH(C1841,MASTER_REGISTER!E:E,0)),"")</f>
        <v>Bongani Ndlovu</v>
      </c>
      <c r="E1841" t="s">
        <v>335</v>
      </c>
      <c r="H1841" t="s">
        <v>341</v>
      </c>
    </row>
    <row r="1842" spans="1:8" x14ac:dyDescent="0.3">
      <c r="A1842" t="s">
        <v>368</v>
      </c>
      <c r="B1842">
        <f>IFERROR(INDEX(MASTER_REGISTER!C:C,MATCH(C1842,MASTER_REGISTER!E:E,0)),"")</f>
        <v>11</v>
      </c>
      <c r="C1842" t="s">
        <v>248</v>
      </c>
      <c r="D1842" t="str">
        <f>IFERROR(INDEX(MASTER_REGISTER!F:F,MATCH(C1842,MASTER_REGISTER!E:E,0)),"")</f>
        <v>Sifiso Dlamini</v>
      </c>
      <c r="E1842" t="s">
        <v>337</v>
      </c>
      <c r="F1842" t="s">
        <v>338</v>
      </c>
      <c r="G1842" t="s">
        <v>339</v>
      </c>
    </row>
    <row r="1843" spans="1:8" x14ac:dyDescent="0.3">
      <c r="A1843" t="s">
        <v>368</v>
      </c>
      <c r="B1843">
        <f>IFERROR(INDEX(MASTER_REGISTER!C:C,MATCH(C1843,MASTER_REGISTER!E:E,0)),"")</f>
        <v>11</v>
      </c>
      <c r="C1843" t="s">
        <v>252</v>
      </c>
      <c r="D1843" t="str">
        <f>IFERROR(INDEX(MASTER_REGISTER!F:F,MATCH(C1843,MASTER_REGISTER!E:E,0)),"")</f>
        <v>Refilwe Dlamini</v>
      </c>
      <c r="E1843" t="s">
        <v>337</v>
      </c>
      <c r="F1843" t="s">
        <v>338</v>
      </c>
      <c r="G1843" t="s">
        <v>339</v>
      </c>
    </row>
    <row r="1844" spans="1:8" x14ac:dyDescent="0.3">
      <c r="A1844" t="s">
        <v>368</v>
      </c>
      <c r="B1844">
        <f>IFERROR(INDEX(MASTER_REGISTER!C:C,MATCH(C1844,MASTER_REGISTER!E:E,0)),"")</f>
        <v>11</v>
      </c>
      <c r="C1844" t="s">
        <v>256</v>
      </c>
      <c r="D1844" t="str">
        <f>IFERROR(INDEX(MASTER_REGISTER!F:F,MATCH(C1844,MASTER_REGISTER!E:E,0)),"")</f>
        <v>Lwazi Maseko</v>
      </c>
      <c r="E1844" t="s">
        <v>337</v>
      </c>
      <c r="F1844" t="s">
        <v>338</v>
      </c>
      <c r="G1844" t="s">
        <v>339</v>
      </c>
    </row>
    <row r="1845" spans="1:8" x14ac:dyDescent="0.3">
      <c r="A1845" t="s">
        <v>368</v>
      </c>
      <c r="B1845">
        <f>IFERROR(INDEX(MASTER_REGISTER!C:C,MATCH(C1845,MASTER_REGISTER!E:E,0)),"")</f>
        <v>11</v>
      </c>
      <c r="C1845" t="s">
        <v>260</v>
      </c>
      <c r="D1845" t="str">
        <f>IFERROR(INDEX(MASTER_REGISTER!F:F,MATCH(C1845,MASTER_REGISTER!E:E,0)),"")</f>
        <v>Refilwe Mokgadi</v>
      </c>
      <c r="E1845" t="s">
        <v>337</v>
      </c>
      <c r="F1845" t="s">
        <v>338</v>
      </c>
      <c r="G1845" t="s">
        <v>339</v>
      </c>
    </row>
    <row r="1846" spans="1:8" x14ac:dyDescent="0.3">
      <c r="A1846" t="s">
        <v>368</v>
      </c>
      <c r="B1846">
        <f>IFERROR(INDEX(MASTER_REGISTER!C:C,MATCH(C1846,MASTER_REGISTER!E:E,0)),"")</f>
        <v>11</v>
      </c>
      <c r="C1846" t="s">
        <v>264</v>
      </c>
      <c r="D1846" t="str">
        <f>IFERROR(INDEX(MASTER_REGISTER!F:F,MATCH(C1846,MASTER_REGISTER!E:E,0)),"")</f>
        <v>Kgothatso Molefe</v>
      </c>
      <c r="E1846" t="s">
        <v>337</v>
      </c>
      <c r="F1846" t="s">
        <v>338</v>
      </c>
      <c r="G1846" t="s">
        <v>339</v>
      </c>
    </row>
    <row r="1847" spans="1:8" x14ac:dyDescent="0.3">
      <c r="A1847" t="s">
        <v>368</v>
      </c>
      <c r="B1847">
        <f>IFERROR(INDEX(MASTER_REGISTER!C:C,MATCH(C1847,MASTER_REGISTER!E:E,0)),"")</f>
        <v>11</v>
      </c>
      <c r="C1847" t="s">
        <v>268</v>
      </c>
      <c r="D1847" t="str">
        <f>IFERROR(INDEX(MASTER_REGISTER!F:F,MATCH(C1847,MASTER_REGISTER!E:E,0)),"")</f>
        <v>Tshepo Mokgadi</v>
      </c>
      <c r="E1847" t="s">
        <v>337</v>
      </c>
      <c r="F1847" t="s">
        <v>338</v>
      </c>
      <c r="G1847" t="s">
        <v>339</v>
      </c>
    </row>
    <row r="1848" spans="1:8" x14ac:dyDescent="0.3">
      <c r="A1848" t="s">
        <v>368</v>
      </c>
      <c r="B1848">
        <f>IFERROR(INDEX(MASTER_REGISTER!C:C,MATCH(C1848,MASTER_REGISTER!E:E,0)),"")</f>
        <v>11</v>
      </c>
      <c r="C1848" t="s">
        <v>272</v>
      </c>
      <c r="D1848" t="str">
        <f>IFERROR(INDEX(MASTER_REGISTER!F:F,MATCH(C1848,MASTER_REGISTER!E:E,0)),"")</f>
        <v>Tshepo Phiri</v>
      </c>
      <c r="E1848" t="s">
        <v>337</v>
      </c>
      <c r="F1848" t="s">
        <v>338</v>
      </c>
      <c r="G1848" t="s">
        <v>339</v>
      </c>
    </row>
    <row r="1849" spans="1:8" x14ac:dyDescent="0.3">
      <c r="A1849" t="s">
        <v>368</v>
      </c>
      <c r="B1849">
        <f>IFERROR(INDEX(MASTER_REGISTER!C:C,MATCH(C1849,MASTER_REGISTER!E:E,0)),"")</f>
        <v>11</v>
      </c>
      <c r="C1849" t="s">
        <v>276</v>
      </c>
      <c r="D1849" t="str">
        <f>IFERROR(INDEX(MASTER_REGISTER!F:F,MATCH(C1849,MASTER_REGISTER!E:E,0)),"")</f>
        <v>Zanele Ngobeni</v>
      </c>
      <c r="E1849" t="s">
        <v>337</v>
      </c>
      <c r="F1849" t="s">
        <v>338</v>
      </c>
      <c r="G1849" t="s">
        <v>339</v>
      </c>
    </row>
    <row r="1850" spans="1:8" x14ac:dyDescent="0.3">
      <c r="A1850" t="s">
        <v>368</v>
      </c>
      <c r="B1850">
        <f>IFERROR(INDEX(MASTER_REGISTER!C:C,MATCH(C1850,MASTER_REGISTER!E:E,0)),"")</f>
        <v>12</v>
      </c>
      <c r="C1850" t="s">
        <v>280</v>
      </c>
      <c r="D1850" t="str">
        <f>IFERROR(INDEX(MASTER_REGISTER!F:F,MATCH(C1850,MASTER_REGISTER!E:E,0)),"")</f>
        <v>Palesa Mokoena</v>
      </c>
      <c r="E1850" t="s">
        <v>337</v>
      </c>
      <c r="F1850" t="s">
        <v>338</v>
      </c>
      <c r="G1850" t="s">
        <v>339</v>
      </c>
    </row>
    <row r="1851" spans="1:8" x14ac:dyDescent="0.3">
      <c r="A1851" t="s">
        <v>368</v>
      </c>
      <c r="B1851">
        <f>IFERROR(INDEX(MASTER_REGISTER!C:C,MATCH(C1851,MASTER_REGISTER!E:E,0)),"")</f>
        <v>12</v>
      </c>
      <c r="C1851" t="s">
        <v>284</v>
      </c>
      <c r="D1851" t="str">
        <f>IFERROR(INDEX(MASTER_REGISTER!F:F,MATCH(C1851,MASTER_REGISTER!E:E,0)),"")</f>
        <v>Thabo Ramushu</v>
      </c>
      <c r="E1851" t="s">
        <v>335</v>
      </c>
      <c r="H1851" t="s">
        <v>342</v>
      </c>
    </row>
    <row r="1852" spans="1:8" x14ac:dyDescent="0.3">
      <c r="A1852" t="s">
        <v>368</v>
      </c>
      <c r="B1852">
        <f>IFERROR(INDEX(MASTER_REGISTER!C:C,MATCH(C1852,MASTER_REGISTER!E:E,0)),"")</f>
        <v>12</v>
      </c>
      <c r="C1852" t="s">
        <v>288</v>
      </c>
      <c r="D1852" t="str">
        <f>IFERROR(INDEX(MASTER_REGISTER!F:F,MATCH(C1852,MASTER_REGISTER!E:E,0)),"")</f>
        <v>Lwazi Ndlovu</v>
      </c>
      <c r="E1852" t="s">
        <v>337</v>
      </c>
      <c r="F1852" t="s">
        <v>338</v>
      </c>
      <c r="G1852" t="s">
        <v>339</v>
      </c>
    </row>
    <row r="1853" spans="1:8" x14ac:dyDescent="0.3">
      <c r="A1853" t="s">
        <v>368</v>
      </c>
      <c r="B1853">
        <f>IFERROR(INDEX(MASTER_REGISTER!C:C,MATCH(C1853,MASTER_REGISTER!E:E,0)),"")</f>
        <v>12</v>
      </c>
      <c r="C1853" t="s">
        <v>292</v>
      </c>
      <c r="D1853" t="str">
        <f>IFERROR(INDEX(MASTER_REGISTER!F:F,MATCH(C1853,MASTER_REGISTER!E:E,0)),"")</f>
        <v>Ayanda Dlamini</v>
      </c>
      <c r="E1853" t="s">
        <v>337</v>
      </c>
      <c r="F1853" t="s">
        <v>338</v>
      </c>
      <c r="G1853" t="s">
        <v>339</v>
      </c>
    </row>
    <row r="1854" spans="1:8" x14ac:dyDescent="0.3">
      <c r="A1854" t="s">
        <v>368</v>
      </c>
      <c r="B1854">
        <f>IFERROR(INDEX(MASTER_REGISTER!C:C,MATCH(C1854,MASTER_REGISTER!E:E,0)),"")</f>
        <v>12</v>
      </c>
      <c r="C1854" t="s">
        <v>296</v>
      </c>
      <c r="D1854" t="str">
        <f>IFERROR(INDEX(MASTER_REGISTER!F:F,MATCH(C1854,MASTER_REGISTER!E:E,0)),"")</f>
        <v>Neo Ndlovu</v>
      </c>
      <c r="E1854" t="s">
        <v>337</v>
      </c>
      <c r="F1854" t="s">
        <v>338</v>
      </c>
      <c r="G1854" t="s">
        <v>339</v>
      </c>
    </row>
    <row r="1855" spans="1:8" x14ac:dyDescent="0.3">
      <c r="A1855" t="s">
        <v>368</v>
      </c>
      <c r="B1855">
        <f>IFERROR(INDEX(MASTER_REGISTER!C:C,MATCH(C1855,MASTER_REGISTER!E:E,0)),"")</f>
        <v>12</v>
      </c>
      <c r="C1855" t="s">
        <v>300</v>
      </c>
      <c r="D1855" t="str">
        <f>IFERROR(INDEX(MASTER_REGISTER!F:F,MATCH(C1855,MASTER_REGISTER!E:E,0)),"")</f>
        <v>Neo Ramushu</v>
      </c>
      <c r="E1855" t="s">
        <v>335</v>
      </c>
      <c r="H1855" t="s">
        <v>342</v>
      </c>
    </row>
    <row r="1856" spans="1:8" x14ac:dyDescent="0.3">
      <c r="A1856" t="s">
        <v>368</v>
      </c>
      <c r="B1856">
        <f>IFERROR(INDEX(MASTER_REGISTER!C:C,MATCH(C1856,MASTER_REGISTER!E:E,0)),"")</f>
        <v>12</v>
      </c>
      <c r="C1856" t="s">
        <v>304</v>
      </c>
      <c r="D1856" t="str">
        <f>IFERROR(INDEX(MASTER_REGISTER!F:F,MATCH(C1856,MASTER_REGISTER!E:E,0)),"")</f>
        <v>Karabo Baloyi</v>
      </c>
      <c r="E1856" t="s">
        <v>337</v>
      </c>
      <c r="F1856" t="s">
        <v>338</v>
      </c>
      <c r="G1856" t="s">
        <v>339</v>
      </c>
    </row>
    <row r="1857" spans="1:8" x14ac:dyDescent="0.3">
      <c r="A1857" t="s">
        <v>368</v>
      </c>
      <c r="B1857">
        <f>IFERROR(INDEX(MASTER_REGISTER!C:C,MATCH(C1857,MASTER_REGISTER!E:E,0)),"")</f>
        <v>12</v>
      </c>
      <c r="C1857" t="s">
        <v>308</v>
      </c>
      <c r="D1857" t="str">
        <f>IFERROR(INDEX(MASTER_REGISTER!F:F,MATCH(C1857,MASTER_REGISTER!E:E,0)),"")</f>
        <v>Tshepo Mokgadi</v>
      </c>
      <c r="E1857" t="s">
        <v>335</v>
      </c>
      <c r="H1857" t="s">
        <v>336</v>
      </c>
    </row>
    <row r="1858" spans="1:8" x14ac:dyDescent="0.3">
      <c r="A1858" t="s">
        <v>368</v>
      </c>
      <c r="B1858">
        <f>IFERROR(INDEX(MASTER_REGISTER!C:C,MATCH(C1858,MASTER_REGISTER!E:E,0)),"")</f>
        <v>12</v>
      </c>
      <c r="C1858" t="s">
        <v>311</v>
      </c>
      <c r="D1858" t="str">
        <f>IFERROR(INDEX(MASTER_REGISTER!F:F,MATCH(C1858,MASTER_REGISTER!E:E,0)),"")</f>
        <v>Sifiso Mavuso</v>
      </c>
      <c r="E1858" t="s">
        <v>337</v>
      </c>
      <c r="F1858" t="s">
        <v>338</v>
      </c>
      <c r="G1858" t="s">
        <v>339</v>
      </c>
    </row>
    <row r="1859" spans="1:8" x14ac:dyDescent="0.3">
      <c r="A1859" t="s">
        <v>368</v>
      </c>
      <c r="B1859">
        <f>IFERROR(INDEX(MASTER_REGISTER!C:C,MATCH(C1859,MASTER_REGISTER!E:E,0)),"")</f>
        <v>12</v>
      </c>
      <c r="C1859" t="s">
        <v>315</v>
      </c>
      <c r="D1859" t="str">
        <f>IFERROR(INDEX(MASTER_REGISTER!F:F,MATCH(C1859,MASTER_REGISTER!E:E,0)),"")</f>
        <v>Refilwe Sithole</v>
      </c>
      <c r="E1859" t="s">
        <v>337</v>
      </c>
      <c r="F1859" t="s">
        <v>338</v>
      </c>
      <c r="G1859" t="s">
        <v>339</v>
      </c>
    </row>
    <row r="1860" spans="1:8" x14ac:dyDescent="0.3">
      <c r="A1860" t="s">
        <v>368</v>
      </c>
      <c r="B1860">
        <f>IFERROR(INDEX(MASTER_REGISTER!C:C,MATCH(C1860,MASTER_REGISTER!E:E,0)),"")</f>
        <v>12</v>
      </c>
      <c r="C1860" t="s">
        <v>319</v>
      </c>
      <c r="D1860" t="str">
        <f>IFERROR(INDEX(MASTER_REGISTER!F:F,MATCH(C1860,MASTER_REGISTER!E:E,0)),"")</f>
        <v>Lerato Sithole</v>
      </c>
      <c r="E1860" t="s">
        <v>337</v>
      </c>
      <c r="F1860" t="s">
        <v>338</v>
      </c>
      <c r="G1860" t="s">
        <v>339</v>
      </c>
    </row>
    <row r="1861" spans="1:8" x14ac:dyDescent="0.3">
      <c r="A1861" t="s">
        <v>368</v>
      </c>
      <c r="B1861">
        <f>IFERROR(INDEX(MASTER_REGISTER!C:C,MATCH(C1861,MASTER_REGISTER!E:E,0)),"")</f>
        <v>12</v>
      </c>
      <c r="C1861" t="s">
        <v>323</v>
      </c>
      <c r="D1861" t="str">
        <f>IFERROR(INDEX(MASTER_REGISTER!F:F,MATCH(C1861,MASTER_REGISTER!E:E,0)),"")</f>
        <v>Sibusiso Ngobeni</v>
      </c>
      <c r="E1861" t="s">
        <v>337</v>
      </c>
      <c r="F1861" t="s">
        <v>338</v>
      </c>
      <c r="G1861" t="s">
        <v>339</v>
      </c>
    </row>
    <row r="1862" spans="1:8" x14ac:dyDescent="0.3">
      <c r="A1862" t="s">
        <v>369</v>
      </c>
      <c r="B1862">
        <f>IFERROR(INDEX(MASTER_REGISTER!C:C,MATCH(C1862,MASTER_REGISTER!E:E,0)),"")</f>
        <v>8</v>
      </c>
      <c r="C1862" t="s">
        <v>50</v>
      </c>
      <c r="D1862" t="str">
        <f>IFERROR(INDEX(MASTER_REGISTER!F:F,MATCH(C1862,MASTER_REGISTER!E:E,0)),"")</f>
        <v>Lerato Nkosi</v>
      </c>
      <c r="E1862" t="s">
        <v>337</v>
      </c>
      <c r="F1862" t="s">
        <v>338</v>
      </c>
      <c r="G1862" t="s">
        <v>339</v>
      </c>
    </row>
    <row r="1863" spans="1:8" x14ac:dyDescent="0.3">
      <c r="A1863" t="s">
        <v>369</v>
      </c>
      <c r="B1863">
        <f>IFERROR(INDEX(MASTER_REGISTER!C:C,MATCH(C1863,MASTER_REGISTER!E:E,0)),"")</f>
        <v>8</v>
      </c>
      <c r="C1863" t="s">
        <v>58</v>
      </c>
      <c r="D1863" t="str">
        <f>IFERROR(INDEX(MASTER_REGISTER!F:F,MATCH(C1863,MASTER_REGISTER!E:E,0)),"")</f>
        <v>Karabo Maseko</v>
      </c>
      <c r="E1863" t="s">
        <v>337</v>
      </c>
      <c r="F1863" t="s">
        <v>338</v>
      </c>
      <c r="G1863" t="s">
        <v>339</v>
      </c>
    </row>
    <row r="1864" spans="1:8" x14ac:dyDescent="0.3">
      <c r="A1864" t="s">
        <v>369</v>
      </c>
      <c r="B1864">
        <f>IFERROR(INDEX(MASTER_REGISTER!C:C,MATCH(C1864,MASTER_REGISTER!E:E,0)),"")</f>
        <v>8</v>
      </c>
      <c r="C1864" t="s">
        <v>64</v>
      </c>
      <c r="D1864" t="str">
        <f>IFERROR(INDEX(MASTER_REGISTER!F:F,MATCH(C1864,MASTER_REGISTER!E:E,0)),"")</f>
        <v>Sifiso Sithole</v>
      </c>
      <c r="E1864" t="s">
        <v>337</v>
      </c>
      <c r="F1864" t="s">
        <v>338</v>
      </c>
      <c r="G1864" t="s">
        <v>339</v>
      </c>
    </row>
    <row r="1865" spans="1:8" x14ac:dyDescent="0.3">
      <c r="A1865" t="s">
        <v>369</v>
      </c>
      <c r="B1865">
        <f>IFERROR(INDEX(MASTER_REGISTER!C:C,MATCH(C1865,MASTER_REGISTER!E:E,0)),"")</f>
        <v>8</v>
      </c>
      <c r="C1865" t="s">
        <v>70</v>
      </c>
      <c r="D1865" t="str">
        <f>IFERROR(INDEX(MASTER_REGISTER!F:F,MATCH(C1865,MASTER_REGISTER!E:E,0)),"")</f>
        <v>Tshepo Ndlovu</v>
      </c>
      <c r="E1865" t="s">
        <v>337</v>
      </c>
      <c r="F1865" t="s">
        <v>338</v>
      </c>
      <c r="G1865" t="s">
        <v>339</v>
      </c>
    </row>
    <row r="1866" spans="1:8" x14ac:dyDescent="0.3">
      <c r="A1866" t="s">
        <v>369</v>
      </c>
      <c r="B1866">
        <f>IFERROR(INDEX(MASTER_REGISTER!C:C,MATCH(C1866,MASTER_REGISTER!E:E,0)),"")</f>
        <v>8</v>
      </c>
      <c r="C1866" t="s">
        <v>76</v>
      </c>
      <c r="D1866" t="str">
        <f>IFERROR(INDEX(MASTER_REGISTER!F:F,MATCH(C1866,MASTER_REGISTER!E:E,0)),"")</f>
        <v>Lwazi Mthembu</v>
      </c>
      <c r="E1866" t="s">
        <v>335</v>
      </c>
      <c r="H1866" t="s">
        <v>342</v>
      </c>
    </row>
    <row r="1867" spans="1:8" x14ac:dyDescent="0.3">
      <c r="A1867" t="s">
        <v>369</v>
      </c>
      <c r="B1867">
        <f>IFERROR(INDEX(MASTER_REGISTER!C:C,MATCH(C1867,MASTER_REGISTER!E:E,0)),"")</f>
        <v>8</v>
      </c>
      <c r="C1867" t="s">
        <v>82</v>
      </c>
      <c r="D1867" t="str">
        <f>IFERROR(INDEX(MASTER_REGISTER!F:F,MATCH(C1867,MASTER_REGISTER!E:E,0)),"")</f>
        <v>Karabo Ngobeni</v>
      </c>
      <c r="E1867" t="s">
        <v>337</v>
      </c>
      <c r="F1867" t="s">
        <v>338</v>
      </c>
      <c r="G1867" t="s">
        <v>339</v>
      </c>
    </row>
    <row r="1868" spans="1:8" x14ac:dyDescent="0.3">
      <c r="A1868" t="s">
        <v>369</v>
      </c>
      <c r="B1868">
        <f>IFERROR(INDEX(MASTER_REGISTER!C:C,MATCH(C1868,MASTER_REGISTER!E:E,0)),"")</f>
        <v>8</v>
      </c>
      <c r="C1868" t="s">
        <v>88</v>
      </c>
      <c r="D1868" t="str">
        <f>IFERROR(INDEX(MASTER_REGISTER!F:F,MATCH(C1868,MASTER_REGISTER!E:E,0)),"")</f>
        <v>Mpho Sithole</v>
      </c>
      <c r="E1868" t="s">
        <v>337</v>
      </c>
      <c r="F1868" t="s">
        <v>338</v>
      </c>
      <c r="G1868" t="s">
        <v>339</v>
      </c>
    </row>
    <row r="1869" spans="1:8" x14ac:dyDescent="0.3">
      <c r="A1869" t="s">
        <v>369</v>
      </c>
      <c r="B1869">
        <f>IFERROR(INDEX(MASTER_REGISTER!C:C,MATCH(C1869,MASTER_REGISTER!E:E,0)),"")</f>
        <v>8</v>
      </c>
      <c r="C1869" t="s">
        <v>94</v>
      </c>
      <c r="D1869" t="str">
        <f>IFERROR(INDEX(MASTER_REGISTER!F:F,MATCH(C1869,MASTER_REGISTER!E:E,0)),"")</f>
        <v>Tshepo Ramushu</v>
      </c>
      <c r="E1869" t="s">
        <v>335</v>
      </c>
      <c r="H1869" t="s">
        <v>336</v>
      </c>
    </row>
    <row r="1870" spans="1:8" x14ac:dyDescent="0.3">
      <c r="A1870" t="s">
        <v>369</v>
      </c>
      <c r="B1870">
        <f>IFERROR(INDEX(MASTER_REGISTER!C:C,MATCH(C1870,MASTER_REGISTER!E:E,0)),"")</f>
        <v>8</v>
      </c>
      <c r="C1870" t="s">
        <v>100</v>
      </c>
      <c r="D1870" t="str">
        <f>IFERROR(INDEX(MASTER_REGISTER!F:F,MATCH(C1870,MASTER_REGISTER!E:E,0)),"")</f>
        <v>Lerato Kekana</v>
      </c>
      <c r="E1870" t="s">
        <v>337</v>
      </c>
      <c r="F1870" t="s">
        <v>338</v>
      </c>
      <c r="G1870" t="s">
        <v>339</v>
      </c>
    </row>
    <row r="1871" spans="1:8" x14ac:dyDescent="0.3">
      <c r="A1871" t="s">
        <v>369</v>
      </c>
      <c r="B1871">
        <f>IFERROR(INDEX(MASTER_REGISTER!C:C,MATCH(C1871,MASTER_REGISTER!E:E,0)),"")</f>
        <v>8</v>
      </c>
      <c r="C1871" t="s">
        <v>106</v>
      </c>
      <c r="D1871" t="str">
        <f>IFERROR(INDEX(MASTER_REGISTER!F:F,MATCH(C1871,MASTER_REGISTER!E:E,0)),"")</f>
        <v>Neo Ngobeni</v>
      </c>
      <c r="E1871" t="s">
        <v>337</v>
      </c>
      <c r="F1871" t="s">
        <v>338</v>
      </c>
      <c r="G1871" t="s">
        <v>339</v>
      </c>
    </row>
    <row r="1872" spans="1:8" x14ac:dyDescent="0.3">
      <c r="A1872" t="s">
        <v>369</v>
      </c>
      <c r="B1872">
        <f>IFERROR(INDEX(MASTER_REGISTER!C:C,MATCH(C1872,MASTER_REGISTER!E:E,0)),"")</f>
        <v>8</v>
      </c>
      <c r="C1872" t="s">
        <v>112</v>
      </c>
      <c r="D1872" t="str">
        <f>IFERROR(INDEX(MASTER_REGISTER!F:F,MATCH(C1872,MASTER_REGISTER!E:E,0)),"")</f>
        <v>Thabo Mokgadi</v>
      </c>
      <c r="E1872" t="s">
        <v>337</v>
      </c>
      <c r="F1872" t="s">
        <v>338</v>
      </c>
      <c r="G1872" t="s">
        <v>339</v>
      </c>
    </row>
    <row r="1873" spans="1:8" x14ac:dyDescent="0.3">
      <c r="A1873" t="s">
        <v>369</v>
      </c>
      <c r="B1873">
        <f>IFERROR(INDEX(MASTER_REGISTER!C:C,MATCH(C1873,MASTER_REGISTER!E:E,0)),"")</f>
        <v>8</v>
      </c>
      <c r="C1873" t="s">
        <v>118</v>
      </c>
      <c r="D1873" t="str">
        <f>IFERROR(INDEX(MASTER_REGISTER!F:F,MATCH(C1873,MASTER_REGISTER!E:E,0)),"")</f>
        <v>Sifiso Mthembu</v>
      </c>
      <c r="E1873" t="s">
        <v>337</v>
      </c>
      <c r="F1873" t="s">
        <v>338</v>
      </c>
      <c r="G1873" t="s">
        <v>339</v>
      </c>
    </row>
    <row r="1874" spans="1:8" x14ac:dyDescent="0.3">
      <c r="A1874" t="s">
        <v>369</v>
      </c>
      <c r="B1874">
        <f>IFERROR(INDEX(MASTER_REGISTER!C:C,MATCH(C1874,MASTER_REGISTER!E:E,0)),"")</f>
        <v>9</v>
      </c>
      <c r="C1874" t="s">
        <v>123</v>
      </c>
      <c r="D1874" t="str">
        <f>IFERROR(INDEX(MASTER_REGISTER!F:F,MATCH(C1874,MASTER_REGISTER!E:E,0)),"")</f>
        <v>Karabo Phiri</v>
      </c>
      <c r="E1874" t="s">
        <v>337</v>
      </c>
      <c r="F1874" t="s">
        <v>338</v>
      </c>
      <c r="G1874" t="s">
        <v>339</v>
      </c>
    </row>
    <row r="1875" spans="1:8" x14ac:dyDescent="0.3">
      <c r="A1875" t="s">
        <v>369</v>
      </c>
      <c r="B1875">
        <f>IFERROR(INDEX(MASTER_REGISTER!C:C,MATCH(C1875,MASTER_REGISTER!E:E,0)),"")</f>
        <v>9</v>
      </c>
      <c r="C1875" t="s">
        <v>128</v>
      </c>
      <c r="D1875" t="str">
        <f>IFERROR(INDEX(MASTER_REGISTER!F:F,MATCH(C1875,MASTER_REGISTER!E:E,0)),"")</f>
        <v>Lerato Mahlangu</v>
      </c>
      <c r="E1875" t="s">
        <v>337</v>
      </c>
      <c r="F1875" t="s">
        <v>338</v>
      </c>
      <c r="G1875" t="s">
        <v>339</v>
      </c>
    </row>
    <row r="1876" spans="1:8" x14ac:dyDescent="0.3">
      <c r="A1876" t="s">
        <v>369</v>
      </c>
      <c r="B1876">
        <f>IFERROR(INDEX(MASTER_REGISTER!C:C,MATCH(C1876,MASTER_REGISTER!E:E,0)),"")</f>
        <v>9</v>
      </c>
      <c r="C1876" t="s">
        <v>133</v>
      </c>
      <c r="D1876" t="str">
        <f>IFERROR(INDEX(MASTER_REGISTER!F:F,MATCH(C1876,MASTER_REGISTER!E:E,0)),"")</f>
        <v>Mpho Kekana</v>
      </c>
      <c r="E1876" t="s">
        <v>337</v>
      </c>
      <c r="F1876" t="s">
        <v>338</v>
      </c>
      <c r="G1876" t="s">
        <v>339</v>
      </c>
    </row>
    <row r="1877" spans="1:8" x14ac:dyDescent="0.3">
      <c r="A1877" t="s">
        <v>369</v>
      </c>
      <c r="B1877">
        <f>IFERROR(INDEX(MASTER_REGISTER!C:C,MATCH(C1877,MASTER_REGISTER!E:E,0)),"")</f>
        <v>9</v>
      </c>
      <c r="C1877" t="s">
        <v>138</v>
      </c>
      <c r="D1877" t="str">
        <f>IFERROR(INDEX(MASTER_REGISTER!F:F,MATCH(C1877,MASTER_REGISTER!E:E,0)),"")</f>
        <v>Thabo Molefe</v>
      </c>
      <c r="E1877" t="s">
        <v>337</v>
      </c>
      <c r="F1877" t="s">
        <v>338</v>
      </c>
      <c r="G1877" t="s">
        <v>339</v>
      </c>
    </row>
    <row r="1878" spans="1:8" x14ac:dyDescent="0.3">
      <c r="A1878" t="s">
        <v>369</v>
      </c>
      <c r="B1878">
        <f>IFERROR(INDEX(MASTER_REGISTER!C:C,MATCH(C1878,MASTER_REGISTER!E:E,0)),"")</f>
        <v>9</v>
      </c>
      <c r="C1878" t="s">
        <v>143</v>
      </c>
      <c r="D1878" t="str">
        <f>IFERROR(INDEX(MASTER_REGISTER!F:F,MATCH(C1878,MASTER_REGISTER!E:E,0)),"")</f>
        <v>Mpho Ngobeni</v>
      </c>
      <c r="E1878" t="s">
        <v>335</v>
      </c>
      <c r="H1878" t="s">
        <v>340</v>
      </c>
    </row>
    <row r="1879" spans="1:8" x14ac:dyDescent="0.3">
      <c r="A1879" t="s">
        <v>369</v>
      </c>
      <c r="B1879">
        <f>IFERROR(INDEX(MASTER_REGISTER!C:C,MATCH(C1879,MASTER_REGISTER!E:E,0)),"")</f>
        <v>9</v>
      </c>
      <c r="C1879" t="s">
        <v>148</v>
      </c>
      <c r="D1879" t="str">
        <f>IFERROR(INDEX(MASTER_REGISTER!F:F,MATCH(C1879,MASTER_REGISTER!E:E,0)),"")</f>
        <v>Siyanda Mhlongo</v>
      </c>
      <c r="E1879" t="s">
        <v>337</v>
      </c>
      <c r="F1879" t="s">
        <v>338</v>
      </c>
      <c r="G1879" t="s">
        <v>339</v>
      </c>
    </row>
    <row r="1880" spans="1:8" x14ac:dyDescent="0.3">
      <c r="A1880" t="s">
        <v>369</v>
      </c>
      <c r="B1880">
        <f>IFERROR(INDEX(MASTER_REGISTER!C:C,MATCH(C1880,MASTER_REGISTER!E:E,0)),"")</f>
        <v>9</v>
      </c>
      <c r="C1880" t="s">
        <v>153</v>
      </c>
      <c r="D1880" t="str">
        <f>IFERROR(INDEX(MASTER_REGISTER!F:F,MATCH(C1880,MASTER_REGISTER!E:E,0)),"")</f>
        <v>Siyanda Mahlangu</v>
      </c>
      <c r="E1880" t="s">
        <v>337</v>
      </c>
      <c r="F1880" t="s">
        <v>338</v>
      </c>
      <c r="G1880" t="s">
        <v>339</v>
      </c>
    </row>
    <row r="1881" spans="1:8" x14ac:dyDescent="0.3">
      <c r="A1881" t="s">
        <v>369</v>
      </c>
      <c r="B1881">
        <f>IFERROR(INDEX(MASTER_REGISTER!C:C,MATCH(C1881,MASTER_REGISTER!E:E,0)),"")</f>
        <v>9</v>
      </c>
      <c r="C1881" t="s">
        <v>158</v>
      </c>
      <c r="D1881" t="str">
        <f>IFERROR(INDEX(MASTER_REGISTER!F:F,MATCH(C1881,MASTER_REGISTER!E:E,0)),"")</f>
        <v>Sifiso Ramushu</v>
      </c>
      <c r="E1881" t="s">
        <v>337</v>
      </c>
      <c r="F1881" t="s">
        <v>338</v>
      </c>
      <c r="G1881" t="s">
        <v>339</v>
      </c>
    </row>
    <row r="1882" spans="1:8" x14ac:dyDescent="0.3">
      <c r="A1882" t="s">
        <v>369</v>
      </c>
      <c r="B1882">
        <f>IFERROR(INDEX(MASTER_REGISTER!C:C,MATCH(C1882,MASTER_REGISTER!E:E,0)),"")</f>
        <v>9</v>
      </c>
      <c r="C1882" t="s">
        <v>163</v>
      </c>
      <c r="D1882" t="str">
        <f>IFERROR(INDEX(MASTER_REGISTER!F:F,MATCH(C1882,MASTER_REGISTER!E:E,0)),"")</f>
        <v>Nandi Ngobeni</v>
      </c>
      <c r="E1882" t="s">
        <v>337</v>
      </c>
      <c r="F1882" t="s">
        <v>338</v>
      </c>
      <c r="G1882" t="s">
        <v>339</v>
      </c>
    </row>
    <row r="1883" spans="1:8" x14ac:dyDescent="0.3">
      <c r="A1883" t="s">
        <v>369</v>
      </c>
      <c r="B1883">
        <f>IFERROR(INDEX(MASTER_REGISTER!C:C,MATCH(C1883,MASTER_REGISTER!E:E,0)),"")</f>
        <v>9</v>
      </c>
      <c r="C1883" t="s">
        <v>168</v>
      </c>
      <c r="D1883" t="str">
        <f>IFERROR(INDEX(MASTER_REGISTER!F:F,MATCH(C1883,MASTER_REGISTER!E:E,0)),"")</f>
        <v>Karabo Mokgadi</v>
      </c>
      <c r="E1883" t="s">
        <v>337</v>
      </c>
      <c r="F1883" t="s">
        <v>338</v>
      </c>
      <c r="G1883" t="s">
        <v>339</v>
      </c>
    </row>
    <row r="1884" spans="1:8" x14ac:dyDescent="0.3">
      <c r="A1884" t="s">
        <v>369</v>
      </c>
      <c r="B1884">
        <f>IFERROR(INDEX(MASTER_REGISTER!C:C,MATCH(C1884,MASTER_REGISTER!E:E,0)),"")</f>
        <v>9</v>
      </c>
      <c r="C1884" t="s">
        <v>173</v>
      </c>
      <c r="D1884" t="str">
        <f>IFERROR(INDEX(MASTER_REGISTER!F:F,MATCH(C1884,MASTER_REGISTER!E:E,0)),"")</f>
        <v>Sifiso Mahlangu</v>
      </c>
      <c r="E1884" t="s">
        <v>337</v>
      </c>
      <c r="F1884" t="s">
        <v>338</v>
      </c>
      <c r="G1884" t="s">
        <v>339</v>
      </c>
    </row>
    <row r="1885" spans="1:8" x14ac:dyDescent="0.3">
      <c r="A1885" t="s">
        <v>369</v>
      </c>
      <c r="B1885">
        <f>IFERROR(INDEX(MASTER_REGISTER!C:C,MATCH(C1885,MASTER_REGISTER!E:E,0)),"")</f>
        <v>9</v>
      </c>
      <c r="C1885" t="s">
        <v>178</v>
      </c>
      <c r="D1885" t="str">
        <f>IFERROR(INDEX(MASTER_REGISTER!F:F,MATCH(C1885,MASTER_REGISTER!E:E,0)),"")</f>
        <v>Kgothatso Radebe</v>
      </c>
      <c r="E1885" t="s">
        <v>337</v>
      </c>
      <c r="F1885" t="s">
        <v>338</v>
      </c>
      <c r="G1885" t="s">
        <v>339</v>
      </c>
    </row>
    <row r="1886" spans="1:8" x14ac:dyDescent="0.3">
      <c r="A1886" t="s">
        <v>369</v>
      </c>
      <c r="B1886">
        <f>IFERROR(INDEX(MASTER_REGISTER!C:C,MATCH(C1886,MASTER_REGISTER!E:E,0)),"")</f>
        <v>10</v>
      </c>
      <c r="C1886" t="s">
        <v>183</v>
      </c>
      <c r="D1886" t="str">
        <f>IFERROR(INDEX(MASTER_REGISTER!F:F,MATCH(C1886,MASTER_REGISTER!E:E,0)),"")</f>
        <v>Lerato Maseko</v>
      </c>
      <c r="E1886" t="s">
        <v>337</v>
      </c>
      <c r="F1886" t="s">
        <v>338</v>
      </c>
      <c r="G1886" t="s">
        <v>339</v>
      </c>
    </row>
    <row r="1887" spans="1:8" x14ac:dyDescent="0.3">
      <c r="A1887" t="s">
        <v>369</v>
      </c>
      <c r="B1887">
        <f>IFERROR(INDEX(MASTER_REGISTER!C:C,MATCH(C1887,MASTER_REGISTER!E:E,0)),"")</f>
        <v>10</v>
      </c>
      <c r="C1887" t="s">
        <v>188</v>
      </c>
      <c r="D1887" t="str">
        <f>IFERROR(INDEX(MASTER_REGISTER!F:F,MATCH(C1887,MASTER_REGISTER!E:E,0)),"")</f>
        <v>Sibusiso Molefe</v>
      </c>
      <c r="E1887" t="s">
        <v>337</v>
      </c>
      <c r="F1887" t="s">
        <v>338</v>
      </c>
      <c r="G1887" t="s">
        <v>339</v>
      </c>
    </row>
    <row r="1888" spans="1:8" x14ac:dyDescent="0.3">
      <c r="A1888" t="s">
        <v>369</v>
      </c>
      <c r="B1888">
        <f>IFERROR(INDEX(MASTER_REGISTER!C:C,MATCH(C1888,MASTER_REGISTER!E:E,0)),"")</f>
        <v>10</v>
      </c>
      <c r="C1888" t="s">
        <v>193</v>
      </c>
      <c r="D1888" t="str">
        <f>IFERROR(INDEX(MASTER_REGISTER!F:F,MATCH(C1888,MASTER_REGISTER!E:E,0)),"")</f>
        <v>Nandi Molefe</v>
      </c>
      <c r="E1888" t="s">
        <v>337</v>
      </c>
      <c r="F1888" t="s">
        <v>338</v>
      </c>
      <c r="G1888" t="s">
        <v>339</v>
      </c>
    </row>
    <row r="1889" spans="1:8" x14ac:dyDescent="0.3">
      <c r="A1889" t="s">
        <v>369</v>
      </c>
      <c r="B1889">
        <f>IFERROR(INDEX(MASTER_REGISTER!C:C,MATCH(C1889,MASTER_REGISTER!E:E,0)),"")</f>
        <v>10</v>
      </c>
      <c r="C1889" t="s">
        <v>198</v>
      </c>
      <c r="D1889" t="str">
        <f>IFERROR(INDEX(MASTER_REGISTER!F:F,MATCH(C1889,MASTER_REGISTER!E:E,0)),"")</f>
        <v>Kgothatso Baloyi</v>
      </c>
      <c r="E1889" t="s">
        <v>335</v>
      </c>
      <c r="H1889" t="s">
        <v>341</v>
      </c>
    </row>
    <row r="1890" spans="1:8" x14ac:dyDescent="0.3">
      <c r="A1890" t="s">
        <v>369</v>
      </c>
      <c r="B1890">
        <f>IFERROR(INDEX(MASTER_REGISTER!C:C,MATCH(C1890,MASTER_REGISTER!E:E,0)),"")</f>
        <v>10</v>
      </c>
      <c r="C1890" t="s">
        <v>202</v>
      </c>
      <c r="D1890" t="str">
        <f>IFERROR(INDEX(MASTER_REGISTER!F:F,MATCH(C1890,MASTER_REGISTER!E:E,0)),"")</f>
        <v>Ayanda Mokoena</v>
      </c>
      <c r="E1890" t="s">
        <v>337</v>
      </c>
      <c r="F1890" t="s">
        <v>338</v>
      </c>
      <c r="G1890" t="s">
        <v>339</v>
      </c>
    </row>
    <row r="1891" spans="1:8" x14ac:dyDescent="0.3">
      <c r="A1891" t="s">
        <v>369</v>
      </c>
      <c r="B1891">
        <f>IFERROR(INDEX(MASTER_REGISTER!C:C,MATCH(C1891,MASTER_REGISTER!E:E,0)),"")</f>
        <v>10</v>
      </c>
      <c r="C1891" t="s">
        <v>206</v>
      </c>
      <c r="D1891" t="str">
        <f>IFERROR(INDEX(MASTER_REGISTER!F:F,MATCH(C1891,MASTER_REGISTER!E:E,0)),"")</f>
        <v>Lwazi Baloyi</v>
      </c>
      <c r="E1891" t="s">
        <v>335</v>
      </c>
      <c r="H1891" t="s">
        <v>336</v>
      </c>
    </row>
    <row r="1892" spans="1:8" x14ac:dyDescent="0.3">
      <c r="A1892" t="s">
        <v>369</v>
      </c>
      <c r="B1892">
        <f>IFERROR(INDEX(MASTER_REGISTER!C:C,MATCH(C1892,MASTER_REGISTER!E:E,0)),"")</f>
        <v>10</v>
      </c>
      <c r="C1892" t="s">
        <v>210</v>
      </c>
      <c r="D1892" t="str">
        <f>IFERROR(INDEX(MASTER_REGISTER!F:F,MATCH(C1892,MASTER_REGISTER!E:E,0)),"")</f>
        <v>Siyanda Mokoena</v>
      </c>
      <c r="E1892" t="s">
        <v>337</v>
      </c>
      <c r="F1892" t="s">
        <v>338</v>
      </c>
      <c r="G1892" t="s">
        <v>339</v>
      </c>
    </row>
    <row r="1893" spans="1:8" x14ac:dyDescent="0.3">
      <c r="A1893" t="s">
        <v>369</v>
      </c>
      <c r="B1893">
        <f>IFERROR(INDEX(MASTER_REGISTER!C:C,MATCH(C1893,MASTER_REGISTER!E:E,0)),"")</f>
        <v>10</v>
      </c>
      <c r="C1893" t="s">
        <v>214</v>
      </c>
      <c r="D1893" t="str">
        <f>IFERROR(INDEX(MASTER_REGISTER!F:F,MATCH(C1893,MASTER_REGISTER!E:E,0)),"")</f>
        <v>Mpho Ngobeni</v>
      </c>
      <c r="E1893" t="s">
        <v>335</v>
      </c>
      <c r="H1893" t="s">
        <v>341</v>
      </c>
    </row>
    <row r="1894" spans="1:8" x14ac:dyDescent="0.3">
      <c r="A1894" t="s">
        <v>369</v>
      </c>
      <c r="B1894">
        <f>IFERROR(INDEX(MASTER_REGISTER!C:C,MATCH(C1894,MASTER_REGISTER!E:E,0)),"")</f>
        <v>10</v>
      </c>
      <c r="C1894" t="s">
        <v>217</v>
      </c>
      <c r="D1894" t="str">
        <f>IFERROR(INDEX(MASTER_REGISTER!F:F,MATCH(C1894,MASTER_REGISTER!E:E,0)),"")</f>
        <v>Naledi Makhubela</v>
      </c>
      <c r="E1894" t="s">
        <v>337</v>
      </c>
      <c r="F1894" t="s">
        <v>338</v>
      </c>
      <c r="G1894" t="s">
        <v>339</v>
      </c>
    </row>
    <row r="1895" spans="1:8" x14ac:dyDescent="0.3">
      <c r="A1895" t="s">
        <v>369</v>
      </c>
      <c r="B1895">
        <f>IFERROR(INDEX(MASTER_REGISTER!C:C,MATCH(C1895,MASTER_REGISTER!E:E,0)),"")</f>
        <v>10</v>
      </c>
      <c r="C1895" t="s">
        <v>221</v>
      </c>
      <c r="D1895" t="str">
        <f>IFERROR(INDEX(MASTER_REGISTER!F:F,MATCH(C1895,MASTER_REGISTER!E:E,0)),"")</f>
        <v>Kgothatso Mokoena</v>
      </c>
      <c r="E1895" t="s">
        <v>337</v>
      </c>
      <c r="F1895" t="s">
        <v>338</v>
      </c>
      <c r="G1895" t="s">
        <v>339</v>
      </c>
    </row>
    <row r="1896" spans="1:8" x14ac:dyDescent="0.3">
      <c r="A1896" t="s">
        <v>369</v>
      </c>
      <c r="B1896">
        <f>IFERROR(INDEX(MASTER_REGISTER!C:C,MATCH(C1896,MASTER_REGISTER!E:E,0)),"")</f>
        <v>10</v>
      </c>
      <c r="C1896" t="s">
        <v>225</v>
      </c>
      <c r="D1896" t="str">
        <f>IFERROR(INDEX(MASTER_REGISTER!F:F,MATCH(C1896,MASTER_REGISTER!E:E,0)),"")</f>
        <v>Bongani Makhubela</v>
      </c>
      <c r="E1896" t="s">
        <v>337</v>
      </c>
      <c r="F1896" t="s">
        <v>338</v>
      </c>
      <c r="G1896" t="s">
        <v>339</v>
      </c>
    </row>
    <row r="1897" spans="1:8" x14ac:dyDescent="0.3">
      <c r="A1897" t="s">
        <v>369</v>
      </c>
      <c r="B1897">
        <f>IFERROR(INDEX(MASTER_REGISTER!C:C,MATCH(C1897,MASTER_REGISTER!E:E,0)),"")</f>
        <v>10</v>
      </c>
      <c r="C1897" t="s">
        <v>229</v>
      </c>
      <c r="D1897" t="str">
        <f>IFERROR(INDEX(MASTER_REGISTER!F:F,MATCH(C1897,MASTER_REGISTER!E:E,0)),"")</f>
        <v>Kagiso Kekana</v>
      </c>
      <c r="E1897" t="s">
        <v>337</v>
      </c>
      <c r="F1897" t="s">
        <v>338</v>
      </c>
      <c r="G1897" t="s">
        <v>339</v>
      </c>
    </row>
    <row r="1898" spans="1:8" x14ac:dyDescent="0.3">
      <c r="A1898" t="s">
        <v>369</v>
      </c>
      <c r="B1898">
        <f>IFERROR(INDEX(MASTER_REGISTER!C:C,MATCH(C1898,MASTER_REGISTER!E:E,0)),"")</f>
        <v>11</v>
      </c>
      <c r="C1898" t="s">
        <v>233</v>
      </c>
      <c r="D1898" t="str">
        <f>IFERROR(INDEX(MASTER_REGISTER!F:F,MATCH(C1898,MASTER_REGISTER!E:E,0)),"")</f>
        <v>Lwazi Makhubela</v>
      </c>
      <c r="E1898" t="s">
        <v>337</v>
      </c>
      <c r="F1898" t="s">
        <v>338</v>
      </c>
      <c r="G1898" t="s">
        <v>339</v>
      </c>
    </row>
    <row r="1899" spans="1:8" x14ac:dyDescent="0.3">
      <c r="A1899" t="s">
        <v>369</v>
      </c>
      <c r="B1899">
        <f>IFERROR(INDEX(MASTER_REGISTER!C:C,MATCH(C1899,MASTER_REGISTER!E:E,0)),"")</f>
        <v>11</v>
      </c>
      <c r="C1899" t="s">
        <v>237</v>
      </c>
      <c r="D1899" t="str">
        <f>IFERROR(INDEX(MASTER_REGISTER!F:F,MATCH(C1899,MASTER_REGISTER!E:E,0)),"")</f>
        <v>Lebogang Ramushu</v>
      </c>
      <c r="E1899" t="s">
        <v>337</v>
      </c>
      <c r="F1899" t="s">
        <v>338</v>
      </c>
      <c r="G1899" t="s">
        <v>339</v>
      </c>
    </row>
    <row r="1900" spans="1:8" x14ac:dyDescent="0.3">
      <c r="A1900" t="s">
        <v>369</v>
      </c>
      <c r="B1900">
        <f>IFERROR(INDEX(MASTER_REGISTER!C:C,MATCH(C1900,MASTER_REGISTER!E:E,0)),"")</f>
        <v>11</v>
      </c>
      <c r="C1900" t="s">
        <v>241</v>
      </c>
      <c r="D1900" t="str">
        <f>IFERROR(INDEX(MASTER_REGISTER!F:F,MATCH(C1900,MASTER_REGISTER!E:E,0)),"")</f>
        <v>Lerato Kekana</v>
      </c>
      <c r="E1900" t="s">
        <v>337</v>
      </c>
      <c r="F1900" t="s">
        <v>338</v>
      </c>
      <c r="G1900" t="s">
        <v>339</v>
      </c>
    </row>
    <row r="1901" spans="1:8" x14ac:dyDescent="0.3">
      <c r="A1901" t="s">
        <v>369</v>
      </c>
      <c r="B1901">
        <f>IFERROR(INDEX(MASTER_REGISTER!C:C,MATCH(C1901,MASTER_REGISTER!E:E,0)),"")</f>
        <v>11</v>
      </c>
      <c r="C1901" t="s">
        <v>244</v>
      </c>
      <c r="D1901" t="str">
        <f>IFERROR(INDEX(MASTER_REGISTER!F:F,MATCH(C1901,MASTER_REGISTER!E:E,0)),"")</f>
        <v>Bongani Ndlovu</v>
      </c>
      <c r="E1901" t="s">
        <v>337</v>
      </c>
      <c r="F1901" t="s">
        <v>338</v>
      </c>
      <c r="G1901" t="s">
        <v>339</v>
      </c>
    </row>
    <row r="1902" spans="1:8" x14ac:dyDescent="0.3">
      <c r="A1902" t="s">
        <v>369</v>
      </c>
      <c r="B1902">
        <f>IFERROR(INDEX(MASTER_REGISTER!C:C,MATCH(C1902,MASTER_REGISTER!E:E,0)),"")</f>
        <v>11</v>
      </c>
      <c r="C1902" t="s">
        <v>248</v>
      </c>
      <c r="D1902" t="str">
        <f>IFERROR(INDEX(MASTER_REGISTER!F:F,MATCH(C1902,MASTER_REGISTER!E:E,0)),"")</f>
        <v>Sifiso Dlamini</v>
      </c>
      <c r="E1902" t="s">
        <v>337</v>
      </c>
      <c r="F1902" t="s">
        <v>338</v>
      </c>
      <c r="G1902" t="s">
        <v>339</v>
      </c>
    </row>
    <row r="1903" spans="1:8" x14ac:dyDescent="0.3">
      <c r="A1903" t="s">
        <v>369</v>
      </c>
      <c r="B1903">
        <f>IFERROR(INDEX(MASTER_REGISTER!C:C,MATCH(C1903,MASTER_REGISTER!E:E,0)),"")</f>
        <v>11</v>
      </c>
      <c r="C1903" t="s">
        <v>252</v>
      </c>
      <c r="D1903" t="str">
        <f>IFERROR(INDEX(MASTER_REGISTER!F:F,MATCH(C1903,MASTER_REGISTER!E:E,0)),"")</f>
        <v>Refilwe Dlamini</v>
      </c>
      <c r="E1903" t="s">
        <v>337</v>
      </c>
      <c r="F1903" t="s">
        <v>338</v>
      </c>
      <c r="G1903" t="s">
        <v>339</v>
      </c>
    </row>
    <row r="1904" spans="1:8" x14ac:dyDescent="0.3">
      <c r="A1904" t="s">
        <v>369</v>
      </c>
      <c r="B1904">
        <f>IFERROR(INDEX(MASTER_REGISTER!C:C,MATCH(C1904,MASTER_REGISTER!E:E,0)),"")</f>
        <v>11</v>
      </c>
      <c r="C1904" t="s">
        <v>256</v>
      </c>
      <c r="D1904" t="str">
        <f>IFERROR(INDEX(MASTER_REGISTER!F:F,MATCH(C1904,MASTER_REGISTER!E:E,0)),"")</f>
        <v>Lwazi Maseko</v>
      </c>
      <c r="E1904" t="s">
        <v>337</v>
      </c>
      <c r="F1904" t="s">
        <v>338</v>
      </c>
      <c r="G1904" t="s">
        <v>339</v>
      </c>
    </row>
    <row r="1905" spans="1:8" x14ac:dyDescent="0.3">
      <c r="A1905" t="s">
        <v>369</v>
      </c>
      <c r="B1905">
        <f>IFERROR(INDEX(MASTER_REGISTER!C:C,MATCH(C1905,MASTER_REGISTER!E:E,0)),"")</f>
        <v>11</v>
      </c>
      <c r="C1905" t="s">
        <v>260</v>
      </c>
      <c r="D1905" t="str">
        <f>IFERROR(INDEX(MASTER_REGISTER!F:F,MATCH(C1905,MASTER_REGISTER!E:E,0)),"")</f>
        <v>Refilwe Mokgadi</v>
      </c>
      <c r="E1905" t="s">
        <v>337</v>
      </c>
      <c r="F1905" t="s">
        <v>338</v>
      </c>
      <c r="G1905" t="s">
        <v>339</v>
      </c>
    </row>
    <row r="1906" spans="1:8" x14ac:dyDescent="0.3">
      <c r="A1906" t="s">
        <v>369</v>
      </c>
      <c r="B1906">
        <f>IFERROR(INDEX(MASTER_REGISTER!C:C,MATCH(C1906,MASTER_REGISTER!E:E,0)),"")</f>
        <v>11</v>
      </c>
      <c r="C1906" t="s">
        <v>264</v>
      </c>
      <c r="D1906" t="str">
        <f>IFERROR(INDEX(MASTER_REGISTER!F:F,MATCH(C1906,MASTER_REGISTER!E:E,0)),"")</f>
        <v>Kgothatso Molefe</v>
      </c>
      <c r="E1906" t="s">
        <v>337</v>
      </c>
      <c r="F1906" t="s">
        <v>338</v>
      </c>
      <c r="G1906" t="s">
        <v>339</v>
      </c>
    </row>
    <row r="1907" spans="1:8" x14ac:dyDescent="0.3">
      <c r="A1907" t="s">
        <v>369</v>
      </c>
      <c r="B1907">
        <f>IFERROR(INDEX(MASTER_REGISTER!C:C,MATCH(C1907,MASTER_REGISTER!E:E,0)),"")</f>
        <v>11</v>
      </c>
      <c r="C1907" t="s">
        <v>268</v>
      </c>
      <c r="D1907" t="str">
        <f>IFERROR(INDEX(MASTER_REGISTER!F:F,MATCH(C1907,MASTER_REGISTER!E:E,0)),"")</f>
        <v>Tshepo Mokgadi</v>
      </c>
      <c r="E1907" t="s">
        <v>337</v>
      </c>
      <c r="F1907" t="s">
        <v>338</v>
      </c>
      <c r="G1907" t="s">
        <v>339</v>
      </c>
    </row>
    <row r="1908" spans="1:8" x14ac:dyDescent="0.3">
      <c r="A1908" t="s">
        <v>369</v>
      </c>
      <c r="B1908">
        <f>IFERROR(INDEX(MASTER_REGISTER!C:C,MATCH(C1908,MASTER_REGISTER!E:E,0)),"")</f>
        <v>11</v>
      </c>
      <c r="C1908" t="s">
        <v>272</v>
      </c>
      <c r="D1908" t="str">
        <f>IFERROR(INDEX(MASTER_REGISTER!F:F,MATCH(C1908,MASTER_REGISTER!E:E,0)),"")</f>
        <v>Tshepo Phiri</v>
      </c>
      <c r="E1908" t="s">
        <v>335</v>
      </c>
      <c r="H1908" t="s">
        <v>341</v>
      </c>
    </row>
    <row r="1909" spans="1:8" x14ac:dyDescent="0.3">
      <c r="A1909" t="s">
        <v>369</v>
      </c>
      <c r="B1909">
        <f>IFERROR(INDEX(MASTER_REGISTER!C:C,MATCH(C1909,MASTER_REGISTER!E:E,0)),"")</f>
        <v>11</v>
      </c>
      <c r="C1909" t="s">
        <v>276</v>
      </c>
      <c r="D1909" t="str">
        <f>IFERROR(INDEX(MASTER_REGISTER!F:F,MATCH(C1909,MASTER_REGISTER!E:E,0)),"")</f>
        <v>Zanele Ngobeni</v>
      </c>
      <c r="E1909" t="s">
        <v>337</v>
      </c>
      <c r="F1909" t="s">
        <v>338</v>
      </c>
      <c r="G1909" t="s">
        <v>339</v>
      </c>
    </row>
    <row r="1910" spans="1:8" x14ac:dyDescent="0.3">
      <c r="A1910" t="s">
        <v>369</v>
      </c>
      <c r="B1910">
        <f>IFERROR(INDEX(MASTER_REGISTER!C:C,MATCH(C1910,MASTER_REGISTER!E:E,0)),"")</f>
        <v>12</v>
      </c>
      <c r="C1910" t="s">
        <v>280</v>
      </c>
      <c r="D1910" t="str">
        <f>IFERROR(INDEX(MASTER_REGISTER!F:F,MATCH(C1910,MASTER_REGISTER!E:E,0)),"")</f>
        <v>Palesa Mokoena</v>
      </c>
      <c r="E1910" t="s">
        <v>337</v>
      </c>
      <c r="F1910" t="s">
        <v>338</v>
      </c>
      <c r="G1910" t="s">
        <v>339</v>
      </c>
    </row>
    <row r="1911" spans="1:8" x14ac:dyDescent="0.3">
      <c r="A1911" t="s">
        <v>369</v>
      </c>
      <c r="B1911">
        <f>IFERROR(INDEX(MASTER_REGISTER!C:C,MATCH(C1911,MASTER_REGISTER!E:E,0)),"")</f>
        <v>12</v>
      </c>
      <c r="C1911" t="s">
        <v>284</v>
      </c>
      <c r="D1911" t="str">
        <f>IFERROR(INDEX(MASTER_REGISTER!F:F,MATCH(C1911,MASTER_REGISTER!E:E,0)),"")</f>
        <v>Thabo Ramushu</v>
      </c>
      <c r="E1911" t="s">
        <v>337</v>
      </c>
      <c r="F1911" t="s">
        <v>338</v>
      </c>
      <c r="G1911" t="s">
        <v>339</v>
      </c>
    </row>
    <row r="1912" spans="1:8" x14ac:dyDescent="0.3">
      <c r="A1912" t="s">
        <v>369</v>
      </c>
      <c r="B1912">
        <f>IFERROR(INDEX(MASTER_REGISTER!C:C,MATCH(C1912,MASTER_REGISTER!E:E,0)),"")</f>
        <v>12</v>
      </c>
      <c r="C1912" t="s">
        <v>288</v>
      </c>
      <c r="D1912" t="str">
        <f>IFERROR(INDEX(MASTER_REGISTER!F:F,MATCH(C1912,MASTER_REGISTER!E:E,0)),"")</f>
        <v>Lwazi Ndlovu</v>
      </c>
      <c r="E1912" t="s">
        <v>337</v>
      </c>
      <c r="F1912" t="s">
        <v>338</v>
      </c>
      <c r="G1912" t="s">
        <v>339</v>
      </c>
    </row>
    <row r="1913" spans="1:8" x14ac:dyDescent="0.3">
      <c r="A1913" t="s">
        <v>369</v>
      </c>
      <c r="B1913">
        <f>IFERROR(INDEX(MASTER_REGISTER!C:C,MATCH(C1913,MASTER_REGISTER!E:E,0)),"")</f>
        <v>12</v>
      </c>
      <c r="C1913" t="s">
        <v>292</v>
      </c>
      <c r="D1913" t="str">
        <f>IFERROR(INDEX(MASTER_REGISTER!F:F,MATCH(C1913,MASTER_REGISTER!E:E,0)),"")</f>
        <v>Ayanda Dlamini</v>
      </c>
      <c r="E1913" t="s">
        <v>337</v>
      </c>
      <c r="F1913" t="s">
        <v>338</v>
      </c>
      <c r="G1913" t="s">
        <v>339</v>
      </c>
    </row>
    <row r="1914" spans="1:8" x14ac:dyDescent="0.3">
      <c r="A1914" t="s">
        <v>369</v>
      </c>
      <c r="B1914">
        <f>IFERROR(INDEX(MASTER_REGISTER!C:C,MATCH(C1914,MASTER_REGISTER!E:E,0)),"")</f>
        <v>12</v>
      </c>
      <c r="C1914" t="s">
        <v>296</v>
      </c>
      <c r="D1914" t="str">
        <f>IFERROR(INDEX(MASTER_REGISTER!F:F,MATCH(C1914,MASTER_REGISTER!E:E,0)),"")</f>
        <v>Neo Ndlovu</v>
      </c>
      <c r="E1914" t="s">
        <v>337</v>
      </c>
      <c r="F1914" t="s">
        <v>338</v>
      </c>
      <c r="G1914" t="s">
        <v>339</v>
      </c>
    </row>
    <row r="1915" spans="1:8" x14ac:dyDescent="0.3">
      <c r="A1915" t="s">
        <v>369</v>
      </c>
      <c r="B1915">
        <f>IFERROR(INDEX(MASTER_REGISTER!C:C,MATCH(C1915,MASTER_REGISTER!E:E,0)),"")</f>
        <v>12</v>
      </c>
      <c r="C1915" t="s">
        <v>300</v>
      </c>
      <c r="D1915" t="str">
        <f>IFERROR(INDEX(MASTER_REGISTER!F:F,MATCH(C1915,MASTER_REGISTER!E:E,0)),"")</f>
        <v>Neo Ramushu</v>
      </c>
      <c r="E1915" t="s">
        <v>337</v>
      </c>
      <c r="F1915" t="s">
        <v>338</v>
      </c>
      <c r="G1915" t="s">
        <v>339</v>
      </c>
    </row>
    <row r="1916" spans="1:8" x14ac:dyDescent="0.3">
      <c r="A1916" t="s">
        <v>369</v>
      </c>
      <c r="B1916">
        <f>IFERROR(INDEX(MASTER_REGISTER!C:C,MATCH(C1916,MASTER_REGISTER!E:E,0)),"")</f>
        <v>12</v>
      </c>
      <c r="C1916" t="s">
        <v>304</v>
      </c>
      <c r="D1916" t="str">
        <f>IFERROR(INDEX(MASTER_REGISTER!F:F,MATCH(C1916,MASTER_REGISTER!E:E,0)),"")</f>
        <v>Karabo Baloyi</v>
      </c>
      <c r="E1916" t="s">
        <v>337</v>
      </c>
      <c r="F1916" t="s">
        <v>338</v>
      </c>
      <c r="G1916" t="s">
        <v>339</v>
      </c>
    </row>
    <row r="1917" spans="1:8" x14ac:dyDescent="0.3">
      <c r="A1917" t="s">
        <v>369</v>
      </c>
      <c r="B1917">
        <f>IFERROR(INDEX(MASTER_REGISTER!C:C,MATCH(C1917,MASTER_REGISTER!E:E,0)),"")</f>
        <v>12</v>
      </c>
      <c r="C1917" t="s">
        <v>308</v>
      </c>
      <c r="D1917" t="str">
        <f>IFERROR(INDEX(MASTER_REGISTER!F:F,MATCH(C1917,MASTER_REGISTER!E:E,0)),"")</f>
        <v>Tshepo Mokgadi</v>
      </c>
      <c r="E1917" t="s">
        <v>337</v>
      </c>
      <c r="F1917" t="s">
        <v>338</v>
      </c>
      <c r="G1917" t="s">
        <v>339</v>
      </c>
    </row>
    <row r="1918" spans="1:8" x14ac:dyDescent="0.3">
      <c r="A1918" t="s">
        <v>369</v>
      </c>
      <c r="B1918">
        <f>IFERROR(INDEX(MASTER_REGISTER!C:C,MATCH(C1918,MASTER_REGISTER!E:E,0)),"")</f>
        <v>12</v>
      </c>
      <c r="C1918" t="s">
        <v>311</v>
      </c>
      <c r="D1918" t="str">
        <f>IFERROR(INDEX(MASTER_REGISTER!F:F,MATCH(C1918,MASTER_REGISTER!E:E,0)),"")</f>
        <v>Sifiso Mavuso</v>
      </c>
      <c r="E1918" t="s">
        <v>337</v>
      </c>
      <c r="F1918" t="s">
        <v>338</v>
      </c>
      <c r="G1918" t="s">
        <v>339</v>
      </c>
    </row>
    <row r="1919" spans="1:8" x14ac:dyDescent="0.3">
      <c r="A1919" t="s">
        <v>369</v>
      </c>
      <c r="B1919">
        <f>IFERROR(INDEX(MASTER_REGISTER!C:C,MATCH(C1919,MASTER_REGISTER!E:E,0)),"")</f>
        <v>12</v>
      </c>
      <c r="C1919" t="s">
        <v>315</v>
      </c>
      <c r="D1919" t="str">
        <f>IFERROR(INDEX(MASTER_REGISTER!F:F,MATCH(C1919,MASTER_REGISTER!E:E,0)),"")</f>
        <v>Refilwe Sithole</v>
      </c>
      <c r="E1919" t="s">
        <v>337</v>
      </c>
      <c r="F1919" t="s">
        <v>338</v>
      </c>
      <c r="G1919" t="s">
        <v>339</v>
      </c>
    </row>
    <row r="1920" spans="1:8" x14ac:dyDescent="0.3">
      <c r="A1920" t="s">
        <v>369</v>
      </c>
      <c r="B1920">
        <f>IFERROR(INDEX(MASTER_REGISTER!C:C,MATCH(C1920,MASTER_REGISTER!E:E,0)),"")</f>
        <v>12</v>
      </c>
      <c r="C1920" t="s">
        <v>319</v>
      </c>
      <c r="D1920" t="str">
        <f>IFERROR(INDEX(MASTER_REGISTER!F:F,MATCH(C1920,MASTER_REGISTER!E:E,0)),"")</f>
        <v>Lerato Sithole</v>
      </c>
      <c r="E1920" t="s">
        <v>335</v>
      </c>
      <c r="H1920" t="s">
        <v>340</v>
      </c>
    </row>
    <row r="1921" spans="1:7" x14ac:dyDescent="0.3">
      <c r="A1921" t="s">
        <v>369</v>
      </c>
      <c r="B1921">
        <f>IFERROR(INDEX(MASTER_REGISTER!C:C,MATCH(C1921,MASTER_REGISTER!E:E,0)),"")</f>
        <v>12</v>
      </c>
      <c r="C1921" t="s">
        <v>323</v>
      </c>
      <c r="D1921" t="str">
        <f>IFERROR(INDEX(MASTER_REGISTER!F:F,MATCH(C1921,MASTER_REGISTER!E:E,0)),"")</f>
        <v>Sibusiso Ngobeni</v>
      </c>
      <c r="E1921" t="s">
        <v>337</v>
      </c>
      <c r="F1921" t="s">
        <v>338</v>
      </c>
      <c r="G1921" t="s">
        <v>339</v>
      </c>
    </row>
    <row r="1922" spans="1:7" x14ac:dyDescent="0.3">
      <c r="A1922" t="s">
        <v>370</v>
      </c>
      <c r="B1922">
        <f>IFERROR(INDEX(MASTER_REGISTER!C:C,MATCH(C1922,MASTER_REGISTER!E:E,0)),"")</f>
        <v>8</v>
      </c>
      <c r="C1922" t="s">
        <v>50</v>
      </c>
      <c r="D1922" t="str">
        <f>IFERROR(INDEX(MASTER_REGISTER!F:F,MATCH(C1922,MASTER_REGISTER!E:E,0)),"")</f>
        <v>Lerato Nkosi</v>
      </c>
      <c r="E1922" t="s">
        <v>337</v>
      </c>
      <c r="F1922" t="s">
        <v>338</v>
      </c>
      <c r="G1922" t="s">
        <v>339</v>
      </c>
    </row>
    <row r="1923" spans="1:7" x14ac:dyDescent="0.3">
      <c r="A1923" t="s">
        <v>370</v>
      </c>
      <c r="B1923">
        <f>IFERROR(INDEX(MASTER_REGISTER!C:C,MATCH(C1923,MASTER_REGISTER!E:E,0)),"")</f>
        <v>8</v>
      </c>
      <c r="C1923" t="s">
        <v>58</v>
      </c>
      <c r="D1923" t="str">
        <f>IFERROR(INDEX(MASTER_REGISTER!F:F,MATCH(C1923,MASTER_REGISTER!E:E,0)),"")</f>
        <v>Karabo Maseko</v>
      </c>
      <c r="E1923" t="s">
        <v>337</v>
      </c>
      <c r="F1923" t="s">
        <v>338</v>
      </c>
      <c r="G1923" t="s">
        <v>339</v>
      </c>
    </row>
    <row r="1924" spans="1:7" x14ac:dyDescent="0.3">
      <c r="A1924" t="s">
        <v>370</v>
      </c>
      <c r="B1924">
        <f>IFERROR(INDEX(MASTER_REGISTER!C:C,MATCH(C1924,MASTER_REGISTER!E:E,0)),"")</f>
        <v>8</v>
      </c>
      <c r="C1924" t="s">
        <v>64</v>
      </c>
      <c r="D1924" t="str">
        <f>IFERROR(INDEX(MASTER_REGISTER!F:F,MATCH(C1924,MASTER_REGISTER!E:E,0)),"")</f>
        <v>Sifiso Sithole</v>
      </c>
      <c r="E1924" t="s">
        <v>337</v>
      </c>
      <c r="F1924" t="s">
        <v>338</v>
      </c>
      <c r="G1924" t="s">
        <v>339</v>
      </c>
    </row>
    <row r="1925" spans="1:7" x14ac:dyDescent="0.3">
      <c r="A1925" t="s">
        <v>370</v>
      </c>
      <c r="B1925">
        <f>IFERROR(INDEX(MASTER_REGISTER!C:C,MATCH(C1925,MASTER_REGISTER!E:E,0)),"")</f>
        <v>8</v>
      </c>
      <c r="C1925" t="s">
        <v>70</v>
      </c>
      <c r="D1925" t="str">
        <f>IFERROR(INDEX(MASTER_REGISTER!F:F,MATCH(C1925,MASTER_REGISTER!E:E,0)),"")</f>
        <v>Tshepo Ndlovu</v>
      </c>
      <c r="E1925" t="s">
        <v>337</v>
      </c>
      <c r="F1925" t="s">
        <v>338</v>
      </c>
      <c r="G1925" t="s">
        <v>339</v>
      </c>
    </row>
    <row r="1926" spans="1:7" x14ac:dyDescent="0.3">
      <c r="A1926" t="s">
        <v>370</v>
      </c>
      <c r="B1926">
        <f>IFERROR(INDEX(MASTER_REGISTER!C:C,MATCH(C1926,MASTER_REGISTER!E:E,0)),"")</f>
        <v>8</v>
      </c>
      <c r="C1926" t="s">
        <v>76</v>
      </c>
      <c r="D1926" t="str">
        <f>IFERROR(INDEX(MASTER_REGISTER!F:F,MATCH(C1926,MASTER_REGISTER!E:E,0)),"")</f>
        <v>Lwazi Mthembu</v>
      </c>
      <c r="E1926" t="s">
        <v>337</v>
      </c>
      <c r="F1926" t="s">
        <v>338</v>
      </c>
      <c r="G1926" t="s">
        <v>339</v>
      </c>
    </row>
    <row r="1927" spans="1:7" x14ac:dyDescent="0.3">
      <c r="A1927" t="s">
        <v>370</v>
      </c>
      <c r="B1927">
        <f>IFERROR(INDEX(MASTER_REGISTER!C:C,MATCH(C1927,MASTER_REGISTER!E:E,0)),"")</f>
        <v>8</v>
      </c>
      <c r="C1927" t="s">
        <v>82</v>
      </c>
      <c r="D1927" t="str">
        <f>IFERROR(INDEX(MASTER_REGISTER!F:F,MATCH(C1927,MASTER_REGISTER!E:E,0)),"")</f>
        <v>Karabo Ngobeni</v>
      </c>
      <c r="E1927" t="s">
        <v>337</v>
      </c>
      <c r="F1927" t="s">
        <v>338</v>
      </c>
      <c r="G1927" t="s">
        <v>339</v>
      </c>
    </row>
    <row r="1928" spans="1:7" x14ac:dyDescent="0.3">
      <c r="A1928" t="s">
        <v>370</v>
      </c>
      <c r="B1928">
        <f>IFERROR(INDEX(MASTER_REGISTER!C:C,MATCH(C1928,MASTER_REGISTER!E:E,0)),"")</f>
        <v>8</v>
      </c>
      <c r="C1928" t="s">
        <v>88</v>
      </c>
      <c r="D1928" t="str">
        <f>IFERROR(INDEX(MASTER_REGISTER!F:F,MATCH(C1928,MASTER_REGISTER!E:E,0)),"")</f>
        <v>Mpho Sithole</v>
      </c>
      <c r="E1928" t="s">
        <v>337</v>
      </c>
      <c r="F1928" t="s">
        <v>338</v>
      </c>
      <c r="G1928" t="s">
        <v>339</v>
      </c>
    </row>
    <row r="1929" spans="1:7" x14ac:dyDescent="0.3">
      <c r="A1929" t="s">
        <v>370</v>
      </c>
      <c r="B1929">
        <f>IFERROR(INDEX(MASTER_REGISTER!C:C,MATCH(C1929,MASTER_REGISTER!E:E,0)),"")</f>
        <v>8</v>
      </c>
      <c r="C1929" t="s">
        <v>94</v>
      </c>
      <c r="D1929" t="str">
        <f>IFERROR(INDEX(MASTER_REGISTER!F:F,MATCH(C1929,MASTER_REGISTER!E:E,0)),"")</f>
        <v>Tshepo Ramushu</v>
      </c>
      <c r="E1929" t="s">
        <v>337</v>
      </c>
      <c r="F1929" t="s">
        <v>338</v>
      </c>
      <c r="G1929" t="s">
        <v>339</v>
      </c>
    </row>
    <row r="1930" spans="1:7" x14ac:dyDescent="0.3">
      <c r="A1930" t="s">
        <v>370</v>
      </c>
      <c r="B1930">
        <f>IFERROR(INDEX(MASTER_REGISTER!C:C,MATCH(C1930,MASTER_REGISTER!E:E,0)),"")</f>
        <v>8</v>
      </c>
      <c r="C1930" t="s">
        <v>100</v>
      </c>
      <c r="D1930" t="str">
        <f>IFERROR(INDEX(MASTER_REGISTER!F:F,MATCH(C1930,MASTER_REGISTER!E:E,0)),"")</f>
        <v>Lerato Kekana</v>
      </c>
      <c r="E1930" t="s">
        <v>337</v>
      </c>
      <c r="F1930" t="s">
        <v>338</v>
      </c>
      <c r="G1930" t="s">
        <v>339</v>
      </c>
    </row>
    <row r="1931" spans="1:7" x14ac:dyDescent="0.3">
      <c r="A1931" t="s">
        <v>370</v>
      </c>
      <c r="B1931">
        <f>IFERROR(INDEX(MASTER_REGISTER!C:C,MATCH(C1931,MASTER_REGISTER!E:E,0)),"")</f>
        <v>8</v>
      </c>
      <c r="C1931" t="s">
        <v>106</v>
      </c>
      <c r="D1931" t="str">
        <f>IFERROR(INDEX(MASTER_REGISTER!F:F,MATCH(C1931,MASTER_REGISTER!E:E,0)),"")</f>
        <v>Neo Ngobeni</v>
      </c>
      <c r="E1931" t="s">
        <v>337</v>
      </c>
      <c r="F1931" t="s">
        <v>338</v>
      </c>
      <c r="G1931" t="s">
        <v>339</v>
      </c>
    </row>
    <row r="1932" spans="1:7" x14ac:dyDescent="0.3">
      <c r="A1932" t="s">
        <v>370</v>
      </c>
      <c r="B1932">
        <f>IFERROR(INDEX(MASTER_REGISTER!C:C,MATCH(C1932,MASTER_REGISTER!E:E,0)),"")</f>
        <v>8</v>
      </c>
      <c r="C1932" t="s">
        <v>112</v>
      </c>
      <c r="D1932" t="str">
        <f>IFERROR(INDEX(MASTER_REGISTER!F:F,MATCH(C1932,MASTER_REGISTER!E:E,0)),"")</f>
        <v>Thabo Mokgadi</v>
      </c>
      <c r="E1932" t="s">
        <v>337</v>
      </c>
      <c r="F1932" t="s">
        <v>338</v>
      </c>
      <c r="G1932" t="s">
        <v>339</v>
      </c>
    </row>
    <row r="1933" spans="1:7" x14ac:dyDescent="0.3">
      <c r="A1933" t="s">
        <v>370</v>
      </c>
      <c r="B1933">
        <f>IFERROR(INDEX(MASTER_REGISTER!C:C,MATCH(C1933,MASTER_REGISTER!E:E,0)),"")</f>
        <v>8</v>
      </c>
      <c r="C1933" t="s">
        <v>118</v>
      </c>
      <c r="D1933" t="str">
        <f>IFERROR(INDEX(MASTER_REGISTER!F:F,MATCH(C1933,MASTER_REGISTER!E:E,0)),"")</f>
        <v>Sifiso Mthembu</v>
      </c>
      <c r="E1933" t="s">
        <v>337</v>
      </c>
      <c r="F1933" t="s">
        <v>338</v>
      </c>
      <c r="G1933" t="s">
        <v>339</v>
      </c>
    </row>
    <row r="1934" spans="1:7" x14ac:dyDescent="0.3">
      <c r="A1934" t="s">
        <v>370</v>
      </c>
      <c r="B1934">
        <f>IFERROR(INDEX(MASTER_REGISTER!C:C,MATCH(C1934,MASTER_REGISTER!E:E,0)),"")</f>
        <v>9</v>
      </c>
      <c r="C1934" t="s">
        <v>123</v>
      </c>
      <c r="D1934" t="str">
        <f>IFERROR(INDEX(MASTER_REGISTER!F:F,MATCH(C1934,MASTER_REGISTER!E:E,0)),"")</f>
        <v>Karabo Phiri</v>
      </c>
      <c r="E1934" t="s">
        <v>337</v>
      </c>
      <c r="F1934" t="s">
        <v>338</v>
      </c>
      <c r="G1934" t="s">
        <v>339</v>
      </c>
    </row>
    <row r="1935" spans="1:7" x14ac:dyDescent="0.3">
      <c r="A1935" t="s">
        <v>370</v>
      </c>
      <c r="B1935">
        <f>IFERROR(INDEX(MASTER_REGISTER!C:C,MATCH(C1935,MASTER_REGISTER!E:E,0)),"")</f>
        <v>9</v>
      </c>
      <c r="C1935" t="s">
        <v>128</v>
      </c>
      <c r="D1935" t="str">
        <f>IFERROR(INDEX(MASTER_REGISTER!F:F,MATCH(C1935,MASTER_REGISTER!E:E,0)),"")</f>
        <v>Lerato Mahlangu</v>
      </c>
      <c r="E1935" t="s">
        <v>337</v>
      </c>
      <c r="F1935" t="s">
        <v>338</v>
      </c>
      <c r="G1935" t="s">
        <v>339</v>
      </c>
    </row>
    <row r="1936" spans="1:7" x14ac:dyDescent="0.3">
      <c r="A1936" t="s">
        <v>370</v>
      </c>
      <c r="B1936">
        <f>IFERROR(INDEX(MASTER_REGISTER!C:C,MATCH(C1936,MASTER_REGISTER!E:E,0)),"")</f>
        <v>9</v>
      </c>
      <c r="C1936" t="s">
        <v>133</v>
      </c>
      <c r="D1936" t="str">
        <f>IFERROR(INDEX(MASTER_REGISTER!F:F,MATCH(C1936,MASTER_REGISTER!E:E,0)),"")</f>
        <v>Mpho Kekana</v>
      </c>
      <c r="E1936" t="s">
        <v>337</v>
      </c>
      <c r="F1936" t="s">
        <v>338</v>
      </c>
      <c r="G1936" t="s">
        <v>339</v>
      </c>
    </row>
    <row r="1937" spans="1:8" x14ac:dyDescent="0.3">
      <c r="A1937" t="s">
        <v>370</v>
      </c>
      <c r="B1937">
        <f>IFERROR(INDEX(MASTER_REGISTER!C:C,MATCH(C1937,MASTER_REGISTER!E:E,0)),"")</f>
        <v>9</v>
      </c>
      <c r="C1937" t="s">
        <v>138</v>
      </c>
      <c r="D1937" t="str">
        <f>IFERROR(INDEX(MASTER_REGISTER!F:F,MATCH(C1937,MASTER_REGISTER!E:E,0)),"")</f>
        <v>Thabo Molefe</v>
      </c>
      <c r="E1937" t="s">
        <v>337</v>
      </c>
      <c r="F1937" t="s">
        <v>338</v>
      </c>
      <c r="G1937" t="s">
        <v>339</v>
      </c>
    </row>
    <row r="1938" spans="1:8" x14ac:dyDescent="0.3">
      <c r="A1938" t="s">
        <v>370</v>
      </c>
      <c r="B1938">
        <f>IFERROR(INDEX(MASTER_REGISTER!C:C,MATCH(C1938,MASTER_REGISTER!E:E,0)),"")</f>
        <v>9</v>
      </c>
      <c r="C1938" t="s">
        <v>143</v>
      </c>
      <c r="D1938" t="str">
        <f>IFERROR(INDEX(MASTER_REGISTER!F:F,MATCH(C1938,MASTER_REGISTER!E:E,0)),"")</f>
        <v>Mpho Ngobeni</v>
      </c>
      <c r="E1938" t="s">
        <v>337</v>
      </c>
      <c r="F1938" t="s">
        <v>338</v>
      </c>
      <c r="G1938" t="s">
        <v>339</v>
      </c>
    </row>
    <row r="1939" spans="1:8" x14ac:dyDescent="0.3">
      <c r="A1939" t="s">
        <v>370</v>
      </c>
      <c r="B1939">
        <f>IFERROR(INDEX(MASTER_REGISTER!C:C,MATCH(C1939,MASTER_REGISTER!E:E,0)),"")</f>
        <v>9</v>
      </c>
      <c r="C1939" t="s">
        <v>148</v>
      </c>
      <c r="D1939" t="str">
        <f>IFERROR(INDEX(MASTER_REGISTER!F:F,MATCH(C1939,MASTER_REGISTER!E:E,0)),"")</f>
        <v>Siyanda Mhlongo</v>
      </c>
      <c r="E1939" t="s">
        <v>335</v>
      </c>
      <c r="H1939" t="s">
        <v>336</v>
      </c>
    </row>
    <row r="1940" spans="1:8" x14ac:dyDescent="0.3">
      <c r="A1940" t="s">
        <v>370</v>
      </c>
      <c r="B1940">
        <f>IFERROR(INDEX(MASTER_REGISTER!C:C,MATCH(C1940,MASTER_REGISTER!E:E,0)),"")</f>
        <v>9</v>
      </c>
      <c r="C1940" t="s">
        <v>153</v>
      </c>
      <c r="D1940" t="str">
        <f>IFERROR(INDEX(MASTER_REGISTER!F:F,MATCH(C1940,MASTER_REGISTER!E:E,0)),"")</f>
        <v>Siyanda Mahlangu</v>
      </c>
      <c r="E1940" t="s">
        <v>337</v>
      </c>
      <c r="F1940" t="s">
        <v>338</v>
      </c>
      <c r="G1940" t="s">
        <v>339</v>
      </c>
    </row>
    <row r="1941" spans="1:8" x14ac:dyDescent="0.3">
      <c r="A1941" t="s">
        <v>370</v>
      </c>
      <c r="B1941">
        <f>IFERROR(INDEX(MASTER_REGISTER!C:C,MATCH(C1941,MASTER_REGISTER!E:E,0)),"")</f>
        <v>9</v>
      </c>
      <c r="C1941" t="s">
        <v>158</v>
      </c>
      <c r="D1941" t="str">
        <f>IFERROR(INDEX(MASTER_REGISTER!F:F,MATCH(C1941,MASTER_REGISTER!E:E,0)),"")</f>
        <v>Sifiso Ramushu</v>
      </c>
      <c r="E1941" t="s">
        <v>337</v>
      </c>
      <c r="F1941" t="s">
        <v>338</v>
      </c>
      <c r="G1941" t="s">
        <v>339</v>
      </c>
    </row>
    <row r="1942" spans="1:8" x14ac:dyDescent="0.3">
      <c r="A1942" t="s">
        <v>370</v>
      </c>
      <c r="B1942">
        <f>IFERROR(INDEX(MASTER_REGISTER!C:C,MATCH(C1942,MASTER_REGISTER!E:E,0)),"")</f>
        <v>9</v>
      </c>
      <c r="C1942" t="s">
        <v>163</v>
      </c>
      <c r="D1942" t="str">
        <f>IFERROR(INDEX(MASTER_REGISTER!F:F,MATCH(C1942,MASTER_REGISTER!E:E,0)),"")</f>
        <v>Nandi Ngobeni</v>
      </c>
      <c r="E1942" t="s">
        <v>337</v>
      </c>
      <c r="F1942" t="s">
        <v>338</v>
      </c>
      <c r="G1942" t="s">
        <v>339</v>
      </c>
    </row>
    <row r="1943" spans="1:8" x14ac:dyDescent="0.3">
      <c r="A1943" t="s">
        <v>370</v>
      </c>
      <c r="B1943">
        <f>IFERROR(INDEX(MASTER_REGISTER!C:C,MATCH(C1943,MASTER_REGISTER!E:E,0)),"")</f>
        <v>9</v>
      </c>
      <c r="C1943" t="s">
        <v>168</v>
      </c>
      <c r="D1943" t="str">
        <f>IFERROR(INDEX(MASTER_REGISTER!F:F,MATCH(C1943,MASTER_REGISTER!E:E,0)),"")</f>
        <v>Karabo Mokgadi</v>
      </c>
      <c r="E1943" t="s">
        <v>337</v>
      </c>
      <c r="F1943" t="s">
        <v>338</v>
      </c>
      <c r="G1943" t="s">
        <v>339</v>
      </c>
    </row>
    <row r="1944" spans="1:8" x14ac:dyDescent="0.3">
      <c r="A1944" t="s">
        <v>370</v>
      </c>
      <c r="B1944">
        <f>IFERROR(INDEX(MASTER_REGISTER!C:C,MATCH(C1944,MASTER_REGISTER!E:E,0)),"")</f>
        <v>9</v>
      </c>
      <c r="C1944" t="s">
        <v>173</v>
      </c>
      <c r="D1944" t="str">
        <f>IFERROR(INDEX(MASTER_REGISTER!F:F,MATCH(C1944,MASTER_REGISTER!E:E,0)),"")</f>
        <v>Sifiso Mahlangu</v>
      </c>
      <c r="E1944" t="s">
        <v>337</v>
      </c>
      <c r="F1944" t="s">
        <v>338</v>
      </c>
      <c r="G1944" t="s">
        <v>339</v>
      </c>
    </row>
    <row r="1945" spans="1:8" x14ac:dyDescent="0.3">
      <c r="A1945" t="s">
        <v>370</v>
      </c>
      <c r="B1945">
        <f>IFERROR(INDEX(MASTER_REGISTER!C:C,MATCH(C1945,MASTER_REGISTER!E:E,0)),"")</f>
        <v>9</v>
      </c>
      <c r="C1945" t="s">
        <v>178</v>
      </c>
      <c r="D1945" t="str">
        <f>IFERROR(INDEX(MASTER_REGISTER!F:F,MATCH(C1945,MASTER_REGISTER!E:E,0)),"")</f>
        <v>Kgothatso Radebe</v>
      </c>
      <c r="E1945" t="s">
        <v>337</v>
      </c>
      <c r="F1945" t="s">
        <v>338</v>
      </c>
      <c r="G1945" t="s">
        <v>339</v>
      </c>
    </row>
    <row r="1946" spans="1:8" x14ac:dyDescent="0.3">
      <c r="A1946" t="s">
        <v>370</v>
      </c>
      <c r="B1946">
        <f>IFERROR(INDEX(MASTER_REGISTER!C:C,MATCH(C1946,MASTER_REGISTER!E:E,0)),"")</f>
        <v>10</v>
      </c>
      <c r="C1946" t="s">
        <v>183</v>
      </c>
      <c r="D1946" t="str">
        <f>IFERROR(INDEX(MASTER_REGISTER!F:F,MATCH(C1946,MASTER_REGISTER!E:E,0)),"")</f>
        <v>Lerato Maseko</v>
      </c>
      <c r="E1946" t="s">
        <v>335</v>
      </c>
      <c r="H1946" t="s">
        <v>336</v>
      </c>
    </row>
    <row r="1947" spans="1:8" x14ac:dyDescent="0.3">
      <c r="A1947" t="s">
        <v>370</v>
      </c>
      <c r="B1947">
        <f>IFERROR(INDEX(MASTER_REGISTER!C:C,MATCH(C1947,MASTER_REGISTER!E:E,0)),"")</f>
        <v>10</v>
      </c>
      <c r="C1947" t="s">
        <v>188</v>
      </c>
      <c r="D1947" t="str">
        <f>IFERROR(INDEX(MASTER_REGISTER!F:F,MATCH(C1947,MASTER_REGISTER!E:E,0)),"")</f>
        <v>Sibusiso Molefe</v>
      </c>
      <c r="E1947" t="s">
        <v>337</v>
      </c>
      <c r="F1947" t="s">
        <v>338</v>
      </c>
      <c r="G1947" t="s">
        <v>339</v>
      </c>
    </row>
    <row r="1948" spans="1:8" x14ac:dyDescent="0.3">
      <c r="A1948" t="s">
        <v>370</v>
      </c>
      <c r="B1948">
        <f>IFERROR(INDEX(MASTER_REGISTER!C:C,MATCH(C1948,MASTER_REGISTER!E:E,0)),"")</f>
        <v>10</v>
      </c>
      <c r="C1948" t="s">
        <v>193</v>
      </c>
      <c r="D1948" t="str">
        <f>IFERROR(INDEX(MASTER_REGISTER!F:F,MATCH(C1948,MASTER_REGISTER!E:E,0)),"")</f>
        <v>Nandi Molefe</v>
      </c>
      <c r="E1948" t="s">
        <v>337</v>
      </c>
      <c r="F1948" t="s">
        <v>338</v>
      </c>
      <c r="G1948" t="s">
        <v>339</v>
      </c>
    </row>
    <row r="1949" spans="1:8" x14ac:dyDescent="0.3">
      <c r="A1949" t="s">
        <v>370</v>
      </c>
      <c r="B1949">
        <f>IFERROR(INDEX(MASTER_REGISTER!C:C,MATCH(C1949,MASTER_REGISTER!E:E,0)),"")</f>
        <v>10</v>
      </c>
      <c r="C1949" t="s">
        <v>198</v>
      </c>
      <c r="D1949" t="str">
        <f>IFERROR(INDEX(MASTER_REGISTER!F:F,MATCH(C1949,MASTER_REGISTER!E:E,0)),"")</f>
        <v>Kgothatso Baloyi</v>
      </c>
      <c r="E1949" t="s">
        <v>337</v>
      </c>
      <c r="F1949" t="s">
        <v>338</v>
      </c>
      <c r="G1949" t="s">
        <v>339</v>
      </c>
    </row>
    <row r="1950" spans="1:8" x14ac:dyDescent="0.3">
      <c r="A1950" t="s">
        <v>370</v>
      </c>
      <c r="B1950">
        <f>IFERROR(INDEX(MASTER_REGISTER!C:C,MATCH(C1950,MASTER_REGISTER!E:E,0)),"")</f>
        <v>10</v>
      </c>
      <c r="C1950" t="s">
        <v>202</v>
      </c>
      <c r="D1950" t="str">
        <f>IFERROR(INDEX(MASTER_REGISTER!F:F,MATCH(C1950,MASTER_REGISTER!E:E,0)),"")</f>
        <v>Ayanda Mokoena</v>
      </c>
      <c r="E1950" t="s">
        <v>337</v>
      </c>
      <c r="F1950" t="s">
        <v>338</v>
      </c>
      <c r="G1950" t="s">
        <v>339</v>
      </c>
    </row>
    <row r="1951" spans="1:8" x14ac:dyDescent="0.3">
      <c r="A1951" t="s">
        <v>370</v>
      </c>
      <c r="B1951">
        <f>IFERROR(INDEX(MASTER_REGISTER!C:C,MATCH(C1951,MASTER_REGISTER!E:E,0)),"")</f>
        <v>10</v>
      </c>
      <c r="C1951" t="s">
        <v>206</v>
      </c>
      <c r="D1951" t="str">
        <f>IFERROR(INDEX(MASTER_REGISTER!F:F,MATCH(C1951,MASTER_REGISTER!E:E,0)),"")</f>
        <v>Lwazi Baloyi</v>
      </c>
      <c r="E1951" t="s">
        <v>337</v>
      </c>
      <c r="F1951" t="s">
        <v>338</v>
      </c>
      <c r="G1951" t="s">
        <v>339</v>
      </c>
    </row>
    <row r="1952" spans="1:8" x14ac:dyDescent="0.3">
      <c r="A1952" t="s">
        <v>370</v>
      </c>
      <c r="B1952">
        <f>IFERROR(INDEX(MASTER_REGISTER!C:C,MATCH(C1952,MASTER_REGISTER!E:E,0)),"")</f>
        <v>10</v>
      </c>
      <c r="C1952" t="s">
        <v>210</v>
      </c>
      <c r="D1952" t="str">
        <f>IFERROR(INDEX(MASTER_REGISTER!F:F,MATCH(C1952,MASTER_REGISTER!E:E,0)),"")</f>
        <v>Siyanda Mokoena</v>
      </c>
      <c r="E1952" t="s">
        <v>337</v>
      </c>
      <c r="F1952" t="s">
        <v>338</v>
      </c>
      <c r="G1952" t="s">
        <v>339</v>
      </c>
    </row>
    <row r="1953" spans="1:8" x14ac:dyDescent="0.3">
      <c r="A1953" t="s">
        <v>370</v>
      </c>
      <c r="B1953">
        <f>IFERROR(INDEX(MASTER_REGISTER!C:C,MATCH(C1953,MASTER_REGISTER!E:E,0)),"")</f>
        <v>10</v>
      </c>
      <c r="C1953" t="s">
        <v>214</v>
      </c>
      <c r="D1953" t="str">
        <f>IFERROR(INDEX(MASTER_REGISTER!F:F,MATCH(C1953,MASTER_REGISTER!E:E,0)),"")</f>
        <v>Mpho Ngobeni</v>
      </c>
      <c r="E1953" t="s">
        <v>337</v>
      </c>
      <c r="F1953" t="s">
        <v>338</v>
      </c>
      <c r="G1953" t="s">
        <v>339</v>
      </c>
    </row>
    <row r="1954" spans="1:8" x14ac:dyDescent="0.3">
      <c r="A1954" t="s">
        <v>370</v>
      </c>
      <c r="B1954">
        <f>IFERROR(INDEX(MASTER_REGISTER!C:C,MATCH(C1954,MASTER_REGISTER!E:E,0)),"")</f>
        <v>10</v>
      </c>
      <c r="C1954" t="s">
        <v>217</v>
      </c>
      <c r="D1954" t="str">
        <f>IFERROR(INDEX(MASTER_REGISTER!F:F,MATCH(C1954,MASTER_REGISTER!E:E,0)),"")</f>
        <v>Naledi Makhubela</v>
      </c>
      <c r="E1954" t="s">
        <v>337</v>
      </c>
      <c r="F1954" t="s">
        <v>338</v>
      </c>
      <c r="G1954" t="s">
        <v>339</v>
      </c>
    </row>
    <row r="1955" spans="1:8" x14ac:dyDescent="0.3">
      <c r="A1955" t="s">
        <v>370</v>
      </c>
      <c r="B1955">
        <f>IFERROR(INDEX(MASTER_REGISTER!C:C,MATCH(C1955,MASTER_REGISTER!E:E,0)),"")</f>
        <v>10</v>
      </c>
      <c r="C1955" t="s">
        <v>221</v>
      </c>
      <c r="D1955" t="str">
        <f>IFERROR(INDEX(MASTER_REGISTER!F:F,MATCH(C1955,MASTER_REGISTER!E:E,0)),"")</f>
        <v>Kgothatso Mokoena</v>
      </c>
      <c r="E1955" t="s">
        <v>337</v>
      </c>
      <c r="F1955" t="s">
        <v>338</v>
      </c>
      <c r="G1955" t="s">
        <v>339</v>
      </c>
    </row>
    <row r="1956" spans="1:8" x14ac:dyDescent="0.3">
      <c r="A1956" t="s">
        <v>370</v>
      </c>
      <c r="B1956">
        <f>IFERROR(INDEX(MASTER_REGISTER!C:C,MATCH(C1956,MASTER_REGISTER!E:E,0)),"")</f>
        <v>10</v>
      </c>
      <c r="C1956" t="s">
        <v>225</v>
      </c>
      <c r="D1956" t="str">
        <f>IFERROR(INDEX(MASTER_REGISTER!F:F,MATCH(C1956,MASTER_REGISTER!E:E,0)),"")</f>
        <v>Bongani Makhubela</v>
      </c>
      <c r="E1956" t="s">
        <v>335</v>
      </c>
      <c r="H1956" t="s">
        <v>336</v>
      </c>
    </row>
    <row r="1957" spans="1:8" x14ac:dyDescent="0.3">
      <c r="A1957" t="s">
        <v>370</v>
      </c>
      <c r="B1957">
        <f>IFERROR(INDEX(MASTER_REGISTER!C:C,MATCH(C1957,MASTER_REGISTER!E:E,0)),"")</f>
        <v>10</v>
      </c>
      <c r="C1957" t="s">
        <v>229</v>
      </c>
      <c r="D1957" t="str">
        <f>IFERROR(INDEX(MASTER_REGISTER!F:F,MATCH(C1957,MASTER_REGISTER!E:E,0)),"")</f>
        <v>Kagiso Kekana</v>
      </c>
      <c r="E1957" t="s">
        <v>337</v>
      </c>
      <c r="F1957" t="s">
        <v>338</v>
      </c>
      <c r="G1957" t="s">
        <v>339</v>
      </c>
    </row>
    <row r="1958" spans="1:8" x14ac:dyDescent="0.3">
      <c r="A1958" t="s">
        <v>370</v>
      </c>
      <c r="B1958">
        <f>IFERROR(INDEX(MASTER_REGISTER!C:C,MATCH(C1958,MASTER_REGISTER!E:E,0)),"")</f>
        <v>11</v>
      </c>
      <c r="C1958" t="s">
        <v>233</v>
      </c>
      <c r="D1958" t="str">
        <f>IFERROR(INDEX(MASTER_REGISTER!F:F,MATCH(C1958,MASTER_REGISTER!E:E,0)),"")</f>
        <v>Lwazi Makhubela</v>
      </c>
      <c r="E1958" t="s">
        <v>335</v>
      </c>
      <c r="H1958" t="s">
        <v>342</v>
      </c>
    </row>
    <row r="1959" spans="1:8" x14ac:dyDescent="0.3">
      <c r="A1959" t="s">
        <v>370</v>
      </c>
      <c r="B1959">
        <f>IFERROR(INDEX(MASTER_REGISTER!C:C,MATCH(C1959,MASTER_REGISTER!E:E,0)),"")</f>
        <v>11</v>
      </c>
      <c r="C1959" t="s">
        <v>237</v>
      </c>
      <c r="D1959" t="str">
        <f>IFERROR(INDEX(MASTER_REGISTER!F:F,MATCH(C1959,MASTER_REGISTER!E:E,0)),"")</f>
        <v>Lebogang Ramushu</v>
      </c>
      <c r="E1959" t="s">
        <v>335</v>
      </c>
      <c r="H1959" t="s">
        <v>341</v>
      </c>
    </row>
    <row r="1960" spans="1:8" x14ac:dyDescent="0.3">
      <c r="A1960" t="s">
        <v>370</v>
      </c>
      <c r="B1960">
        <f>IFERROR(INDEX(MASTER_REGISTER!C:C,MATCH(C1960,MASTER_REGISTER!E:E,0)),"")</f>
        <v>11</v>
      </c>
      <c r="C1960" t="s">
        <v>241</v>
      </c>
      <c r="D1960" t="str">
        <f>IFERROR(INDEX(MASTER_REGISTER!F:F,MATCH(C1960,MASTER_REGISTER!E:E,0)),"")</f>
        <v>Lerato Kekana</v>
      </c>
      <c r="E1960" t="s">
        <v>337</v>
      </c>
      <c r="F1960" t="s">
        <v>338</v>
      </c>
      <c r="G1960" t="s">
        <v>339</v>
      </c>
    </row>
    <row r="1961" spans="1:8" x14ac:dyDescent="0.3">
      <c r="A1961" t="s">
        <v>370</v>
      </c>
      <c r="B1961">
        <f>IFERROR(INDEX(MASTER_REGISTER!C:C,MATCH(C1961,MASTER_REGISTER!E:E,0)),"")</f>
        <v>11</v>
      </c>
      <c r="C1961" t="s">
        <v>244</v>
      </c>
      <c r="D1961" t="str">
        <f>IFERROR(INDEX(MASTER_REGISTER!F:F,MATCH(C1961,MASTER_REGISTER!E:E,0)),"")</f>
        <v>Bongani Ndlovu</v>
      </c>
      <c r="E1961" t="s">
        <v>337</v>
      </c>
      <c r="F1961" t="s">
        <v>338</v>
      </c>
      <c r="G1961" t="s">
        <v>339</v>
      </c>
    </row>
    <row r="1962" spans="1:8" x14ac:dyDescent="0.3">
      <c r="A1962" t="s">
        <v>370</v>
      </c>
      <c r="B1962">
        <f>IFERROR(INDEX(MASTER_REGISTER!C:C,MATCH(C1962,MASTER_REGISTER!E:E,0)),"")</f>
        <v>11</v>
      </c>
      <c r="C1962" t="s">
        <v>248</v>
      </c>
      <c r="D1962" t="str">
        <f>IFERROR(INDEX(MASTER_REGISTER!F:F,MATCH(C1962,MASTER_REGISTER!E:E,0)),"")</f>
        <v>Sifiso Dlamini</v>
      </c>
      <c r="E1962" t="s">
        <v>335</v>
      </c>
      <c r="H1962" t="s">
        <v>336</v>
      </c>
    </row>
    <row r="1963" spans="1:8" x14ac:dyDescent="0.3">
      <c r="A1963" t="s">
        <v>370</v>
      </c>
      <c r="B1963">
        <f>IFERROR(INDEX(MASTER_REGISTER!C:C,MATCH(C1963,MASTER_REGISTER!E:E,0)),"")</f>
        <v>11</v>
      </c>
      <c r="C1963" t="s">
        <v>252</v>
      </c>
      <c r="D1963" t="str">
        <f>IFERROR(INDEX(MASTER_REGISTER!F:F,MATCH(C1963,MASTER_REGISTER!E:E,0)),"")</f>
        <v>Refilwe Dlamini</v>
      </c>
      <c r="E1963" t="s">
        <v>335</v>
      </c>
      <c r="H1963" t="s">
        <v>342</v>
      </c>
    </row>
    <row r="1964" spans="1:8" x14ac:dyDescent="0.3">
      <c r="A1964" t="s">
        <v>370</v>
      </c>
      <c r="B1964">
        <f>IFERROR(INDEX(MASTER_REGISTER!C:C,MATCH(C1964,MASTER_REGISTER!E:E,0)),"")</f>
        <v>11</v>
      </c>
      <c r="C1964" t="s">
        <v>256</v>
      </c>
      <c r="D1964" t="str">
        <f>IFERROR(INDEX(MASTER_REGISTER!F:F,MATCH(C1964,MASTER_REGISTER!E:E,0)),"")</f>
        <v>Lwazi Maseko</v>
      </c>
      <c r="E1964" t="s">
        <v>337</v>
      </c>
      <c r="F1964" t="s">
        <v>338</v>
      </c>
      <c r="G1964" t="s">
        <v>339</v>
      </c>
    </row>
    <row r="1965" spans="1:8" x14ac:dyDescent="0.3">
      <c r="A1965" t="s">
        <v>370</v>
      </c>
      <c r="B1965">
        <f>IFERROR(INDEX(MASTER_REGISTER!C:C,MATCH(C1965,MASTER_REGISTER!E:E,0)),"")</f>
        <v>11</v>
      </c>
      <c r="C1965" t="s">
        <v>260</v>
      </c>
      <c r="D1965" t="str">
        <f>IFERROR(INDEX(MASTER_REGISTER!F:F,MATCH(C1965,MASTER_REGISTER!E:E,0)),"")</f>
        <v>Refilwe Mokgadi</v>
      </c>
      <c r="E1965" t="s">
        <v>337</v>
      </c>
      <c r="F1965" t="s">
        <v>338</v>
      </c>
      <c r="G1965" t="s">
        <v>339</v>
      </c>
    </row>
    <row r="1966" spans="1:8" x14ac:dyDescent="0.3">
      <c r="A1966" t="s">
        <v>370</v>
      </c>
      <c r="B1966">
        <f>IFERROR(INDEX(MASTER_REGISTER!C:C,MATCH(C1966,MASTER_REGISTER!E:E,0)),"")</f>
        <v>11</v>
      </c>
      <c r="C1966" t="s">
        <v>264</v>
      </c>
      <c r="D1966" t="str">
        <f>IFERROR(INDEX(MASTER_REGISTER!F:F,MATCH(C1966,MASTER_REGISTER!E:E,0)),"")</f>
        <v>Kgothatso Molefe</v>
      </c>
      <c r="E1966" t="s">
        <v>337</v>
      </c>
      <c r="F1966" t="s">
        <v>338</v>
      </c>
      <c r="G1966" t="s">
        <v>339</v>
      </c>
    </row>
    <row r="1967" spans="1:8" x14ac:dyDescent="0.3">
      <c r="A1967" t="s">
        <v>370</v>
      </c>
      <c r="B1967">
        <f>IFERROR(INDEX(MASTER_REGISTER!C:C,MATCH(C1967,MASTER_REGISTER!E:E,0)),"")</f>
        <v>11</v>
      </c>
      <c r="C1967" t="s">
        <v>268</v>
      </c>
      <c r="D1967" t="str">
        <f>IFERROR(INDEX(MASTER_REGISTER!F:F,MATCH(C1967,MASTER_REGISTER!E:E,0)),"")</f>
        <v>Tshepo Mokgadi</v>
      </c>
      <c r="E1967" t="s">
        <v>337</v>
      </c>
      <c r="F1967" t="s">
        <v>338</v>
      </c>
      <c r="G1967" t="s">
        <v>339</v>
      </c>
    </row>
    <row r="1968" spans="1:8" x14ac:dyDescent="0.3">
      <c r="A1968" t="s">
        <v>370</v>
      </c>
      <c r="B1968">
        <f>IFERROR(INDEX(MASTER_REGISTER!C:C,MATCH(C1968,MASTER_REGISTER!E:E,0)),"")</f>
        <v>11</v>
      </c>
      <c r="C1968" t="s">
        <v>272</v>
      </c>
      <c r="D1968" t="str">
        <f>IFERROR(INDEX(MASTER_REGISTER!F:F,MATCH(C1968,MASTER_REGISTER!E:E,0)),"")</f>
        <v>Tshepo Phiri</v>
      </c>
      <c r="E1968" t="s">
        <v>337</v>
      </c>
      <c r="F1968" t="s">
        <v>338</v>
      </c>
      <c r="G1968" t="s">
        <v>339</v>
      </c>
    </row>
    <row r="1969" spans="1:8" x14ac:dyDescent="0.3">
      <c r="A1969" t="s">
        <v>370</v>
      </c>
      <c r="B1969">
        <f>IFERROR(INDEX(MASTER_REGISTER!C:C,MATCH(C1969,MASTER_REGISTER!E:E,0)),"")</f>
        <v>11</v>
      </c>
      <c r="C1969" t="s">
        <v>276</v>
      </c>
      <c r="D1969" t="str">
        <f>IFERROR(INDEX(MASTER_REGISTER!F:F,MATCH(C1969,MASTER_REGISTER!E:E,0)),"")</f>
        <v>Zanele Ngobeni</v>
      </c>
      <c r="E1969" t="s">
        <v>337</v>
      </c>
      <c r="F1969" t="s">
        <v>338</v>
      </c>
      <c r="G1969" t="s">
        <v>339</v>
      </c>
    </row>
    <row r="1970" spans="1:8" x14ac:dyDescent="0.3">
      <c r="A1970" t="s">
        <v>370</v>
      </c>
      <c r="B1970">
        <f>IFERROR(INDEX(MASTER_REGISTER!C:C,MATCH(C1970,MASTER_REGISTER!E:E,0)),"")</f>
        <v>12</v>
      </c>
      <c r="C1970" t="s">
        <v>280</v>
      </c>
      <c r="D1970" t="str">
        <f>IFERROR(INDEX(MASTER_REGISTER!F:F,MATCH(C1970,MASTER_REGISTER!E:E,0)),"")</f>
        <v>Palesa Mokoena</v>
      </c>
      <c r="E1970" t="s">
        <v>337</v>
      </c>
      <c r="F1970" t="s">
        <v>338</v>
      </c>
      <c r="G1970" t="s">
        <v>339</v>
      </c>
    </row>
    <row r="1971" spans="1:8" x14ac:dyDescent="0.3">
      <c r="A1971" t="s">
        <v>370</v>
      </c>
      <c r="B1971">
        <f>IFERROR(INDEX(MASTER_REGISTER!C:C,MATCH(C1971,MASTER_REGISTER!E:E,0)),"")</f>
        <v>12</v>
      </c>
      <c r="C1971" t="s">
        <v>284</v>
      </c>
      <c r="D1971" t="str">
        <f>IFERROR(INDEX(MASTER_REGISTER!F:F,MATCH(C1971,MASTER_REGISTER!E:E,0)),"")</f>
        <v>Thabo Ramushu</v>
      </c>
      <c r="E1971" t="s">
        <v>335</v>
      </c>
      <c r="H1971" t="s">
        <v>336</v>
      </c>
    </row>
    <row r="1972" spans="1:8" x14ac:dyDescent="0.3">
      <c r="A1972" t="s">
        <v>370</v>
      </c>
      <c r="B1972">
        <f>IFERROR(INDEX(MASTER_REGISTER!C:C,MATCH(C1972,MASTER_REGISTER!E:E,0)),"")</f>
        <v>12</v>
      </c>
      <c r="C1972" t="s">
        <v>288</v>
      </c>
      <c r="D1972" t="str">
        <f>IFERROR(INDEX(MASTER_REGISTER!F:F,MATCH(C1972,MASTER_REGISTER!E:E,0)),"")</f>
        <v>Lwazi Ndlovu</v>
      </c>
      <c r="E1972" t="s">
        <v>335</v>
      </c>
      <c r="H1972" t="s">
        <v>342</v>
      </c>
    </row>
    <row r="1973" spans="1:8" x14ac:dyDescent="0.3">
      <c r="A1973" t="s">
        <v>370</v>
      </c>
      <c r="B1973">
        <f>IFERROR(INDEX(MASTER_REGISTER!C:C,MATCH(C1973,MASTER_REGISTER!E:E,0)),"")</f>
        <v>12</v>
      </c>
      <c r="C1973" t="s">
        <v>292</v>
      </c>
      <c r="D1973" t="str">
        <f>IFERROR(INDEX(MASTER_REGISTER!F:F,MATCH(C1973,MASTER_REGISTER!E:E,0)),"")</f>
        <v>Ayanda Dlamini</v>
      </c>
      <c r="E1973" t="s">
        <v>337</v>
      </c>
      <c r="F1973" t="s">
        <v>338</v>
      </c>
      <c r="G1973" t="s">
        <v>339</v>
      </c>
    </row>
    <row r="1974" spans="1:8" x14ac:dyDescent="0.3">
      <c r="A1974" t="s">
        <v>370</v>
      </c>
      <c r="B1974">
        <f>IFERROR(INDEX(MASTER_REGISTER!C:C,MATCH(C1974,MASTER_REGISTER!E:E,0)),"")</f>
        <v>12</v>
      </c>
      <c r="C1974" t="s">
        <v>296</v>
      </c>
      <c r="D1974" t="str">
        <f>IFERROR(INDEX(MASTER_REGISTER!F:F,MATCH(C1974,MASTER_REGISTER!E:E,0)),"")</f>
        <v>Neo Ndlovu</v>
      </c>
      <c r="E1974" t="s">
        <v>335</v>
      </c>
      <c r="H1974" t="s">
        <v>340</v>
      </c>
    </row>
    <row r="1975" spans="1:8" x14ac:dyDescent="0.3">
      <c r="A1975" t="s">
        <v>370</v>
      </c>
      <c r="B1975">
        <f>IFERROR(INDEX(MASTER_REGISTER!C:C,MATCH(C1975,MASTER_REGISTER!E:E,0)),"")</f>
        <v>12</v>
      </c>
      <c r="C1975" t="s">
        <v>300</v>
      </c>
      <c r="D1975" t="str">
        <f>IFERROR(INDEX(MASTER_REGISTER!F:F,MATCH(C1975,MASTER_REGISTER!E:E,0)),"")</f>
        <v>Neo Ramushu</v>
      </c>
      <c r="E1975" t="s">
        <v>337</v>
      </c>
      <c r="F1975" t="s">
        <v>338</v>
      </c>
      <c r="G1975" t="s">
        <v>339</v>
      </c>
    </row>
    <row r="1976" spans="1:8" x14ac:dyDescent="0.3">
      <c r="A1976" t="s">
        <v>370</v>
      </c>
      <c r="B1976">
        <f>IFERROR(INDEX(MASTER_REGISTER!C:C,MATCH(C1976,MASTER_REGISTER!E:E,0)),"")</f>
        <v>12</v>
      </c>
      <c r="C1976" t="s">
        <v>304</v>
      </c>
      <c r="D1976" t="str">
        <f>IFERROR(INDEX(MASTER_REGISTER!F:F,MATCH(C1976,MASTER_REGISTER!E:E,0)),"")</f>
        <v>Karabo Baloyi</v>
      </c>
      <c r="E1976" t="s">
        <v>337</v>
      </c>
      <c r="F1976" t="s">
        <v>338</v>
      </c>
      <c r="G1976" t="s">
        <v>339</v>
      </c>
    </row>
    <row r="1977" spans="1:8" x14ac:dyDescent="0.3">
      <c r="A1977" t="s">
        <v>370</v>
      </c>
      <c r="B1977">
        <f>IFERROR(INDEX(MASTER_REGISTER!C:C,MATCH(C1977,MASTER_REGISTER!E:E,0)),"")</f>
        <v>12</v>
      </c>
      <c r="C1977" t="s">
        <v>308</v>
      </c>
      <c r="D1977" t="str">
        <f>IFERROR(INDEX(MASTER_REGISTER!F:F,MATCH(C1977,MASTER_REGISTER!E:E,0)),"")</f>
        <v>Tshepo Mokgadi</v>
      </c>
      <c r="E1977" t="s">
        <v>337</v>
      </c>
      <c r="F1977" t="s">
        <v>338</v>
      </c>
      <c r="G1977" t="s">
        <v>339</v>
      </c>
    </row>
    <row r="1978" spans="1:8" x14ac:dyDescent="0.3">
      <c r="A1978" t="s">
        <v>370</v>
      </c>
      <c r="B1978">
        <f>IFERROR(INDEX(MASTER_REGISTER!C:C,MATCH(C1978,MASTER_REGISTER!E:E,0)),"")</f>
        <v>12</v>
      </c>
      <c r="C1978" t="s">
        <v>311</v>
      </c>
      <c r="D1978" t="str">
        <f>IFERROR(INDEX(MASTER_REGISTER!F:F,MATCH(C1978,MASTER_REGISTER!E:E,0)),"")</f>
        <v>Sifiso Mavuso</v>
      </c>
      <c r="E1978" t="s">
        <v>337</v>
      </c>
      <c r="F1978" t="s">
        <v>338</v>
      </c>
      <c r="G1978" t="s">
        <v>339</v>
      </c>
    </row>
    <row r="1979" spans="1:8" x14ac:dyDescent="0.3">
      <c r="A1979" t="s">
        <v>370</v>
      </c>
      <c r="B1979">
        <f>IFERROR(INDEX(MASTER_REGISTER!C:C,MATCH(C1979,MASTER_REGISTER!E:E,0)),"")</f>
        <v>12</v>
      </c>
      <c r="C1979" t="s">
        <v>315</v>
      </c>
      <c r="D1979" t="str">
        <f>IFERROR(INDEX(MASTER_REGISTER!F:F,MATCH(C1979,MASTER_REGISTER!E:E,0)),"")</f>
        <v>Refilwe Sithole</v>
      </c>
      <c r="E1979" t="s">
        <v>337</v>
      </c>
      <c r="F1979" t="s">
        <v>338</v>
      </c>
      <c r="G1979" t="s">
        <v>339</v>
      </c>
    </row>
    <row r="1980" spans="1:8" x14ac:dyDescent="0.3">
      <c r="A1980" t="s">
        <v>370</v>
      </c>
      <c r="B1980">
        <f>IFERROR(INDEX(MASTER_REGISTER!C:C,MATCH(C1980,MASTER_REGISTER!E:E,0)),"")</f>
        <v>12</v>
      </c>
      <c r="C1980" t="s">
        <v>319</v>
      </c>
      <c r="D1980" t="str">
        <f>IFERROR(INDEX(MASTER_REGISTER!F:F,MATCH(C1980,MASTER_REGISTER!E:E,0)),"")</f>
        <v>Lerato Sithole</v>
      </c>
      <c r="E1980" t="s">
        <v>337</v>
      </c>
      <c r="F1980" t="s">
        <v>338</v>
      </c>
      <c r="G1980" t="s">
        <v>339</v>
      </c>
    </row>
    <row r="1981" spans="1:8" x14ac:dyDescent="0.3">
      <c r="A1981" t="s">
        <v>370</v>
      </c>
      <c r="B1981">
        <f>IFERROR(INDEX(MASTER_REGISTER!C:C,MATCH(C1981,MASTER_REGISTER!E:E,0)),"")</f>
        <v>12</v>
      </c>
      <c r="C1981" t="s">
        <v>323</v>
      </c>
      <c r="D1981" t="str">
        <f>IFERROR(INDEX(MASTER_REGISTER!F:F,MATCH(C1981,MASTER_REGISTER!E:E,0)),"")</f>
        <v>Sibusiso Ngobeni</v>
      </c>
      <c r="E1981" t="s">
        <v>337</v>
      </c>
      <c r="F1981" t="s">
        <v>338</v>
      </c>
      <c r="G1981" t="s">
        <v>339</v>
      </c>
    </row>
    <row r="1982" spans="1:8" x14ac:dyDescent="0.3">
      <c r="A1982" t="s">
        <v>371</v>
      </c>
      <c r="B1982">
        <f>IFERROR(INDEX(MASTER_REGISTER!C:C,MATCH(C1982,MASTER_REGISTER!E:E,0)),"")</f>
        <v>8</v>
      </c>
      <c r="C1982" t="s">
        <v>50</v>
      </c>
      <c r="D1982" t="str">
        <f>IFERROR(INDEX(MASTER_REGISTER!F:F,MATCH(C1982,MASTER_REGISTER!E:E,0)),"")</f>
        <v>Lerato Nkosi</v>
      </c>
      <c r="E1982" t="s">
        <v>335</v>
      </c>
      <c r="H1982" t="s">
        <v>342</v>
      </c>
    </row>
    <row r="1983" spans="1:8" x14ac:dyDescent="0.3">
      <c r="A1983" t="s">
        <v>371</v>
      </c>
      <c r="B1983">
        <f>IFERROR(INDEX(MASTER_REGISTER!C:C,MATCH(C1983,MASTER_REGISTER!E:E,0)),"")</f>
        <v>8</v>
      </c>
      <c r="C1983" t="s">
        <v>58</v>
      </c>
      <c r="D1983" t="str">
        <f>IFERROR(INDEX(MASTER_REGISTER!F:F,MATCH(C1983,MASTER_REGISTER!E:E,0)),"")</f>
        <v>Karabo Maseko</v>
      </c>
      <c r="E1983" t="s">
        <v>337</v>
      </c>
      <c r="F1983" t="s">
        <v>338</v>
      </c>
      <c r="G1983" t="s">
        <v>339</v>
      </c>
    </row>
    <row r="1984" spans="1:8" x14ac:dyDescent="0.3">
      <c r="A1984" t="s">
        <v>371</v>
      </c>
      <c r="B1984">
        <f>IFERROR(INDEX(MASTER_REGISTER!C:C,MATCH(C1984,MASTER_REGISTER!E:E,0)),"")</f>
        <v>8</v>
      </c>
      <c r="C1984" t="s">
        <v>64</v>
      </c>
      <c r="D1984" t="str">
        <f>IFERROR(INDEX(MASTER_REGISTER!F:F,MATCH(C1984,MASTER_REGISTER!E:E,0)),"")</f>
        <v>Sifiso Sithole</v>
      </c>
      <c r="E1984" t="s">
        <v>337</v>
      </c>
      <c r="F1984" t="s">
        <v>338</v>
      </c>
      <c r="G1984" t="s">
        <v>339</v>
      </c>
    </row>
    <row r="1985" spans="1:8" x14ac:dyDescent="0.3">
      <c r="A1985" t="s">
        <v>371</v>
      </c>
      <c r="B1985">
        <f>IFERROR(INDEX(MASTER_REGISTER!C:C,MATCH(C1985,MASTER_REGISTER!E:E,0)),"")</f>
        <v>8</v>
      </c>
      <c r="C1985" t="s">
        <v>70</v>
      </c>
      <c r="D1985" t="str">
        <f>IFERROR(INDEX(MASTER_REGISTER!F:F,MATCH(C1985,MASTER_REGISTER!E:E,0)),"")</f>
        <v>Tshepo Ndlovu</v>
      </c>
      <c r="E1985" t="s">
        <v>337</v>
      </c>
      <c r="F1985" t="s">
        <v>338</v>
      </c>
      <c r="G1985" t="s">
        <v>339</v>
      </c>
    </row>
    <row r="1986" spans="1:8" x14ac:dyDescent="0.3">
      <c r="A1986" t="s">
        <v>371</v>
      </c>
      <c r="B1986">
        <f>IFERROR(INDEX(MASTER_REGISTER!C:C,MATCH(C1986,MASTER_REGISTER!E:E,0)),"")</f>
        <v>8</v>
      </c>
      <c r="C1986" t="s">
        <v>76</v>
      </c>
      <c r="D1986" t="str">
        <f>IFERROR(INDEX(MASTER_REGISTER!F:F,MATCH(C1986,MASTER_REGISTER!E:E,0)),"")</f>
        <v>Lwazi Mthembu</v>
      </c>
      <c r="E1986" t="s">
        <v>337</v>
      </c>
      <c r="F1986" t="s">
        <v>338</v>
      </c>
      <c r="G1986" t="s">
        <v>339</v>
      </c>
    </row>
    <row r="1987" spans="1:8" x14ac:dyDescent="0.3">
      <c r="A1987" t="s">
        <v>371</v>
      </c>
      <c r="B1987">
        <f>IFERROR(INDEX(MASTER_REGISTER!C:C,MATCH(C1987,MASTER_REGISTER!E:E,0)),"")</f>
        <v>8</v>
      </c>
      <c r="C1987" t="s">
        <v>82</v>
      </c>
      <c r="D1987" t="str">
        <f>IFERROR(INDEX(MASTER_REGISTER!F:F,MATCH(C1987,MASTER_REGISTER!E:E,0)),"")</f>
        <v>Karabo Ngobeni</v>
      </c>
      <c r="E1987" t="s">
        <v>337</v>
      </c>
      <c r="F1987" t="s">
        <v>338</v>
      </c>
      <c r="G1987" t="s">
        <v>339</v>
      </c>
    </row>
    <row r="1988" spans="1:8" x14ac:dyDescent="0.3">
      <c r="A1988" t="s">
        <v>371</v>
      </c>
      <c r="B1988">
        <f>IFERROR(INDEX(MASTER_REGISTER!C:C,MATCH(C1988,MASTER_REGISTER!E:E,0)),"")</f>
        <v>8</v>
      </c>
      <c r="C1988" t="s">
        <v>88</v>
      </c>
      <c r="D1988" t="str">
        <f>IFERROR(INDEX(MASTER_REGISTER!F:F,MATCH(C1988,MASTER_REGISTER!E:E,0)),"")</f>
        <v>Mpho Sithole</v>
      </c>
      <c r="E1988" t="s">
        <v>335</v>
      </c>
      <c r="H1988" t="s">
        <v>342</v>
      </c>
    </row>
    <row r="1989" spans="1:8" x14ac:dyDescent="0.3">
      <c r="A1989" t="s">
        <v>371</v>
      </c>
      <c r="B1989">
        <f>IFERROR(INDEX(MASTER_REGISTER!C:C,MATCH(C1989,MASTER_REGISTER!E:E,0)),"")</f>
        <v>8</v>
      </c>
      <c r="C1989" t="s">
        <v>94</v>
      </c>
      <c r="D1989" t="str">
        <f>IFERROR(INDEX(MASTER_REGISTER!F:F,MATCH(C1989,MASTER_REGISTER!E:E,0)),"")</f>
        <v>Tshepo Ramushu</v>
      </c>
      <c r="E1989" t="s">
        <v>337</v>
      </c>
      <c r="F1989" t="s">
        <v>338</v>
      </c>
      <c r="G1989" t="s">
        <v>339</v>
      </c>
    </row>
    <row r="1990" spans="1:8" x14ac:dyDescent="0.3">
      <c r="A1990" t="s">
        <v>371</v>
      </c>
      <c r="B1990">
        <f>IFERROR(INDEX(MASTER_REGISTER!C:C,MATCH(C1990,MASTER_REGISTER!E:E,0)),"")</f>
        <v>8</v>
      </c>
      <c r="C1990" t="s">
        <v>100</v>
      </c>
      <c r="D1990" t="str">
        <f>IFERROR(INDEX(MASTER_REGISTER!F:F,MATCH(C1990,MASTER_REGISTER!E:E,0)),"")</f>
        <v>Lerato Kekana</v>
      </c>
      <c r="E1990" t="s">
        <v>337</v>
      </c>
      <c r="F1990" t="s">
        <v>338</v>
      </c>
      <c r="G1990" t="s">
        <v>339</v>
      </c>
    </row>
    <row r="1991" spans="1:8" x14ac:dyDescent="0.3">
      <c r="A1991" t="s">
        <v>371</v>
      </c>
      <c r="B1991">
        <f>IFERROR(INDEX(MASTER_REGISTER!C:C,MATCH(C1991,MASTER_REGISTER!E:E,0)),"")</f>
        <v>8</v>
      </c>
      <c r="C1991" t="s">
        <v>106</v>
      </c>
      <c r="D1991" t="str">
        <f>IFERROR(INDEX(MASTER_REGISTER!F:F,MATCH(C1991,MASTER_REGISTER!E:E,0)),"")</f>
        <v>Neo Ngobeni</v>
      </c>
      <c r="E1991" t="s">
        <v>337</v>
      </c>
      <c r="F1991" t="s">
        <v>338</v>
      </c>
      <c r="G1991" t="s">
        <v>339</v>
      </c>
    </row>
    <row r="1992" spans="1:8" x14ac:dyDescent="0.3">
      <c r="A1992" t="s">
        <v>371</v>
      </c>
      <c r="B1992">
        <f>IFERROR(INDEX(MASTER_REGISTER!C:C,MATCH(C1992,MASTER_REGISTER!E:E,0)),"")</f>
        <v>8</v>
      </c>
      <c r="C1992" t="s">
        <v>112</v>
      </c>
      <c r="D1992" t="str">
        <f>IFERROR(INDEX(MASTER_REGISTER!F:F,MATCH(C1992,MASTER_REGISTER!E:E,0)),"")</f>
        <v>Thabo Mokgadi</v>
      </c>
      <c r="E1992" t="s">
        <v>337</v>
      </c>
      <c r="F1992" t="s">
        <v>338</v>
      </c>
      <c r="G1992" t="s">
        <v>339</v>
      </c>
    </row>
    <row r="1993" spans="1:8" x14ac:dyDescent="0.3">
      <c r="A1993" t="s">
        <v>371</v>
      </c>
      <c r="B1993">
        <f>IFERROR(INDEX(MASTER_REGISTER!C:C,MATCH(C1993,MASTER_REGISTER!E:E,0)),"")</f>
        <v>8</v>
      </c>
      <c r="C1993" t="s">
        <v>118</v>
      </c>
      <c r="D1993" t="str">
        <f>IFERROR(INDEX(MASTER_REGISTER!F:F,MATCH(C1993,MASTER_REGISTER!E:E,0)),"")</f>
        <v>Sifiso Mthembu</v>
      </c>
      <c r="E1993" t="s">
        <v>337</v>
      </c>
      <c r="F1993" t="s">
        <v>338</v>
      </c>
      <c r="G1993" t="s">
        <v>339</v>
      </c>
    </row>
    <row r="1994" spans="1:8" x14ac:dyDescent="0.3">
      <c r="A1994" t="s">
        <v>371</v>
      </c>
      <c r="B1994">
        <f>IFERROR(INDEX(MASTER_REGISTER!C:C,MATCH(C1994,MASTER_REGISTER!E:E,0)),"")</f>
        <v>9</v>
      </c>
      <c r="C1994" t="s">
        <v>123</v>
      </c>
      <c r="D1994" t="str">
        <f>IFERROR(INDEX(MASTER_REGISTER!F:F,MATCH(C1994,MASTER_REGISTER!E:E,0)),"")</f>
        <v>Karabo Phiri</v>
      </c>
      <c r="E1994" t="s">
        <v>337</v>
      </c>
      <c r="F1994" t="s">
        <v>338</v>
      </c>
      <c r="G1994" t="s">
        <v>339</v>
      </c>
    </row>
    <row r="1995" spans="1:8" x14ac:dyDescent="0.3">
      <c r="A1995" t="s">
        <v>371</v>
      </c>
      <c r="B1995">
        <f>IFERROR(INDEX(MASTER_REGISTER!C:C,MATCH(C1995,MASTER_REGISTER!E:E,0)),"")</f>
        <v>9</v>
      </c>
      <c r="C1995" t="s">
        <v>128</v>
      </c>
      <c r="D1995" t="str">
        <f>IFERROR(INDEX(MASTER_REGISTER!F:F,MATCH(C1995,MASTER_REGISTER!E:E,0)),"")</f>
        <v>Lerato Mahlangu</v>
      </c>
      <c r="E1995" t="s">
        <v>337</v>
      </c>
      <c r="F1995" t="s">
        <v>338</v>
      </c>
      <c r="G1995" t="s">
        <v>339</v>
      </c>
    </row>
    <row r="1996" spans="1:8" x14ac:dyDescent="0.3">
      <c r="A1996" t="s">
        <v>371</v>
      </c>
      <c r="B1996">
        <f>IFERROR(INDEX(MASTER_REGISTER!C:C,MATCH(C1996,MASTER_REGISTER!E:E,0)),"")</f>
        <v>9</v>
      </c>
      <c r="C1996" t="s">
        <v>133</v>
      </c>
      <c r="D1996" t="str">
        <f>IFERROR(INDEX(MASTER_REGISTER!F:F,MATCH(C1996,MASTER_REGISTER!E:E,0)),"")</f>
        <v>Mpho Kekana</v>
      </c>
      <c r="E1996" t="s">
        <v>337</v>
      </c>
      <c r="F1996" t="s">
        <v>338</v>
      </c>
      <c r="G1996" t="s">
        <v>339</v>
      </c>
    </row>
    <row r="1997" spans="1:8" x14ac:dyDescent="0.3">
      <c r="A1997" t="s">
        <v>371</v>
      </c>
      <c r="B1997">
        <f>IFERROR(INDEX(MASTER_REGISTER!C:C,MATCH(C1997,MASTER_REGISTER!E:E,0)),"")</f>
        <v>9</v>
      </c>
      <c r="C1997" t="s">
        <v>138</v>
      </c>
      <c r="D1997" t="str">
        <f>IFERROR(INDEX(MASTER_REGISTER!F:F,MATCH(C1997,MASTER_REGISTER!E:E,0)),"")</f>
        <v>Thabo Molefe</v>
      </c>
      <c r="E1997" t="s">
        <v>337</v>
      </c>
      <c r="F1997" t="s">
        <v>338</v>
      </c>
      <c r="G1997" t="s">
        <v>339</v>
      </c>
    </row>
    <row r="1998" spans="1:8" x14ac:dyDescent="0.3">
      <c r="A1998" t="s">
        <v>371</v>
      </c>
      <c r="B1998">
        <f>IFERROR(INDEX(MASTER_REGISTER!C:C,MATCH(C1998,MASTER_REGISTER!E:E,0)),"")</f>
        <v>9</v>
      </c>
      <c r="C1998" t="s">
        <v>143</v>
      </c>
      <c r="D1998" t="str">
        <f>IFERROR(INDEX(MASTER_REGISTER!F:F,MATCH(C1998,MASTER_REGISTER!E:E,0)),"")</f>
        <v>Mpho Ngobeni</v>
      </c>
      <c r="E1998" t="s">
        <v>337</v>
      </c>
      <c r="F1998" t="s">
        <v>338</v>
      </c>
      <c r="G1998" t="s">
        <v>339</v>
      </c>
    </row>
    <row r="1999" spans="1:8" x14ac:dyDescent="0.3">
      <c r="A1999" t="s">
        <v>371</v>
      </c>
      <c r="B1999">
        <f>IFERROR(INDEX(MASTER_REGISTER!C:C,MATCH(C1999,MASTER_REGISTER!E:E,0)),"")</f>
        <v>9</v>
      </c>
      <c r="C1999" t="s">
        <v>148</v>
      </c>
      <c r="D1999" t="str">
        <f>IFERROR(INDEX(MASTER_REGISTER!F:F,MATCH(C1999,MASTER_REGISTER!E:E,0)),"")</f>
        <v>Siyanda Mhlongo</v>
      </c>
      <c r="E1999" t="s">
        <v>337</v>
      </c>
      <c r="F1999" t="s">
        <v>338</v>
      </c>
      <c r="G1999" t="s">
        <v>339</v>
      </c>
    </row>
    <row r="2000" spans="1:8" x14ac:dyDescent="0.3">
      <c r="A2000" t="s">
        <v>371</v>
      </c>
      <c r="B2000">
        <f>IFERROR(INDEX(MASTER_REGISTER!C:C,MATCH(C2000,MASTER_REGISTER!E:E,0)),"")</f>
        <v>9</v>
      </c>
      <c r="C2000" t="s">
        <v>153</v>
      </c>
      <c r="D2000" t="str">
        <f>IFERROR(INDEX(MASTER_REGISTER!F:F,MATCH(C2000,MASTER_REGISTER!E:E,0)),"")</f>
        <v>Siyanda Mahlangu</v>
      </c>
      <c r="E2000" t="s">
        <v>337</v>
      </c>
      <c r="F2000" t="s">
        <v>338</v>
      </c>
      <c r="G2000" t="s">
        <v>339</v>
      </c>
    </row>
    <row r="2001" spans="1:7" x14ac:dyDescent="0.3">
      <c r="A2001" t="s">
        <v>371</v>
      </c>
      <c r="B2001">
        <f>IFERROR(INDEX(MASTER_REGISTER!C:C,MATCH(C2001,MASTER_REGISTER!E:E,0)),"")</f>
        <v>9</v>
      </c>
      <c r="C2001" t="s">
        <v>158</v>
      </c>
      <c r="D2001" t="str">
        <f>IFERROR(INDEX(MASTER_REGISTER!F:F,MATCH(C2001,MASTER_REGISTER!E:E,0)),"")</f>
        <v>Sifiso Ramushu</v>
      </c>
      <c r="E2001" t="s">
        <v>337</v>
      </c>
      <c r="F2001" t="s">
        <v>338</v>
      </c>
      <c r="G2001" t="s">
        <v>339</v>
      </c>
    </row>
    <row r="2002" spans="1:7" x14ac:dyDescent="0.3">
      <c r="A2002" t="s">
        <v>371</v>
      </c>
      <c r="B2002">
        <f>IFERROR(INDEX(MASTER_REGISTER!C:C,MATCH(C2002,MASTER_REGISTER!E:E,0)),"")</f>
        <v>9</v>
      </c>
      <c r="C2002" t="s">
        <v>163</v>
      </c>
      <c r="D2002" t="str">
        <f>IFERROR(INDEX(MASTER_REGISTER!F:F,MATCH(C2002,MASTER_REGISTER!E:E,0)),"")</f>
        <v>Nandi Ngobeni</v>
      </c>
      <c r="E2002" t="s">
        <v>337</v>
      </c>
      <c r="F2002" t="s">
        <v>338</v>
      </c>
      <c r="G2002" t="s">
        <v>339</v>
      </c>
    </row>
    <row r="2003" spans="1:7" x14ac:dyDescent="0.3">
      <c r="A2003" t="s">
        <v>371</v>
      </c>
      <c r="B2003">
        <f>IFERROR(INDEX(MASTER_REGISTER!C:C,MATCH(C2003,MASTER_REGISTER!E:E,0)),"")</f>
        <v>9</v>
      </c>
      <c r="C2003" t="s">
        <v>168</v>
      </c>
      <c r="D2003" t="str">
        <f>IFERROR(INDEX(MASTER_REGISTER!F:F,MATCH(C2003,MASTER_REGISTER!E:E,0)),"")</f>
        <v>Karabo Mokgadi</v>
      </c>
      <c r="E2003" t="s">
        <v>337</v>
      </c>
      <c r="F2003" t="s">
        <v>338</v>
      </c>
      <c r="G2003" t="s">
        <v>339</v>
      </c>
    </row>
    <row r="2004" spans="1:7" x14ac:dyDescent="0.3">
      <c r="A2004" t="s">
        <v>371</v>
      </c>
      <c r="B2004">
        <f>IFERROR(INDEX(MASTER_REGISTER!C:C,MATCH(C2004,MASTER_REGISTER!E:E,0)),"")</f>
        <v>9</v>
      </c>
      <c r="C2004" t="s">
        <v>173</v>
      </c>
      <c r="D2004" t="str">
        <f>IFERROR(INDEX(MASTER_REGISTER!F:F,MATCH(C2004,MASTER_REGISTER!E:E,0)),"")</f>
        <v>Sifiso Mahlangu</v>
      </c>
      <c r="E2004" t="s">
        <v>337</v>
      </c>
      <c r="F2004" t="s">
        <v>338</v>
      </c>
      <c r="G2004" t="s">
        <v>339</v>
      </c>
    </row>
    <row r="2005" spans="1:7" x14ac:dyDescent="0.3">
      <c r="A2005" t="s">
        <v>371</v>
      </c>
      <c r="B2005">
        <f>IFERROR(INDEX(MASTER_REGISTER!C:C,MATCH(C2005,MASTER_REGISTER!E:E,0)),"")</f>
        <v>9</v>
      </c>
      <c r="C2005" t="s">
        <v>178</v>
      </c>
      <c r="D2005" t="str">
        <f>IFERROR(INDEX(MASTER_REGISTER!F:F,MATCH(C2005,MASTER_REGISTER!E:E,0)),"")</f>
        <v>Kgothatso Radebe</v>
      </c>
      <c r="E2005" t="s">
        <v>337</v>
      </c>
      <c r="F2005" t="s">
        <v>338</v>
      </c>
      <c r="G2005" t="s">
        <v>339</v>
      </c>
    </row>
    <row r="2006" spans="1:7" x14ac:dyDescent="0.3">
      <c r="A2006" t="s">
        <v>371</v>
      </c>
      <c r="B2006">
        <f>IFERROR(INDEX(MASTER_REGISTER!C:C,MATCH(C2006,MASTER_REGISTER!E:E,0)),"")</f>
        <v>10</v>
      </c>
      <c r="C2006" t="s">
        <v>183</v>
      </c>
      <c r="D2006" t="str">
        <f>IFERROR(INDEX(MASTER_REGISTER!F:F,MATCH(C2006,MASTER_REGISTER!E:E,0)),"")</f>
        <v>Lerato Maseko</v>
      </c>
      <c r="E2006" t="s">
        <v>337</v>
      </c>
      <c r="F2006" t="s">
        <v>338</v>
      </c>
      <c r="G2006" t="s">
        <v>339</v>
      </c>
    </row>
    <row r="2007" spans="1:7" x14ac:dyDescent="0.3">
      <c r="A2007" t="s">
        <v>371</v>
      </c>
      <c r="B2007">
        <f>IFERROR(INDEX(MASTER_REGISTER!C:C,MATCH(C2007,MASTER_REGISTER!E:E,0)),"")</f>
        <v>10</v>
      </c>
      <c r="C2007" t="s">
        <v>188</v>
      </c>
      <c r="D2007" t="str">
        <f>IFERROR(INDEX(MASTER_REGISTER!F:F,MATCH(C2007,MASTER_REGISTER!E:E,0)),"")</f>
        <v>Sibusiso Molefe</v>
      </c>
      <c r="E2007" t="s">
        <v>337</v>
      </c>
      <c r="F2007" t="s">
        <v>338</v>
      </c>
      <c r="G2007" t="s">
        <v>339</v>
      </c>
    </row>
    <row r="2008" spans="1:7" x14ac:dyDescent="0.3">
      <c r="A2008" t="s">
        <v>371</v>
      </c>
      <c r="B2008">
        <f>IFERROR(INDEX(MASTER_REGISTER!C:C,MATCH(C2008,MASTER_REGISTER!E:E,0)),"")</f>
        <v>10</v>
      </c>
      <c r="C2008" t="s">
        <v>193</v>
      </c>
      <c r="D2008" t="str">
        <f>IFERROR(INDEX(MASTER_REGISTER!F:F,MATCH(C2008,MASTER_REGISTER!E:E,0)),"")</f>
        <v>Nandi Molefe</v>
      </c>
      <c r="E2008" t="s">
        <v>337</v>
      </c>
      <c r="F2008" t="s">
        <v>338</v>
      </c>
      <c r="G2008" t="s">
        <v>339</v>
      </c>
    </row>
    <row r="2009" spans="1:7" x14ac:dyDescent="0.3">
      <c r="A2009" t="s">
        <v>371</v>
      </c>
      <c r="B2009">
        <f>IFERROR(INDEX(MASTER_REGISTER!C:C,MATCH(C2009,MASTER_REGISTER!E:E,0)),"")</f>
        <v>10</v>
      </c>
      <c r="C2009" t="s">
        <v>198</v>
      </c>
      <c r="D2009" t="str">
        <f>IFERROR(INDEX(MASTER_REGISTER!F:F,MATCH(C2009,MASTER_REGISTER!E:E,0)),"")</f>
        <v>Kgothatso Baloyi</v>
      </c>
      <c r="E2009" t="s">
        <v>337</v>
      </c>
      <c r="F2009" t="s">
        <v>338</v>
      </c>
      <c r="G2009" t="s">
        <v>339</v>
      </c>
    </row>
    <row r="2010" spans="1:7" x14ac:dyDescent="0.3">
      <c r="A2010" t="s">
        <v>371</v>
      </c>
      <c r="B2010">
        <f>IFERROR(INDEX(MASTER_REGISTER!C:C,MATCH(C2010,MASTER_REGISTER!E:E,0)),"")</f>
        <v>10</v>
      </c>
      <c r="C2010" t="s">
        <v>202</v>
      </c>
      <c r="D2010" t="str">
        <f>IFERROR(INDEX(MASTER_REGISTER!F:F,MATCH(C2010,MASTER_REGISTER!E:E,0)),"")</f>
        <v>Ayanda Mokoena</v>
      </c>
      <c r="E2010" t="s">
        <v>337</v>
      </c>
      <c r="F2010" t="s">
        <v>338</v>
      </c>
      <c r="G2010" t="s">
        <v>339</v>
      </c>
    </row>
    <row r="2011" spans="1:7" x14ac:dyDescent="0.3">
      <c r="A2011" t="s">
        <v>371</v>
      </c>
      <c r="B2011">
        <f>IFERROR(INDEX(MASTER_REGISTER!C:C,MATCH(C2011,MASTER_REGISTER!E:E,0)),"")</f>
        <v>10</v>
      </c>
      <c r="C2011" t="s">
        <v>206</v>
      </c>
      <c r="D2011" t="str">
        <f>IFERROR(INDEX(MASTER_REGISTER!F:F,MATCH(C2011,MASTER_REGISTER!E:E,0)),"")</f>
        <v>Lwazi Baloyi</v>
      </c>
      <c r="E2011" t="s">
        <v>337</v>
      </c>
      <c r="F2011" t="s">
        <v>338</v>
      </c>
      <c r="G2011" t="s">
        <v>339</v>
      </c>
    </row>
    <row r="2012" spans="1:7" x14ac:dyDescent="0.3">
      <c r="A2012" t="s">
        <v>371</v>
      </c>
      <c r="B2012">
        <f>IFERROR(INDEX(MASTER_REGISTER!C:C,MATCH(C2012,MASTER_REGISTER!E:E,0)),"")</f>
        <v>10</v>
      </c>
      <c r="C2012" t="s">
        <v>210</v>
      </c>
      <c r="D2012" t="str">
        <f>IFERROR(INDEX(MASTER_REGISTER!F:F,MATCH(C2012,MASTER_REGISTER!E:E,0)),"")</f>
        <v>Siyanda Mokoena</v>
      </c>
      <c r="E2012" t="s">
        <v>337</v>
      </c>
      <c r="F2012" t="s">
        <v>338</v>
      </c>
      <c r="G2012" t="s">
        <v>339</v>
      </c>
    </row>
    <row r="2013" spans="1:7" x14ac:dyDescent="0.3">
      <c r="A2013" t="s">
        <v>371</v>
      </c>
      <c r="B2013">
        <f>IFERROR(INDEX(MASTER_REGISTER!C:C,MATCH(C2013,MASTER_REGISTER!E:E,0)),"")</f>
        <v>10</v>
      </c>
      <c r="C2013" t="s">
        <v>214</v>
      </c>
      <c r="D2013" t="str">
        <f>IFERROR(INDEX(MASTER_REGISTER!F:F,MATCH(C2013,MASTER_REGISTER!E:E,0)),"")</f>
        <v>Mpho Ngobeni</v>
      </c>
      <c r="E2013" t="s">
        <v>337</v>
      </c>
      <c r="F2013" t="s">
        <v>338</v>
      </c>
      <c r="G2013" t="s">
        <v>339</v>
      </c>
    </row>
    <row r="2014" spans="1:7" x14ac:dyDescent="0.3">
      <c r="A2014" t="s">
        <v>371</v>
      </c>
      <c r="B2014">
        <f>IFERROR(INDEX(MASTER_REGISTER!C:C,MATCH(C2014,MASTER_REGISTER!E:E,0)),"")</f>
        <v>10</v>
      </c>
      <c r="C2014" t="s">
        <v>217</v>
      </c>
      <c r="D2014" t="str">
        <f>IFERROR(INDEX(MASTER_REGISTER!F:F,MATCH(C2014,MASTER_REGISTER!E:E,0)),"")</f>
        <v>Naledi Makhubela</v>
      </c>
      <c r="E2014" t="s">
        <v>337</v>
      </c>
      <c r="F2014" t="s">
        <v>338</v>
      </c>
      <c r="G2014" t="s">
        <v>339</v>
      </c>
    </row>
    <row r="2015" spans="1:7" x14ac:dyDescent="0.3">
      <c r="A2015" t="s">
        <v>371</v>
      </c>
      <c r="B2015">
        <f>IFERROR(INDEX(MASTER_REGISTER!C:C,MATCH(C2015,MASTER_REGISTER!E:E,0)),"")</f>
        <v>10</v>
      </c>
      <c r="C2015" t="s">
        <v>221</v>
      </c>
      <c r="D2015" t="str">
        <f>IFERROR(INDEX(MASTER_REGISTER!F:F,MATCH(C2015,MASTER_REGISTER!E:E,0)),"")</f>
        <v>Kgothatso Mokoena</v>
      </c>
      <c r="E2015" t="s">
        <v>337</v>
      </c>
      <c r="F2015" t="s">
        <v>338</v>
      </c>
      <c r="G2015" t="s">
        <v>339</v>
      </c>
    </row>
    <row r="2016" spans="1:7" x14ac:dyDescent="0.3">
      <c r="A2016" t="s">
        <v>371</v>
      </c>
      <c r="B2016">
        <f>IFERROR(INDEX(MASTER_REGISTER!C:C,MATCH(C2016,MASTER_REGISTER!E:E,0)),"")</f>
        <v>10</v>
      </c>
      <c r="C2016" t="s">
        <v>225</v>
      </c>
      <c r="D2016" t="str">
        <f>IFERROR(INDEX(MASTER_REGISTER!F:F,MATCH(C2016,MASTER_REGISTER!E:E,0)),"")</f>
        <v>Bongani Makhubela</v>
      </c>
      <c r="E2016" t="s">
        <v>337</v>
      </c>
      <c r="F2016" t="s">
        <v>338</v>
      </c>
      <c r="G2016" t="s">
        <v>339</v>
      </c>
    </row>
    <row r="2017" spans="1:8" x14ac:dyDescent="0.3">
      <c r="A2017" t="s">
        <v>371</v>
      </c>
      <c r="B2017">
        <f>IFERROR(INDEX(MASTER_REGISTER!C:C,MATCH(C2017,MASTER_REGISTER!E:E,0)),"")</f>
        <v>10</v>
      </c>
      <c r="C2017" t="s">
        <v>229</v>
      </c>
      <c r="D2017" t="str">
        <f>IFERROR(INDEX(MASTER_REGISTER!F:F,MATCH(C2017,MASTER_REGISTER!E:E,0)),"")</f>
        <v>Kagiso Kekana</v>
      </c>
      <c r="E2017" t="s">
        <v>337</v>
      </c>
      <c r="F2017" t="s">
        <v>338</v>
      </c>
      <c r="G2017" t="s">
        <v>339</v>
      </c>
    </row>
    <row r="2018" spans="1:8" x14ac:dyDescent="0.3">
      <c r="A2018" t="s">
        <v>371</v>
      </c>
      <c r="B2018">
        <f>IFERROR(INDEX(MASTER_REGISTER!C:C,MATCH(C2018,MASTER_REGISTER!E:E,0)),"")</f>
        <v>11</v>
      </c>
      <c r="C2018" t="s">
        <v>233</v>
      </c>
      <c r="D2018" t="str">
        <f>IFERROR(INDEX(MASTER_REGISTER!F:F,MATCH(C2018,MASTER_REGISTER!E:E,0)),"")</f>
        <v>Lwazi Makhubela</v>
      </c>
      <c r="E2018" t="s">
        <v>337</v>
      </c>
      <c r="F2018" t="s">
        <v>338</v>
      </c>
      <c r="G2018" t="s">
        <v>339</v>
      </c>
    </row>
    <row r="2019" spans="1:8" x14ac:dyDescent="0.3">
      <c r="A2019" t="s">
        <v>371</v>
      </c>
      <c r="B2019">
        <f>IFERROR(INDEX(MASTER_REGISTER!C:C,MATCH(C2019,MASTER_REGISTER!E:E,0)),"")</f>
        <v>11</v>
      </c>
      <c r="C2019" t="s">
        <v>237</v>
      </c>
      <c r="D2019" t="str">
        <f>IFERROR(INDEX(MASTER_REGISTER!F:F,MATCH(C2019,MASTER_REGISTER!E:E,0)),"")</f>
        <v>Lebogang Ramushu</v>
      </c>
      <c r="E2019" t="s">
        <v>335</v>
      </c>
      <c r="H2019" t="s">
        <v>342</v>
      </c>
    </row>
    <row r="2020" spans="1:8" x14ac:dyDescent="0.3">
      <c r="A2020" t="s">
        <v>371</v>
      </c>
      <c r="B2020">
        <f>IFERROR(INDEX(MASTER_REGISTER!C:C,MATCH(C2020,MASTER_REGISTER!E:E,0)),"")</f>
        <v>11</v>
      </c>
      <c r="C2020" t="s">
        <v>241</v>
      </c>
      <c r="D2020" t="str">
        <f>IFERROR(INDEX(MASTER_REGISTER!F:F,MATCH(C2020,MASTER_REGISTER!E:E,0)),"")</f>
        <v>Lerato Kekana</v>
      </c>
      <c r="E2020" t="s">
        <v>337</v>
      </c>
      <c r="F2020" t="s">
        <v>338</v>
      </c>
      <c r="G2020" t="s">
        <v>339</v>
      </c>
    </row>
    <row r="2021" spans="1:8" x14ac:dyDescent="0.3">
      <c r="A2021" t="s">
        <v>371</v>
      </c>
      <c r="B2021">
        <f>IFERROR(INDEX(MASTER_REGISTER!C:C,MATCH(C2021,MASTER_REGISTER!E:E,0)),"")</f>
        <v>11</v>
      </c>
      <c r="C2021" t="s">
        <v>244</v>
      </c>
      <c r="D2021" t="str">
        <f>IFERROR(INDEX(MASTER_REGISTER!F:F,MATCH(C2021,MASTER_REGISTER!E:E,0)),"")</f>
        <v>Bongani Ndlovu</v>
      </c>
      <c r="E2021" t="s">
        <v>337</v>
      </c>
      <c r="F2021" t="s">
        <v>338</v>
      </c>
      <c r="G2021" t="s">
        <v>339</v>
      </c>
    </row>
    <row r="2022" spans="1:8" x14ac:dyDescent="0.3">
      <c r="A2022" t="s">
        <v>371</v>
      </c>
      <c r="B2022">
        <f>IFERROR(INDEX(MASTER_REGISTER!C:C,MATCH(C2022,MASTER_REGISTER!E:E,0)),"")</f>
        <v>11</v>
      </c>
      <c r="C2022" t="s">
        <v>248</v>
      </c>
      <c r="D2022" t="str">
        <f>IFERROR(INDEX(MASTER_REGISTER!F:F,MATCH(C2022,MASTER_REGISTER!E:E,0)),"")</f>
        <v>Sifiso Dlamini</v>
      </c>
      <c r="E2022" t="s">
        <v>337</v>
      </c>
      <c r="F2022" t="s">
        <v>338</v>
      </c>
      <c r="G2022" t="s">
        <v>339</v>
      </c>
    </row>
    <row r="2023" spans="1:8" x14ac:dyDescent="0.3">
      <c r="A2023" t="s">
        <v>371</v>
      </c>
      <c r="B2023">
        <f>IFERROR(INDEX(MASTER_REGISTER!C:C,MATCH(C2023,MASTER_REGISTER!E:E,0)),"")</f>
        <v>11</v>
      </c>
      <c r="C2023" t="s">
        <v>252</v>
      </c>
      <c r="D2023" t="str">
        <f>IFERROR(INDEX(MASTER_REGISTER!F:F,MATCH(C2023,MASTER_REGISTER!E:E,0)),"")</f>
        <v>Refilwe Dlamini</v>
      </c>
      <c r="E2023" t="s">
        <v>337</v>
      </c>
      <c r="F2023" t="s">
        <v>338</v>
      </c>
      <c r="G2023" t="s">
        <v>339</v>
      </c>
    </row>
    <row r="2024" spans="1:8" x14ac:dyDescent="0.3">
      <c r="A2024" t="s">
        <v>371</v>
      </c>
      <c r="B2024">
        <f>IFERROR(INDEX(MASTER_REGISTER!C:C,MATCH(C2024,MASTER_REGISTER!E:E,0)),"")</f>
        <v>11</v>
      </c>
      <c r="C2024" t="s">
        <v>256</v>
      </c>
      <c r="D2024" t="str">
        <f>IFERROR(INDEX(MASTER_REGISTER!F:F,MATCH(C2024,MASTER_REGISTER!E:E,0)),"")</f>
        <v>Lwazi Maseko</v>
      </c>
      <c r="E2024" t="s">
        <v>337</v>
      </c>
      <c r="F2024" t="s">
        <v>338</v>
      </c>
      <c r="G2024" t="s">
        <v>339</v>
      </c>
    </row>
    <row r="2025" spans="1:8" x14ac:dyDescent="0.3">
      <c r="A2025" t="s">
        <v>371</v>
      </c>
      <c r="B2025">
        <f>IFERROR(INDEX(MASTER_REGISTER!C:C,MATCH(C2025,MASTER_REGISTER!E:E,0)),"")</f>
        <v>11</v>
      </c>
      <c r="C2025" t="s">
        <v>260</v>
      </c>
      <c r="D2025" t="str">
        <f>IFERROR(INDEX(MASTER_REGISTER!F:F,MATCH(C2025,MASTER_REGISTER!E:E,0)),"")</f>
        <v>Refilwe Mokgadi</v>
      </c>
      <c r="E2025" t="s">
        <v>337</v>
      </c>
      <c r="F2025" t="s">
        <v>338</v>
      </c>
      <c r="G2025" t="s">
        <v>339</v>
      </c>
    </row>
    <row r="2026" spans="1:8" x14ac:dyDescent="0.3">
      <c r="A2026" t="s">
        <v>371</v>
      </c>
      <c r="B2026">
        <f>IFERROR(INDEX(MASTER_REGISTER!C:C,MATCH(C2026,MASTER_REGISTER!E:E,0)),"")</f>
        <v>11</v>
      </c>
      <c r="C2026" t="s">
        <v>264</v>
      </c>
      <c r="D2026" t="str">
        <f>IFERROR(INDEX(MASTER_REGISTER!F:F,MATCH(C2026,MASTER_REGISTER!E:E,0)),"")</f>
        <v>Kgothatso Molefe</v>
      </c>
      <c r="E2026" t="s">
        <v>337</v>
      </c>
      <c r="F2026" t="s">
        <v>338</v>
      </c>
      <c r="G2026" t="s">
        <v>339</v>
      </c>
    </row>
    <row r="2027" spans="1:8" x14ac:dyDescent="0.3">
      <c r="A2027" t="s">
        <v>371</v>
      </c>
      <c r="B2027">
        <f>IFERROR(INDEX(MASTER_REGISTER!C:C,MATCH(C2027,MASTER_REGISTER!E:E,0)),"")</f>
        <v>11</v>
      </c>
      <c r="C2027" t="s">
        <v>268</v>
      </c>
      <c r="D2027" t="str">
        <f>IFERROR(INDEX(MASTER_REGISTER!F:F,MATCH(C2027,MASTER_REGISTER!E:E,0)),"")</f>
        <v>Tshepo Mokgadi</v>
      </c>
      <c r="E2027" t="s">
        <v>335</v>
      </c>
      <c r="H2027" t="s">
        <v>336</v>
      </c>
    </row>
    <row r="2028" spans="1:8" x14ac:dyDescent="0.3">
      <c r="A2028" t="s">
        <v>371</v>
      </c>
      <c r="B2028">
        <f>IFERROR(INDEX(MASTER_REGISTER!C:C,MATCH(C2028,MASTER_REGISTER!E:E,0)),"")</f>
        <v>11</v>
      </c>
      <c r="C2028" t="s">
        <v>272</v>
      </c>
      <c r="D2028" t="str">
        <f>IFERROR(INDEX(MASTER_REGISTER!F:F,MATCH(C2028,MASTER_REGISTER!E:E,0)),"")</f>
        <v>Tshepo Phiri</v>
      </c>
      <c r="E2028" t="s">
        <v>337</v>
      </c>
      <c r="F2028" t="s">
        <v>338</v>
      </c>
      <c r="G2028" t="s">
        <v>339</v>
      </c>
    </row>
    <row r="2029" spans="1:8" x14ac:dyDescent="0.3">
      <c r="A2029" t="s">
        <v>371</v>
      </c>
      <c r="B2029">
        <f>IFERROR(INDEX(MASTER_REGISTER!C:C,MATCH(C2029,MASTER_REGISTER!E:E,0)),"")</f>
        <v>11</v>
      </c>
      <c r="C2029" t="s">
        <v>276</v>
      </c>
      <c r="D2029" t="str">
        <f>IFERROR(INDEX(MASTER_REGISTER!F:F,MATCH(C2029,MASTER_REGISTER!E:E,0)),"")</f>
        <v>Zanele Ngobeni</v>
      </c>
      <c r="E2029" t="s">
        <v>337</v>
      </c>
      <c r="F2029" t="s">
        <v>338</v>
      </c>
      <c r="G2029" t="s">
        <v>339</v>
      </c>
    </row>
    <row r="2030" spans="1:8" x14ac:dyDescent="0.3">
      <c r="A2030" t="s">
        <v>371</v>
      </c>
      <c r="B2030">
        <f>IFERROR(INDEX(MASTER_REGISTER!C:C,MATCH(C2030,MASTER_REGISTER!E:E,0)),"")</f>
        <v>12</v>
      </c>
      <c r="C2030" t="s">
        <v>280</v>
      </c>
      <c r="D2030" t="str">
        <f>IFERROR(INDEX(MASTER_REGISTER!F:F,MATCH(C2030,MASTER_REGISTER!E:E,0)),"")</f>
        <v>Palesa Mokoena</v>
      </c>
      <c r="E2030" t="s">
        <v>337</v>
      </c>
      <c r="F2030" t="s">
        <v>338</v>
      </c>
      <c r="G2030" t="s">
        <v>339</v>
      </c>
    </row>
    <row r="2031" spans="1:8" x14ac:dyDescent="0.3">
      <c r="A2031" t="s">
        <v>371</v>
      </c>
      <c r="B2031">
        <f>IFERROR(INDEX(MASTER_REGISTER!C:C,MATCH(C2031,MASTER_REGISTER!E:E,0)),"")</f>
        <v>12</v>
      </c>
      <c r="C2031" t="s">
        <v>284</v>
      </c>
      <c r="D2031" t="str">
        <f>IFERROR(INDEX(MASTER_REGISTER!F:F,MATCH(C2031,MASTER_REGISTER!E:E,0)),"")</f>
        <v>Thabo Ramushu</v>
      </c>
      <c r="E2031" t="s">
        <v>335</v>
      </c>
      <c r="H2031" t="s">
        <v>341</v>
      </c>
    </row>
    <row r="2032" spans="1:8" x14ac:dyDescent="0.3">
      <c r="A2032" t="s">
        <v>371</v>
      </c>
      <c r="B2032">
        <f>IFERROR(INDEX(MASTER_REGISTER!C:C,MATCH(C2032,MASTER_REGISTER!E:E,0)),"")</f>
        <v>12</v>
      </c>
      <c r="C2032" t="s">
        <v>288</v>
      </c>
      <c r="D2032" t="str">
        <f>IFERROR(INDEX(MASTER_REGISTER!F:F,MATCH(C2032,MASTER_REGISTER!E:E,0)),"")</f>
        <v>Lwazi Ndlovu</v>
      </c>
      <c r="E2032" t="s">
        <v>337</v>
      </c>
      <c r="F2032" t="s">
        <v>338</v>
      </c>
      <c r="G2032" t="s">
        <v>339</v>
      </c>
    </row>
    <row r="2033" spans="1:8" x14ac:dyDescent="0.3">
      <c r="A2033" t="s">
        <v>371</v>
      </c>
      <c r="B2033">
        <f>IFERROR(INDEX(MASTER_REGISTER!C:C,MATCH(C2033,MASTER_REGISTER!E:E,0)),"")</f>
        <v>12</v>
      </c>
      <c r="C2033" t="s">
        <v>292</v>
      </c>
      <c r="D2033" t="str">
        <f>IFERROR(INDEX(MASTER_REGISTER!F:F,MATCH(C2033,MASTER_REGISTER!E:E,0)),"")</f>
        <v>Ayanda Dlamini</v>
      </c>
      <c r="E2033" t="s">
        <v>337</v>
      </c>
      <c r="F2033" t="s">
        <v>338</v>
      </c>
      <c r="G2033" t="s">
        <v>339</v>
      </c>
    </row>
    <row r="2034" spans="1:8" x14ac:dyDescent="0.3">
      <c r="A2034" t="s">
        <v>371</v>
      </c>
      <c r="B2034">
        <f>IFERROR(INDEX(MASTER_REGISTER!C:C,MATCH(C2034,MASTER_REGISTER!E:E,0)),"")</f>
        <v>12</v>
      </c>
      <c r="C2034" t="s">
        <v>296</v>
      </c>
      <c r="D2034" t="str">
        <f>IFERROR(INDEX(MASTER_REGISTER!F:F,MATCH(C2034,MASTER_REGISTER!E:E,0)),"")</f>
        <v>Neo Ndlovu</v>
      </c>
      <c r="E2034" t="s">
        <v>337</v>
      </c>
      <c r="F2034" t="s">
        <v>338</v>
      </c>
      <c r="G2034" t="s">
        <v>339</v>
      </c>
    </row>
    <row r="2035" spans="1:8" x14ac:dyDescent="0.3">
      <c r="A2035" t="s">
        <v>371</v>
      </c>
      <c r="B2035">
        <f>IFERROR(INDEX(MASTER_REGISTER!C:C,MATCH(C2035,MASTER_REGISTER!E:E,0)),"")</f>
        <v>12</v>
      </c>
      <c r="C2035" t="s">
        <v>300</v>
      </c>
      <c r="D2035" t="str">
        <f>IFERROR(INDEX(MASTER_REGISTER!F:F,MATCH(C2035,MASTER_REGISTER!E:E,0)),"")</f>
        <v>Neo Ramushu</v>
      </c>
      <c r="E2035" t="s">
        <v>337</v>
      </c>
      <c r="F2035" t="s">
        <v>338</v>
      </c>
      <c r="G2035" t="s">
        <v>339</v>
      </c>
    </row>
    <row r="2036" spans="1:8" x14ac:dyDescent="0.3">
      <c r="A2036" t="s">
        <v>371</v>
      </c>
      <c r="B2036">
        <f>IFERROR(INDEX(MASTER_REGISTER!C:C,MATCH(C2036,MASTER_REGISTER!E:E,0)),"")</f>
        <v>12</v>
      </c>
      <c r="C2036" t="s">
        <v>304</v>
      </c>
      <c r="D2036" t="str">
        <f>IFERROR(INDEX(MASTER_REGISTER!F:F,MATCH(C2036,MASTER_REGISTER!E:E,0)),"")</f>
        <v>Karabo Baloyi</v>
      </c>
      <c r="E2036" t="s">
        <v>335</v>
      </c>
      <c r="H2036" t="s">
        <v>342</v>
      </c>
    </row>
    <row r="2037" spans="1:8" x14ac:dyDescent="0.3">
      <c r="A2037" t="s">
        <v>371</v>
      </c>
      <c r="B2037">
        <f>IFERROR(INDEX(MASTER_REGISTER!C:C,MATCH(C2037,MASTER_REGISTER!E:E,0)),"")</f>
        <v>12</v>
      </c>
      <c r="C2037" t="s">
        <v>308</v>
      </c>
      <c r="D2037" t="str">
        <f>IFERROR(INDEX(MASTER_REGISTER!F:F,MATCH(C2037,MASTER_REGISTER!E:E,0)),"")</f>
        <v>Tshepo Mokgadi</v>
      </c>
      <c r="E2037" t="s">
        <v>335</v>
      </c>
      <c r="H2037" t="s">
        <v>340</v>
      </c>
    </row>
    <row r="2038" spans="1:8" x14ac:dyDescent="0.3">
      <c r="A2038" t="s">
        <v>371</v>
      </c>
      <c r="B2038">
        <f>IFERROR(INDEX(MASTER_REGISTER!C:C,MATCH(C2038,MASTER_REGISTER!E:E,0)),"")</f>
        <v>12</v>
      </c>
      <c r="C2038" t="s">
        <v>311</v>
      </c>
      <c r="D2038" t="str">
        <f>IFERROR(INDEX(MASTER_REGISTER!F:F,MATCH(C2038,MASTER_REGISTER!E:E,0)),"")</f>
        <v>Sifiso Mavuso</v>
      </c>
      <c r="E2038" t="s">
        <v>337</v>
      </c>
      <c r="F2038" t="s">
        <v>338</v>
      </c>
      <c r="G2038" t="s">
        <v>339</v>
      </c>
    </row>
    <row r="2039" spans="1:8" x14ac:dyDescent="0.3">
      <c r="A2039" t="s">
        <v>371</v>
      </c>
      <c r="B2039">
        <f>IFERROR(INDEX(MASTER_REGISTER!C:C,MATCH(C2039,MASTER_REGISTER!E:E,0)),"")</f>
        <v>12</v>
      </c>
      <c r="C2039" t="s">
        <v>315</v>
      </c>
      <c r="D2039" t="str">
        <f>IFERROR(INDEX(MASTER_REGISTER!F:F,MATCH(C2039,MASTER_REGISTER!E:E,0)),"")</f>
        <v>Refilwe Sithole</v>
      </c>
      <c r="E2039" t="s">
        <v>337</v>
      </c>
      <c r="F2039" t="s">
        <v>338</v>
      </c>
      <c r="G2039" t="s">
        <v>339</v>
      </c>
    </row>
    <row r="2040" spans="1:8" x14ac:dyDescent="0.3">
      <c r="A2040" t="s">
        <v>371</v>
      </c>
      <c r="B2040">
        <f>IFERROR(INDEX(MASTER_REGISTER!C:C,MATCH(C2040,MASTER_REGISTER!E:E,0)),"")</f>
        <v>12</v>
      </c>
      <c r="C2040" t="s">
        <v>319</v>
      </c>
      <c r="D2040" t="str">
        <f>IFERROR(INDEX(MASTER_REGISTER!F:F,MATCH(C2040,MASTER_REGISTER!E:E,0)),"")</f>
        <v>Lerato Sithole</v>
      </c>
      <c r="E2040" t="s">
        <v>337</v>
      </c>
      <c r="F2040" t="s">
        <v>338</v>
      </c>
      <c r="G2040" t="s">
        <v>339</v>
      </c>
    </row>
    <row r="2041" spans="1:8" x14ac:dyDescent="0.3">
      <c r="A2041" t="s">
        <v>371</v>
      </c>
      <c r="B2041">
        <f>IFERROR(INDEX(MASTER_REGISTER!C:C,MATCH(C2041,MASTER_REGISTER!E:E,0)),"")</f>
        <v>12</v>
      </c>
      <c r="C2041" t="s">
        <v>323</v>
      </c>
      <c r="D2041" t="str">
        <f>IFERROR(INDEX(MASTER_REGISTER!F:F,MATCH(C2041,MASTER_REGISTER!E:E,0)),"")</f>
        <v>Sibusiso Ngobeni</v>
      </c>
      <c r="E2041" t="s">
        <v>337</v>
      </c>
      <c r="F2041" t="s">
        <v>338</v>
      </c>
      <c r="G2041" t="s">
        <v>339</v>
      </c>
    </row>
    <row r="2042" spans="1:8" x14ac:dyDescent="0.3">
      <c r="A2042" t="s">
        <v>372</v>
      </c>
      <c r="B2042">
        <f>IFERROR(INDEX(MASTER_REGISTER!C:C,MATCH(C2042,MASTER_REGISTER!E:E,0)),"")</f>
        <v>8</v>
      </c>
      <c r="C2042" t="s">
        <v>50</v>
      </c>
      <c r="D2042" t="str">
        <f>IFERROR(INDEX(MASTER_REGISTER!F:F,MATCH(C2042,MASTER_REGISTER!E:E,0)),"")</f>
        <v>Lerato Nkosi</v>
      </c>
      <c r="E2042" t="s">
        <v>335</v>
      </c>
      <c r="H2042" t="s">
        <v>340</v>
      </c>
    </row>
    <row r="2043" spans="1:8" x14ac:dyDescent="0.3">
      <c r="A2043" t="s">
        <v>372</v>
      </c>
      <c r="B2043">
        <f>IFERROR(INDEX(MASTER_REGISTER!C:C,MATCH(C2043,MASTER_REGISTER!E:E,0)),"")</f>
        <v>8</v>
      </c>
      <c r="C2043" t="s">
        <v>58</v>
      </c>
      <c r="D2043" t="str">
        <f>IFERROR(INDEX(MASTER_REGISTER!F:F,MATCH(C2043,MASTER_REGISTER!E:E,0)),"")</f>
        <v>Karabo Maseko</v>
      </c>
      <c r="E2043" t="s">
        <v>337</v>
      </c>
      <c r="F2043" t="s">
        <v>338</v>
      </c>
      <c r="G2043" t="s">
        <v>339</v>
      </c>
    </row>
    <row r="2044" spans="1:8" x14ac:dyDescent="0.3">
      <c r="A2044" t="s">
        <v>372</v>
      </c>
      <c r="B2044">
        <f>IFERROR(INDEX(MASTER_REGISTER!C:C,MATCH(C2044,MASTER_REGISTER!E:E,0)),"")</f>
        <v>8</v>
      </c>
      <c r="C2044" t="s">
        <v>64</v>
      </c>
      <c r="D2044" t="str">
        <f>IFERROR(INDEX(MASTER_REGISTER!F:F,MATCH(C2044,MASTER_REGISTER!E:E,0)),"")</f>
        <v>Sifiso Sithole</v>
      </c>
      <c r="E2044" t="s">
        <v>335</v>
      </c>
      <c r="H2044" t="s">
        <v>341</v>
      </c>
    </row>
    <row r="2045" spans="1:8" x14ac:dyDescent="0.3">
      <c r="A2045" t="s">
        <v>372</v>
      </c>
      <c r="B2045">
        <f>IFERROR(INDEX(MASTER_REGISTER!C:C,MATCH(C2045,MASTER_REGISTER!E:E,0)),"")</f>
        <v>8</v>
      </c>
      <c r="C2045" t="s">
        <v>70</v>
      </c>
      <c r="D2045" t="str">
        <f>IFERROR(INDEX(MASTER_REGISTER!F:F,MATCH(C2045,MASTER_REGISTER!E:E,0)),"")</f>
        <v>Tshepo Ndlovu</v>
      </c>
      <c r="E2045" t="s">
        <v>337</v>
      </c>
      <c r="F2045" t="s">
        <v>338</v>
      </c>
      <c r="G2045" t="s">
        <v>339</v>
      </c>
    </row>
    <row r="2046" spans="1:8" x14ac:dyDescent="0.3">
      <c r="A2046" t="s">
        <v>372</v>
      </c>
      <c r="B2046">
        <f>IFERROR(INDEX(MASTER_REGISTER!C:C,MATCH(C2046,MASTER_REGISTER!E:E,0)),"")</f>
        <v>8</v>
      </c>
      <c r="C2046" t="s">
        <v>76</v>
      </c>
      <c r="D2046" t="str">
        <f>IFERROR(INDEX(MASTER_REGISTER!F:F,MATCH(C2046,MASTER_REGISTER!E:E,0)),"")</f>
        <v>Lwazi Mthembu</v>
      </c>
      <c r="E2046" t="s">
        <v>337</v>
      </c>
      <c r="F2046" t="s">
        <v>338</v>
      </c>
      <c r="G2046" t="s">
        <v>339</v>
      </c>
    </row>
    <row r="2047" spans="1:8" x14ac:dyDescent="0.3">
      <c r="A2047" t="s">
        <v>372</v>
      </c>
      <c r="B2047">
        <f>IFERROR(INDEX(MASTER_REGISTER!C:C,MATCH(C2047,MASTER_REGISTER!E:E,0)),"")</f>
        <v>8</v>
      </c>
      <c r="C2047" t="s">
        <v>82</v>
      </c>
      <c r="D2047" t="str">
        <f>IFERROR(INDEX(MASTER_REGISTER!F:F,MATCH(C2047,MASTER_REGISTER!E:E,0)),"")</f>
        <v>Karabo Ngobeni</v>
      </c>
      <c r="E2047" t="s">
        <v>337</v>
      </c>
      <c r="F2047" t="s">
        <v>338</v>
      </c>
      <c r="G2047" t="s">
        <v>339</v>
      </c>
    </row>
    <row r="2048" spans="1:8" x14ac:dyDescent="0.3">
      <c r="A2048" t="s">
        <v>372</v>
      </c>
      <c r="B2048">
        <f>IFERROR(INDEX(MASTER_REGISTER!C:C,MATCH(C2048,MASTER_REGISTER!E:E,0)),"")</f>
        <v>8</v>
      </c>
      <c r="C2048" t="s">
        <v>88</v>
      </c>
      <c r="D2048" t="str">
        <f>IFERROR(INDEX(MASTER_REGISTER!F:F,MATCH(C2048,MASTER_REGISTER!E:E,0)),"")</f>
        <v>Mpho Sithole</v>
      </c>
      <c r="E2048" t="s">
        <v>337</v>
      </c>
      <c r="F2048" t="s">
        <v>338</v>
      </c>
      <c r="G2048" t="s">
        <v>339</v>
      </c>
    </row>
    <row r="2049" spans="1:8" x14ac:dyDescent="0.3">
      <c r="A2049" t="s">
        <v>372</v>
      </c>
      <c r="B2049">
        <f>IFERROR(INDEX(MASTER_REGISTER!C:C,MATCH(C2049,MASTER_REGISTER!E:E,0)),"")</f>
        <v>8</v>
      </c>
      <c r="C2049" t="s">
        <v>94</v>
      </c>
      <c r="D2049" t="str">
        <f>IFERROR(INDEX(MASTER_REGISTER!F:F,MATCH(C2049,MASTER_REGISTER!E:E,0)),"")</f>
        <v>Tshepo Ramushu</v>
      </c>
      <c r="E2049" t="s">
        <v>337</v>
      </c>
      <c r="F2049" t="s">
        <v>338</v>
      </c>
      <c r="G2049" t="s">
        <v>339</v>
      </c>
    </row>
    <row r="2050" spans="1:8" x14ac:dyDescent="0.3">
      <c r="A2050" t="s">
        <v>372</v>
      </c>
      <c r="B2050">
        <f>IFERROR(INDEX(MASTER_REGISTER!C:C,MATCH(C2050,MASTER_REGISTER!E:E,0)),"")</f>
        <v>8</v>
      </c>
      <c r="C2050" t="s">
        <v>100</v>
      </c>
      <c r="D2050" t="str">
        <f>IFERROR(INDEX(MASTER_REGISTER!F:F,MATCH(C2050,MASTER_REGISTER!E:E,0)),"")</f>
        <v>Lerato Kekana</v>
      </c>
      <c r="E2050" t="s">
        <v>337</v>
      </c>
      <c r="F2050" t="s">
        <v>338</v>
      </c>
      <c r="G2050" t="s">
        <v>339</v>
      </c>
    </row>
    <row r="2051" spans="1:8" x14ac:dyDescent="0.3">
      <c r="A2051" t="s">
        <v>372</v>
      </c>
      <c r="B2051">
        <f>IFERROR(INDEX(MASTER_REGISTER!C:C,MATCH(C2051,MASTER_REGISTER!E:E,0)),"")</f>
        <v>8</v>
      </c>
      <c r="C2051" t="s">
        <v>106</v>
      </c>
      <c r="D2051" t="str">
        <f>IFERROR(INDEX(MASTER_REGISTER!F:F,MATCH(C2051,MASTER_REGISTER!E:E,0)),"")</f>
        <v>Neo Ngobeni</v>
      </c>
      <c r="E2051" t="s">
        <v>337</v>
      </c>
      <c r="F2051" t="s">
        <v>338</v>
      </c>
      <c r="G2051" t="s">
        <v>339</v>
      </c>
    </row>
    <row r="2052" spans="1:8" x14ac:dyDescent="0.3">
      <c r="A2052" t="s">
        <v>372</v>
      </c>
      <c r="B2052">
        <f>IFERROR(INDEX(MASTER_REGISTER!C:C,MATCH(C2052,MASTER_REGISTER!E:E,0)),"")</f>
        <v>8</v>
      </c>
      <c r="C2052" t="s">
        <v>112</v>
      </c>
      <c r="D2052" t="str">
        <f>IFERROR(INDEX(MASTER_REGISTER!F:F,MATCH(C2052,MASTER_REGISTER!E:E,0)),"")</f>
        <v>Thabo Mokgadi</v>
      </c>
      <c r="E2052" t="s">
        <v>337</v>
      </c>
      <c r="F2052" t="s">
        <v>338</v>
      </c>
      <c r="G2052" t="s">
        <v>339</v>
      </c>
    </row>
    <row r="2053" spans="1:8" x14ac:dyDescent="0.3">
      <c r="A2053" t="s">
        <v>372</v>
      </c>
      <c r="B2053">
        <f>IFERROR(INDEX(MASTER_REGISTER!C:C,MATCH(C2053,MASTER_REGISTER!E:E,0)),"")</f>
        <v>8</v>
      </c>
      <c r="C2053" t="s">
        <v>118</v>
      </c>
      <c r="D2053" t="str">
        <f>IFERROR(INDEX(MASTER_REGISTER!F:F,MATCH(C2053,MASTER_REGISTER!E:E,0)),"")</f>
        <v>Sifiso Mthembu</v>
      </c>
      <c r="E2053" t="s">
        <v>337</v>
      </c>
      <c r="F2053" t="s">
        <v>338</v>
      </c>
      <c r="G2053" t="s">
        <v>339</v>
      </c>
    </row>
    <row r="2054" spans="1:8" x14ac:dyDescent="0.3">
      <c r="A2054" t="s">
        <v>372</v>
      </c>
      <c r="B2054">
        <f>IFERROR(INDEX(MASTER_REGISTER!C:C,MATCH(C2054,MASTER_REGISTER!E:E,0)),"")</f>
        <v>9</v>
      </c>
      <c r="C2054" t="s">
        <v>123</v>
      </c>
      <c r="D2054" t="str">
        <f>IFERROR(INDEX(MASTER_REGISTER!F:F,MATCH(C2054,MASTER_REGISTER!E:E,0)),"")</f>
        <v>Karabo Phiri</v>
      </c>
      <c r="E2054" t="s">
        <v>337</v>
      </c>
      <c r="F2054" t="s">
        <v>338</v>
      </c>
      <c r="G2054" t="s">
        <v>339</v>
      </c>
    </row>
    <row r="2055" spans="1:8" x14ac:dyDescent="0.3">
      <c r="A2055" t="s">
        <v>372</v>
      </c>
      <c r="B2055">
        <f>IFERROR(INDEX(MASTER_REGISTER!C:C,MATCH(C2055,MASTER_REGISTER!E:E,0)),"")</f>
        <v>9</v>
      </c>
      <c r="C2055" t="s">
        <v>128</v>
      </c>
      <c r="D2055" t="str">
        <f>IFERROR(INDEX(MASTER_REGISTER!F:F,MATCH(C2055,MASTER_REGISTER!E:E,0)),"")</f>
        <v>Lerato Mahlangu</v>
      </c>
      <c r="E2055" t="s">
        <v>337</v>
      </c>
      <c r="F2055" t="s">
        <v>338</v>
      </c>
      <c r="G2055" t="s">
        <v>339</v>
      </c>
    </row>
    <row r="2056" spans="1:8" x14ac:dyDescent="0.3">
      <c r="A2056" t="s">
        <v>372</v>
      </c>
      <c r="B2056">
        <f>IFERROR(INDEX(MASTER_REGISTER!C:C,MATCH(C2056,MASTER_REGISTER!E:E,0)),"")</f>
        <v>9</v>
      </c>
      <c r="C2056" t="s">
        <v>133</v>
      </c>
      <c r="D2056" t="str">
        <f>IFERROR(INDEX(MASTER_REGISTER!F:F,MATCH(C2056,MASTER_REGISTER!E:E,0)),"")</f>
        <v>Mpho Kekana</v>
      </c>
      <c r="E2056" t="s">
        <v>337</v>
      </c>
      <c r="F2056" t="s">
        <v>338</v>
      </c>
      <c r="G2056" t="s">
        <v>339</v>
      </c>
    </row>
    <row r="2057" spans="1:8" x14ac:dyDescent="0.3">
      <c r="A2057" t="s">
        <v>372</v>
      </c>
      <c r="B2057">
        <f>IFERROR(INDEX(MASTER_REGISTER!C:C,MATCH(C2057,MASTER_REGISTER!E:E,0)),"")</f>
        <v>9</v>
      </c>
      <c r="C2057" t="s">
        <v>138</v>
      </c>
      <c r="D2057" t="str">
        <f>IFERROR(INDEX(MASTER_REGISTER!F:F,MATCH(C2057,MASTER_REGISTER!E:E,0)),"")</f>
        <v>Thabo Molefe</v>
      </c>
      <c r="E2057" t="s">
        <v>337</v>
      </c>
      <c r="F2057" t="s">
        <v>338</v>
      </c>
      <c r="G2057" t="s">
        <v>339</v>
      </c>
    </row>
    <row r="2058" spans="1:8" x14ac:dyDescent="0.3">
      <c r="A2058" t="s">
        <v>372</v>
      </c>
      <c r="B2058">
        <f>IFERROR(INDEX(MASTER_REGISTER!C:C,MATCH(C2058,MASTER_REGISTER!E:E,0)),"")</f>
        <v>9</v>
      </c>
      <c r="C2058" t="s">
        <v>143</v>
      </c>
      <c r="D2058" t="str">
        <f>IFERROR(INDEX(MASTER_REGISTER!F:F,MATCH(C2058,MASTER_REGISTER!E:E,0)),"")</f>
        <v>Mpho Ngobeni</v>
      </c>
      <c r="E2058" t="s">
        <v>337</v>
      </c>
      <c r="F2058" t="s">
        <v>338</v>
      </c>
      <c r="G2058" t="s">
        <v>339</v>
      </c>
    </row>
    <row r="2059" spans="1:8" x14ac:dyDescent="0.3">
      <c r="A2059" t="s">
        <v>372</v>
      </c>
      <c r="B2059">
        <f>IFERROR(INDEX(MASTER_REGISTER!C:C,MATCH(C2059,MASTER_REGISTER!E:E,0)),"")</f>
        <v>9</v>
      </c>
      <c r="C2059" t="s">
        <v>148</v>
      </c>
      <c r="D2059" t="str">
        <f>IFERROR(INDEX(MASTER_REGISTER!F:F,MATCH(C2059,MASTER_REGISTER!E:E,0)),"")</f>
        <v>Siyanda Mhlongo</v>
      </c>
      <c r="E2059" t="s">
        <v>337</v>
      </c>
      <c r="F2059" t="s">
        <v>338</v>
      </c>
      <c r="G2059" t="s">
        <v>339</v>
      </c>
    </row>
    <row r="2060" spans="1:8" x14ac:dyDescent="0.3">
      <c r="A2060" t="s">
        <v>372</v>
      </c>
      <c r="B2060">
        <f>IFERROR(INDEX(MASTER_REGISTER!C:C,MATCH(C2060,MASTER_REGISTER!E:E,0)),"")</f>
        <v>9</v>
      </c>
      <c r="C2060" t="s">
        <v>153</v>
      </c>
      <c r="D2060" t="str">
        <f>IFERROR(INDEX(MASTER_REGISTER!F:F,MATCH(C2060,MASTER_REGISTER!E:E,0)),"")</f>
        <v>Siyanda Mahlangu</v>
      </c>
      <c r="E2060" t="s">
        <v>335</v>
      </c>
      <c r="H2060" t="s">
        <v>340</v>
      </c>
    </row>
    <row r="2061" spans="1:8" x14ac:dyDescent="0.3">
      <c r="A2061" t="s">
        <v>372</v>
      </c>
      <c r="B2061">
        <f>IFERROR(INDEX(MASTER_REGISTER!C:C,MATCH(C2061,MASTER_REGISTER!E:E,0)),"")</f>
        <v>9</v>
      </c>
      <c r="C2061" t="s">
        <v>158</v>
      </c>
      <c r="D2061" t="str">
        <f>IFERROR(INDEX(MASTER_REGISTER!F:F,MATCH(C2061,MASTER_REGISTER!E:E,0)),"")</f>
        <v>Sifiso Ramushu</v>
      </c>
      <c r="E2061" t="s">
        <v>337</v>
      </c>
      <c r="F2061" t="s">
        <v>338</v>
      </c>
      <c r="G2061" t="s">
        <v>339</v>
      </c>
    </row>
    <row r="2062" spans="1:8" x14ac:dyDescent="0.3">
      <c r="A2062" t="s">
        <v>372</v>
      </c>
      <c r="B2062">
        <f>IFERROR(INDEX(MASTER_REGISTER!C:C,MATCH(C2062,MASTER_REGISTER!E:E,0)),"")</f>
        <v>9</v>
      </c>
      <c r="C2062" t="s">
        <v>163</v>
      </c>
      <c r="D2062" t="str">
        <f>IFERROR(INDEX(MASTER_REGISTER!F:F,MATCH(C2062,MASTER_REGISTER!E:E,0)),"")</f>
        <v>Nandi Ngobeni</v>
      </c>
      <c r="E2062" t="s">
        <v>337</v>
      </c>
      <c r="F2062" t="s">
        <v>338</v>
      </c>
      <c r="G2062" t="s">
        <v>339</v>
      </c>
    </row>
    <row r="2063" spans="1:8" x14ac:dyDescent="0.3">
      <c r="A2063" t="s">
        <v>372</v>
      </c>
      <c r="B2063">
        <f>IFERROR(INDEX(MASTER_REGISTER!C:C,MATCH(C2063,MASTER_REGISTER!E:E,0)),"")</f>
        <v>9</v>
      </c>
      <c r="C2063" t="s">
        <v>168</v>
      </c>
      <c r="D2063" t="str">
        <f>IFERROR(INDEX(MASTER_REGISTER!F:F,MATCH(C2063,MASTER_REGISTER!E:E,0)),"")</f>
        <v>Karabo Mokgadi</v>
      </c>
      <c r="E2063" t="s">
        <v>337</v>
      </c>
      <c r="F2063" t="s">
        <v>338</v>
      </c>
      <c r="G2063" t="s">
        <v>339</v>
      </c>
    </row>
    <row r="2064" spans="1:8" x14ac:dyDescent="0.3">
      <c r="A2064" t="s">
        <v>372</v>
      </c>
      <c r="B2064">
        <f>IFERROR(INDEX(MASTER_REGISTER!C:C,MATCH(C2064,MASTER_REGISTER!E:E,0)),"")</f>
        <v>9</v>
      </c>
      <c r="C2064" t="s">
        <v>173</v>
      </c>
      <c r="D2064" t="str">
        <f>IFERROR(INDEX(MASTER_REGISTER!F:F,MATCH(C2064,MASTER_REGISTER!E:E,0)),"")</f>
        <v>Sifiso Mahlangu</v>
      </c>
      <c r="E2064" t="s">
        <v>337</v>
      </c>
      <c r="F2064" t="s">
        <v>338</v>
      </c>
      <c r="G2064" t="s">
        <v>339</v>
      </c>
    </row>
    <row r="2065" spans="1:8" x14ac:dyDescent="0.3">
      <c r="A2065" t="s">
        <v>372</v>
      </c>
      <c r="B2065">
        <f>IFERROR(INDEX(MASTER_REGISTER!C:C,MATCH(C2065,MASTER_REGISTER!E:E,0)),"")</f>
        <v>9</v>
      </c>
      <c r="C2065" t="s">
        <v>178</v>
      </c>
      <c r="D2065" t="str">
        <f>IFERROR(INDEX(MASTER_REGISTER!F:F,MATCH(C2065,MASTER_REGISTER!E:E,0)),"")</f>
        <v>Kgothatso Radebe</v>
      </c>
      <c r="E2065" t="s">
        <v>337</v>
      </c>
      <c r="F2065" t="s">
        <v>338</v>
      </c>
      <c r="G2065" t="s">
        <v>339</v>
      </c>
    </row>
    <row r="2066" spans="1:8" x14ac:dyDescent="0.3">
      <c r="A2066" t="s">
        <v>372</v>
      </c>
      <c r="B2066">
        <f>IFERROR(INDEX(MASTER_REGISTER!C:C,MATCH(C2066,MASTER_REGISTER!E:E,0)),"")</f>
        <v>10</v>
      </c>
      <c r="C2066" t="s">
        <v>183</v>
      </c>
      <c r="D2066" t="str">
        <f>IFERROR(INDEX(MASTER_REGISTER!F:F,MATCH(C2066,MASTER_REGISTER!E:E,0)),"")</f>
        <v>Lerato Maseko</v>
      </c>
      <c r="E2066" t="s">
        <v>337</v>
      </c>
      <c r="F2066" t="s">
        <v>338</v>
      </c>
      <c r="G2066" t="s">
        <v>339</v>
      </c>
    </row>
    <row r="2067" spans="1:8" x14ac:dyDescent="0.3">
      <c r="A2067" t="s">
        <v>372</v>
      </c>
      <c r="B2067">
        <f>IFERROR(INDEX(MASTER_REGISTER!C:C,MATCH(C2067,MASTER_REGISTER!E:E,0)),"")</f>
        <v>10</v>
      </c>
      <c r="C2067" t="s">
        <v>188</v>
      </c>
      <c r="D2067" t="str">
        <f>IFERROR(INDEX(MASTER_REGISTER!F:F,MATCH(C2067,MASTER_REGISTER!E:E,0)),"")</f>
        <v>Sibusiso Molefe</v>
      </c>
      <c r="E2067" t="s">
        <v>337</v>
      </c>
      <c r="F2067" t="s">
        <v>338</v>
      </c>
      <c r="G2067" t="s">
        <v>339</v>
      </c>
    </row>
    <row r="2068" spans="1:8" x14ac:dyDescent="0.3">
      <c r="A2068" t="s">
        <v>372</v>
      </c>
      <c r="B2068">
        <f>IFERROR(INDEX(MASTER_REGISTER!C:C,MATCH(C2068,MASTER_REGISTER!E:E,0)),"")</f>
        <v>10</v>
      </c>
      <c r="C2068" t="s">
        <v>193</v>
      </c>
      <c r="D2068" t="str">
        <f>IFERROR(INDEX(MASTER_REGISTER!F:F,MATCH(C2068,MASTER_REGISTER!E:E,0)),"")</f>
        <v>Nandi Molefe</v>
      </c>
      <c r="E2068" t="s">
        <v>337</v>
      </c>
      <c r="F2068" t="s">
        <v>338</v>
      </c>
      <c r="G2068" t="s">
        <v>339</v>
      </c>
    </row>
    <row r="2069" spans="1:8" x14ac:dyDescent="0.3">
      <c r="A2069" t="s">
        <v>372</v>
      </c>
      <c r="B2069">
        <f>IFERROR(INDEX(MASTER_REGISTER!C:C,MATCH(C2069,MASTER_REGISTER!E:E,0)),"")</f>
        <v>10</v>
      </c>
      <c r="C2069" t="s">
        <v>198</v>
      </c>
      <c r="D2069" t="str">
        <f>IFERROR(INDEX(MASTER_REGISTER!F:F,MATCH(C2069,MASTER_REGISTER!E:E,0)),"")</f>
        <v>Kgothatso Baloyi</v>
      </c>
      <c r="E2069" t="s">
        <v>337</v>
      </c>
      <c r="F2069" t="s">
        <v>338</v>
      </c>
      <c r="G2069" t="s">
        <v>339</v>
      </c>
    </row>
    <row r="2070" spans="1:8" x14ac:dyDescent="0.3">
      <c r="A2070" t="s">
        <v>372</v>
      </c>
      <c r="B2070">
        <f>IFERROR(INDEX(MASTER_REGISTER!C:C,MATCH(C2070,MASTER_REGISTER!E:E,0)),"")</f>
        <v>10</v>
      </c>
      <c r="C2070" t="s">
        <v>202</v>
      </c>
      <c r="D2070" t="str">
        <f>IFERROR(INDEX(MASTER_REGISTER!F:F,MATCH(C2070,MASTER_REGISTER!E:E,0)),"")</f>
        <v>Ayanda Mokoena</v>
      </c>
      <c r="E2070" t="s">
        <v>337</v>
      </c>
      <c r="F2070" t="s">
        <v>338</v>
      </c>
      <c r="G2070" t="s">
        <v>339</v>
      </c>
    </row>
    <row r="2071" spans="1:8" x14ac:dyDescent="0.3">
      <c r="A2071" t="s">
        <v>372</v>
      </c>
      <c r="B2071">
        <f>IFERROR(INDEX(MASTER_REGISTER!C:C,MATCH(C2071,MASTER_REGISTER!E:E,0)),"")</f>
        <v>10</v>
      </c>
      <c r="C2071" t="s">
        <v>206</v>
      </c>
      <c r="D2071" t="str">
        <f>IFERROR(INDEX(MASTER_REGISTER!F:F,MATCH(C2071,MASTER_REGISTER!E:E,0)),"")</f>
        <v>Lwazi Baloyi</v>
      </c>
      <c r="E2071" t="s">
        <v>337</v>
      </c>
      <c r="F2071" t="s">
        <v>338</v>
      </c>
      <c r="G2071" t="s">
        <v>339</v>
      </c>
    </row>
    <row r="2072" spans="1:8" x14ac:dyDescent="0.3">
      <c r="A2072" t="s">
        <v>372</v>
      </c>
      <c r="B2072">
        <f>IFERROR(INDEX(MASTER_REGISTER!C:C,MATCH(C2072,MASTER_REGISTER!E:E,0)),"")</f>
        <v>10</v>
      </c>
      <c r="C2072" t="s">
        <v>210</v>
      </c>
      <c r="D2072" t="str">
        <f>IFERROR(INDEX(MASTER_REGISTER!F:F,MATCH(C2072,MASTER_REGISTER!E:E,0)),"")</f>
        <v>Siyanda Mokoena</v>
      </c>
      <c r="E2072" t="s">
        <v>337</v>
      </c>
      <c r="F2072" t="s">
        <v>338</v>
      </c>
      <c r="G2072" t="s">
        <v>339</v>
      </c>
    </row>
    <row r="2073" spans="1:8" x14ac:dyDescent="0.3">
      <c r="A2073" t="s">
        <v>372</v>
      </c>
      <c r="B2073">
        <f>IFERROR(INDEX(MASTER_REGISTER!C:C,MATCH(C2073,MASTER_REGISTER!E:E,0)),"")</f>
        <v>10</v>
      </c>
      <c r="C2073" t="s">
        <v>214</v>
      </c>
      <c r="D2073" t="str">
        <f>IFERROR(INDEX(MASTER_REGISTER!F:F,MATCH(C2073,MASTER_REGISTER!E:E,0)),"")</f>
        <v>Mpho Ngobeni</v>
      </c>
      <c r="E2073" t="s">
        <v>337</v>
      </c>
      <c r="F2073" t="s">
        <v>338</v>
      </c>
      <c r="G2073" t="s">
        <v>339</v>
      </c>
    </row>
    <row r="2074" spans="1:8" x14ac:dyDescent="0.3">
      <c r="A2074" t="s">
        <v>372</v>
      </c>
      <c r="B2074">
        <f>IFERROR(INDEX(MASTER_REGISTER!C:C,MATCH(C2074,MASTER_REGISTER!E:E,0)),"")</f>
        <v>10</v>
      </c>
      <c r="C2074" t="s">
        <v>217</v>
      </c>
      <c r="D2074" t="str">
        <f>IFERROR(INDEX(MASTER_REGISTER!F:F,MATCH(C2074,MASTER_REGISTER!E:E,0)),"")</f>
        <v>Naledi Makhubela</v>
      </c>
      <c r="E2074" t="s">
        <v>337</v>
      </c>
      <c r="F2074" t="s">
        <v>338</v>
      </c>
      <c r="G2074" t="s">
        <v>339</v>
      </c>
    </row>
    <row r="2075" spans="1:8" x14ac:dyDescent="0.3">
      <c r="A2075" t="s">
        <v>372</v>
      </c>
      <c r="B2075">
        <f>IFERROR(INDEX(MASTER_REGISTER!C:C,MATCH(C2075,MASTER_REGISTER!E:E,0)),"")</f>
        <v>10</v>
      </c>
      <c r="C2075" t="s">
        <v>221</v>
      </c>
      <c r="D2075" t="str">
        <f>IFERROR(INDEX(MASTER_REGISTER!F:F,MATCH(C2075,MASTER_REGISTER!E:E,0)),"")</f>
        <v>Kgothatso Mokoena</v>
      </c>
      <c r="E2075" t="s">
        <v>337</v>
      </c>
      <c r="F2075" t="s">
        <v>338</v>
      </c>
      <c r="G2075" t="s">
        <v>339</v>
      </c>
    </row>
    <row r="2076" spans="1:8" x14ac:dyDescent="0.3">
      <c r="A2076" t="s">
        <v>372</v>
      </c>
      <c r="B2076">
        <f>IFERROR(INDEX(MASTER_REGISTER!C:C,MATCH(C2076,MASTER_REGISTER!E:E,0)),"")</f>
        <v>10</v>
      </c>
      <c r="C2076" t="s">
        <v>225</v>
      </c>
      <c r="D2076" t="str">
        <f>IFERROR(INDEX(MASTER_REGISTER!F:F,MATCH(C2076,MASTER_REGISTER!E:E,0)),"")</f>
        <v>Bongani Makhubela</v>
      </c>
      <c r="E2076" t="s">
        <v>337</v>
      </c>
      <c r="F2076" t="s">
        <v>338</v>
      </c>
      <c r="G2076" t="s">
        <v>339</v>
      </c>
    </row>
    <row r="2077" spans="1:8" x14ac:dyDescent="0.3">
      <c r="A2077" t="s">
        <v>372</v>
      </c>
      <c r="B2077">
        <f>IFERROR(INDEX(MASTER_REGISTER!C:C,MATCH(C2077,MASTER_REGISTER!E:E,0)),"")</f>
        <v>10</v>
      </c>
      <c r="C2077" t="s">
        <v>229</v>
      </c>
      <c r="D2077" t="str">
        <f>IFERROR(INDEX(MASTER_REGISTER!F:F,MATCH(C2077,MASTER_REGISTER!E:E,0)),"")</f>
        <v>Kagiso Kekana</v>
      </c>
      <c r="E2077" t="s">
        <v>337</v>
      </c>
      <c r="F2077" t="s">
        <v>338</v>
      </c>
      <c r="G2077" t="s">
        <v>339</v>
      </c>
    </row>
    <row r="2078" spans="1:8" x14ac:dyDescent="0.3">
      <c r="A2078" t="s">
        <v>372</v>
      </c>
      <c r="B2078">
        <f>IFERROR(INDEX(MASTER_REGISTER!C:C,MATCH(C2078,MASTER_REGISTER!E:E,0)),"")</f>
        <v>11</v>
      </c>
      <c r="C2078" t="s">
        <v>233</v>
      </c>
      <c r="D2078" t="str">
        <f>IFERROR(INDEX(MASTER_REGISTER!F:F,MATCH(C2078,MASTER_REGISTER!E:E,0)),"")</f>
        <v>Lwazi Makhubela</v>
      </c>
      <c r="E2078" t="s">
        <v>337</v>
      </c>
      <c r="F2078" t="s">
        <v>338</v>
      </c>
      <c r="G2078" t="s">
        <v>339</v>
      </c>
    </row>
    <row r="2079" spans="1:8" x14ac:dyDescent="0.3">
      <c r="A2079" t="s">
        <v>372</v>
      </c>
      <c r="B2079">
        <f>IFERROR(INDEX(MASTER_REGISTER!C:C,MATCH(C2079,MASTER_REGISTER!E:E,0)),"")</f>
        <v>11</v>
      </c>
      <c r="C2079" t="s">
        <v>237</v>
      </c>
      <c r="D2079" t="str">
        <f>IFERROR(INDEX(MASTER_REGISTER!F:F,MATCH(C2079,MASTER_REGISTER!E:E,0)),"")</f>
        <v>Lebogang Ramushu</v>
      </c>
      <c r="E2079" t="s">
        <v>337</v>
      </c>
      <c r="F2079" t="s">
        <v>338</v>
      </c>
      <c r="G2079" t="s">
        <v>339</v>
      </c>
    </row>
    <row r="2080" spans="1:8" x14ac:dyDescent="0.3">
      <c r="A2080" t="s">
        <v>372</v>
      </c>
      <c r="B2080">
        <f>IFERROR(INDEX(MASTER_REGISTER!C:C,MATCH(C2080,MASTER_REGISTER!E:E,0)),"")</f>
        <v>11</v>
      </c>
      <c r="C2080" t="s">
        <v>241</v>
      </c>
      <c r="D2080" t="str">
        <f>IFERROR(INDEX(MASTER_REGISTER!F:F,MATCH(C2080,MASTER_REGISTER!E:E,0)),"")</f>
        <v>Lerato Kekana</v>
      </c>
      <c r="E2080" t="s">
        <v>335</v>
      </c>
      <c r="H2080" t="s">
        <v>341</v>
      </c>
    </row>
    <row r="2081" spans="1:8" x14ac:dyDescent="0.3">
      <c r="A2081" t="s">
        <v>372</v>
      </c>
      <c r="B2081">
        <f>IFERROR(INDEX(MASTER_REGISTER!C:C,MATCH(C2081,MASTER_REGISTER!E:E,0)),"")</f>
        <v>11</v>
      </c>
      <c r="C2081" t="s">
        <v>244</v>
      </c>
      <c r="D2081" t="str">
        <f>IFERROR(INDEX(MASTER_REGISTER!F:F,MATCH(C2081,MASTER_REGISTER!E:E,0)),"")</f>
        <v>Bongani Ndlovu</v>
      </c>
      <c r="E2081" t="s">
        <v>337</v>
      </c>
      <c r="F2081" t="s">
        <v>338</v>
      </c>
      <c r="G2081" t="s">
        <v>339</v>
      </c>
    </row>
    <row r="2082" spans="1:8" x14ac:dyDescent="0.3">
      <c r="A2082" t="s">
        <v>372</v>
      </c>
      <c r="B2082">
        <f>IFERROR(INDEX(MASTER_REGISTER!C:C,MATCH(C2082,MASTER_REGISTER!E:E,0)),"")</f>
        <v>11</v>
      </c>
      <c r="C2082" t="s">
        <v>248</v>
      </c>
      <c r="D2082" t="str">
        <f>IFERROR(INDEX(MASTER_REGISTER!F:F,MATCH(C2082,MASTER_REGISTER!E:E,0)),"")</f>
        <v>Sifiso Dlamini</v>
      </c>
      <c r="E2082" t="s">
        <v>337</v>
      </c>
      <c r="F2082" t="s">
        <v>338</v>
      </c>
      <c r="G2082" t="s">
        <v>339</v>
      </c>
    </row>
    <row r="2083" spans="1:8" x14ac:dyDescent="0.3">
      <c r="A2083" t="s">
        <v>372</v>
      </c>
      <c r="B2083">
        <f>IFERROR(INDEX(MASTER_REGISTER!C:C,MATCH(C2083,MASTER_REGISTER!E:E,0)),"")</f>
        <v>11</v>
      </c>
      <c r="C2083" t="s">
        <v>252</v>
      </c>
      <c r="D2083" t="str">
        <f>IFERROR(INDEX(MASTER_REGISTER!F:F,MATCH(C2083,MASTER_REGISTER!E:E,0)),"")</f>
        <v>Refilwe Dlamini</v>
      </c>
      <c r="E2083" t="s">
        <v>337</v>
      </c>
      <c r="F2083" t="s">
        <v>338</v>
      </c>
      <c r="G2083" t="s">
        <v>339</v>
      </c>
    </row>
    <row r="2084" spans="1:8" x14ac:dyDescent="0.3">
      <c r="A2084" t="s">
        <v>372</v>
      </c>
      <c r="B2084">
        <f>IFERROR(INDEX(MASTER_REGISTER!C:C,MATCH(C2084,MASTER_REGISTER!E:E,0)),"")</f>
        <v>11</v>
      </c>
      <c r="C2084" t="s">
        <v>256</v>
      </c>
      <c r="D2084" t="str">
        <f>IFERROR(INDEX(MASTER_REGISTER!F:F,MATCH(C2084,MASTER_REGISTER!E:E,0)),"")</f>
        <v>Lwazi Maseko</v>
      </c>
      <c r="E2084" t="s">
        <v>337</v>
      </c>
      <c r="F2084" t="s">
        <v>338</v>
      </c>
      <c r="G2084" t="s">
        <v>339</v>
      </c>
    </row>
    <row r="2085" spans="1:8" x14ac:dyDescent="0.3">
      <c r="A2085" t="s">
        <v>372</v>
      </c>
      <c r="B2085">
        <f>IFERROR(INDEX(MASTER_REGISTER!C:C,MATCH(C2085,MASTER_REGISTER!E:E,0)),"")</f>
        <v>11</v>
      </c>
      <c r="C2085" t="s">
        <v>260</v>
      </c>
      <c r="D2085" t="str">
        <f>IFERROR(INDEX(MASTER_REGISTER!F:F,MATCH(C2085,MASTER_REGISTER!E:E,0)),"")</f>
        <v>Refilwe Mokgadi</v>
      </c>
      <c r="E2085" t="s">
        <v>335</v>
      </c>
      <c r="H2085" t="s">
        <v>342</v>
      </c>
    </row>
    <row r="2086" spans="1:8" x14ac:dyDescent="0.3">
      <c r="A2086" t="s">
        <v>372</v>
      </c>
      <c r="B2086">
        <f>IFERROR(INDEX(MASTER_REGISTER!C:C,MATCH(C2086,MASTER_REGISTER!E:E,0)),"")</f>
        <v>11</v>
      </c>
      <c r="C2086" t="s">
        <v>264</v>
      </c>
      <c r="D2086" t="str">
        <f>IFERROR(INDEX(MASTER_REGISTER!F:F,MATCH(C2086,MASTER_REGISTER!E:E,0)),"")</f>
        <v>Kgothatso Molefe</v>
      </c>
      <c r="E2086" t="s">
        <v>335</v>
      </c>
      <c r="H2086" t="s">
        <v>340</v>
      </c>
    </row>
    <row r="2087" spans="1:8" x14ac:dyDescent="0.3">
      <c r="A2087" t="s">
        <v>372</v>
      </c>
      <c r="B2087">
        <f>IFERROR(INDEX(MASTER_REGISTER!C:C,MATCH(C2087,MASTER_REGISTER!E:E,0)),"")</f>
        <v>11</v>
      </c>
      <c r="C2087" t="s">
        <v>268</v>
      </c>
      <c r="D2087" t="str">
        <f>IFERROR(INDEX(MASTER_REGISTER!F:F,MATCH(C2087,MASTER_REGISTER!E:E,0)),"")</f>
        <v>Tshepo Mokgadi</v>
      </c>
      <c r="E2087" t="s">
        <v>337</v>
      </c>
      <c r="F2087" t="s">
        <v>338</v>
      </c>
      <c r="G2087" t="s">
        <v>339</v>
      </c>
    </row>
    <row r="2088" spans="1:8" x14ac:dyDescent="0.3">
      <c r="A2088" t="s">
        <v>372</v>
      </c>
      <c r="B2088">
        <f>IFERROR(INDEX(MASTER_REGISTER!C:C,MATCH(C2088,MASTER_REGISTER!E:E,0)),"")</f>
        <v>11</v>
      </c>
      <c r="C2088" t="s">
        <v>272</v>
      </c>
      <c r="D2088" t="str">
        <f>IFERROR(INDEX(MASTER_REGISTER!F:F,MATCH(C2088,MASTER_REGISTER!E:E,0)),"")</f>
        <v>Tshepo Phiri</v>
      </c>
      <c r="E2088" t="s">
        <v>337</v>
      </c>
      <c r="F2088" t="s">
        <v>338</v>
      </c>
      <c r="G2088" t="s">
        <v>339</v>
      </c>
    </row>
    <row r="2089" spans="1:8" x14ac:dyDescent="0.3">
      <c r="A2089" t="s">
        <v>372</v>
      </c>
      <c r="B2089">
        <f>IFERROR(INDEX(MASTER_REGISTER!C:C,MATCH(C2089,MASTER_REGISTER!E:E,0)),"")</f>
        <v>11</v>
      </c>
      <c r="C2089" t="s">
        <v>276</v>
      </c>
      <c r="D2089" t="str">
        <f>IFERROR(INDEX(MASTER_REGISTER!F:F,MATCH(C2089,MASTER_REGISTER!E:E,0)),"")</f>
        <v>Zanele Ngobeni</v>
      </c>
      <c r="E2089" t="s">
        <v>337</v>
      </c>
      <c r="F2089" t="s">
        <v>338</v>
      </c>
      <c r="G2089" t="s">
        <v>339</v>
      </c>
    </row>
    <row r="2090" spans="1:8" x14ac:dyDescent="0.3">
      <c r="A2090" t="s">
        <v>372</v>
      </c>
      <c r="B2090">
        <f>IFERROR(INDEX(MASTER_REGISTER!C:C,MATCH(C2090,MASTER_REGISTER!E:E,0)),"")</f>
        <v>12</v>
      </c>
      <c r="C2090" t="s">
        <v>280</v>
      </c>
      <c r="D2090" t="str">
        <f>IFERROR(INDEX(MASTER_REGISTER!F:F,MATCH(C2090,MASTER_REGISTER!E:E,0)),"")</f>
        <v>Palesa Mokoena</v>
      </c>
      <c r="E2090" t="s">
        <v>337</v>
      </c>
      <c r="F2090" t="s">
        <v>338</v>
      </c>
      <c r="G2090" t="s">
        <v>339</v>
      </c>
    </row>
    <row r="2091" spans="1:8" x14ac:dyDescent="0.3">
      <c r="A2091" t="s">
        <v>372</v>
      </c>
      <c r="B2091">
        <f>IFERROR(INDEX(MASTER_REGISTER!C:C,MATCH(C2091,MASTER_REGISTER!E:E,0)),"")</f>
        <v>12</v>
      </c>
      <c r="C2091" t="s">
        <v>284</v>
      </c>
      <c r="D2091" t="str">
        <f>IFERROR(INDEX(MASTER_REGISTER!F:F,MATCH(C2091,MASTER_REGISTER!E:E,0)),"")</f>
        <v>Thabo Ramushu</v>
      </c>
      <c r="E2091" t="s">
        <v>337</v>
      </c>
      <c r="F2091" t="s">
        <v>338</v>
      </c>
      <c r="G2091" t="s">
        <v>339</v>
      </c>
    </row>
    <row r="2092" spans="1:8" x14ac:dyDescent="0.3">
      <c r="A2092" t="s">
        <v>372</v>
      </c>
      <c r="B2092">
        <f>IFERROR(INDEX(MASTER_REGISTER!C:C,MATCH(C2092,MASTER_REGISTER!E:E,0)),"")</f>
        <v>12</v>
      </c>
      <c r="C2092" t="s">
        <v>288</v>
      </c>
      <c r="D2092" t="str">
        <f>IFERROR(INDEX(MASTER_REGISTER!F:F,MATCH(C2092,MASTER_REGISTER!E:E,0)),"")</f>
        <v>Lwazi Ndlovu</v>
      </c>
      <c r="E2092" t="s">
        <v>337</v>
      </c>
      <c r="F2092" t="s">
        <v>338</v>
      </c>
      <c r="G2092" t="s">
        <v>339</v>
      </c>
    </row>
    <row r="2093" spans="1:8" x14ac:dyDescent="0.3">
      <c r="A2093" t="s">
        <v>372</v>
      </c>
      <c r="B2093">
        <f>IFERROR(INDEX(MASTER_REGISTER!C:C,MATCH(C2093,MASTER_REGISTER!E:E,0)),"")</f>
        <v>12</v>
      </c>
      <c r="C2093" t="s">
        <v>292</v>
      </c>
      <c r="D2093" t="str">
        <f>IFERROR(INDEX(MASTER_REGISTER!F:F,MATCH(C2093,MASTER_REGISTER!E:E,0)),"")</f>
        <v>Ayanda Dlamini</v>
      </c>
      <c r="E2093" t="s">
        <v>337</v>
      </c>
      <c r="F2093" t="s">
        <v>338</v>
      </c>
      <c r="G2093" t="s">
        <v>339</v>
      </c>
    </row>
    <row r="2094" spans="1:8" x14ac:dyDescent="0.3">
      <c r="A2094" t="s">
        <v>372</v>
      </c>
      <c r="B2094">
        <f>IFERROR(INDEX(MASTER_REGISTER!C:C,MATCH(C2094,MASTER_REGISTER!E:E,0)),"")</f>
        <v>12</v>
      </c>
      <c r="C2094" t="s">
        <v>296</v>
      </c>
      <c r="D2094" t="str">
        <f>IFERROR(INDEX(MASTER_REGISTER!F:F,MATCH(C2094,MASTER_REGISTER!E:E,0)),"")</f>
        <v>Neo Ndlovu</v>
      </c>
      <c r="E2094" t="s">
        <v>337</v>
      </c>
      <c r="F2094" t="s">
        <v>338</v>
      </c>
      <c r="G2094" t="s">
        <v>339</v>
      </c>
    </row>
    <row r="2095" spans="1:8" x14ac:dyDescent="0.3">
      <c r="A2095" t="s">
        <v>372</v>
      </c>
      <c r="B2095">
        <f>IFERROR(INDEX(MASTER_REGISTER!C:C,MATCH(C2095,MASTER_REGISTER!E:E,0)),"")</f>
        <v>12</v>
      </c>
      <c r="C2095" t="s">
        <v>300</v>
      </c>
      <c r="D2095" t="str">
        <f>IFERROR(INDEX(MASTER_REGISTER!F:F,MATCH(C2095,MASTER_REGISTER!E:E,0)),"")</f>
        <v>Neo Ramushu</v>
      </c>
      <c r="E2095" t="s">
        <v>337</v>
      </c>
      <c r="F2095" t="s">
        <v>338</v>
      </c>
      <c r="G2095" t="s">
        <v>339</v>
      </c>
    </row>
    <row r="2096" spans="1:8" x14ac:dyDescent="0.3">
      <c r="A2096" t="s">
        <v>372</v>
      </c>
      <c r="B2096">
        <f>IFERROR(INDEX(MASTER_REGISTER!C:C,MATCH(C2096,MASTER_REGISTER!E:E,0)),"")</f>
        <v>12</v>
      </c>
      <c r="C2096" t="s">
        <v>304</v>
      </c>
      <c r="D2096" t="str">
        <f>IFERROR(INDEX(MASTER_REGISTER!F:F,MATCH(C2096,MASTER_REGISTER!E:E,0)),"")</f>
        <v>Karabo Baloyi</v>
      </c>
      <c r="E2096" t="s">
        <v>337</v>
      </c>
      <c r="F2096" t="s">
        <v>338</v>
      </c>
      <c r="G2096" t="s">
        <v>339</v>
      </c>
    </row>
    <row r="2097" spans="1:8" x14ac:dyDescent="0.3">
      <c r="A2097" t="s">
        <v>372</v>
      </c>
      <c r="B2097">
        <f>IFERROR(INDEX(MASTER_REGISTER!C:C,MATCH(C2097,MASTER_REGISTER!E:E,0)),"")</f>
        <v>12</v>
      </c>
      <c r="C2097" t="s">
        <v>308</v>
      </c>
      <c r="D2097" t="str">
        <f>IFERROR(INDEX(MASTER_REGISTER!F:F,MATCH(C2097,MASTER_REGISTER!E:E,0)),"")</f>
        <v>Tshepo Mokgadi</v>
      </c>
      <c r="E2097" t="s">
        <v>337</v>
      </c>
      <c r="F2097" t="s">
        <v>338</v>
      </c>
      <c r="G2097" t="s">
        <v>339</v>
      </c>
    </row>
    <row r="2098" spans="1:8" x14ac:dyDescent="0.3">
      <c r="A2098" t="s">
        <v>372</v>
      </c>
      <c r="B2098">
        <f>IFERROR(INDEX(MASTER_REGISTER!C:C,MATCH(C2098,MASTER_REGISTER!E:E,0)),"")</f>
        <v>12</v>
      </c>
      <c r="C2098" t="s">
        <v>311</v>
      </c>
      <c r="D2098" t="str">
        <f>IFERROR(INDEX(MASTER_REGISTER!F:F,MATCH(C2098,MASTER_REGISTER!E:E,0)),"")</f>
        <v>Sifiso Mavuso</v>
      </c>
      <c r="E2098" t="s">
        <v>337</v>
      </c>
      <c r="F2098" t="s">
        <v>338</v>
      </c>
      <c r="G2098" t="s">
        <v>339</v>
      </c>
    </row>
    <row r="2099" spans="1:8" x14ac:dyDescent="0.3">
      <c r="A2099" t="s">
        <v>372</v>
      </c>
      <c r="B2099">
        <f>IFERROR(INDEX(MASTER_REGISTER!C:C,MATCH(C2099,MASTER_REGISTER!E:E,0)),"")</f>
        <v>12</v>
      </c>
      <c r="C2099" t="s">
        <v>315</v>
      </c>
      <c r="D2099" t="str">
        <f>IFERROR(INDEX(MASTER_REGISTER!F:F,MATCH(C2099,MASTER_REGISTER!E:E,0)),"")</f>
        <v>Refilwe Sithole</v>
      </c>
      <c r="E2099" t="s">
        <v>337</v>
      </c>
      <c r="F2099" t="s">
        <v>338</v>
      </c>
      <c r="G2099" t="s">
        <v>339</v>
      </c>
    </row>
    <row r="2100" spans="1:8" x14ac:dyDescent="0.3">
      <c r="A2100" t="s">
        <v>372</v>
      </c>
      <c r="B2100">
        <f>IFERROR(INDEX(MASTER_REGISTER!C:C,MATCH(C2100,MASTER_REGISTER!E:E,0)),"")</f>
        <v>12</v>
      </c>
      <c r="C2100" t="s">
        <v>319</v>
      </c>
      <c r="D2100" t="str">
        <f>IFERROR(INDEX(MASTER_REGISTER!F:F,MATCH(C2100,MASTER_REGISTER!E:E,0)),"")</f>
        <v>Lerato Sithole</v>
      </c>
      <c r="E2100" t="s">
        <v>337</v>
      </c>
      <c r="F2100" t="s">
        <v>338</v>
      </c>
      <c r="G2100" t="s">
        <v>339</v>
      </c>
    </row>
    <row r="2101" spans="1:8" x14ac:dyDescent="0.3">
      <c r="A2101" t="s">
        <v>372</v>
      </c>
      <c r="B2101">
        <f>IFERROR(INDEX(MASTER_REGISTER!C:C,MATCH(C2101,MASTER_REGISTER!E:E,0)),"")</f>
        <v>12</v>
      </c>
      <c r="C2101" t="s">
        <v>323</v>
      </c>
      <c r="D2101" t="str">
        <f>IFERROR(INDEX(MASTER_REGISTER!F:F,MATCH(C2101,MASTER_REGISTER!E:E,0)),"")</f>
        <v>Sibusiso Ngobeni</v>
      </c>
      <c r="E2101" t="s">
        <v>337</v>
      </c>
      <c r="F2101" t="s">
        <v>338</v>
      </c>
      <c r="G2101" t="s">
        <v>339</v>
      </c>
    </row>
    <row r="2102" spans="1:8" x14ac:dyDescent="0.3">
      <c r="A2102" t="s">
        <v>373</v>
      </c>
      <c r="B2102">
        <f>IFERROR(INDEX(MASTER_REGISTER!C:C,MATCH(C2102,MASTER_REGISTER!E:E,0)),"")</f>
        <v>8</v>
      </c>
      <c r="C2102" t="s">
        <v>50</v>
      </c>
      <c r="D2102" t="str">
        <f>IFERROR(INDEX(MASTER_REGISTER!F:F,MATCH(C2102,MASTER_REGISTER!E:E,0)),"")</f>
        <v>Lerato Nkosi</v>
      </c>
      <c r="E2102" t="s">
        <v>337</v>
      </c>
      <c r="F2102" t="s">
        <v>338</v>
      </c>
      <c r="G2102" t="s">
        <v>339</v>
      </c>
    </row>
    <row r="2103" spans="1:8" x14ac:dyDescent="0.3">
      <c r="A2103" t="s">
        <v>373</v>
      </c>
      <c r="B2103">
        <f>IFERROR(INDEX(MASTER_REGISTER!C:C,MATCH(C2103,MASTER_REGISTER!E:E,0)),"")</f>
        <v>8</v>
      </c>
      <c r="C2103" t="s">
        <v>58</v>
      </c>
      <c r="D2103" t="str">
        <f>IFERROR(INDEX(MASTER_REGISTER!F:F,MATCH(C2103,MASTER_REGISTER!E:E,0)),"")</f>
        <v>Karabo Maseko</v>
      </c>
      <c r="E2103" t="s">
        <v>335</v>
      </c>
      <c r="H2103" t="s">
        <v>341</v>
      </c>
    </row>
    <row r="2104" spans="1:8" x14ac:dyDescent="0.3">
      <c r="A2104" t="s">
        <v>373</v>
      </c>
      <c r="B2104">
        <f>IFERROR(INDEX(MASTER_REGISTER!C:C,MATCH(C2104,MASTER_REGISTER!E:E,0)),"")</f>
        <v>8</v>
      </c>
      <c r="C2104" t="s">
        <v>64</v>
      </c>
      <c r="D2104" t="str">
        <f>IFERROR(INDEX(MASTER_REGISTER!F:F,MATCH(C2104,MASTER_REGISTER!E:E,0)),"")</f>
        <v>Sifiso Sithole</v>
      </c>
      <c r="E2104" t="s">
        <v>337</v>
      </c>
      <c r="F2104" t="s">
        <v>338</v>
      </c>
      <c r="G2104" t="s">
        <v>339</v>
      </c>
    </row>
    <row r="2105" spans="1:8" x14ac:dyDescent="0.3">
      <c r="A2105" t="s">
        <v>373</v>
      </c>
      <c r="B2105">
        <f>IFERROR(INDEX(MASTER_REGISTER!C:C,MATCH(C2105,MASTER_REGISTER!E:E,0)),"")</f>
        <v>8</v>
      </c>
      <c r="C2105" t="s">
        <v>70</v>
      </c>
      <c r="D2105" t="str">
        <f>IFERROR(INDEX(MASTER_REGISTER!F:F,MATCH(C2105,MASTER_REGISTER!E:E,0)),"")</f>
        <v>Tshepo Ndlovu</v>
      </c>
      <c r="E2105" t="s">
        <v>337</v>
      </c>
      <c r="F2105" t="s">
        <v>338</v>
      </c>
      <c r="G2105" t="s">
        <v>339</v>
      </c>
    </row>
    <row r="2106" spans="1:8" x14ac:dyDescent="0.3">
      <c r="A2106" t="s">
        <v>373</v>
      </c>
      <c r="B2106">
        <f>IFERROR(INDEX(MASTER_REGISTER!C:C,MATCH(C2106,MASTER_REGISTER!E:E,0)),"")</f>
        <v>8</v>
      </c>
      <c r="C2106" t="s">
        <v>76</v>
      </c>
      <c r="D2106" t="str">
        <f>IFERROR(INDEX(MASTER_REGISTER!F:F,MATCH(C2106,MASTER_REGISTER!E:E,0)),"")</f>
        <v>Lwazi Mthembu</v>
      </c>
      <c r="E2106" t="s">
        <v>337</v>
      </c>
      <c r="F2106" t="s">
        <v>338</v>
      </c>
      <c r="G2106" t="s">
        <v>339</v>
      </c>
    </row>
    <row r="2107" spans="1:8" x14ac:dyDescent="0.3">
      <c r="A2107" t="s">
        <v>373</v>
      </c>
      <c r="B2107">
        <f>IFERROR(INDEX(MASTER_REGISTER!C:C,MATCH(C2107,MASTER_REGISTER!E:E,0)),"")</f>
        <v>8</v>
      </c>
      <c r="C2107" t="s">
        <v>82</v>
      </c>
      <c r="D2107" t="str">
        <f>IFERROR(INDEX(MASTER_REGISTER!F:F,MATCH(C2107,MASTER_REGISTER!E:E,0)),"")</f>
        <v>Karabo Ngobeni</v>
      </c>
      <c r="E2107" t="s">
        <v>337</v>
      </c>
      <c r="F2107" t="s">
        <v>338</v>
      </c>
      <c r="G2107" t="s">
        <v>339</v>
      </c>
    </row>
    <row r="2108" spans="1:8" x14ac:dyDescent="0.3">
      <c r="A2108" t="s">
        <v>373</v>
      </c>
      <c r="B2108">
        <f>IFERROR(INDEX(MASTER_REGISTER!C:C,MATCH(C2108,MASTER_REGISTER!E:E,0)),"")</f>
        <v>8</v>
      </c>
      <c r="C2108" t="s">
        <v>88</v>
      </c>
      <c r="D2108" t="str">
        <f>IFERROR(INDEX(MASTER_REGISTER!F:F,MATCH(C2108,MASTER_REGISTER!E:E,0)),"")</f>
        <v>Mpho Sithole</v>
      </c>
      <c r="E2108" t="s">
        <v>337</v>
      </c>
      <c r="F2108" t="s">
        <v>338</v>
      </c>
      <c r="G2108" t="s">
        <v>339</v>
      </c>
    </row>
    <row r="2109" spans="1:8" x14ac:dyDescent="0.3">
      <c r="A2109" t="s">
        <v>373</v>
      </c>
      <c r="B2109">
        <f>IFERROR(INDEX(MASTER_REGISTER!C:C,MATCH(C2109,MASTER_REGISTER!E:E,0)),"")</f>
        <v>8</v>
      </c>
      <c r="C2109" t="s">
        <v>94</v>
      </c>
      <c r="D2109" t="str">
        <f>IFERROR(INDEX(MASTER_REGISTER!F:F,MATCH(C2109,MASTER_REGISTER!E:E,0)),"")</f>
        <v>Tshepo Ramushu</v>
      </c>
      <c r="E2109" t="s">
        <v>337</v>
      </c>
      <c r="F2109" t="s">
        <v>338</v>
      </c>
      <c r="G2109" t="s">
        <v>339</v>
      </c>
    </row>
    <row r="2110" spans="1:8" x14ac:dyDescent="0.3">
      <c r="A2110" t="s">
        <v>373</v>
      </c>
      <c r="B2110">
        <f>IFERROR(INDEX(MASTER_REGISTER!C:C,MATCH(C2110,MASTER_REGISTER!E:E,0)),"")</f>
        <v>8</v>
      </c>
      <c r="C2110" t="s">
        <v>100</v>
      </c>
      <c r="D2110" t="str">
        <f>IFERROR(INDEX(MASTER_REGISTER!F:F,MATCH(C2110,MASTER_REGISTER!E:E,0)),"")</f>
        <v>Lerato Kekana</v>
      </c>
      <c r="E2110" t="s">
        <v>337</v>
      </c>
      <c r="F2110" t="s">
        <v>338</v>
      </c>
      <c r="G2110" t="s">
        <v>339</v>
      </c>
    </row>
    <row r="2111" spans="1:8" x14ac:dyDescent="0.3">
      <c r="A2111" t="s">
        <v>373</v>
      </c>
      <c r="B2111">
        <f>IFERROR(INDEX(MASTER_REGISTER!C:C,MATCH(C2111,MASTER_REGISTER!E:E,0)),"")</f>
        <v>8</v>
      </c>
      <c r="C2111" t="s">
        <v>106</v>
      </c>
      <c r="D2111" t="str">
        <f>IFERROR(INDEX(MASTER_REGISTER!F:F,MATCH(C2111,MASTER_REGISTER!E:E,0)),"")</f>
        <v>Neo Ngobeni</v>
      </c>
      <c r="E2111" t="s">
        <v>337</v>
      </c>
      <c r="F2111" t="s">
        <v>338</v>
      </c>
      <c r="G2111" t="s">
        <v>339</v>
      </c>
    </row>
    <row r="2112" spans="1:8" x14ac:dyDescent="0.3">
      <c r="A2112" t="s">
        <v>373</v>
      </c>
      <c r="B2112">
        <f>IFERROR(INDEX(MASTER_REGISTER!C:C,MATCH(C2112,MASTER_REGISTER!E:E,0)),"")</f>
        <v>8</v>
      </c>
      <c r="C2112" t="s">
        <v>112</v>
      </c>
      <c r="D2112" t="str">
        <f>IFERROR(INDEX(MASTER_REGISTER!F:F,MATCH(C2112,MASTER_REGISTER!E:E,0)),"")</f>
        <v>Thabo Mokgadi</v>
      </c>
      <c r="E2112" t="s">
        <v>335</v>
      </c>
      <c r="H2112" t="s">
        <v>336</v>
      </c>
    </row>
    <row r="2113" spans="1:8" x14ac:dyDescent="0.3">
      <c r="A2113" t="s">
        <v>373</v>
      </c>
      <c r="B2113">
        <f>IFERROR(INDEX(MASTER_REGISTER!C:C,MATCH(C2113,MASTER_REGISTER!E:E,0)),"")</f>
        <v>8</v>
      </c>
      <c r="C2113" t="s">
        <v>118</v>
      </c>
      <c r="D2113" t="str">
        <f>IFERROR(INDEX(MASTER_REGISTER!F:F,MATCH(C2113,MASTER_REGISTER!E:E,0)),"")</f>
        <v>Sifiso Mthembu</v>
      </c>
      <c r="E2113" t="s">
        <v>337</v>
      </c>
      <c r="F2113" t="s">
        <v>338</v>
      </c>
      <c r="G2113" t="s">
        <v>339</v>
      </c>
    </row>
    <row r="2114" spans="1:8" x14ac:dyDescent="0.3">
      <c r="A2114" t="s">
        <v>373</v>
      </c>
      <c r="B2114">
        <f>IFERROR(INDEX(MASTER_REGISTER!C:C,MATCH(C2114,MASTER_REGISTER!E:E,0)),"")</f>
        <v>9</v>
      </c>
      <c r="C2114" t="s">
        <v>123</v>
      </c>
      <c r="D2114" t="str">
        <f>IFERROR(INDEX(MASTER_REGISTER!F:F,MATCH(C2114,MASTER_REGISTER!E:E,0)),"")</f>
        <v>Karabo Phiri</v>
      </c>
      <c r="E2114" t="s">
        <v>335</v>
      </c>
      <c r="H2114" t="s">
        <v>342</v>
      </c>
    </row>
    <row r="2115" spans="1:8" x14ac:dyDescent="0.3">
      <c r="A2115" t="s">
        <v>373</v>
      </c>
      <c r="B2115">
        <f>IFERROR(INDEX(MASTER_REGISTER!C:C,MATCH(C2115,MASTER_REGISTER!E:E,0)),"")</f>
        <v>9</v>
      </c>
      <c r="C2115" t="s">
        <v>128</v>
      </c>
      <c r="D2115" t="str">
        <f>IFERROR(INDEX(MASTER_REGISTER!F:F,MATCH(C2115,MASTER_REGISTER!E:E,0)),"")</f>
        <v>Lerato Mahlangu</v>
      </c>
      <c r="E2115" t="s">
        <v>337</v>
      </c>
      <c r="F2115" t="s">
        <v>338</v>
      </c>
      <c r="G2115" t="s">
        <v>339</v>
      </c>
    </row>
    <row r="2116" spans="1:8" x14ac:dyDescent="0.3">
      <c r="A2116" t="s">
        <v>373</v>
      </c>
      <c r="B2116">
        <f>IFERROR(INDEX(MASTER_REGISTER!C:C,MATCH(C2116,MASTER_REGISTER!E:E,0)),"")</f>
        <v>9</v>
      </c>
      <c r="C2116" t="s">
        <v>133</v>
      </c>
      <c r="D2116" t="str">
        <f>IFERROR(INDEX(MASTER_REGISTER!F:F,MATCH(C2116,MASTER_REGISTER!E:E,0)),"")</f>
        <v>Mpho Kekana</v>
      </c>
      <c r="E2116" t="s">
        <v>337</v>
      </c>
      <c r="F2116" t="s">
        <v>338</v>
      </c>
      <c r="G2116" t="s">
        <v>339</v>
      </c>
    </row>
    <row r="2117" spans="1:8" x14ac:dyDescent="0.3">
      <c r="A2117" t="s">
        <v>373</v>
      </c>
      <c r="B2117">
        <f>IFERROR(INDEX(MASTER_REGISTER!C:C,MATCH(C2117,MASTER_REGISTER!E:E,0)),"")</f>
        <v>9</v>
      </c>
      <c r="C2117" t="s">
        <v>138</v>
      </c>
      <c r="D2117" t="str">
        <f>IFERROR(INDEX(MASTER_REGISTER!F:F,MATCH(C2117,MASTER_REGISTER!E:E,0)),"")</f>
        <v>Thabo Molefe</v>
      </c>
      <c r="E2117" t="s">
        <v>337</v>
      </c>
      <c r="F2117" t="s">
        <v>338</v>
      </c>
      <c r="G2117" t="s">
        <v>339</v>
      </c>
    </row>
    <row r="2118" spans="1:8" x14ac:dyDescent="0.3">
      <c r="A2118" t="s">
        <v>373</v>
      </c>
      <c r="B2118">
        <f>IFERROR(INDEX(MASTER_REGISTER!C:C,MATCH(C2118,MASTER_REGISTER!E:E,0)),"")</f>
        <v>9</v>
      </c>
      <c r="C2118" t="s">
        <v>143</v>
      </c>
      <c r="D2118" t="str">
        <f>IFERROR(INDEX(MASTER_REGISTER!F:F,MATCH(C2118,MASTER_REGISTER!E:E,0)),"")</f>
        <v>Mpho Ngobeni</v>
      </c>
      <c r="E2118" t="s">
        <v>337</v>
      </c>
      <c r="F2118" t="s">
        <v>338</v>
      </c>
      <c r="G2118" t="s">
        <v>339</v>
      </c>
    </row>
    <row r="2119" spans="1:8" x14ac:dyDescent="0.3">
      <c r="A2119" t="s">
        <v>373</v>
      </c>
      <c r="B2119">
        <f>IFERROR(INDEX(MASTER_REGISTER!C:C,MATCH(C2119,MASTER_REGISTER!E:E,0)),"")</f>
        <v>9</v>
      </c>
      <c r="C2119" t="s">
        <v>148</v>
      </c>
      <c r="D2119" t="str">
        <f>IFERROR(INDEX(MASTER_REGISTER!F:F,MATCH(C2119,MASTER_REGISTER!E:E,0)),"")</f>
        <v>Siyanda Mhlongo</v>
      </c>
      <c r="E2119" t="s">
        <v>337</v>
      </c>
      <c r="F2119" t="s">
        <v>338</v>
      </c>
      <c r="G2119" t="s">
        <v>339</v>
      </c>
    </row>
    <row r="2120" spans="1:8" x14ac:dyDescent="0.3">
      <c r="A2120" t="s">
        <v>373</v>
      </c>
      <c r="B2120">
        <f>IFERROR(INDEX(MASTER_REGISTER!C:C,MATCH(C2120,MASTER_REGISTER!E:E,0)),"")</f>
        <v>9</v>
      </c>
      <c r="C2120" t="s">
        <v>153</v>
      </c>
      <c r="D2120" t="str">
        <f>IFERROR(INDEX(MASTER_REGISTER!F:F,MATCH(C2120,MASTER_REGISTER!E:E,0)),"")</f>
        <v>Siyanda Mahlangu</v>
      </c>
      <c r="E2120" t="s">
        <v>337</v>
      </c>
      <c r="F2120" t="s">
        <v>338</v>
      </c>
      <c r="G2120" t="s">
        <v>339</v>
      </c>
    </row>
    <row r="2121" spans="1:8" x14ac:dyDescent="0.3">
      <c r="A2121" t="s">
        <v>373</v>
      </c>
      <c r="B2121">
        <f>IFERROR(INDEX(MASTER_REGISTER!C:C,MATCH(C2121,MASTER_REGISTER!E:E,0)),"")</f>
        <v>9</v>
      </c>
      <c r="C2121" t="s">
        <v>158</v>
      </c>
      <c r="D2121" t="str">
        <f>IFERROR(INDEX(MASTER_REGISTER!F:F,MATCH(C2121,MASTER_REGISTER!E:E,0)),"")</f>
        <v>Sifiso Ramushu</v>
      </c>
      <c r="E2121" t="s">
        <v>337</v>
      </c>
      <c r="F2121" t="s">
        <v>338</v>
      </c>
      <c r="G2121" t="s">
        <v>339</v>
      </c>
    </row>
    <row r="2122" spans="1:8" x14ac:dyDescent="0.3">
      <c r="A2122" t="s">
        <v>373</v>
      </c>
      <c r="B2122">
        <f>IFERROR(INDEX(MASTER_REGISTER!C:C,MATCH(C2122,MASTER_REGISTER!E:E,0)),"")</f>
        <v>9</v>
      </c>
      <c r="C2122" t="s">
        <v>163</v>
      </c>
      <c r="D2122" t="str">
        <f>IFERROR(INDEX(MASTER_REGISTER!F:F,MATCH(C2122,MASTER_REGISTER!E:E,0)),"")</f>
        <v>Nandi Ngobeni</v>
      </c>
      <c r="E2122" t="s">
        <v>337</v>
      </c>
      <c r="F2122" t="s">
        <v>338</v>
      </c>
      <c r="G2122" t="s">
        <v>339</v>
      </c>
    </row>
    <row r="2123" spans="1:8" x14ac:dyDescent="0.3">
      <c r="A2123" t="s">
        <v>373</v>
      </c>
      <c r="B2123">
        <f>IFERROR(INDEX(MASTER_REGISTER!C:C,MATCH(C2123,MASTER_REGISTER!E:E,0)),"")</f>
        <v>9</v>
      </c>
      <c r="C2123" t="s">
        <v>168</v>
      </c>
      <c r="D2123" t="str">
        <f>IFERROR(INDEX(MASTER_REGISTER!F:F,MATCH(C2123,MASTER_REGISTER!E:E,0)),"")</f>
        <v>Karabo Mokgadi</v>
      </c>
      <c r="E2123" t="s">
        <v>335</v>
      </c>
      <c r="H2123" t="s">
        <v>336</v>
      </c>
    </row>
    <row r="2124" spans="1:8" x14ac:dyDescent="0.3">
      <c r="A2124" t="s">
        <v>373</v>
      </c>
      <c r="B2124">
        <f>IFERROR(INDEX(MASTER_REGISTER!C:C,MATCH(C2124,MASTER_REGISTER!E:E,0)),"")</f>
        <v>9</v>
      </c>
      <c r="C2124" t="s">
        <v>173</v>
      </c>
      <c r="D2124" t="str">
        <f>IFERROR(INDEX(MASTER_REGISTER!F:F,MATCH(C2124,MASTER_REGISTER!E:E,0)),"")</f>
        <v>Sifiso Mahlangu</v>
      </c>
      <c r="E2124" t="s">
        <v>337</v>
      </c>
      <c r="F2124" t="s">
        <v>338</v>
      </c>
      <c r="G2124" t="s">
        <v>339</v>
      </c>
    </row>
    <row r="2125" spans="1:8" x14ac:dyDescent="0.3">
      <c r="A2125" t="s">
        <v>373</v>
      </c>
      <c r="B2125">
        <f>IFERROR(INDEX(MASTER_REGISTER!C:C,MATCH(C2125,MASTER_REGISTER!E:E,0)),"")</f>
        <v>9</v>
      </c>
      <c r="C2125" t="s">
        <v>178</v>
      </c>
      <c r="D2125" t="str">
        <f>IFERROR(INDEX(MASTER_REGISTER!F:F,MATCH(C2125,MASTER_REGISTER!E:E,0)),"")</f>
        <v>Kgothatso Radebe</v>
      </c>
      <c r="E2125" t="s">
        <v>337</v>
      </c>
      <c r="F2125" t="s">
        <v>338</v>
      </c>
      <c r="G2125" t="s">
        <v>339</v>
      </c>
    </row>
    <row r="2126" spans="1:8" x14ac:dyDescent="0.3">
      <c r="A2126" t="s">
        <v>373</v>
      </c>
      <c r="B2126">
        <f>IFERROR(INDEX(MASTER_REGISTER!C:C,MATCH(C2126,MASTER_REGISTER!E:E,0)),"")</f>
        <v>10</v>
      </c>
      <c r="C2126" t="s">
        <v>183</v>
      </c>
      <c r="D2126" t="str">
        <f>IFERROR(INDEX(MASTER_REGISTER!F:F,MATCH(C2126,MASTER_REGISTER!E:E,0)),"")</f>
        <v>Lerato Maseko</v>
      </c>
      <c r="E2126" t="s">
        <v>337</v>
      </c>
      <c r="F2126" t="s">
        <v>338</v>
      </c>
      <c r="G2126" t="s">
        <v>339</v>
      </c>
    </row>
    <row r="2127" spans="1:8" x14ac:dyDescent="0.3">
      <c r="A2127" t="s">
        <v>373</v>
      </c>
      <c r="B2127">
        <f>IFERROR(INDEX(MASTER_REGISTER!C:C,MATCH(C2127,MASTER_REGISTER!E:E,0)),"")</f>
        <v>10</v>
      </c>
      <c r="C2127" t="s">
        <v>188</v>
      </c>
      <c r="D2127" t="str">
        <f>IFERROR(INDEX(MASTER_REGISTER!F:F,MATCH(C2127,MASTER_REGISTER!E:E,0)),"")</f>
        <v>Sibusiso Molefe</v>
      </c>
      <c r="E2127" t="s">
        <v>337</v>
      </c>
      <c r="F2127" t="s">
        <v>338</v>
      </c>
      <c r="G2127" t="s">
        <v>339</v>
      </c>
    </row>
    <row r="2128" spans="1:8" x14ac:dyDescent="0.3">
      <c r="A2128" t="s">
        <v>373</v>
      </c>
      <c r="B2128">
        <f>IFERROR(INDEX(MASTER_REGISTER!C:C,MATCH(C2128,MASTER_REGISTER!E:E,0)),"")</f>
        <v>10</v>
      </c>
      <c r="C2128" t="s">
        <v>193</v>
      </c>
      <c r="D2128" t="str">
        <f>IFERROR(INDEX(MASTER_REGISTER!F:F,MATCH(C2128,MASTER_REGISTER!E:E,0)),"")</f>
        <v>Nandi Molefe</v>
      </c>
      <c r="E2128" t="s">
        <v>337</v>
      </c>
      <c r="F2128" t="s">
        <v>338</v>
      </c>
      <c r="G2128" t="s">
        <v>339</v>
      </c>
    </row>
    <row r="2129" spans="1:8" x14ac:dyDescent="0.3">
      <c r="A2129" t="s">
        <v>373</v>
      </c>
      <c r="B2129">
        <f>IFERROR(INDEX(MASTER_REGISTER!C:C,MATCH(C2129,MASTER_REGISTER!E:E,0)),"")</f>
        <v>10</v>
      </c>
      <c r="C2129" t="s">
        <v>198</v>
      </c>
      <c r="D2129" t="str">
        <f>IFERROR(INDEX(MASTER_REGISTER!F:F,MATCH(C2129,MASTER_REGISTER!E:E,0)),"")</f>
        <v>Kgothatso Baloyi</v>
      </c>
      <c r="E2129" t="s">
        <v>337</v>
      </c>
      <c r="F2129" t="s">
        <v>338</v>
      </c>
      <c r="G2129" t="s">
        <v>339</v>
      </c>
    </row>
    <row r="2130" spans="1:8" x14ac:dyDescent="0.3">
      <c r="A2130" t="s">
        <v>373</v>
      </c>
      <c r="B2130">
        <f>IFERROR(INDEX(MASTER_REGISTER!C:C,MATCH(C2130,MASTER_REGISTER!E:E,0)),"")</f>
        <v>10</v>
      </c>
      <c r="C2130" t="s">
        <v>202</v>
      </c>
      <c r="D2130" t="str">
        <f>IFERROR(INDEX(MASTER_REGISTER!F:F,MATCH(C2130,MASTER_REGISTER!E:E,0)),"")</f>
        <v>Ayanda Mokoena</v>
      </c>
      <c r="E2130" t="s">
        <v>337</v>
      </c>
      <c r="F2130" t="s">
        <v>338</v>
      </c>
      <c r="G2130" t="s">
        <v>339</v>
      </c>
    </row>
    <row r="2131" spans="1:8" x14ac:dyDescent="0.3">
      <c r="A2131" t="s">
        <v>373</v>
      </c>
      <c r="B2131">
        <f>IFERROR(INDEX(MASTER_REGISTER!C:C,MATCH(C2131,MASTER_REGISTER!E:E,0)),"")</f>
        <v>10</v>
      </c>
      <c r="C2131" t="s">
        <v>206</v>
      </c>
      <c r="D2131" t="str">
        <f>IFERROR(INDEX(MASTER_REGISTER!F:F,MATCH(C2131,MASTER_REGISTER!E:E,0)),"")</f>
        <v>Lwazi Baloyi</v>
      </c>
      <c r="E2131" t="s">
        <v>337</v>
      </c>
      <c r="F2131" t="s">
        <v>338</v>
      </c>
      <c r="G2131" t="s">
        <v>339</v>
      </c>
    </row>
    <row r="2132" spans="1:8" x14ac:dyDescent="0.3">
      <c r="A2132" t="s">
        <v>373</v>
      </c>
      <c r="B2132">
        <f>IFERROR(INDEX(MASTER_REGISTER!C:C,MATCH(C2132,MASTER_REGISTER!E:E,0)),"")</f>
        <v>10</v>
      </c>
      <c r="C2132" t="s">
        <v>210</v>
      </c>
      <c r="D2132" t="str">
        <f>IFERROR(INDEX(MASTER_REGISTER!F:F,MATCH(C2132,MASTER_REGISTER!E:E,0)),"")</f>
        <v>Siyanda Mokoena</v>
      </c>
      <c r="E2132" t="s">
        <v>337</v>
      </c>
      <c r="F2132" t="s">
        <v>338</v>
      </c>
      <c r="G2132" t="s">
        <v>339</v>
      </c>
    </row>
    <row r="2133" spans="1:8" x14ac:dyDescent="0.3">
      <c r="A2133" t="s">
        <v>373</v>
      </c>
      <c r="B2133">
        <f>IFERROR(INDEX(MASTER_REGISTER!C:C,MATCH(C2133,MASTER_REGISTER!E:E,0)),"")</f>
        <v>10</v>
      </c>
      <c r="C2133" t="s">
        <v>214</v>
      </c>
      <c r="D2133" t="str">
        <f>IFERROR(INDEX(MASTER_REGISTER!F:F,MATCH(C2133,MASTER_REGISTER!E:E,0)),"")</f>
        <v>Mpho Ngobeni</v>
      </c>
      <c r="E2133" t="s">
        <v>337</v>
      </c>
      <c r="F2133" t="s">
        <v>338</v>
      </c>
      <c r="G2133" t="s">
        <v>339</v>
      </c>
    </row>
    <row r="2134" spans="1:8" x14ac:dyDescent="0.3">
      <c r="A2134" t="s">
        <v>373</v>
      </c>
      <c r="B2134">
        <f>IFERROR(INDEX(MASTER_REGISTER!C:C,MATCH(C2134,MASTER_REGISTER!E:E,0)),"")</f>
        <v>10</v>
      </c>
      <c r="C2134" t="s">
        <v>217</v>
      </c>
      <c r="D2134" t="str">
        <f>IFERROR(INDEX(MASTER_REGISTER!F:F,MATCH(C2134,MASTER_REGISTER!E:E,0)),"")</f>
        <v>Naledi Makhubela</v>
      </c>
      <c r="E2134" t="s">
        <v>337</v>
      </c>
      <c r="F2134" t="s">
        <v>338</v>
      </c>
      <c r="G2134" t="s">
        <v>339</v>
      </c>
    </row>
    <row r="2135" spans="1:8" x14ac:dyDescent="0.3">
      <c r="A2135" t="s">
        <v>373</v>
      </c>
      <c r="B2135">
        <f>IFERROR(INDEX(MASTER_REGISTER!C:C,MATCH(C2135,MASTER_REGISTER!E:E,0)),"")</f>
        <v>10</v>
      </c>
      <c r="C2135" t="s">
        <v>221</v>
      </c>
      <c r="D2135" t="str">
        <f>IFERROR(INDEX(MASTER_REGISTER!F:F,MATCH(C2135,MASTER_REGISTER!E:E,0)),"")</f>
        <v>Kgothatso Mokoena</v>
      </c>
      <c r="E2135" t="s">
        <v>337</v>
      </c>
      <c r="F2135" t="s">
        <v>338</v>
      </c>
      <c r="G2135" t="s">
        <v>339</v>
      </c>
    </row>
    <row r="2136" spans="1:8" x14ac:dyDescent="0.3">
      <c r="A2136" t="s">
        <v>373</v>
      </c>
      <c r="B2136">
        <f>IFERROR(INDEX(MASTER_REGISTER!C:C,MATCH(C2136,MASTER_REGISTER!E:E,0)),"")</f>
        <v>10</v>
      </c>
      <c r="C2136" t="s">
        <v>225</v>
      </c>
      <c r="D2136" t="str">
        <f>IFERROR(INDEX(MASTER_REGISTER!F:F,MATCH(C2136,MASTER_REGISTER!E:E,0)),"")</f>
        <v>Bongani Makhubela</v>
      </c>
      <c r="E2136" t="s">
        <v>335</v>
      </c>
      <c r="H2136" t="s">
        <v>341</v>
      </c>
    </row>
    <row r="2137" spans="1:8" x14ac:dyDescent="0.3">
      <c r="A2137" t="s">
        <v>373</v>
      </c>
      <c r="B2137">
        <f>IFERROR(INDEX(MASTER_REGISTER!C:C,MATCH(C2137,MASTER_REGISTER!E:E,0)),"")</f>
        <v>10</v>
      </c>
      <c r="C2137" t="s">
        <v>229</v>
      </c>
      <c r="D2137" t="str">
        <f>IFERROR(INDEX(MASTER_REGISTER!F:F,MATCH(C2137,MASTER_REGISTER!E:E,0)),"")</f>
        <v>Kagiso Kekana</v>
      </c>
      <c r="E2137" t="s">
        <v>337</v>
      </c>
      <c r="F2137" t="s">
        <v>338</v>
      </c>
      <c r="G2137" t="s">
        <v>339</v>
      </c>
    </row>
    <row r="2138" spans="1:8" x14ac:dyDescent="0.3">
      <c r="A2138" t="s">
        <v>373</v>
      </c>
      <c r="B2138">
        <f>IFERROR(INDEX(MASTER_REGISTER!C:C,MATCH(C2138,MASTER_REGISTER!E:E,0)),"")</f>
        <v>11</v>
      </c>
      <c r="C2138" t="s">
        <v>233</v>
      </c>
      <c r="D2138" t="str">
        <f>IFERROR(INDEX(MASTER_REGISTER!F:F,MATCH(C2138,MASTER_REGISTER!E:E,0)),"")</f>
        <v>Lwazi Makhubela</v>
      </c>
      <c r="E2138" t="s">
        <v>337</v>
      </c>
      <c r="F2138" t="s">
        <v>338</v>
      </c>
      <c r="G2138" t="s">
        <v>339</v>
      </c>
    </row>
    <row r="2139" spans="1:8" x14ac:dyDescent="0.3">
      <c r="A2139" t="s">
        <v>373</v>
      </c>
      <c r="B2139">
        <f>IFERROR(INDEX(MASTER_REGISTER!C:C,MATCH(C2139,MASTER_REGISTER!E:E,0)),"")</f>
        <v>11</v>
      </c>
      <c r="C2139" t="s">
        <v>237</v>
      </c>
      <c r="D2139" t="str">
        <f>IFERROR(INDEX(MASTER_REGISTER!F:F,MATCH(C2139,MASTER_REGISTER!E:E,0)),"")</f>
        <v>Lebogang Ramushu</v>
      </c>
      <c r="E2139" t="s">
        <v>337</v>
      </c>
      <c r="F2139" t="s">
        <v>338</v>
      </c>
      <c r="G2139" t="s">
        <v>339</v>
      </c>
    </row>
    <row r="2140" spans="1:8" x14ac:dyDescent="0.3">
      <c r="A2140" t="s">
        <v>373</v>
      </c>
      <c r="B2140">
        <f>IFERROR(INDEX(MASTER_REGISTER!C:C,MATCH(C2140,MASTER_REGISTER!E:E,0)),"")</f>
        <v>11</v>
      </c>
      <c r="C2140" t="s">
        <v>241</v>
      </c>
      <c r="D2140" t="str">
        <f>IFERROR(INDEX(MASTER_REGISTER!F:F,MATCH(C2140,MASTER_REGISTER!E:E,0)),"")</f>
        <v>Lerato Kekana</v>
      </c>
      <c r="E2140" t="s">
        <v>337</v>
      </c>
      <c r="F2140" t="s">
        <v>338</v>
      </c>
      <c r="G2140" t="s">
        <v>339</v>
      </c>
    </row>
    <row r="2141" spans="1:8" x14ac:dyDescent="0.3">
      <c r="A2141" t="s">
        <v>373</v>
      </c>
      <c r="B2141">
        <f>IFERROR(INDEX(MASTER_REGISTER!C:C,MATCH(C2141,MASTER_REGISTER!E:E,0)),"")</f>
        <v>11</v>
      </c>
      <c r="C2141" t="s">
        <v>244</v>
      </c>
      <c r="D2141" t="str">
        <f>IFERROR(INDEX(MASTER_REGISTER!F:F,MATCH(C2141,MASTER_REGISTER!E:E,0)),"")</f>
        <v>Bongani Ndlovu</v>
      </c>
      <c r="E2141" t="s">
        <v>335</v>
      </c>
      <c r="H2141" t="s">
        <v>336</v>
      </c>
    </row>
    <row r="2142" spans="1:8" x14ac:dyDescent="0.3">
      <c r="A2142" t="s">
        <v>373</v>
      </c>
      <c r="B2142">
        <f>IFERROR(INDEX(MASTER_REGISTER!C:C,MATCH(C2142,MASTER_REGISTER!E:E,0)),"")</f>
        <v>11</v>
      </c>
      <c r="C2142" t="s">
        <v>248</v>
      </c>
      <c r="D2142" t="str">
        <f>IFERROR(INDEX(MASTER_REGISTER!F:F,MATCH(C2142,MASTER_REGISTER!E:E,0)),"")</f>
        <v>Sifiso Dlamini</v>
      </c>
      <c r="E2142" t="s">
        <v>337</v>
      </c>
      <c r="F2142" t="s">
        <v>338</v>
      </c>
      <c r="G2142" t="s">
        <v>339</v>
      </c>
    </row>
    <row r="2143" spans="1:8" x14ac:dyDescent="0.3">
      <c r="A2143" t="s">
        <v>373</v>
      </c>
      <c r="B2143">
        <f>IFERROR(INDEX(MASTER_REGISTER!C:C,MATCH(C2143,MASTER_REGISTER!E:E,0)),"")</f>
        <v>11</v>
      </c>
      <c r="C2143" t="s">
        <v>252</v>
      </c>
      <c r="D2143" t="str">
        <f>IFERROR(INDEX(MASTER_REGISTER!F:F,MATCH(C2143,MASTER_REGISTER!E:E,0)),"")</f>
        <v>Refilwe Dlamini</v>
      </c>
      <c r="E2143" t="s">
        <v>337</v>
      </c>
      <c r="F2143" t="s">
        <v>338</v>
      </c>
      <c r="G2143" t="s">
        <v>339</v>
      </c>
    </row>
    <row r="2144" spans="1:8" x14ac:dyDescent="0.3">
      <c r="A2144" t="s">
        <v>373</v>
      </c>
      <c r="B2144">
        <f>IFERROR(INDEX(MASTER_REGISTER!C:C,MATCH(C2144,MASTER_REGISTER!E:E,0)),"")</f>
        <v>11</v>
      </c>
      <c r="C2144" t="s">
        <v>256</v>
      </c>
      <c r="D2144" t="str">
        <f>IFERROR(INDEX(MASTER_REGISTER!F:F,MATCH(C2144,MASTER_REGISTER!E:E,0)),"")</f>
        <v>Lwazi Maseko</v>
      </c>
      <c r="E2144" t="s">
        <v>337</v>
      </c>
      <c r="F2144" t="s">
        <v>338</v>
      </c>
      <c r="G2144" t="s">
        <v>339</v>
      </c>
    </row>
    <row r="2145" spans="1:8" x14ac:dyDescent="0.3">
      <c r="A2145" t="s">
        <v>373</v>
      </c>
      <c r="B2145">
        <f>IFERROR(INDEX(MASTER_REGISTER!C:C,MATCH(C2145,MASTER_REGISTER!E:E,0)),"")</f>
        <v>11</v>
      </c>
      <c r="C2145" t="s">
        <v>260</v>
      </c>
      <c r="D2145" t="str">
        <f>IFERROR(INDEX(MASTER_REGISTER!F:F,MATCH(C2145,MASTER_REGISTER!E:E,0)),"")</f>
        <v>Refilwe Mokgadi</v>
      </c>
      <c r="E2145" t="s">
        <v>337</v>
      </c>
      <c r="F2145" t="s">
        <v>338</v>
      </c>
      <c r="G2145" t="s">
        <v>339</v>
      </c>
    </row>
    <row r="2146" spans="1:8" x14ac:dyDescent="0.3">
      <c r="A2146" t="s">
        <v>373</v>
      </c>
      <c r="B2146">
        <f>IFERROR(INDEX(MASTER_REGISTER!C:C,MATCH(C2146,MASTER_REGISTER!E:E,0)),"")</f>
        <v>11</v>
      </c>
      <c r="C2146" t="s">
        <v>264</v>
      </c>
      <c r="D2146" t="str">
        <f>IFERROR(INDEX(MASTER_REGISTER!F:F,MATCH(C2146,MASTER_REGISTER!E:E,0)),"")</f>
        <v>Kgothatso Molefe</v>
      </c>
      <c r="E2146" t="s">
        <v>337</v>
      </c>
      <c r="F2146" t="s">
        <v>338</v>
      </c>
      <c r="G2146" t="s">
        <v>339</v>
      </c>
    </row>
    <row r="2147" spans="1:8" x14ac:dyDescent="0.3">
      <c r="A2147" t="s">
        <v>373</v>
      </c>
      <c r="B2147">
        <f>IFERROR(INDEX(MASTER_REGISTER!C:C,MATCH(C2147,MASTER_REGISTER!E:E,0)),"")</f>
        <v>11</v>
      </c>
      <c r="C2147" t="s">
        <v>268</v>
      </c>
      <c r="D2147" t="str">
        <f>IFERROR(INDEX(MASTER_REGISTER!F:F,MATCH(C2147,MASTER_REGISTER!E:E,0)),"")</f>
        <v>Tshepo Mokgadi</v>
      </c>
      <c r="E2147" t="s">
        <v>337</v>
      </c>
      <c r="F2147" t="s">
        <v>338</v>
      </c>
      <c r="G2147" t="s">
        <v>339</v>
      </c>
    </row>
    <row r="2148" spans="1:8" x14ac:dyDescent="0.3">
      <c r="A2148" t="s">
        <v>373</v>
      </c>
      <c r="B2148">
        <f>IFERROR(INDEX(MASTER_REGISTER!C:C,MATCH(C2148,MASTER_REGISTER!E:E,0)),"")</f>
        <v>11</v>
      </c>
      <c r="C2148" t="s">
        <v>272</v>
      </c>
      <c r="D2148" t="str">
        <f>IFERROR(INDEX(MASTER_REGISTER!F:F,MATCH(C2148,MASTER_REGISTER!E:E,0)),"")</f>
        <v>Tshepo Phiri</v>
      </c>
      <c r="E2148" t="s">
        <v>337</v>
      </c>
      <c r="F2148" t="s">
        <v>338</v>
      </c>
      <c r="G2148" t="s">
        <v>339</v>
      </c>
    </row>
    <row r="2149" spans="1:8" x14ac:dyDescent="0.3">
      <c r="A2149" t="s">
        <v>373</v>
      </c>
      <c r="B2149">
        <f>IFERROR(INDEX(MASTER_REGISTER!C:C,MATCH(C2149,MASTER_REGISTER!E:E,0)),"")</f>
        <v>11</v>
      </c>
      <c r="C2149" t="s">
        <v>276</v>
      </c>
      <c r="D2149" t="str">
        <f>IFERROR(INDEX(MASTER_REGISTER!F:F,MATCH(C2149,MASTER_REGISTER!E:E,0)),"")</f>
        <v>Zanele Ngobeni</v>
      </c>
      <c r="E2149" t="s">
        <v>337</v>
      </c>
      <c r="F2149" t="s">
        <v>338</v>
      </c>
      <c r="G2149" t="s">
        <v>339</v>
      </c>
    </row>
    <row r="2150" spans="1:8" x14ac:dyDescent="0.3">
      <c r="A2150" t="s">
        <v>373</v>
      </c>
      <c r="B2150">
        <f>IFERROR(INDEX(MASTER_REGISTER!C:C,MATCH(C2150,MASTER_REGISTER!E:E,0)),"")</f>
        <v>12</v>
      </c>
      <c r="C2150" t="s">
        <v>280</v>
      </c>
      <c r="D2150" t="str">
        <f>IFERROR(INDEX(MASTER_REGISTER!F:F,MATCH(C2150,MASTER_REGISTER!E:E,0)),"")</f>
        <v>Palesa Mokoena</v>
      </c>
      <c r="E2150" t="s">
        <v>335</v>
      </c>
      <c r="H2150" t="s">
        <v>342</v>
      </c>
    </row>
    <row r="2151" spans="1:8" x14ac:dyDescent="0.3">
      <c r="A2151" t="s">
        <v>373</v>
      </c>
      <c r="B2151">
        <f>IFERROR(INDEX(MASTER_REGISTER!C:C,MATCH(C2151,MASTER_REGISTER!E:E,0)),"")</f>
        <v>12</v>
      </c>
      <c r="C2151" t="s">
        <v>284</v>
      </c>
      <c r="D2151" t="str">
        <f>IFERROR(INDEX(MASTER_REGISTER!F:F,MATCH(C2151,MASTER_REGISTER!E:E,0)),"")</f>
        <v>Thabo Ramushu</v>
      </c>
      <c r="E2151" t="s">
        <v>337</v>
      </c>
      <c r="F2151" t="s">
        <v>338</v>
      </c>
      <c r="G2151" t="s">
        <v>339</v>
      </c>
    </row>
    <row r="2152" spans="1:8" x14ac:dyDescent="0.3">
      <c r="A2152" t="s">
        <v>373</v>
      </c>
      <c r="B2152">
        <f>IFERROR(INDEX(MASTER_REGISTER!C:C,MATCH(C2152,MASTER_REGISTER!E:E,0)),"")</f>
        <v>12</v>
      </c>
      <c r="C2152" t="s">
        <v>288</v>
      </c>
      <c r="D2152" t="str">
        <f>IFERROR(INDEX(MASTER_REGISTER!F:F,MATCH(C2152,MASTER_REGISTER!E:E,0)),"")</f>
        <v>Lwazi Ndlovu</v>
      </c>
      <c r="E2152" t="s">
        <v>335</v>
      </c>
      <c r="H2152" t="s">
        <v>340</v>
      </c>
    </row>
    <row r="2153" spans="1:8" x14ac:dyDescent="0.3">
      <c r="A2153" t="s">
        <v>373</v>
      </c>
      <c r="B2153">
        <f>IFERROR(INDEX(MASTER_REGISTER!C:C,MATCH(C2153,MASTER_REGISTER!E:E,0)),"")</f>
        <v>12</v>
      </c>
      <c r="C2153" t="s">
        <v>292</v>
      </c>
      <c r="D2153" t="str">
        <f>IFERROR(INDEX(MASTER_REGISTER!F:F,MATCH(C2153,MASTER_REGISTER!E:E,0)),"")</f>
        <v>Ayanda Dlamini</v>
      </c>
      <c r="E2153" t="s">
        <v>335</v>
      </c>
      <c r="H2153" t="s">
        <v>341</v>
      </c>
    </row>
    <row r="2154" spans="1:8" x14ac:dyDescent="0.3">
      <c r="A2154" t="s">
        <v>373</v>
      </c>
      <c r="B2154">
        <f>IFERROR(INDEX(MASTER_REGISTER!C:C,MATCH(C2154,MASTER_REGISTER!E:E,0)),"")</f>
        <v>12</v>
      </c>
      <c r="C2154" t="s">
        <v>296</v>
      </c>
      <c r="D2154" t="str">
        <f>IFERROR(INDEX(MASTER_REGISTER!F:F,MATCH(C2154,MASTER_REGISTER!E:E,0)),"")</f>
        <v>Neo Ndlovu</v>
      </c>
      <c r="E2154" t="s">
        <v>337</v>
      </c>
      <c r="F2154" t="s">
        <v>338</v>
      </c>
      <c r="G2154" t="s">
        <v>339</v>
      </c>
    </row>
    <row r="2155" spans="1:8" x14ac:dyDescent="0.3">
      <c r="A2155" t="s">
        <v>373</v>
      </c>
      <c r="B2155">
        <f>IFERROR(INDEX(MASTER_REGISTER!C:C,MATCH(C2155,MASTER_REGISTER!E:E,0)),"")</f>
        <v>12</v>
      </c>
      <c r="C2155" t="s">
        <v>300</v>
      </c>
      <c r="D2155" t="str">
        <f>IFERROR(INDEX(MASTER_REGISTER!F:F,MATCH(C2155,MASTER_REGISTER!E:E,0)),"")</f>
        <v>Neo Ramushu</v>
      </c>
      <c r="E2155" t="s">
        <v>337</v>
      </c>
      <c r="F2155" t="s">
        <v>338</v>
      </c>
      <c r="G2155" t="s">
        <v>339</v>
      </c>
    </row>
    <row r="2156" spans="1:8" x14ac:dyDescent="0.3">
      <c r="A2156" t="s">
        <v>373</v>
      </c>
      <c r="B2156">
        <f>IFERROR(INDEX(MASTER_REGISTER!C:C,MATCH(C2156,MASTER_REGISTER!E:E,0)),"")</f>
        <v>12</v>
      </c>
      <c r="C2156" t="s">
        <v>304</v>
      </c>
      <c r="D2156" t="str">
        <f>IFERROR(INDEX(MASTER_REGISTER!F:F,MATCH(C2156,MASTER_REGISTER!E:E,0)),"")</f>
        <v>Karabo Baloyi</v>
      </c>
      <c r="E2156" t="s">
        <v>337</v>
      </c>
      <c r="F2156" t="s">
        <v>338</v>
      </c>
      <c r="G2156" t="s">
        <v>339</v>
      </c>
    </row>
    <row r="2157" spans="1:8" x14ac:dyDescent="0.3">
      <c r="A2157" t="s">
        <v>373</v>
      </c>
      <c r="B2157">
        <f>IFERROR(INDEX(MASTER_REGISTER!C:C,MATCH(C2157,MASTER_REGISTER!E:E,0)),"")</f>
        <v>12</v>
      </c>
      <c r="C2157" t="s">
        <v>308</v>
      </c>
      <c r="D2157" t="str">
        <f>IFERROR(INDEX(MASTER_REGISTER!F:F,MATCH(C2157,MASTER_REGISTER!E:E,0)),"")</f>
        <v>Tshepo Mokgadi</v>
      </c>
      <c r="E2157" t="s">
        <v>337</v>
      </c>
      <c r="F2157" t="s">
        <v>338</v>
      </c>
      <c r="G2157" t="s">
        <v>339</v>
      </c>
    </row>
    <row r="2158" spans="1:8" x14ac:dyDescent="0.3">
      <c r="A2158" t="s">
        <v>373</v>
      </c>
      <c r="B2158">
        <f>IFERROR(INDEX(MASTER_REGISTER!C:C,MATCH(C2158,MASTER_REGISTER!E:E,0)),"")</f>
        <v>12</v>
      </c>
      <c r="C2158" t="s">
        <v>311</v>
      </c>
      <c r="D2158" t="str">
        <f>IFERROR(INDEX(MASTER_REGISTER!F:F,MATCH(C2158,MASTER_REGISTER!E:E,0)),"")</f>
        <v>Sifiso Mavuso</v>
      </c>
      <c r="E2158" t="s">
        <v>337</v>
      </c>
      <c r="F2158" t="s">
        <v>338</v>
      </c>
      <c r="G2158" t="s">
        <v>339</v>
      </c>
    </row>
    <row r="2159" spans="1:8" x14ac:dyDescent="0.3">
      <c r="A2159" t="s">
        <v>373</v>
      </c>
      <c r="B2159">
        <f>IFERROR(INDEX(MASTER_REGISTER!C:C,MATCH(C2159,MASTER_REGISTER!E:E,0)),"")</f>
        <v>12</v>
      </c>
      <c r="C2159" t="s">
        <v>315</v>
      </c>
      <c r="D2159" t="str">
        <f>IFERROR(INDEX(MASTER_REGISTER!F:F,MATCH(C2159,MASTER_REGISTER!E:E,0)),"")</f>
        <v>Refilwe Sithole</v>
      </c>
      <c r="E2159" t="s">
        <v>337</v>
      </c>
      <c r="F2159" t="s">
        <v>338</v>
      </c>
      <c r="G2159" t="s">
        <v>339</v>
      </c>
    </row>
    <row r="2160" spans="1:8" x14ac:dyDescent="0.3">
      <c r="A2160" t="s">
        <v>373</v>
      </c>
      <c r="B2160">
        <f>IFERROR(INDEX(MASTER_REGISTER!C:C,MATCH(C2160,MASTER_REGISTER!E:E,0)),"")</f>
        <v>12</v>
      </c>
      <c r="C2160" t="s">
        <v>319</v>
      </c>
      <c r="D2160" t="str">
        <f>IFERROR(INDEX(MASTER_REGISTER!F:F,MATCH(C2160,MASTER_REGISTER!E:E,0)),"")</f>
        <v>Lerato Sithole</v>
      </c>
      <c r="E2160" t="s">
        <v>335</v>
      </c>
      <c r="H2160" t="s">
        <v>340</v>
      </c>
    </row>
    <row r="2161" spans="1:8" x14ac:dyDescent="0.3">
      <c r="A2161" t="s">
        <v>373</v>
      </c>
      <c r="B2161">
        <f>IFERROR(INDEX(MASTER_REGISTER!C:C,MATCH(C2161,MASTER_REGISTER!E:E,0)),"")</f>
        <v>12</v>
      </c>
      <c r="C2161" t="s">
        <v>323</v>
      </c>
      <c r="D2161" t="str">
        <f>IFERROR(INDEX(MASTER_REGISTER!F:F,MATCH(C2161,MASTER_REGISTER!E:E,0)),"")</f>
        <v>Sibusiso Ngobeni</v>
      </c>
      <c r="E2161" t="s">
        <v>337</v>
      </c>
      <c r="F2161" t="s">
        <v>338</v>
      </c>
      <c r="G2161" t="s">
        <v>339</v>
      </c>
    </row>
    <row r="2162" spans="1:8" x14ac:dyDescent="0.3">
      <c r="A2162" t="s">
        <v>374</v>
      </c>
      <c r="B2162">
        <f>IFERROR(INDEX(MASTER_REGISTER!C:C,MATCH(C2162,MASTER_REGISTER!E:E,0)),"")</f>
        <v>8</v>
      </c>
      <c r="C2162" t="s">
        <v>50</v>
      </c>
      <c r="D2162" t="str">
        <f>IFERROR(INDEX(MASTER_REGISTER!F:F,MATCH(C2162,MASTER_REGISTER!E:E,0)),"")</f>
        <v>Lerato Nkosi</v>
      </c>
      <c r="E2162" t="s">
        <v>337</v>
      </c>
      <c r="F2162" t="s">
        <v>338</v>
      </c>
      <c r="G2162" t="s">
        <v>339</v>
      </c>
    </row>
    <row r="2163" spans="1:8" x14ac:dyDescent="0.3">
      <c r="A2163" t="s">
        <v>374</v>
      </c>
      <c r="B2163">
        <f>IFERROR(INDEX(MASTER_REGISTER!C:C,MATCH(C2163,MASTER_REGISTER!E:E,0)),"")</f>
        <v>8</v>
      </c>
      <c r="C2163" t="s">
        <v>58</v>
      </c>
      <c r="D2163" t="str">
        <f>IFERROR(INDEX(MASTER_REGISTER!F:F,MATCH(C2163,MASTER_REGISTER!E:E,0)),"")</f>
        <v>Karabo Maseko</v>
      </c>
      <c r="E2163" t="s">
        <v>337</v>
      </c>
      <c r="F2163" t="s">
        <v>338</v>
      </c>
      <c r="G2163" t="s">
        <v>339</v>
      </c>
    </row>
    <row r="2164" spans="1:8" x14ac:dyDescent="0.3">
      <c r="A2164" t="s">
        <v>374</v>
      </c>
      <c r="B2164">
        <f>IFERROR(INDEX(MASTER_REGISTER!C:C,MATCH(C2164,MASTER_REGISTER!E:E,0)),"")</f>
        <v>8</v>
      </c>
      <c r="C2164" t="s">
        <v>64</v>
      </c>
      <c r="D2164" t="str">
        <f>IFERROR(INDEX(MASTER_REGISTER!F:F,MATCH(C2164,MASTER_REGISTER!E:E,0)),"")</f>
        <v>Sifiso Sithole</v>
      </c>
      <c r="E2164" t="s">
        <v>337</v>
      </c>
      <c r="F2164" t="s">
        <v>338</v>
      </c>
      <c r="G2164" t="s">
        <v>339</v>
      </c>
    </row>
    <row r="2165" spans="1:8" x14ac:dyDescent="0.3">
      <c r="A2165" t="s">
        <v>374</v>
      </c>
      <c r="B2165">
        <f>IFERROR(INDEX(MASTER_REGISTER!C:C,MATCH(C2165,MASTER_REGISTER!E:E,0)),"")</f>
        <v>8</v>
      </c>
      <c r="C2165" t="s">
        <v>70</v>
      </c>
      <c r="D2165" t="str">
        <f>IFERROR(INDEX(MASTER_REGISTER!F:F,MATCH(C2165,MASTER_REGISTER!E:E,0)),"")</f>
        <v>Tshepo Ndlovu</v>
      </c>
      <c r="E2165" t="s">
        <v>335</v>
      </c>
      <c r="H2165" t="s">
        <v>342</v>
      </c>
    </row>
    <row r="2166" spans="1:8" x14ac:dyDescent="0.3">
      <c r="A2166" t="s">
        <v>374</v>
      </c>
      <c r="B2166">
        <f>IFERROR(INDEX(MASTER_REGISTER!C:C,MATCH(C2166,MASTER_REGISTER!E:E,0)),"")</f>
        <v>8</v>
      </c>
      <c r="C2166" t="s">
        <v>76</v>
      </c>
      <c r="D2166" t="str">
        <f>IFERROR(INDEX(MASTER_REGISTER!F:F,MATCH(C2166,MASTER_REGISTER!E:E,0)),"")</f>
        <v>Lwazi Mthembu</v>
      </c>
      <c r="E2166" t="s">
        <v>337</v>
      </c>
      <c r="F2166" t="s">
        <v>338</v>
      </c>
      <c r="G2166" t="s">
        <v>339</v>
      </c>
    </row>
    <row r="2167" spans="1:8" x14ac:dyDescent="0.3">
      <c r="A2167" t="s">
        <v>374</v>
      </c>
      <c r="B2167">
        <f>IFERROR(INDEX(MASTER_REGISTER!C:C,MATCH(C2167,MASTER_REGISTER!E:E,0)),"")</f>
        <v>8</v>
      </c>
      <c r="C2167" t="s">
        <v>82</v>
      </c>
      <c r="D2167" t="str">
        <f>IFERROR(INDEX(MASTER_REGISTER!F:F,MATCH(C2167,MASTER_REGISTER!E:E,0)),"")</f>
        <v>Karabo Ngobeni</v>
      </c>
      <c r="E2167" t="s">
        <v>337</v>
      </c>
      <c r="F2167" t="s">
        <v>338</v>
      </c>
      <c r="G2167" t="s">
        <v>339</v>
      </c>
    </row>
    <row r="2168" spans="1:8" x14ac:dyDescent="0.3">
      <c r="A2168" t="s">
        <v>374</v>
      </c>
      <c r="B2168">
        <f>IFERROR(INDEX(MASTER_REGISTER!C:C,MATCH(C2168,MASTER_REGISTER!E:E,0)),"")</f>
        <v>8</v>
      </c>
      <c r="C2168" t="s">
        <v>88</v>
      </c>
      <c r="D2168" t="str">
        <f>IFERROR(INDEX(MASTER_REGISTER!F:F,MATCH(C2168,MASTER_REGISTER!E:E,0)),"")</f>
        <v>Mpho Sithole</v>
      </c>
      <c r="E2168" t="s">
        <v>337</v>
      </c>
      <c r="F2168" t="s">
        <v>338</v>
      </c>
      <c r="G2168" t="s">
        <v>339</v>
      </c>
    </row>
    <row r="2169" spans="1:8" x14ac:dyDescent="0.3">
      <c r="A2169" t="s">
        <v>374</v>
      </c>
      <c r="B2169">
        <f>IFERROR(INDEX(MASTER_REGISTER!C:C,MATCH(C2169,MASTER_REGISTER!E:E,0)),"")</f>
        <v>8</v>
      </c>
      <c r="C2169" t="s">
        <v>94</v>
      </c>
      <c r="D2169" t="str">
        <f>IFERROR(INDEX(MASTER_REGISTER!F:F,MATCH(C2169,MASTER_REGISTER!E:E,0)),"")</f>
        <v>Tshepo Ramushu</v>
      </c>
      <c r="E2169" t="s">
        <v>337</v>
      </c>
      <c r="F2169" t="s">
        <v>338</v>
      </c>
      <c r="G2169" t="s">
        <v>339</v>
      </c>
    </row>
    <row r="2170" spans="1:8" x14ac:dyDescent="0.3">
      <c r="A2170" t="s">
        <v>374</v>
      </c>
      <c r="B2170">
        <f>IFERROR(INDEX(MASTER_REGISTER!C:C,MATCH(C2170,MASTER_REGISTER!E:E,0)),"")</f>
        <v>8</v>
      </c>
      <c r="C2170" t="s">
        <v>100</v>
      </c>
      <c r="D2170" t="str">
        <f>IFERROR(INDEX(MASTER_REGISTER!F:F,MATCH(C2170,MASTER_REGISTER!E:E,0)),"")</f>
        <v>Lerato Kekana</v>
      </c>
      <c r="E2170" t="s">
        <v>337</v>
      </c>
      <c r="F2170" t="s">
        <v>338</v>
      </c>
      <c r="G2170" t="s">
        <v>339</v>
      </c>
    </row>
    <row r="2171" spans="1:8" x14ac:dyDescent="0.3">
      <c r="A2171" t="s">
        <v>374</v>
      </c>
      <c r="B2171">
        <f>IFERROR(INDEX(MASTER_REGISTER!C:C,MATCH(C2171,MASTER_REGISTER!E:E,0)),"")</f>
        <v>8</v>
      </c>
      <c r="C2171" t="s">
        <v>106</v>
      </c>
      <c r="D2171" t="str">
        <f>IFERROR(INDEX(MASTER_REGISTER!F:F,MATCH(C2171,MASTER_REGISTER!E:E,0)),"")</f>
        <v>Neo Ngobeni</v>
      </c>
      <c r="E2171" t="s">
        <v>337</v>
      </c>
      <c r="F2171" t="s">
        <v>338</v>
      </c>
      <c r="G2171" t="s">
        <v>339</v>
      </c>
    </row>
    <row r="2172" spans="1:8" x14ac:dyDescent="0.3">
      <c r="A2172" t="s">
        <v>374</v>
      </c>
      <c r="B2172">
        <f>IFERROR(INDEX(MASTER_REGISTER!C:C,MATCH(C2172,MASTER_REGISTER!E:E,0)),"")</f>
        <v>8</v>
      </c>
      <c r="C2172" t="s">
        <v>112</v>
      </c>
      <c r="D2172" t="str">
        <f>IFERROR(INDEX(MASTER_REGISTER!F:F,MATCH(C2172,MASTER_REGISTER!E:E,0)),"")</f>
        <v>Thabo Mokgadi</v>
      </c>
      <c r="E2172" t="s">
        <v>337</v>
      </c>
      <c r="F2172" t="s">
        <v>338</v>
      </c>
      <c r="G2172" t="s">
        <v>339</v>
      </c>
    </row>
    <row r="2173" spans="1:8" x14ac:dyDescent="0.3">
      <c r="A2173" t="s">
        <v>374</v>
      </c>
      <c r="B2173">
        <f>IFERROR(INDEX(MASTER_REGISTER!C:C,MATCH(C2173,MASTER_REGISTER!E:E,0)),"")</f>
        <v>8</v>
      </c>
      <c r="C2173" t="s">
        <v>118</v>
      </c>
      <c r="D2173" t="str">
        <f>IFERROR(INDEX(MASTER_REGISTER!F:F,MATCH(C2173,MASTER_REGISTER!E:E,0)),"")</f>
        <v>Sifiso Mthembu</v>
      </c>
      <c r="E2173" t="s">
        <v>337</v>
      </c>
      <c r="F2173" t="s">
        <v>338</v>
      </c>
      <c r="G2173" t="s">
        <v>339</v>
      </c>
    </row>
    <row r="2174" spans="1:8" x14ac:dyDescent="0.3">
      <c r="A2174" t="s">
        <v>374</v>
      </c>
      <c r="B2174">
        <f>IFERROR(INDEX(MASTER_REGISTER!C:C,MATCH(C2174,MASTER_REGISTER!E:E,0)),"")</f>
        <v>9</v>
      </c>
      <c r="C2174" t="s">
        <v>123</v>
      </c>
      <c r="D2174" t="str">
        <f>IFERROR(INDEX(MASTER_REGISTER!F:F,MATCH(C2174,MASTER_REGISTER!E:E,0)),"")</f>
        <v>Karabo Phiri</v>
      </c>
      <c r="E2174" t="s">
        <v>335</v>
      </c>
      <c r="H2174" t="s">
        <v>336</v>
      </c>
    </row>
    <row r="2175" spans="1:8" x14ac:dyDescent="0.3">
      <c r="A2175" t="s">
        <v>374</v>
      </c>
      <c r="B2175">
        <f>IFERROR(INDEX(MASTER_REGISTER!C:C,MATCH(C2175,MASTER_REGISTER!E:E,0)),"")</f>
        <v>9</v>
      </c>
      <c r="C2175" t="s">
        <v>128</v>
      </c>
      <c r="D2175" t="str">
        <f>IFERROR(INDEX(MASTER_REGISTER!F:F,MATCH(C2175,MASTER_REGISTER!E:E,0)),"")</f>
        <v>Lerato Mahlangu</v>
      </c>
      <c r="E2175" t="s">
        <v>337</v>
      </c>
      <c r="F2175" t="s">
        <v>338</v>
      </c>
      <c r="G2175" t="s">
        <v>339</v>
      </c>
    </row>
    <row r="2176" spans="1:8" x14ac:dyDescent="0.3">
      <c r="A2176" t="s">
        <v>374</v>
      </c>
      <c r="B2176">
        <f>IFERROR(INDEX(MASTER_REGISTER!C:C,MATCH(C2176,MASTER_REGISTER!E:E,0)),"")</f>
        <v>9</v>
      </c>
      <c r="C2176" t="s">
        <v>133</v>
      </c>
      <c r="D2176" t="str">
        <f>IFERROR(INDEX(MASTER_REGISTER!F:F,MATCH(C2176,MASTER_REGISTER!E:E,0)),"")</f>
        <v>Mpho Kekana</v>
      </c>
      <c r="E2176" t="s">
        <v>337</v>
      </c>
      <c r="F2176" t="s">
        <v>338</v>
      </c>
      <c r="G2176" t="s">
        <v>339</v>
      </c>
    </row>
    <row r="2177" spans="1:8" x14ac:dyDescent="0.3">
      <c r="A2177" t="s">
        <v>374</v>
      </c>
      <c r="B2177">
        <f>IFERROR(INDEX(MASTER_REGISTER!C:C,MATCH(C2177,MASTER_REGISTER!E:E,0)),"")</f>
        <v>9</v>
      </c>
      <c r="C2177" t="s">
        <v>138</v>
      </c>
      <c r="D2177" t="str">
        <f>IFERROR(INDEX(MASTER_REGISTER!F:F,MATCH(C2177,MASTER_REGISTER!E:E,0)),"")</f>
        <v>Thabo Molefe</v>
      </c>
      <c r="E2177" t="s">
        <v>337</v>
      </c>
      <c r="F2177" t="s">
        <v>338</v>
      </c>
      <c r="G2177" t="s">
        <v>339</v>
      </c>
    </row>
    <row r="2178" spans="1:8" x14ac:dyDescent="0.3">
      <c r="A2178" t="s">
        <v>374</v>
      </c>
      <c r="B2178">
        <f>IFERROR(INDEX(MASTER_REGISTER!C:C,MATCH(C2178,MASTER_REGISTER!E:E,0)),"")</f>
        <v>9</v>
      </c>
      <c r="C2178" t="s">
        <v>143</v>
      </c>
      <c r="D2178" t="str">
        <f>IFERROR(INDEX(MASTER_REGISTER!F:F,MATCH(C2178,MASTER_REGISTER!E:E,0)),"")</f>
        <v>Mpho Ngobeni</v>
      </c>
      <c r="E2178" t="s">
        <v>337</v>
      </c>
      <c r="F2178" t="s">
        <v>338</v>
      </c>
      <c r="G2178" t="s">
        <v>339</v>
      </c>
    </row>
    <row r="2179" spans="1:8" x14ac:dyDescent="0.3">
      <c r="A2179" t="s">
        <v>374</v>
      </c>
      <c r="B2179">
        <f>IFERROR(INDEX(MASTER_REGISTER!C:C,MATCH(C2179,MASTER_REGISTER!E:E,0)),"")</f>
        <v>9</v>
      </c>
      <c r="C2179" t="s">
        <v>148</v>
      </c>
      <c r="D2179" t="str">
        <f>IFERROR(INDEX(MASTER_REGISTER!F:F,MATCH(C2179,MASTER_REGISTER!E:E,0)),"")</f>
        <v>Siyanda Mhlongo</v>
      </c>
      <c r="E2179" t="s">
        <v>337</v>
      </c>
      <c r="F2179" t="s">
        <v>338</v>
      </c>
      <c r="G2179" t="s">
        <v>339</v>
      </c>
    </row>
    <row r="2180" spans="1:8" x14ac:dyDescent="0.3">
      <c r="A2180" t="s">
        <v>374</v>
      </c>
      <c r="B2180">
        <f>IFERROR(INDEX(MASTER_REGISTER!C:C,MATCH(C2180,MASTER_REGISTER!E:E,0)),"")</f>
        <v>9</v>
      </c>
      <c r="C2180" t="s">
        <v>153</v>
      </c>
      <c r="D2180" t="str">
        <f>IFERROR(INDEX(MASTER_REGISTER!F:F,MATCH(C2180,MASTER_REGISTER!E:E,0)),"")</f>
        <v>Siyanda Mahlangu</v>
      </c>
      <c r="E2180" t="s">
        <v>337</v>
      </c>
      <c r="F2180" t="s">
        <v>338</v>
      </c>
      <c r="G2180" t="s">
        <v>339</v>
      </c>
    </row>
    <row r="2181" spans="1:8" x14ac:dyDescent="0.3">
      <c r="A2181" t="s">
        <v>374</v>
      </c>
      <c r="B2181">
        <f>IFERROR(INDEX(MASTER_REGISTER!C:C,MATCH(C2181,MASTER_REGISTER!E:E,0)),"")</f>
        <v>9</v>
      </c>
      <c r="C2181" t="s">
        <v>158</v>
      </c>
      <c r="D2181" t="str">
        <f>IFERROR(INDEX(MASTER_REGISTER!F:F,MATCH(C2181,MASTER_REGISTER!E:E,0)),"")</f>
        <v>Sifiso Ramushu</v>
      </c>
      <c r="E2181" t="s">
        <v>335</v>
      </c>
      <c r="H2181" t="s">
        <v>340</v>
      </c>
    </row>
    <row r="2182" spans="1:8" x14ac:dyDescent="0.3">
      <c r="A2182" t="s">
        <v>374</v>
      </c>
      <c r="B2182">
        <f>IFERROR(INDEX(MASTER_REGISTER!C:C,MATCH(C2182,MASTER_REGISTER!E:E,0)),"")</f>
        <v>9</v>
      </c>
      <c r="C2182" t="s">
        <v>163</v>
      </c>
      <c r="D2182" t="str">
        <f>IFERROR(INDEX(MASTER_REGISTER!F:F,MATCH(C2182,MASTER_REGISTER!E:E,0)),"")</f>
        <v>Nandi Ngobeni</v>
      </c>
      <c r="E2182" t="s">
        <v>337</v>
      </c>
      <c r="F2182" t="s">
        <v>338</v>
      </c>
      <c r="G2182" t="s">
        <v>339</v>
      </c>
    </row>
    <row r="2183" spans="1:8" x14ac:dyDescent="0.3">
      <c r="A2183" t="s">
        <v>374</v>
      </c>
      <c r="B2183">
        <f>IFERROR(INDEX(MASTER_REGISTER!C:C,MATCH(C2183,MASTER_REGISTER!E:E,0)),"")</f>
        <v>9</v>
      </c>
      <c r="C2183" t="s">
        <v>168</v>
      </c>
      <c r="D2183" t="str">
        <f>IFERROR(INDEX(MASTER_REGISTER!F:F,MATCH(C2183,MASTER_REGISTER!E:E,0)),"")</f>
        <v>Karabo Mokgadi</v>
      </c>
      <c r="E2183" t="s">
        <v>337</v>
      </c>
      <c r="F2183" t="s">
        <v>338</v>
      </c>
      <c r="G2183" t="s">
        <v>339</v>
      </c>
    </row>
    <row r="2184" spans="1:8" x14ac:dyDescent="0.3">
      <c r="A2184" t="s">
        <v>374</v>
      </c>
      <c r="B2184">
        <f>IFERROR(INDEX(MASTER_REGISTER!C:C,MATCH(C2184,MASTER_REGISTER!E:E,0)),"")</f>
        <v>9</v>
      </c>
      <c r="C2184" t="s">
        <v>173</v>
      </c>
      <c r="D2184" t="str">
        <f>IFERROR(INDEX(MASTER_REGISTER!F:F,MATCH(C2184,MASTER_REGISTER!E:E,0)),"")</f>
        <v>Sifiso Mahlangu</v>
      </c>
      <c r="E2184" t="s">
        <v>337</v>
      </c>
      <c r="F2184" t="s">
        <v>338</v>
      </c>
      <c r="G2184" t="s">
        <v>339</v>
      </c>
    </row>
    <row r="2185" spans="1:8" x14ac:dyDescent="0.3">
      <c r="A2185" t="s">
        <v>374</v>
      </c>
      <c r="B2185">
        <f>IFERROR(INDEX(MASTER_REGISTER!C:C,MATCH(C2185,MASTER_REGISTER!E:E,0)),"")</f>
        <v>9</v>
      </c>
      <c r="C2185" t="s">
        <v>178</v>
      </c>
      <c r="D2185" t="str">
        <f>IFERROR(INDEX(MASTER_REGISTER!F:F,MATCH(C2185,MASTER_REGISTER!E:E,0)),"")</f>
        <v>Kgothatso Radebe</v>
      </c>
      <c r="E2185" t="s">
        <v>337</v>
      </c>
      <c r="F2185" t="s">
        <v>338</v>
      </c>
      <c r="G2185" t="s">
        <v>339</v>
      </c>
    </row>
    <row r="2186" spans="1:8" x14ac:dyDescent="0.3">
      <c r="A2186" t="s">
        <v>374</v>
      </c>
      <c r="B2186">
        <f>IFERROR(INDEX(MASTER_REGISTER!C:C,MATCH(C2186,MASTER_REGISTER!E:E,0)),"")</f>
        <v>10</v>
      </c>
      <c r="C2186" t="s">
        <v>183</v>
      </c>
      <c r="D2186" t="str">
        <f>IFERROR(INDEX(MASTER_REGISTER!F:F,MATCH(C2186,MASTER_REGISTER!E:E,0)),"")</f>
        <v>Lerato Maseko</v>
      </c>
      <c r="E2186" t="s">
        <v>335</v>
      </c>
      <c r="H2186" t="s">
        <v>340</v>
      </c>
    </row>
    <row r="2187" spans="1:8" x14ac:dyDescent="0.3">
      <c r="A2187" t="s">
        <v>374</v>
      </c>
      <c r="B2187">
        <f>IFERROR(INDEX(MASTER_REGISTER!C:C,MATCH(C2187,MASTER_REGISTER!E:E,0)),"")</f>
        <v>10</v>
      </c>
      <c r="C2187" t="s">
        <v>188</v>
      </c>
      <c r="D2187" t="str">
        <f>IFERROR(INDEX(MASTER_REGISTER!F:F,MATCH(C2187,MASTER_REGISTER!E:E,0)),"")</f>
        <v>Sibusiso Molefe</v>
      </c>
      <c r="E2187" t="s">
        <v>337</v>
      </c>
      <c r="F2187" t="s">
        <v>338</v>
      </c>
      <c r="G2187" t="s">
        <v>339</v>
      </c>
    </row>
    <row r="2188" spans="1:8" x14ac:dyDescent="0.3">
      <c r="A2188" t="s">
        <v>374</v>
      </c>
      <c r="B2188">
        <f>IFERROR(INDEX(MASTER_REGISTER!C:C,MATCH(C2188,MASTER_REGISTER!E:E,0)),"")</f>
        <v>10</v>
      </c>
      <c r="C2188" t="s">
        <v>193</v>
      </c>
      <c r="D2188" t="str">
        <f>IFERROR(INDEX(MASTER_REGISTER!F:F,MATCH(C2188,MASTER_REGISTER!E:E,0)),"")</f>
        <v>Nandi Molefe</v>
      </c>
      <c r="E2188" t="s">
        <v>337</v>
      </c>
      <c r="F2188" t="s">
        <v>338</v>
      </c>
      <c r="G2188" t="s">
        <v>339</v>
      </c>
    </row>
    <row r="2189" spans="1:8" x14ac:dyDescent="0.3">
      <c r="A2189" t="s">
        <v>374</v>
      </c>
      <c r="B2189">
        <f>IFERROR(INDEX(MASTER_REGISTER!C:C,MATCH(C2189,MASTER_REGISTER!E:E,0)),"")</f>
        <v>10</v>
      </c>
      <c r="C2189" t="s">
        <v>198</v>
      </c>
      <c r="D2189" t="str">
        <f>IFERROR(INDEX(MASTER_REGISTER!F:F,MATCH(C2189,MASTER_REGISTER!E:E,0)),"")</f>
        <v>Kgothatso Baloyi</v>
      </c>
      <c r="E2189" t="s">
        <v>337</v>
      </c>
      <c r="F2189" t="s">
        <v>338</v>
      </c>
      <c r="G2189" t="s">
        <v>339</v>
      </c>
    </row>
    <row r="2190" spans="1:8" x14ac:dyDescent="0.3">
      <c r="A2190" t="s">
        <v>374</v>
      </c>
      <c r="B2190">
        <f>IFERROR(INDEX(MASTER_REGISTER!C:C,MATCH(C2190,MASTER_REGISTER!E:E,0)),"")</f>
        <v>10</v>
      </c>
      <c r="C2190" t="s">
        <v>202</v>
      </c>
      <c r="D2190" t="str">
        <f>IFERROR(INDEX(MASTER_REGISTER!F:F,MATCH(C2190,MASTER_REGISTER!E:E,0)),"")</f>
        <v>Ayanda Mokoena</v>
      </c>
      <c r="E2190" t="s">
        <v>337</v>
      </c>
      <c r="F2190" t="s">
        <v>338</v>
      </c>
      <c r="G2190" t="s">
        <v>339</v>
      </c>
    </row>
    <row r="2191" spans="1:8" x14ac:dyDescent="0.3">
      <c r="A2191" t="s">
        <v>374</v>
      </c>
      <c r="B2191">
        <f>IFERROR(INDEX(MASTER_REGISTER!C:C,MATCH(C2191,MASTER_REGISTER!E:E,0)),"")</f>
        <v>10</v>
      </c>
      <c r="C2191" t="s">
        <v>206</v>
      </c>
      <c r="D2191" t="str">
        <f>IFERROR(INDEX(MASTER_REGISTER!F:F,MATCH(C2191,MASTER_REGISTER!E:E,0)),"")</f>
        <v>Lwazi Baloyi</v>
      </c>
      <c r="E2191" t="s">
        <v>337</v>
      </c>
      <c r="F2191" t="s">
        <v>338</v>
      </c>
      <c r="G2191" t="s">
        <v>339</v>
      </c>
    </row>
    <row r="2192" spans="1:8" x14ac:dyDescent="0.3">
      <c r="A2192" t="s">
        <v>374</v>
      </c>
      <c r="B2192">
        <f>IFERROR(INDEX(MASTER_REGISTER!C:C,MATCH(C2192,MASTER_REGISTER!E:E,0)),"")</f>
        <v>10</v>
      </c>
      <c r="C2192" t="s">
        <v>210</v>
      </c>
      <c r="D2192" t="str">
        <f>IFERROR(INDEX(MASTER_REGISTER!F:F,MATCH(C2192,MASTER_REGISTER!E:E,0)),"")</f>
        <v>Siyanda Mokoena</v>
      </c>
      <c r="E2192" t="s">
        <v>337</v>
      </c>
      <c r="F2192" t="s">
        <v>338</v>
      </c>
      <c r="G2192" t="s">
        <v>339</v>
      </c>
    </row>
    <row r="2193" spans="1:8" x14ac:dyDescent="0.3">
      <c r="A2193" t="s">
        <v>374</v>
      </c>
      <c r="B2193">
        <f>IFERROR(INDEX(MASTER_REGISTER!C:C,MATCH(C2193,MASTER_REGISTER!E:E,0)),"")</f>
        <v>10</v>
      </c>
      <c r="C2193" t="s">
        <v>214</v>
      </c>
      <c r="D2193" t="str">
        <f>IFERROR(INDEX(MASTER_REGISTER!F:F,MATCH(C2193,MASTER_REGISTER!E:E,0)),"")</f>
        <v>Mpho Ngobeni</v>
      </c>
      <c r="E2193" t="s">
        <v>337</v>
      </c>
      <c r="F2193" t="s">
        <v>338</v>
      </c>
      <c r="G2193" t="s">
        <v>339</v>
      </c>
    </row>
    <row r="2194" spans="1:8" x14ac:dyDescent="0.3">
      <c r="A2194" t="s">
        <v>374</v>
      </c>
      <c r="B2194">
        <f>IFERROR(INDEX(MASTER_REGISTER!C:C,MATCH(C2194,MASTER_REGISTER!E:E,0)),"")</f>
        <v>10</v>
      </c>
      <c r="C2194" t="s">
        <v>217</v>
      </c>
      <c r="D2194" t="str">
        <f>IFERROR(INDEX(MASTER_REGISTER!F:F,MATCH(C2194,MASTER_REGISTER!E:E,0)),"")</f>
        <v>Naledi Makhubela</v>
      </c>
      <c r="E2194" t="s">
        <v>335</v>
      </c>
      <c r="H2194" t="s">
        <v>342</v>
      </c>
    </row>
    <row r="2195" spans="1:8" x14ac:dyDescent="0.3">
      <c r="A2195" t="s">
        <v>374</v>
      </c>
      <c r="B2195">
        <f>IFERROR(INDEX(MASTER_REGISTER!C:C,MATCH(C2195,MASTER_REGISTER!E:E,0)),"")</f>
        <v>10</v>
      </c>
      <c r="C2195" t="s">
        <v>221</v>
      </c>
      <c r="D2195" t="str">
        <f>IFERROR(INDEX(MASTER_REGISTER!F:F,MATCH(C2195,MASTER_REGISTER!E:E,0)),"")</f>
        <v>Kgothatso Mokoena</v>
      </c>
      <c r="E2195" t="s">
        <v>337</v>
      </c>
      <c r="F2195" t="s">
        <v>338</v>
      </c>
      <c r="G2195" t="s">
        <v>339</v>
      </c>
    </row>
    <row r="2196" spans="1:8" x14ac:dyDescent="0.3">
      <c r="A2196" t="s">
        <v>374</v>
      </c>
      <c r="B2196">
        <f>IFERROR(INDEX(MASTER_REGISTER!C:C,MATCH(C2196,MASTER_REGISTER!E:E,0)),"")</f>
        <v>10</v>
      </c>
      <c r="C2196" t="s">
        <v>225</v>
      </c>
      <c r="D2196" t="str">
        <f>IFERROR(INDEX(MASTER_REGISTER!F:F,MATCH(C2196,MASTER_REGISTER!E:E,0)),"")</f>
        <v>Bongani Makhubela</v>
      </c>
      <c r="E2196" t="s">
        <v>337</v>
      </c>
      <c r="F2196" t="s">
        <v>338</v>
      </c>
      <c r="G2196" t="s">
        <v>339</v>
      </c>
    </row>
    <row r="2197" spans="1:8" x14ac:dyDescent="0.3">
      <c r="A2197" t="s">
        <v>374</v>
      </c>
      <c r="B2197">
        <f>IFERROR(INDEX(MASTER_REGISTER!C:C,MATCH(C2197,MASTER_REGISTER!E:E,0)),"")</f>
        <v>10</v>
      </c>
      <c r="C2197" t="s">
        <v>229</v>
      </c>
      <c r="D2197" t="str">
        <f>IFERROR(INDEX(MASTER_REGISTER!F:F,MATCH(C2197,MASTER_REGISTER!E:E,0)),"")</f>
        <v>Kagiso Kekana</v>
      </c>
      <c r="E2197" t="s">
        <v>337</v>
      </c>
      <c r="F2197" t="s">
        <v>338</v>
      </c>
      <c r="G2197" t="s">
        <v>339</v>
      </c>
    </row>
    <row r="2198" spans="1:8" x14ac:dyDescent="0.3">
      <c r="A2198" t="s">
        <v>374</v>
      </c>
      <c r="B2198">
        <f>IFERROR(INDEX(MASTER_REGISTER!C:C,MATCH(C2198,MASTER_REGISTER!E:E,0)),"")</f>
        <v>11</v>
      </c>
      <c r="C2198" t="s">
        <v>233</v>
      </c>
      <c r="D2198" t="str">
        <f>IFERROR(INDEX(MASTER_REGISTER!F:F,MATCH(C2198,MASTER_REGISTER!E:E,0)),"")</f>
        <v>Lwazi Makhubela</v>
      </c>
      <c r="E2198" t="s">
        <v>337</v>
      </c>
      <c r="F2198" t="s">
        <v>338</v>
      </c>
      <c r="G2198" t="s">
        <v>339</v>
      </c>
    </row>
    <row r="2199" spans="1:8" x14ac:dyDescent="0.3">
      <c r="A2199" t="s">
        <v>374</v>
      </c>
      <c r="B2199">
        <f>IFERROR(INDEX(MASTER_REGISTER!C:C,MATCH(C2199,MASTER_REGISTER!E:E,0)),"")</f>
        <v>11</v>
      </c>
      <c r="C2199" t="s">
        <v>237</v>
      </c>
      <c r="D2199" t="str">
        <f>IFERROR(INDEX(MASTER_REGISTER!F:F,MATCH(C2199,MASTER_REGISTER!E:E,0)),"")</f>
        <v>Lebogang Ramushu</v>
      </c>
      <c r="E2199" t="s">
        <v>337</v>
      </c>
      <c r="F2199" t="s">
        <v>338</v>
      </c>
      <c r="G2199" t="s">
        <v>339</v>
      </c>
    </row>
    <row r="2200" spans="1:8" x14ac:dyDescent="0.3">
      <c r="A2200" t="s">
        <v>374</v>
      </c>
      <c r="B2200">
        <f>IFERROR(INDEX(MASTER_REGISTER!C:C,MATCH(C2200,MASTER_REGISTER!E:E,0)),"")</f>
        <v>11</v>
      </c>
      <c r="C2200" t="s">
        <v>241</v>
      </c>
      <c r="D2200" t="str">
        <f>IFERROR(INDEX(MASTER_REGISTER!F:F,MATCH(C2200,MASTER_REGISTER!E:E,0)),"")</f>
        <v>Lerato Kekana</v>
      </c>
      <c r="E2200" t="s">
        <v>337</v>
      </c>
      <c r="F2200" t="s">
        <v>338</v>
      </c>
      <c r="G2200" t="s">
        <v>339</v>
      </c>
    </row>
    <row r="2201" spans="1:8" x14ac:dyDescent="0.3">
      <c r="A2201" t="s">
        <v>374</v>
      </c>
      <c r="B2201">
        <f>IFERROR(INDEX(MASTER_REGISTER!C:C,MATCH(C2201,MASTER_REGISTER!E:E,0)),"")</f>
        <v>11</v>
      </c>
      <c r="C2201" t="s">
        <v>244</v>
      </c>
      <c r="D2201" t="str">
        <f>IFERROR(INDEX(MASTER_REGISTER!F:F,MATCH(C2201,MASTER_REGISTER!E:E,0)),"")</f>
        <v>Bongani Ndlovu</v>
      </c>
      <c r="E2201" t="s">
        <v>337</v>
      </c>
      <c r="F2201" t="s">
        <v>338</v>
      </c>
      <c r="G2201" t="s">
        <v>339</v>
      </c>
    </row>
    <row r="2202" spans="1:8" x14ac:dyDescent="0.3">
      <c r="A2202" t="s">
        <v>374</v>
      </c>
      <c r="B2202">
        <f>IFERROR(INDEX(MASTER_REGISTER!C:C,MATCH(C2202,MASTER_REGISTER!E:E,0)),"")</f>
        <v>11</v>
      </c>
      <c r="C2202" t="s">
        <v>248</v>
      </c>
      <c r="D2202" t="str">
        <f>IFERROR(INDEX(MASTER_REGISTER!F:F,MATCH(C2202,MASTER_REGISTER!E:E,0)),"")</f>
        <v>Sifiso Dlamini</v>
      </c>
      <c r="E2202" t="s">
        <v>337</v>
      </c>
      <c r="F2202" t="s">
        <v>338</v>
      </c>
      <c r="G2202" t="s">
        <v>339</v>
      </c>
    </row>
    <row r="2203" spans="1:8" x14ac:dyDescent="0.3">
      <c r="A2203" t="s">
        <v>374</v>
      </c>
      <c r="B2203">
        <f>IFERROR(INDEX(MASTER_REGISTER!C:C,MATCH(C2203,MASTER_REGISTER!E:E,0)),"")</f>
        <v>11</v>
      </c>
      <c r="C2203" t="s">
        <v>252</v>
      </c>
      <c r="D2203" t="str">
        <f>IFERROR(INDEX(MASTER_REGISTER!F:F,MATCH(C2203,MASTER_REGISTER!E:E,0)),"")</f>
        <v>Refilwe Dlamini</v>
      </c>
      <c r="E2203" t="s">
        <v>335</v>
      </c>
      <c r="H2203" t="s">
        <v>336</v>
      </c>
    </row>
    <row r="2204" spans="1:8" x14ac:dyDescent="0.3">
      <c r="A2204" t="s">
        <v>374</v>
      </c>
      <c r="B2204">
        <f>IFERROR(INDEX(MASTER_REGISTER!C:C,MATCH(C2204,MASTER_REGISTER!E:E,0)),"")</f>
        <v>11</v>
      </c>
      <c r="C2204" t="s">
        <v>256</v>
      </c>
      <c r="D2204" t="str">
        <f>IFERROR(INDEX(MASTER_REGISTER!F:F,MATCH(C2204,MASTER_REGISTER!E:E,0)),"")</f>
        <v>Lwazi Maseko</v>
      </c>
      <c r="E2204" t="s">
        <v>337</v>
      </c>
      <c r="F2204" t="s">
        <v>338</v>
      </c>
      <c r="G2204" t="s">
        <v>339</v>
      </c>
    </row>
    <row r="2205" spans="1:8" x14ac:dyDescent="0.3">
      <c r="A2205" t="s">
        <v>374</v>
      </c>
      <c r="B2205">
        <f>IFERROR(INDEX(MASTER_REGISTER!C:C,MATCH(C2205,MASTER_REGISTER!E:E,0)),"")</f>
        <v>11</v>
      </c>
      <c r="C2205" t="s">
        <v>260</v>
      </c>
      <c r="D2205" t="str">
        <f>IFERROR(INDEX(MASTER_REGISTER!F:F,MATCH(C2205,MASTER_REGISTER!E:E,0)),"")</f>
        <v>Refilwe Mokgadi</v>
      </c>
      <c r="E2205" t="s">
        <v>337</v>
      </c>
      <c r="F2205" t="s">
        <v>338</v>
      </c>
      <c r="G2205" t="s">
        <v>339</v>
      </c>
    </row>
    <row r="2206" spans="1:8" x14ac:dyDescent="0.3">
      <c r="A2206" t="s">
        <v>374</v>
      </c>
      <c r="B2206">
        <f>IFERROR(INDEX(MASTER_REGISTER!C:C,MATCH(C2206,MASTER_REGISTER!E:E,0)),"")</f>
        <v>11</v>
      </c>
      <c r="C2206" t="s">
        <v>264</v>
      </c>
      <c r="D2206" t="str">
        <f>IFERROR(INDEX(MASTER_REGISTER!F:F,MATCH(C2206,MASTER_REGISTER!E:E,0)),"")</f>
        <v>Kgothatso Molefe</v>
      </c>
      <c r="E2206" t="s">
        <v>337</v>
      </c>
      <c r="F2206" t="s">
        <v>338</v>
      </c>
      <c r="G2206" t="s">
        <v>339</v>
      </c>
    </row>
    <row r="2207" spans="1:8" x14ac:dyDescent="0.3">
      <c r="A2207" t="s">
        <v>374</v>
      </c>
      <c r="B2207">
        <f>IFERROR(INDEX(MASTER_REGISTER!C:C,MATCH(C2207,MASTER_REGISTER!E:E,0)),"")</f>
        <v>11</v>
      </c>
      <c r="C2207" t="s">
        <v>268</v>
      </c>
      <c r="D2207" t="str">
        <f>IFERROR(INDEX(MASTER_REGISTER!F:F,MATCH(C2207,MASTER_REGISTER!E:E,0)),"")</f>
        <v>Tshepo Mokgadi</v>
      </c>
      <c r="E2207" t="s">
        <v>337</v>
      </c>
      <c r="F2207" t="s">
        <v>338</v>
      </c>
      <c r="G2207" t="s">
        <v>339</v>
      </c>
    </row>
    <row r="2208" spans="1:8" x14ac:dyDescent="0.3">
      <c r="A2208" t="s">
        <v>374</v>
      </c>
      <c r="B2208">
        <f>IFERROR(INDEX(MASTER_REGISTER!C:C,MATCH(C2208,MASTER_REGISTER!E:E,0)),"")</f>
        <v>11</v>
      </c>
      <c r="C2208" t="s">
        <v>272</v>
      </c>
      <c r="D2208" t="str">
        <f>IFERROR(INDEX(MASTER_REGISTER!F:F,MATCH(C2208,MASTER_REGISTER!E:E,0)),"")</f>
        <v>Tshepo Phiri</v>
      </c>
      <c r="E2208" t="s">
        <v>337</v>
      </c>
      <c r="F2208" t="s">
        <v>338</v>
      </c>
      <c r="G2208" t="s">
        <v>339</v>
      </c>
    </row>
    <row r="2209" spans="1:8" x14ac:dyDescent="0.3">
      <c r="A2209" t="s">
        <v>374</v>
      </c>
      <c r="B2209">
        <f>IFERROR(INDEX(MASTER_REGISTER!C:C,MATCH(C2209,MASTER_REGISTER!E:E,0)),"")</f>
        <v>11</v>
      </c>
      <c r="C2209" t="s">
        <v>276</v>
      </c>
      <c r="D2209" t="str">
        <f>IFERROR(INDEX(MASTER_REGISTER!F:F,MATCH(C2209,MASTER_REGISTER!E:E,0)),"")</f>
        <v>Zanele Ngobeni</v>
      </c>
      <c r="E2209" t="s">
        <v>337</v>
      </c>
      <c r="F2209" t="s">
        <v>338</v>
      </c>
      <c r="G2209" t="s">
        <v>339</v>
      </c>
    </row>
    <row r="2210" spans="1:8" x14ac:dyDescent="0.3">
      <c r="A2210" t="s">
        <v>374</v>
      </c>
      <c r="B2210">
        <f>IFERROR(INDEX(MASTER_REGISTER!C:C,MATCH(C2210,MASTER_REGISTER!E:E,0)),"")</f>
        <v>12</v>
      </c>
      <c r="C2210" t="s">
        <v>280</v>
      </c>
      <c r="D2210" t="str">
        <f>IFERROR(INDEX(MASTER_REGISTER!F:F,MATCH(C2210,MASTER_REGISTER!E:E,0)),"")</f>
        <v>Palesa Mokoena</v>
      </c>
      <c r="E2210" t="s">
        <v>337</v>
      </c>
      <c r="F2210" t="s">
        <v>338</v>
      </c>
      <c r="G2210" t="s">
        <v>339</v>
      </c>
    </row>
    <row r="2211" spans="1:8" x14ac:dyDescent="0.3">
      <c r="A2211" t="s">
        <v>374</v>
      </c>
      <c r="B2211">
        <f>IFERROR(INDEX(MASTER_REGISTER!C:C,MATCH(C2211,MASTER_REGISTER!E:E,0)),"")</f>
        <v>12</v>
      </c>
      <c r="C2211" t="s">
        <v>284</v>
      </c>
      <c r="D2211" t="str">
        <f>IFERROR(INDEX(MASTER_REGISTER!F:F,MATCH(C2211,MASTER_REGISTER!E:E,0)),"")</f>
        <v>Thabo Ramushu</v>
      </c>
      <c r="E2211" t="s">
        <v>337</v>
      </c>
      <c r="F2211" t="s">
        <v>338</v>
      </c>
      <c r="G2211" t="s">
        <v>339</v>
      </c>
    </row>
    <row r="2212" spans="1:8" x14ac:dyDescent="0.3">
      <c r="A2212" t="s">
        <v>374</v>
      </c>
      <c r="B2212">
        <f>IFERROR(INDEX(MASTER_REGISTER!C:C,MATCH(C2212,MASTER_REGISTER!E:E,0)),"")</f>
        <v>12</v>
      </c>
      <c r="C2212" t="s">
        <v>288</v>
      </c>
      <c r="D2212" t="str">
        <f>IFERROR(INDEX(MASTER_REGISTER!F:F,MATCH(C2212,MASTER_REGISTER!E:E,0)),"")</f>
        <v>Lwazi Ndlovu</v>
      </c>
      <c r="E2212" t="s">
        <v>335</v>
      </c>
      <c r="H2212" t="s">
        <v>342</v>
      </c>
    </row>
    <row r="2213" spans="1:8" x14ac:dyDescent="0.3">
      <c r="A2213" t="s">
        <v>374</v>
      </c>
      <c r="B2213">
        <f>IFERROR(INDEX(MASTER_REGISTER!C:C,MATCH(C2213,MASTER_REGISTER!E:E,0)),"")</f>
        <v>12</v>
      </c>
      <c r="C2213" t="s">
        <v>292</v>
      </c>
      <c r="D2213" t="str">
        <f>IFERROR(INDEX(MASTER_REGISTER!F:F,MATCH(C2213,MASTER_REGISTER!E:E,0)),"")</f>
        <v>Ayanda Dlamini</v>
      </c>
      <c r="E2213" t="s">
        <v>337</v>
      </c>
      <c r="F2213" t="s">
        <v>338</v>
      </c>
      <c r="G2213" t="s">
        <v>339</v>
      </c>
    </row>
    <row r="2214" spans="1:8" x14ac:dyDescent="0.3">
      <c r="A2214" t="s">
        <v>374</v>
      </c>
      <c r="B2214">
        <f>IFERROR(INDEX(MASTER_REGISTER!C:C,MATCH(C2214,MASTER_REGISTER!E:E,0)),"")</f>
        <v>12</v>
      </c>
      <c r="C2214" t="s">
        <v>296</v>
      </c>
      <c r="D2214" t="str">
        <f>IFERROR(INDEX(MASTER_REGISTER!F:F,MATCH(C2214,MASTER_REGISTER!E:E,0)),"")</f>
        <v>Neo Ndlovu</v>
      </c>
      <c r="E2214" t="s">
        <v>335</v>
      </c>
      <c r="H2214" t="s">
        <v>341</v>
      </c>
    </row>
    <row r="2215" spans="1:8" x14ac:dyDescent="0.3">
      <c r="A2215" t="s">
        <v>374</v>
      </c>
      <c r="B2215">
        <f>IFERROR(INDEX(MASTER_REGISTER!C:C,MATCH(C2215,MASTER_REGISTER!E:E,0)),"")</f>
        <v>12</v>
      </c>
      <c r="C2215" t="s">
        <v>300</v>
      </c>
      <c r="D2215" t="str">
        <f>IFERROR(INDEX(MASTER_REGISTER!F:F,MATCH(C2215,MASTER_REGISTER!E:E,0)),"")</f>
        <v>Neo Ramushu</v>
      </c>
      <c r="E2215" t="s">
        <v>337</v>
      </c>
      <c r="F2215" t="s">
        <v>338</v>
      </c>
      <c r="G2215" t="s">
        <v>339</v>
      </c>
    </row>
    <row r="2216" spans="1:8" x14ac:dyDescent="0.3">
      <c r="A2216" t="s">
        <v>374</v>
      </c>
      <c r="B2216">
        <f>IFERROR(INDEX(MASTER_REGISTER!C:C,MATCH(C2216,MASTER_REGISTER!E:E,0)),"")</f>
        <v>12</v>
      </c>
      <c r="C2216" t="s">
        <v>304</v>
      </c>
      <c r="D2216" t="str">
        <f>IFERROR(INDEX(MASTER_REGISTER!F:F,MATCH(C2216,MASTER_REGISTER!E:E,0)),"")</f>
        <v>Karabo Baloyi</v>
      </c>
      <c r="E2216" t="s">
        <v>335</v>
      </c>
      <c r="H2216" t="s">
        <v>341</v>
      </c>
    </row>
    <row r="2217" spans="1:8" x14ac:dyDescent="0.3">
      <c r="A2217" t="s">
        <v>374</v>
      </c>
      <c r="B2217">
        <f>IFERROR(INDEX(MASTER_REGISTER!C:C,MATCH(C2217,MASTER_REGISTER!E:E,0)),"")</f>
        <v>12</v>
      </c>
      <c r="C2217" t="s">
        <v>308</v>
      </c>
      <c r="D2217" t="str">
        <f>IFERROR(INDEX(MASTER_REGISTER!F:F,MATCH(C2217,MASTER_REGISTER!E:E,0)),"")</f>
        <v>Tshepo Mokgadi</v>
      </c>
      <c r="E2217" t="s">
        <v>337</v>
      </c>
      <c r="F2217" t="s">
        <v>338</v>
      </c>
      <c r="G2217" t="s">
        <v>339</v>
      </c>
    </row>
    <row r="2218" spans="1:8" x14ac:dyDescent="0.3">
      <c r="A2218" t="s">
        <v>374</v>
      </c>
      <c r="B2218">
        <f>IFERROR(INDEX(MASTER_REGISTER!C:C,MATCH(C2218,MASTER_REGISTER!E:E,0)),"")</f>
        <v>12</v>
      </c>
      <c r="C2218" t="s">
        <v>311</v>
      </c>
      <c r="D2218" t="str">
        <f>IFERROR(INDEX(MASTER_REGISTER!F:F,MATCH(C2218,MASTER_REGISTER!E:E,0)),"")</f>
        <v>Sifiso Mavuso</v>
      </c>
      <c r="E2218" t="s">
        <v>337</v>
      </c>
      <c r="F2218" t="s">
        <v>338</v>
      </c>
      <c r="G2218" t="s">
        <v>339</v>
      </c>
    </row>
    <row r="2219" spans="1:8" x14ac:dyDescent="0.3">
      <c r="A2219" t="s">
        <v>374</v>
      </c>
      <c r="B2219">
        <f>IFERROR(INDEX(MASTER_REGISTER!C:C,MATCH(C2219,MASTER_REGISTER!E:E,0)),"")</f>
        <v>12</v>
      </c>
      <c r="C2219" t="s">
        <v>315</v>
      </c>
      <c r="D2219" t="str">
        <f>IFERROR(INDEX(MASTER_REGISTER!F:F,MATCH(C2219,MASTER_REGISTER!E:E,0)),"")</f>
        <v>Refilwe Sithole</v>
      </c>
      <c r="E2219" t="s">
        <v>337</v>
      </c>
      <c r="F2219" t="s">
        <v>338</v>
      </c>
      <c r="G2219" t="s">
        <v>339</v>
      </c>
    </row>
    <row r="2220" spans="1:8" x14ac:dyDescent="0.3">
      <c r="A2220" t="s">
        <v>374</v>
      </c>
      <c r="B2220">
        <f>IFERROR(INDEX(MASTER_REGISTER!C:C,MATCH(C2220,MASTER_REGISTER!E:E,0)),"")</f>
        <v>12</v>
      </c>
      <c r="C2220" t="s">
        <v>319</v>
      </c>
      <c r="D2220" t="str">
        <f>IFERROR(INDEX(MASTER_REGISTER!F:F,MATCH(C2220,MASTER_REGISTER!E:E,0)),"")</f>
        <v>Lerato Sithole</v>
      </c>
      <c r="E2220" t="s">
        <v>337</v>
      </c>
      <c r="F2220" t="s">
        <v>338</v>
      </c>
      <c r="G2220" t="s">
        <v>339</v>
      </c>
    </row>
    <row r="2221" spans="1:8" x14ac:dyDescent="0.3">
      <c r="A2221" t="s">
        <v>374</v>
      </c>
      <c r="B2221">
        <f>IFERROR(INDEX(MASTER_REGISTER!C:C,MATCH(C2221,MASTER_REGISTER!E:E,0)),"")</f>
        <v>12</v>
      </c>
      <c r="C2221" t="s">
        <v>323</v>
      </c>
      <c r="D2221" t="str">
        <f>IFERROR(INDEX(MASTER_REGISTER!F:F,MATCH(C2221,MASTER_REGISTER!E:E,0)),"")</f>
        <v>Sibusiso Ngobeni</v>
      </c>
      <c r="E2221" t="s">
        <v>337</v>
      </c>
      <c r="F2221" t="s">
        <v>338</v>
      </c>
      <c r="G2221" t="s">
        <v>339</v>
      </c>
    </row>
    <row r="2222" spans="1:8" x14ac:dyDescent="0.3">
      <c r="A2222" t="s">
        <v>375</v>
      </c>
      <c r="B2222">
        <f>IFERROR(INDEX(MASTER_REGISTER!C:C,MATCH(C2222,MASTER_REGISTER!E:E,0)),"")</f>
        <v>8</v>
      </c>
      <c r="C2222" t="s">
        <v>50</v>
      </c>
      <c r="D2222" t="str">
        <f>IFERROR(INDEX(MASTER_REGISTER!F:F,MATCH(C2222,MASTER_REGISTER!E:E,0)),"")</f>
        <v>Lerato Nkosi</v>
      </c>
      <c r="E2222" t="s">
        <v>337</v>
      </c>
      <c r="F2222" t="s">
        <v>338</v>
      </c>
      <c r="G2222" t="s">
        <v>339</v>
      </c>
    </row>
    <row r="2223" spans="1:8" x14ac:dyDescent="0.3">
      <c r="A2223" t="s">
        <v>375</v>
      </c>
      <c r="B2223">
        <f>IFERROR(INDEX(MASTER_REGISTER!C:C,MATCH(C2223,MASTER_REGISTER!E:E,0)),"")</f>
        <v>8</v>
      </c>
      <c r="C2223" t="s">
        <v>58</v>
      </c>
      <c r="D2223" t="str">
        <f>IFERROR(INDEX(MASTER_REGISTER!F:F,MATCH(C2223,MASTER_REGISTER!E:E,0)),"")</f>
        <v>Karabo Maseko</v>
      </c>
      <c r="E2223" t="s">
        <v>335</v>
      </c>
      <c r="H2223" t="s">
        <v>336</v>
      </c>
    </row>
    <row r="2224" spans="1:8" x14ac:dyDescent="0.3">
      <c r="A2224" t="s">
        <v>375</v>
      </c>
      <c r="B2224">
        <f>IFERROR(INDEX(MASTER_REGISTER!C:C,MATCH(C2224,MASTER_REGISTER!E:E,0)),"")</f>
        <v>8</v>
      </c>
      <c r="C2224" t="s">
        <v>64</v>
      </c>
      <c r="D2224" t="str">
        <f>IFERROR(INDEX(MASTER_REGISTER!F:F,MATCH(C2224,MASTER_REGISTER!E:E,0)),"")</f>
        <v>Sifiso Sithole</v>
      </c>
      <c r="E2224" t="s">
        <v>337</v>
      </c>
      <c r="F2224" t="s">
        <v>338</v>
      </c>
      <c r="G2224" t="s">
        <v>339</v>
      </c>
    </row>
    <row r="2225" spans="1:8" x14ac:dyDescent="0.3">
      <c r="A2225" t="s">
        <v>375</v>
      </c>
      <c r="B2225">
        <f>IFERROR(INDEX(MASTER_REGISTER!C:C,MATCH(C2225,MASTER_REGISTER!E:E,0)),"")</f>
        <v>8</v>
      </c>
      <c r="C2225" t="s">
        <v>70</v>
      </c>
      <c r="D2225" t="str">
        <f>IFERROR(INDEX(MASTER_REGISTER!F:F,MATCH(C2225,MASTER_REGISTER!E:E,0)),"")</f>
        <v>Tshepo Ndlovu</v>
      </c>
      <c r="E2225" t="s">
        <v>337</v>
      </c>
      <c r="F2225" t="s">
        <v>338</v>
      </c>
      <c r="G2225" t="s">
        <v>339</v>
      </c>
    </row>
    <row r="2226" spans="1:8" x14ac:dyDescent="0.3">
      <c r="A2226" t="s">
        <v>375</v>
      </c>
      <c r="B2226">
        <f>IFERROR(INDEX(MASTER_REGISTER!C:C,MATCH(C2226,MASTER_REGISTER!E:E,0)),"")</f>
        <v>8</v>
      </c>
      <c r="C2226" t="s">
        <v>76</v>
      </c>
      <c r="D2226" t="str">
        <f>IFERROR(INDEX(MASTER_REGISTER!F:F,MATCH(C2226,MASTER_REGISTER!E:E,0)),"")</f>
        <v>Lwazi Mthembu</v>
      </c>
      <c r="E2226" t="s">
        <v>337</v>
      </c>
      <c r="F2226" t="s">
        <v>338</v>
      </c>
      <c r="G2226" t="s">
        <v>339</v>
      </c>
    </row>
    <row r="2227" spans="1:8" x14ac:dyDescent="0.3">
      <c r="A2227" t="s">
        <v>375</v>
      </c>
      <c r="B2227">
        <f>IFERROR(INDEX(MASTER_REGISTER!C:C,MATCH(C2227,MASTER_REGISTER!E:E,0)),"")</f>
        <v>8</v>
      </c>
      <c r="C2227" t="s">
        <v>82</v>
      </c>
      <c r="D2227" t="str">
        <f>IFERROR(INDEX(MASTER_REGISTER!F:F,MATCH(C2227,MASTER_REGISTER!E:E,0)),"")</f>
        <v>Karabo Ngobeni</v>
      </c>
      <c r="E2227" t="s">
        <v>335</v>
      </c>
      <c r="H2227" t="s">
        <v>340</v>
      </c>
    </row>
    <row r="2228" spans="1:8" x14ac:dyDescent="0.3">
      <c r="A2228" t="s">
        <v>375</v>
      </c>
      <c r="B2228">
        <f>IFERROR(INDEX(MASTER_REGISTER!C:C,MATCH(C2228,MASTER_REGISTER!E:E,0)),"")</f>
        <v>8</v>
      </c>
      <c r="C2228" t="s">
        <v>88</v>
      </c>
      <c r="D2228" t="str">
        <f>IFERROR(INDEX(MASTER_REGISTER!F:F,MATCH(C2228,MASTER_REGISTER!E:E,0)),"")</f>
        <v>Mpho Sithole</v>
      </c>
      <c r="E2228" t="s">
        <v>337</v>
      </c>
      <c r="F2228" t="s">
        <v>338</v>
      </c>
      <c r="G2228" t="s">
        <v>339</v>
      </c>
    </row>
    <row r="2229" spans="1:8" x14ac:dyDescent="0.3">
      <c r="A2229" t="s">
        <v>375</v>
      </c>
      <c r="B2229">
        <f>IFERROR(INDEX(MASTER_REGISTER!C:C,MATCH(C2229,MASTER_REGISTER!E:E,0)),"")</f>
        <v>8</v>
      </c>
      <c r="C2229" t="s">
        <v>94</v>
      </c>
      <c r="D2229" t="str">
        <f>IFERROR(INDEX(MASTER_REGISTER!F:F,MATCH(C2229,MASTER_REGISTER!E:E,0)),"")</f>
        <v>Tshepo Ramushu</v>
      </c>
      <c r="E2229" t="s">
        <v>337</v>
      </c>
      <c r="F2229" t="s">
        <v>338</v>
      </c>
      <c r="G2229" t="s">
        <v>339</v>
      </c>
    </row>
    <row r="2230" spans="1:8" x14ac:dyDescent="0.3">
      <c r="A2230" t="s">
        <v>375</v>
      </c>
      <c r="B2230">
        <f>IFERROR(INDEX(MASTER_REGISTER!C:C,MATCH(C2230,MASTER_REGISTER!E:E,0)),"")</f>
        <v>8</v>
      </c>
      <c r="C2230" t="s">
        <v>100</v>
      </c>
      <c r="D2230" t="str">
        <f>IFERROR(INDEX(MASTER_REGISTER!F:F,MATCH(C2230,MASTER_REGISTER!E:E,0)),"")</f>
        <v>Lerato Kekana</v>
      </c>
      <c r="E2230" t="s">
        <v>337</v>
      </c>
      <c r="F2230" t="s">
        <v>338</v>
      </c>
      <c r="G2230" t="s">
        <v>339</v>
      </c>
    </row>
    <row r="2231" spans="1:8" x14ac:dyDescent="0.3">
      <c r="A2231" t="s">
        <v>375</v>
      </c>
      <c r="B2231">
        <f>IFERROR(INDEX(MASTER_REGISTER!C:C,MATCH(C2231,MASTER_REGISTER!E:E,0)),"")</f>
        <v>8</v>
      </c>
      <c r="C2231" t="s">
        <v>106</v>
      </c>
      <c r="D2231" t="str">
        <f>IFERROR(INDEX(MASTER_REGISTER!F:F,MATCH(C2231,MASTER_REGISTER!E:E,0)),"")</f>
        <v>Neo Ngobeni</v>
      </c>
      <c r="E2231" t="s">
        <v>337</v>
      </c>
      <c r="F2231" t="s">
        <v>338</v>
      </c>
      <c r="G2231" t="s">
        <v>339</v>
      </c>
    </row>
    <row r="2232" spans="1:8" x14ac:dyDescent="0.3">
      <c r="A2232" t="s">
        <v>375</v>
      </c>
      <c r="B2232">
        <f>IFERROR(INDEX(MASTER_REGISTER!C:C,MATCH(C2232,MASTER_REGISTER!E:E,0)),"")</f>
        <v>8</v>
      </c>
      <c r="C2232" t="s">
        <v>112</v>
      </c>
      <c r="D2232" t="str">
        <f>IFERROR(INDEX(MASTER_REGISTER!F:F,MATCH(C2232,MASTER_REGISTER!E:E,0)),"")</f>
        <v>Thabo Mokgadi</v>
      </c>
      <c r="E2232" t="s">
        <v>337</v>
      </c>
      <c r="F2232" t="s">
        <v>338</v>
      </c>
      <c r="G2232" t="s">
        <v>339</v>
      </c>
    </row>
    <row r="2233" spans="1:8" x14ac:dyDescent="0.3">
      <c r="A2233" t="s">
        <v>375</v>
      </c>
      <c r="B2233">
        <f>IFERROR(INDEX(MASTER_REGISTER!C:C,MATCH(C2233,MASTER_REGISTER!E:E,0)),"")</f>
        <v>8</v>
      </c>
      <c r="C2233" t="s">
        <v>118</v>
      </c>
      <c r="D2233" t="str">
        <f>IFERROR(INDEX(MASTER_REGISTER!F:F,MATCH(C2233,MASTER_REGISTER!E:E,0)),"")</f>
        <v>Sifiso Mthembu</v>
      </c>
      <c r="E2233" t="s">
        <v>337</v>
      </c>
      <c r="F2233" t="s">
        <v>338</v>
      </c>
      <c r="G2233" t="s">
        <v>339</v>
      </c>
    </row>
    <row r="2234" spans="1:8" x14ac:dyDescent="0.3">
      <c r="A2234" t="s">
        <v>375</v>
      </c>
      <c r="B2234">
        <f>IFERROR(INDEX(MASTER_REGISTER!C:C,MATCH(C2234,MASTER_REGISTER!E:E,0)),"")</f>
        <v>9</v>
      </c>
      <c r="C2234" t="s">
        <v>123</v>
      </c>
      <c r="D2234" t="str">
        <f>IFERROR(INDEX(MASTER_REGISTER!F:F,MATCH(C2234,MASTER_REGISTER!E:E,0)),"")</f>
        <v>Karabo Phiri</v>
      </c>
      <c r="E2234" t="s">
        <v>335</v>
      </c>
      <c r="H2234" t="s">
        <v>342</v>
      </c>
    </row>
    <row r="2235" spans="1:8" x14ac:dyDescent="0.3">
      <c r="A2235" t="s">
        <v>375</v>
      </c>
      <c r="B2235">
        <f>IFERROR(INDEX(MASTER_REGISTER!C:C,MATCH(C2235,MASTER_REGISTER!E:E,0)),"")</f>
        <v>9</v>
      </c>
      <c r="C2235" t="s">
        <v>128</v>
      </c>
      <c r="D2235" t="str">
        <f>IFERROR(INDEX(MASTER_REGISTER!F:F,MATCH(C2235,MASTER_REGISTER!E:E,0)),"")</f>
        <v>Lerato Mahlangu</v>
      </c>
      <c r="E2235" t="s">
        <v>337</v>
      </c>
      <c r="F2235" t="s">
        <v>338</v>
      </c>
      <c r="G2235" t="s">
        <v>339</v>
      </c>
    </row>
    <row r="2236" spans="1:8" x14ac:dyDescent="0.3">
      <c r="A2236" t="s">
        <v>375</v>
      </c>
      <c r="B2236">
        <f>IFERROR(INDEX(MASTER_REGISTER!C:C,MATCH(C2236,MASTER_REGISTER!E:E,0)),"")</f>
        <v>9</v>
      </c>
      <c r="C2236" t="s">
        <v>133</v>
      </c>
      <c r="D2236" t="str">
        <f>IFERROR(INDEX(MASTER_REGISTER!F:F,MATCH(C2236,MASTER_REGISTER!E:E,0)),"")</f>
        <v>Mpho Kekana</v>
      </c>
      <c r="E2236" t="s">
        <v>337</v>
      </c>
      <c r="F2236" t="s">
        <v>338</v>
      </c>
      <c r="G2236" t="s">
        <v>339</v>
      </c>
    </row>
    <row r="2237" spans="1:8" x14ac:dyDescent="0.3">
      <c r="A2237" t="s">
        <v>375</v>
      </c>
      <c r="B2237">
        <f>IFERROR(INDEX(MASTER_REGISTER!C:C,MATCH(C2237,MASTER_REGISTER!E:E,0)),"")</f>
        <v>9</v>
      </c>
      <c r="C2237" t="s">
        <v>138</v>
      </c>
      <c r="D2237" t="str">
        <f>IFERROR(INDEX(MASTER_REGISTER!F:F,MATCH(C2237,MASTER_REGISTER!E:E,0)),"")</f>
        <v>Thabo Molefe</v>
      </c>
      <c r="E2237" t="s">
        <v>337</v>
      </c>
      <c r="F2237" t="s">
        <v>338</v>
      </c>
      <c r="G2237" t="s">
        <v>339</v>
      </c>
    </row>
    <row r="2238" spans="1:8" x14ac:dyDescent="0.3">
      <c r="A2238" t="s">
        <v>375</v>
      </c>
      <c r="B2238">
        <f>IFERROR(INDEX(MASTER_REGISTER!C:C,MATCH(C2238,MASTER_REGISTER!E:E,0)),"")</f>
        <v>9</v>
      </c>
      <c r="C2238" t="s">
        <v>143</v>
      </c>
      <c r="D2238" t="str">
        <f>IFERROR(INDEX(MASTER_REGISTER!F:F,MATCH(C2238,MASTER_REGISTER!E:E,0)),"")</f>
        <v>Mpho Ngobeni</v>
      </c>
      <c r="E2238" t="s">
        <v>337</v>
      </c>
      <c r="F2238" t="s">
        <v>338</v>
      </c>
      <c r="G2238" t="s">
        <v>339</v>
      </c>
    </row>
    <row r="2239" spans="1:8" x14ac:dyDescent="0.3">
      <c r="A2239" t="s">
        <v>375</v>
      </c>
      <c r="B2239">
        <f>IFERROR(INDEX(MASTER_REGISTER!C:C,MATCH(C2239,MASTER_REGISTER!E:E,0)),"")</f>
        <v>9</v>
      </c>
      <c r="C2239" t="s">
        <v>148</v>
      </c>
      <c r="D2239" t="str">
        <f>IFERROR(INDEX(MASTER_REGISTER!F:F,MATCH(C2239,MASTER_REGISTER!E:E,0)),"")</f>
        <v>Siyanda Mhlongo</v>
      </c>
      <c r="E2239" t="s">
        <v>337</v>
      </c>
      <c r="F2239" t="s">
        <v>338</v>
      </c>
      <c r="G2239" t="s">
        <v>339</v>
      </c>
    </row>
    <row r="2240" spans="1:8" x14ac:dyDescent="0.3">
      <c r="A2240" t="s">
        <v>375</v>
      </c>
      <c r="B2240">
        <f>IFERROR(INDEX(MASTER_REGISTER!C:C,MATCH(C2240,MASTER_REGISTER!E:E,0)),"")</f>
        <v>9</v>
      </c>
      <c r="C2240" t="s">
        <v>153</v>
      </c>
      <c r="D2240" t="str">
        <f>IFERROR(INDEX(MASTER_REGISTER!F:F,MATCH(C2240,MASTER_REGISTER!E:E,0)),"")</f>
        <v>Siyanda Mahlangu</v>
      </c>
      <c r="E2240" t="s">
        <v>335</v>
      </c>
      <c r="H2240" t="s">
        <v>342</v>
      </c>
    </row>
    <row r="2241" spans="1:8" x14ac:dyDescent="0.3">
      <c r="A2241" t="s">
        <v>375</v>
      </c>
      <c r="B2241">
        <f>IFERROR(INDEX(MASTER_REGISTER!C:C,MATCH(C2241,MASTER_REGISTER!E:E,0)),"")</f>
        <v>9</v>
      </c>
      <c r="C2241" t="s">
        <v>158</v>
      </c>
      <c r="D2241" t="str">
        <f>IFERROR(INDEX(MASTER_REGISTER!F:F,MATCH(C2241,MASTER_REGISTER!E:E,0)),"")</f>
        <v>Sifiso Ramushu</v>
      </c>
      <c r="E2241" t="s">
        <v>337</v>
      </c>
      <c r="F2241" t="s">
        <v>338</v>
      </c>
      <c r="G2241" t="s">
        <v>339</v>
      </c>
    </row>
    <row r="2242" spans="1:8" x14ac:dyDescent="0.3">
      <c r="A2242" t="s">
        <v>375</v>
      </c>
      <c r="B2242">
        <f>IFERROR(INDEX(MASTER_REGISTER!C:C,MATCH(C2242,MASTER_REGISTER!E:E,0)),"")</f>
        <v>9</v>
      </c>
      <c r="C2242" t="s">
        <v>163</v>
      </c>
      <c r="D2242" t="str">
        <f>IFERROR(INDEX(MASTER_REGISTER!F:F,MATCH(C2242,MASTER_REGISTER!E:E,0)),"")</f>
        <v>Nandi Ngobeni</v>
      </c>
      <c r="E2242" t="s">
        <v>337</v>
      </c>
      <c r="F2242" t="s">
        <v>338</v>
      </c>
      <c r="G2242" t="s">
        <v>339</v>
      </c>
    </row>
    <row r="2243" spans="1:8" x14ac:dyDescent="0.3">
      <c r="A2243" t="s">
        <v>375</v>
      </c>
      <c r="B2243">
        <f>IFERROR(INDEX(MASTER_REGISTER!C:C,MATCH(C2243,MASTER_REGISTER!E:E,0)),"")</f>
        <v>9</v>
      </c>
      <c r="C2243" t="s">
        <v>168</v>
      </c>
      <c r="D2243" t="str">
        <f>IFERROR(INDEX(MASTER_REGISTER!F:F,MATCH(C2243,MASTER_REGISTER!E:E,0)),"")</f>
        <v>Karabo Mokgadi</v>
      </c>
      <c r="E2243" t="s">
        <v>337</v>
      </c>
      <c r="F2243" t="s">
        <v>338</v>
      </c>
      <c r="G2243" t="s">
        <v>339</v>
      </c>
    </row>
    <row r="2244" spans="1:8" x14ac:dyDescent="0.3">
      <c r="A2244" t="s">
        <v>375</v>
      </c>
      <c r="B2244">
        <f>IFERROR(INDEX(MASTER_REGISTER!C:C,MATCH(C2244,MASTER_REGISTER!E:E,0)),"")</f>
        <v>9</v>
      </c>
      <c r="C2244" t="s">
        <v>173</v>
      </c>
      <c r="D2244" t="str">
        <f>IFERROR(INDEX(MASTER_REGISTER!F:F,MATCH(C2244,MASTER_REGISTER!E:E,0)),"")</f>
        <v>Sifiso Mahlangu</v>
      </c>
      <c r="E2244" t="s">
        <v>337</v>
      </c>
      <c r="F2244" t="s">
        <v>338</v>
      </c>
      <c r="G2244" t="s">
        <v>339</v>
      </c>
    </row>
    <row r="2245" spans="1:8" x14ac:dyDescent="0.3">
      <c r="A2245" t="s">
        <v>375</v>
      </c>
      <c r="B2245">
        <f>IFERROR(INDEX(MASTER_REGISTER!C:C,MATCH(C2245,MASTER_REGISTER!E:E,0)),"")</f>
        <v>9</v>
      </c>
      <c r="C2245" t="s">
        <v>178</v>
      </c>
      <c r="D2245" t="str">
        <f>IFERROR(INDEX(MASTER_REGISTER!F:F,MATCH(C2245,MASTER_REGISTER!E:E,0)),"")</f>
        <v>Kgothatso Radebe</v>
      </c>
      <c r="E2245" t="s">
        <v>337</v>
      </c>
      <c r="F2245" t="s">
        <v>338</v>
      </c>
      <c r="G2245" t="s">
        <v>339</v>
      </c>
    </row>
    <row r="2246" spans="1:8" x14ac:dyDescent="0.3">
      <c r="A2246" t="s">
        <v>375</v>
      </c>
      <c r="B2246">
        <f>IFERROR(INDEX(MASTER_REGISTER!C:C,MATCH(C2246,MASTER_REGISTER!E:E,0)),"")</f>
        <v>10</v>
      </c>
      <c r="C2246" t="s">
        <v>183</v>
      </c>
      <c r="D2246" t="str">
        <f>IFERROR(INDEX(MASTER_REGISTER!F:F,MATCH(C2246,MASTER_REGISTER!E:E,0)),"")</f>
        <v>Lerato Maseko</v>
      </c>
      <c r="E2246" t="s">
        <v>337</v>
      </c>
      <c r="F2246" t="s">
        <v>338</v>
      </c>
      <c r="G2246" t="s">
        <v>339</v>
      </c>
    </row>
    <row r="2247" spans="1:8" x14ac:dyDescent="0.3">
      <c r="A2247" t="s">
        <v>375</v>
      </c>
      <c r="B2247">
        <f>IFERROR(INDEX(MASTER_REGISTER!C:C,MATCH(C2247,MASTER_REGISTER!E:E,0)),"")</f>
        <v>10</v>
      </c>
      <c r="C2247" t="s">
        <v>188</v>
      </c>
      <c r="D2247" t="str">
        <f>IFERROR(INDEX(MASTER_REGISTER!F:F,MATCH(C2247,MASTER_REGISTER!E:E,0)),"")</f>
        <v>Sibusiso Molefe</v>
      </c>
      <c r="E2247" t="s">
        <v>337</v>
      </c>
      <c r="F2247" t="s">
        <v>338</v>
      </c>
      <c r="G2247" t="s">
        <v>339</v>
      </c>
    </row>
    <row r="2248" spans="1:8" x14ac:dyDescent="0.3">
      <c r="A2248" t="s">
        <v>375</v>
      </c>
      <c r="B2248">
        <f>IFERROR(INDEX(MASTER_REGISTER!C:C,MATCH(C2248,MASTER_REGISTER!E:E,0)),"")</f>
        <v>10</v>
      </c>
      <c r="C2248" t="s">
        <v>193</v>
      </c>
      <c r="D2248" t="str">
        <f>IFERROR(INDEX(MASTER_REGISTER!F:F,MATCH(C2248,MASTER_REGISTER!E:E,0)),"")</f>
        <v>Nandi Molefe</v>
      </c>
      <c r="E2248" t="s">
        <v>337</v>
      </c>
      <c r="F2248" t="s">
        <v>338</v>
      </c>
      <c r="G2248" t="s">
        <v>339</v>
      </c>
    </row>
    <row r="2249" spans="1:8" x14ac:dyDescent="0.3">
      <c r="A2249" t="s">
        <v>375</v>
      </c>
      <c r="B2249">
        <f>IFERROR(INDEX(MASTER_REGISTER!C:C,MATCH(C2249,MASTER_REGISTER!E:E,0)),"")</f>
        <v>10</v>
      </c>
      <c r="C2249" t="s">
        <v>198</v>
      </c>
      <c r="D2249" t="str">
        <f>IFERROR(INDEX(MASTER_REGISTER!F:F,MATCH(C2249,MASTER_REGISTER!E:E,0)),"")</f>
        <v>Kgothatso Baloyi</v>
      </c>
      <c r="E2249" t="s">
        <v>337</v>
      </c>
      <c r="F2249" t="s">
        <v>338</v>
      </c>
      <c r="G2249" t="s">
        <v>339</v>
      </c>
    </row>
    <row r="2250" spans="1:8" x14ac:dyDescent="0.3">
      <c r="A2250" t="s">
        <v>375</v>
      </c>
      <c r="B2250">
        <f>IFERROR(INDEX(MASTER_REGISTER!C:C,MATCH(C2250,MASTER_REGISTER!E:E,0)),"")</f>
        <v>10</v>
      </c>
      <c r="C2250" t="s">
        <v>202</v>
      </c>
      <c r="D2250" t="str">
        <f>IFERROR(INDEX(MASTER_REGISTER!F:F,MATCH(C2250,MASTER_REGISTER!E:E,0)),"")</f>
        <v>Ayanda Mokoena</v>
      </c>
      <c r="E2250" t="s">
        <v>335</v>
      </c>
      <c r="H2250" t="s">
        <v>340</v>
      </c>
    </row>
    <row r="2251" spans="1:8" x14ac:dyDescent="0.3">
      <c r="A2251" t="s">
        <v>375</v>
      </c>
      <c r="B2251">
        <f>IFERROR(INDEX(MASTER_REGISTER!C:C,MATCH(C2251,MASTER_REGISTER!E:E,0)),"")</f>
        <v>10</v>
      </c>
      <c r="C2251" t="s">
        <v>206</v>
      </c>
      <c r="D2251" t="str">
        <f>IFERROR(INDEX(MASTER_REGISTER!F:F,MATCH(C2251,MASTER_REGISTER!E:E,0)),"")</f>
        <v>Lwazi Baloyi</v>
      </c>
      <c r="E2251" t="s">
        <v>337</v>
      </c>
      <c r="F2251" t="s">
        <v>338</v>
      </c>
      <c r="G2251" t="s">
        <v>339</v>
      </c>
    </row>
    <row r="2252" spans="1:8" x14ac:dyDescent="0.3">
      <c r="A2252" t="s">
        <v>375</v>
      </c>
      <c r="B2252">
        <f>IFERROR(INDEX(MASTER_REGISTER!C:C,MATCH(C2252,MASTER_REGISTER!E:E,0)),"")</f>
        <v>10</v>
      </c>
      <c r="C2252" t="s">
        <v>210</v>
      </c>
      <c r="D2252" t="str">
        <f>IFERROR(INDEX(MASTER_REGISTER!F:F,MATCH(C2252,MASTER_REGISTER!E:E,0)),"")</f>
        <v>Siyanda Mokoena</v>
      </c>
      <c r="E2252" t="s">
        <v>335</v>
      </c>
      <c r="H2252" t="s">
        <v>341</v>
      </c>
    </row>
    <row r="2253" spans="1:8" x14ac:dyDescent="0.3">
      <c r="A2253" t="s">
        <v>375</v>
      </c>
      <c r="B2253">
        <f>IFERROR(INDEX(MASTER_REGISTER!C:C,MATCH(C2253,MASTER_REGISTER!E:E,0)),"")</f>
        <v>10</v>
      </c>
      <c r="C2253" t="s">
        <v>214</v>
      </c>
      <c r="D2253" t="str">
        <f>IFERROR(INDEX(MASTER_REGISTER!F:F,MATCH(C2253,MASTER_REGISTER!E:E,0)),"")</f>
        <v>Mpho Ngobeni</v>
      </c>
      <c r="E2253" t="s">
        <v>337</v>
      </c>
      <c r="F2253" t="s">
        <v>338</v>
      </c>
      <c r="G2253" t="s">
        <v>339</v>
      </c>
    </row>
    <row r="2254" spans="1:8" x14ac:dyDescent="0.3">
      <c r="A2254" t="s">
        <v>375</v>
      </c>
      <c r="B2254">
        <f>IFERROR(INDEX(MASTER_REGISTER!C:C,MATCH(C2254,MASTER_REGISTER!E:E,0)),"")</f>
        <v>10</v>
      </c>
      <c r="C2254" t="s">
        <v>217</v>
      </c>
      <c r="D2254" t="str">
        <f>IFERROR(INDEX(MASTER_REGISTER!F:F,MATCH(C2254,MASTER_REGISTER!E:E,0)),"")</f>
        <v>Naledi Makhubela</v>
      </c>
      <c r="E2254" t="s">
        <v>337</v>
      </c>
      <c r="F2254" t="s">
        <v>338</v>
      </c>
      <c r="G2254" t="s">
        <v>339</v>
      </c>
    </row>
    <row r="2255" spans="1:8" x14ac:dyDescent="0.3">
      <c r="A2255" t="s">
        <v>375</v>
      </c>
      <c r="B2255">
        <f>IFERROR(INDEX(MASTER_REGISTER!C:C,MATCH(C2255,MASTER_REGISTER!E:E,0)),"")</f>
        <v>10</v>
      </c>
      <c r="C2255" t="s">
        <v>221</v>
      </c>
      <c r="D2255" t="str">
        <f>IFERROR(INDEX(MASTER_REGISTER!F:F,MATCH(C2255,MASTER_REGISTER!E:E,0)),"")</f>
        <v>Kgothatso Mokoena</v>
      </c>
      <c r="E2255" t="s">
        <v>337</v>
      </c>
      <c r="F2255" t="s">
        <v>338</v>
      </c>
      <c r="G2255" t="s">
        <v>339</v>
      </c>
    </row>
    <row r="2256" spans="1:8" x14ac:dyDescent="0.3">
      <c r="A2256" t="s">
        <v>375</v>
      </c>
      <c r="B2256">
        <f>IFERROR(INDEX(MASTER_REGISTER!C:C,MATCH(C2256,MASTER_REGISTER!E:E,0)),"")</f>
        <v>10</v>
      </c>
      <c r="C2256" t="s">
        <v>225</v>
      </c>
      <c r="D2256" t="str">
        <f>IFERROR(INDEX(MASTER_REGISTER!F:F,MATCH(C2256,MASTER_REGISTER!E:E,0)),"")</f>
        <v>Bongani Makhubela</v>
      </c>
      <c r="E2256" t="s">
        <v>335</v>
      </c>
      <c r="H2256" t="s">
        <v>340</v>
      </c>
    </row>
    <row r="2257" spans="1:8" x14ac:dyDescent="0.3">
      <c r="A2257" t="s">
        <v>375</v>
      </c>
      <c r="B2257">
        <f>IFERROR(INDEX(MASTER_REGISTER!C:C,MATCH(C2257,MASTER_REGISTER!E:E,0)),"")</f>
        <v>10</v>
      </c>
      <c r="C2257" t="s">
        <v>229</v>
      </c>
      <c r="D2257" t="str">
        <f>IFERROR(INDEX(MASTER_REGISTER!F:F,MATCH(C2257,MASTER_REGISTER!E:E,0)),"")</f>
        <v>Kagiso Kekana</v>
      </c>
      <c r="E2257" t="s">
        <v>337</v>
      </c>
      <c r="F2257" t="s">
        <v>338</v>
      </c>
      <c r="G2257" t="s">
        <v>339</v>
      </c>
    </row>
    <row r="2258" spans="1:8" x14ac:dyDescent="0.3">
      <c r="A2258" t="s">
        <v>375</v>
      </c>
      <c r="B2258">
        <f>IFERROR(INDEX(MASTER_REGISTER!C:C,MATCH(C2258,MASTER_REGISTER!E:E,0)),"")</f>
        <v>11</v>
      </c>
      <c r="C2258" t="s">
        <v>233</v>
      </c>
      <c r="D2258" t="str">
        <f>IFERROR(INDEX(MASTER_REGISTER!F:F,MATCH(C2258,MASTER_REGISTER!E:E,0)),"")</f>
        <v>Lwazi Makhubela</v>
      </c>
      <c r="E2258" t="s">
        <v>337</v>
      </c>
      <c r="F2258" t="s">
        <v>338</v>
      </c>
      <c r="G2258" t="s">
        <v>339</v>
      </c>
    </row>
    <row r="2259" spans="1:8" x14ac:dyDescent="0.3">
      <c r="A2259" t="s">
        <v>375</v>
      </c>
      <c r="B2259">
        <f>IFERROR(INDEX(MASTER_REGISTER!C:C,MATCH(C2259,MASTER_REGISTER!E:E,0)),"")</f>
        <v>11</v>
      </c>
      <c r="C2259" t="s">
        <v>237</v>
      </c>
      <c r="D2259" t="str">
        <f>IFERROR(INDEX(MASTER_REGISTER!F:F,MATCH(C2259,MASTER_REGISTER!E:E,0)),"")</f>
        <v>Lebogang Ramushu</v>
      </c>
      <c r="E2259" t="s">
        <v>337</v>
      </c>
      <c r="F2259" t="s">
        <v>338</v>
      </c>
      <c r="G2259" t="s">
        <v>339</v>
      </c>
    </row>
    <row r="2260" spans="1:8" x14ac:dyDescent="0.3">
      <c r="A2260" t="s">
        <v>375</v>
      </c>
      <c r="B2260">
        <f>IFERROR(INDEX(MASTER_REGISTER!C:C,MATCH(C2260,MASTER_REGISTER!E:E,0)),"")</f>
        <v>11</v>
      </c>
      <c r="C2260" t="s">
        <v>241</v>
      </c>
      <c r="D2260" t="str">
        <f>IFERROR(INDEX(MASTER_REGISTER!F:F,MATCH(C2260,MASTER_REGISTER!E:E,0)),"")</f>
        <v>Lerato Kekana</v>
      </c>
      <c r="E2260" t="s">
        <v>337</v>
      </c>
      <c r="F2260" t="s">
        <v>338</v>
      </c>
      <c r="G2260" t="s">
        <v>339</v>
      </c>
    </row>
    <row r="2261" spans="1:8" x14ac:dyDescent="0.3">
      <c r="A2261" t="s">
        <v>375</v>
      </c>
      <c r="B2261">
        <f>IFERROR(INDEX(MASTER_REGISTER!C:C,MATCH(C2261,MASTER_REGISTER!E:E,0)),"")</f>
        <v>11</v>
      </c>
      <c r="C2261" t="s">
        <v>244</v>
      </c>
      <c r="D2261" t="str">
        <f>IFERROR(INDEX(MASTER_REGISTER!F:F,MATCH(C2261,MASTER_REGISTER!E:E,0)),"")</f>
        <v>Bongani Ndlovu</v>
      </c>
      <c r="E2261" t="s">
        <v>337</v>
      </c>
      <c r="F2261" t="s">
        <v>338</v>
      </c>
      <c r="G2261" t="s">
        <v>339</v>
      </c>
    </row>
    <row r="2262" spans="1:8" x14ac:dyDescent="0.3">
      <c r="A2262" t="s">
        <v>375</v>
      </c>
      <c r="B2262">
        <f>IFERROR(INDEX(MASTER_REGISTER!C:C,MATCH(C2262,MASTER_REGISTER!E:E,0)),"")</f>
        <v>11</v>
      </c>
      <c r="C2262" t="s">
        <v>248</v>
      </c>
      <c r="D2262" t="str">
        <f>IFERROR(INDEX(MASTER_REGISTER!F:F,MATCH(C2262,MASTER_REGISTER!E:E,0)),"")</f>
        <v>Sifiso Dlamini</v>
      </c>
      <c r="E2262" t="s">
        <v>337</v>
      </c>
      <c r="F2262" t="s">
        <v>338</v>
      </c>
      <c r="G2262" t="s">
        <v>339</v>
      </c>
    </row>
    <row r="2263" spans="1:8" x14ac:dyDescent="0.3">
      <c r="A2263" t="s">
        <v>375</v>
      </c>
      <c r="B2263">
        <f>IFERROR(INDEX(MASTER_REGISTER!C:C,MATCH(C2263,MASTER_REGISTER!E:E,0)),"")</f>
        <v>11</v>
      </c>
      <c r="C2263" t="s">
        <v>252</v>
      </c>
      <c r="D2263" t="str">
        <f>IFERROR(INDEX(MASTER_REGISTER!F:F,MATCH(C2263,MASTER_REGISTER!E:E,0)),"")</f>
        <v>Refilwe Dlamini</v>
      </c>
      <c r="E2263" t="s">
        <v>337</v>
      </c>
      <c r="F2263" t="s">
        <v>338</v>
      </c>
      <c r="G2263" t="s">
        <v>339</v>
      </c>
    </row>
    <row r="2264" spans="1:8" x14ac:dyDescent="0.3">
      <c r="A2264" t="s">
        <v>375</v>
      </c>
      <c r="B2264">
        <f>IFERROR(INDEX(MASTER_REGISTER!C:C,MATCH(C2264,MASTER_REGISTER!E:E,0)),"")</f>
        <v>11</v>
      </c>
      <c r="C2264" t="s">
        <v>256</v>
      </c>
      <c r="D2264" t="str">
        <f>IFERROR(INDEX(MASTER_REGISTER!F:F,MATCH(C2264,MASTER_REGISTER!E:E,0)),"")</f>
        <v>Lwazi Maseko</v>
      </c>
      <c r="E2264" t="s">
        <v>337</v>
      </c>
      <c r="F2264" t="s">
        <v>338</v>
      </c>
      <c r="G2264" t="s">
        <v>339</v>
      </c>
    </row>
    <row r="2265" spans="1:8" x14ac:dyDescent="0.3">
      <c r="A2265" t="s">
        <v>375</v>
      </c>
      <c r="B2265">
        <f>IFERROR(INDEX(MASTER_REGISTER!C:C,MATCH(C2265,MASTER_REGISTER!E:E,0)),"")</f>
        <v>11</v>
      </c>
      <c r="C2265" t="s">
        <v>260</v>
      </c>
      <c r="D2265" t="str">
        <f>IFERROR(INDEX(MASTER_REGISTER!F:F,MATCH(C2265,MASTER_REGISTER!E:E,0)),"")</f>
        <v>Refilwe Mokgadi</v>
      </c>
      <c r="E2265" t="s">
        <v>337</v>
      </c>
      <c r="F2265" t="s">
        <v>338</v>
      </c>
      <c r="G2265" t="s">
        <v>339</v>
      </c>
    </row>
    <row r="2266" spans="1:8" x14ac:dyDescent="0.3">
      <c r="A2266" t="s">
        <v>375</v>
      </c>
      <c r="B2266">
        <f>IFERROR(INDEX(MASTER_REGISTER!C:C,MATCH(C2266,MASTER_REGISTER!E:E,0)),"")</f>
        <v>11</v>
      </c>
      <c r="C2266" t="s">
        <v>264</v>
      </c>
      <c r="D2266" t="str">
        <f>IFERROR(INDEX(MASTER_REGISTER!F:F,MATCH(C2266,MASTER_REGISTER!E:E,0)),"")</f>
        <v>Kgothatso Molefe</v>
      </c>
      <c r="E2266" t="s">
        <v>337</v>
      </c>
      <c r="F2266" t="s">
        <v>338</v>
      </c>
      <c r="G2266" t="s">
        <v>339</v>
      </c>
    </row>
    <row r="2267" spans="1:8" x14ac:dyDescent="0.3">
      <c r="A2267" t="s">
        <v>375</v>
      </c>
      <c r="B2267">
        <f>IFERROR(INDEX(MASTER_REGISTER!C:C,MATCH(C2267,MASTER_REGISTER!E:E,0)),"")</f>
        <v>11</v>
      </c>
      <c r="C2267" t="s">
        <v>268</v>
      </c>
      <c r="D2267" t="str">
        <f>IFERROR(INDEX(MASTER_REGISTER!F:F,MATCH(C2267,MASTER_REGISTER!E:E,0)),"")</f>
        <v>Tshepo Mokgadi</v>
      </c>
      <c r="E2267" t="s">
        <v>335</v>
      </c>
      <c r="H2267" t="s">
        <v>336</v>
      </c>
    </row>
    <row r="2268" spans="1:8" x14ac:dyDescent="0.3">
      <c r="A2268" t="s">
        <v>375</v>
      </c>
      <c r="B2268">
        <f>IFERROR(INDEX(MASTER_REGISTER!C:C,MATCH(C2268,MASTER_REGISTER!E:E,0)),"")</f>
        <v>11</v>
      </c>
      <c r="C2268" t="s">
        <v>272</v>
      </c>
      <c r="D2268" t="str">
        <f>IFERROR(INDEX(MASTER_REGISTER!F:F,MATCH(C2268,MASTER_REGISTER!E:E,0)),"")</f>
        <v>Tshepo Phiri</v>
      </c>
      <c r="E2268" t="s">
        <v>337</v>
      </c>
      <c r="F2268" t="s">
        <v>338</v>
      </c>
      <c r="G2268" t="s">
        <v>339</v>
      </c>
    </row>
    <row r="2269" spans="1:8" x14ac:dyDescent="0.3">
      <c r="A2269" t="s">
        <v>375</v>
      </c>
      <c r="B2269">
        <f>IFERROR(INDEX(MASTER_REGISTER!C:C,MATCH(C2269,MASTER_REGISTER!E:E,0)),"")</f>
        <v>11</v>
      </c>
      <c r="C2269" t="s">
        <v>276</v>
      </c>
      <c r="D2269" t="str">
        <f>IFERROR(INDEX(MASTER_REGISTER!F:F,MATCH(C2269,MASTER_REGISTER!E:E,0)),"")</f>
        <v>Zanele Ngobeni</v>
      </c>
      <c r="E2269" t="s">
        <v>335</v>
      </c>
      <c r="H2269" t="s">
        <v>336</v>
      </c>
    </row>
    <row r="2270" spans="1:8" x14ac:dyDescent="0.3">
      <c r="A2270" t="s">
        <v>375</v>
      </c>
      <c r="B2270">
        <f>IFERROR(INDEX(MASTER_REGISTER!C:C,MATCH(C2270,MASTER_REGISTER!E:E,0)),"")</f>
        <v>12</v>
      </c>
      <c r="C2270" t="s">
        <v>280</v>
      </c>
      <c r="D2270" t="str">
        <f>IFERROR(INDEX(MASTER_REGISTER!F:F,MATCH(C2270,MASTER_REGISTER!E:E,0)),"")</f>
        <v>Palesa Mokoena</v>
      </c>
      <c r="E2270" t="s">
        <v>337</v>
      </c>
      <c r="F2270" t="s">
        <v>338</v>
      </c>
      <c r="G2270" t="s">
        <v>339</v>
      </c>
    </row>
    <row r="2271" spans="1:8" x14ac:dyDescent="0.3">
      <c r="A2271" t="s">
        <v>375</v>
      </c>
      <c r="B2271">
        <f>IFERROR(INDEX(MASTER_REGISTER!C:C,MATCH(C2271,MASTER_REGISTER!E:E,0)),"")</f>
        <v>12</v>
      </c>
      <c r="C2271" t="s">
        <v>284</v>
      </c>
      <c r="D2271" t="str">
        <f>IFERROR(INDEX(MASTER_REGISTER!F:F,MATCH(C2271,MASTER_REGISTER!E:E,0)),"")</f>
        <v>Thabo Ramushu</v>
      </c>
      <c r="E2271" t="s">
        <v>335</v>
      </c>
      <c r="H2271" t="s">
        <v>341</v>
      </c>
    </row>
    <row r="2272" spans="1:8" x14ac:dyDescent="0.3">
      <c r="A2272" t="s">
        <v>375</v>
      </c>
      <c r="B2272">
        <f>IFERROR(INDEX(MASTER_REGISTER!C:C,MATCH(C2272,MASTER_REGISTER!E:E,0)),"")</f>
        <v>12</v>
      </c>
      <c r="C2272" t="s">
        <v>288</v>
      </c>
      <c r="D2272" t="str">
        <f>IFERROR(INDEX(MASTER_REGISTER!F:F,MATCH(C2272,MASTER_REGISTER!E:E,0)),"")</f>
        <v>Lwazi Ndlovu</v>
      </c>
      <c r="E2272" t="s">
        <v>337</v>
      </c>
      <c r="F2272" t="s">
        <v>338</v>
      </c>
      <c r="G2272" t="s">
        <v>339</v>
      </c>
    </row>
    <row r="2273" spans="1:7" x14ac:dyDescent="0.3">
      <c r="A2273" t="s">
        <v>375</v>
      </c>
      <c r="B2273">
        <f>IFERROR(INDEX(MASTER_REGISTER!C:C,MATCH(C2273,MASTER_REGISTER!E:E,0)),"")</f>
        <v>12</v>
      </c>
      <c r="C2273" t="s">
        <v>292</v>
      </c>
      <c r="D2273" t="str">
        <f>IFERROR(INDEX(MASTER_REGISTER!F:F,MATCH(C2273,MASTER_REGISTER!E:E,0)),"")</f>
        <v>Ayanda Dlamini</v>
      </c>
      <c r="E2273" t="s">
        <v>337</v>
      </c>
      <c r="F2273" t="s">
        <v>338</v>
      </c>
      <c r="G2273" t="s">
        <v>339</v>
      </c>
    </row>
    <row r="2274" spans="1:7" x14ac:dyDescent="0.3">
      <c r="A2274" t="s">
        <v>375</v>
      </c>
      <c r="B2274">
        <f>IFERROR(INDEX(MASTER_REGISTER!C:C,MATCH(C2274,MASTER_REGISTER!E:E,0)),"")</f>
        <v>12</v>
      </c>
      <c r="C2274" t="s">
        <v>296</v>
      </c>
      <c r="D2274" t="str">
        <f>IFERROR(INDEX(MASTER_REGISTER!F:F,MATCH(C2274,MASTER_REGISTER!E:E,0)),"")</f>
        <v>Neo Ndlovu</v>
      </c>
      <c r="E2274" t="s">
        <v>337</v>
      </c>
      <c r="F2274" t="s">
        <v>338</v>
      </c>
      <c r="G2274" t="s">
        <v>339</v>
      </c>
    </row>
    <row r="2275" spans="1:7" x14ac:dyDescent="0.3">
      <c r="A2275" t="s">
        <v>375</v>
      </c>
      <c r="B2275">
        <f>IFERROR(INDEX(MASTER_REGISTER!C:C,MATCH(C2275,MASTER_REGISTER!E:E,0)),"")</f>
        <v>12</v>
      </c>
      <c r="C2275" t="s">
        <v>300</v>
      </c>
      <c r="D2275" t="str">
        <f>IFERROR(INDEX(MASTER_REGISTER!F:F,MATCH(C2275,MASTER_REGISTER!E:E,0)),"")</f>
        <v>Neo Ramushu</v>
      </c>
      <c r="E2275" t="s">
        <v>337</v>
      </c>
      <c r="F2275" t="s">
        <v>338</v>
      </c>
      <c r="G2275" t="s">
        <v>339</v>
      </c>
    </row>
    <row r="2276" spans="1:7" x14ac:dyDescent="0.3">
      <c r="A2276" t="s">
        <v>375</v>
      </c>
      <c r="B2276">
        <f>IFERROR(INDEX(MASTER_REGISTER!C:C,MATCH(C2276,MASTER_REGISTER!E:E,0)),"")</f>
        <v>12</v>
      </c>
      <c r="C2276" t="s">
        <v>304</v>
      </c>
      <c r="D2276" t="str">
        <f>IFERROR(INDEX(MASTER_REGISTER!F:F,MATCH(C2276,MASTER_REGISTER!E:E,0)),"")</f>
        <v>Karabo Baloyi</v>
      </c>
      <c r="E2276" t="s">
        <v>337</v>
      </c>
      <c r="F2276" t="s">
        <v>338</v>
      </c>
      <c r="G2276" t="s">
        <v>339</v>
      </c>
    </row>
    <row r="2277" spans="1:7" x14ac:dyDescent="0.3">
      <c r="A2277" t="s">
        <v>375</v>
      </c>
      <c r="B2277">
        <f>IFERROR(INDEX(MASTER_REGISTER!C:C,MATCH(C2277,MASTER_REGISTER!E:E,0)),"")</f>
        <v>12</v>
      </c>
      <c r="C2277" t="s">
        <v>308</v>
      </c>
      <c r="D2277" t="str">
        <f>IFERROR(INDEX(MASTER_REGISTER!F:F,MATCH(C2277,MASTER_REGISTER!E:E,0)),"")</f>
        <v>Tshepo Mokgadi</v>
      </c>
      <c r="E2277" t="s">
        <v>337</v>
      </c>
      <c r="F2277" t="s">
        <v>338</v>
      </c>
      <c r="G2277" t="s">
        <v>339</v>
      </c>
    </row>
    <row r="2278" spans="1:7" x14ac:dyDescent="0.3">
      <c r="A2278" t="s">
        <v>375</v>
      </c>
      <c r="B2278">
        <f>IFERROR(INDEX(MASTER_REGISTER!C:C,MATCH(C2278,MASTER_REGISTER!E:E,0)),"")</f>
        <v>12</v>
      </c>
      <c r="C2278" t="s">
        <v>311</v>
      </c>
      <c r="D2278" t="str">
        <f>IFERROR(INDEX(MASTER_REGISTER!F:F,MATCH(C2278,MASTER_REGISTER!E:E,0)),"")</f>
        <v>Sifiso Mavuso</v>
      </c>
      <c r="E2278" t="s">
        <v>337</v>
      </c>
      <c r="F2278" t="s">
        <v>338</v>
      </c>
      <c r="G2278" t="s">
        <v>339</v>
      </c>
    </row>
    <row r="2279" spans="1:7" x14ac:dyDescent="0.3">
      <c r="A2279" t="s">
        <v>375</v>
      </c>
      <c r="B2279">
        <f>IFERROR(INDEX(MASTER_REGISTER!C:C,MATCH(C2279,MASTER_REGISTER!E:E,0)),"")</f>
        <v>12</v>
      </c>
      <c r="C2279" t="s">
        <v>315</v>
      </c>
      <c r="D2279" t="str">
        <f>IFERROR(INDEX(MASTER_REGISTER!F:F,MATCH(C2279,MASTER_REGISTER!E:E,0)),"")</f>
        <v>Refilwe Sithole</v>
      </c>
      <c r="E2279" t="s">
        <v>337</v>
      </c>
      <c r="F2279" t="s">
        <v>338</v>
      </c>
      <c r="G2279" t="s">
        <v>339</v>
      </c>
    </row>
    <row r="2280" spans="1:7" x14ac:dyDescent="0.3">
      <c r="A2280" t="s">
        <v>375</v>
      </c>
      <c r="B2280">
        <f>IFERROR(INDEX(MASTER_REGISTER!C:C,MATCH(C2280,MASTER_REGISTER!E:E,0)),"")</f>
        <v>12</v>
      </c>
      <c r="C2280" t="s">
        <v>319</v>
      </c>
      <c r="D2280" t="str">
        <f>IFERROR(INDEX(MASTER_REGISTER!F:F,MATCH(C2280,MASTER_REGISTER!E:E,0)),"")</f>
        <v>Lerato Sithole</v>
      </c>
      <c r="E2280" t="s">
        <v>337</v>
      </c>
      <c r="F2280" t="s">
        <v>338</v>
      </c>
      <c r="G2280" t="s">
        <v>339</v>
      </c>
    </row>
    <row r="2281" spans="1:7" x14ac:dyDescent="0.3">
      <c r="A2281" t="s">
        <v>375</v>
      </c>
      <c r="B2281">
        <f>IFERROR(INDEX(MASTER_REGISTER!C:C,MATCH(C2281,MASTER_REGISTER!E:E,0)),"")</f>
        <v>12</v>
      </c>
      <c r="C2281" t="s">
        <v>323</v>
      </c>
      <c r="D2281" t="str">
        <f>IFERROR(INDEX(MASTER_REGISTER!F:F,MATCH(C2281,MASTER_REGISTER!E:E,0)),"")</f>
        <v>Sibusiso Ngobeni</v>
      </c>
      <c r="E2281" t="s">
        <v>337</v>
      </c>
      <c r="F2281" t="s">
        <v>338</v>
      </c>
      <c r="G2281" t="s">
        <v>339</v>
      </c>
    </row>
    <row r="2282" spans="1:7" x14ac:dyDescent="0.3">
      <c r="A2282" t="s">
        <v>376</v>
      </c>
      <c r="B2282">
        <f>IFERROR(INDEX(MASTER_REGISTER!C:C,MATCH(C2282,MASTER_REGISTER!E:E,0)),"")</f>
        <v>8</v>
      </c>
      <c r="C2282" t="s">
        <v>50</v>
      </c>
      <c r="D2282" t="str">
        <f>IFERROR(INDEX(MASTER_REGISTER!F:F,MATCH(C2282,MASTER_REGISTER!E:E,0)),"")</f>
        <v>Lerato Nkosi</v>
      </c>
      <c r="E2282" t="s">
        <v>337</v>
      </c>
      <c r="F2282" t="s">
        <v>338</v>
      </c>
      <c r="G2282" t="s">
        <v>339</v>
      </c>
    </row>
    <row r="2283" spans="1:7" x14ac:dyDescent="0.3">
      <c r="A2283" t="s">
        <v>376</v>
      </c>
      <c r="B2283">
        <f>IFERROR(INDEX(MASTER_REGISTER!C:C,MATCH(C2283,MASTER_REGISTER!E:E,0)),"")</f>
        <v>8</v>
      </c>
      <c r="C2283" t="s">
        <v>58</v>
      </c>
      <c r="D2283" t="str">
        <f>IFERROR(INDEX(MASTER_REGISTER!F:F,MATCH(C2283,MASTER_REGISTER!E:E,0)),"")</f>
        <v>Karabo Maseko</v>
      </c>
      <c r="E2283" t="s">
        <v>337</v>
      </c>
      <c r="F2283" t="s">
        <v>338</v>
      </c>
      <c r="G2283" t="s">
        <v>339</v>
      </c>
    </row>
    <row r="2284" spans="1:7" x14ac:dyDescent="0.3">
      <c r="A2284" t="s">
        <v>376</v>
      </c>
      <c r="B2284">
        <f>IFERROR(INDEX(MASTER_REGISTER!C:C,MATCH(C2284,MASTER_REGISTER!E:E,0)),"")</f>
        <v>8</v>
      </c>
      <c r="C2284" t="s">
        <v>64</v>
      </c>
      <c r="D2284" t="str">
        <f>IFERROR(INDEX(MASTER_REGISTER!F:F,MATCH(C2284,MASTER_REGISTER!E:E,0)),"")</f>
        <v>Sifiso Sithole</v>
      </c>
      <c r="E2284" t="s">
        <v>337</v>
      </c>
      <c r="F2284" t="s">
        <v>338</v>
      </c>
      <c r="G2284" t="s">
        <v>339</v>
      </c>
    </row>
    <row r="2285" spans="1:7" x14ac:dyDescent="0.3">
      <c r="A2285" t="s">
        <v>376</v>
      </c>
      <c r="B2285">
        <f>IFERROR(INDEX(MASTER_REGISTER!C:C,MATCH(C2285,MASTER_REGISTER!E:E,0)),"")</f>
        <v>8</v>
      </c>
      <c r="C2285" t="s">
        <v>70</v>
      </c>
      <c r="D2285" t="str">
        <f>IFERROR(INDEX(MASTER_REGISTER!F:F,MATCH(C2285,MASTER_REGISTER!E:E,0)),"")</f>
        <v>Tshepo Ndlovu</v>
      </c>
      <c r="E2285" t="s">
        <v>337</v>
      </c>
      <c r="F2285" t="s">
        <v>338</v>
      </c>
      <c r="G2285" t="s">
        <v>339</v>
      </c>
    </row>
    <row r="2286" spans="1:7" x14ac:dyDescent="0.3">
      <c r="A2286" t="s">
        <v>376</v>
      </c>
      <c r="B2286">
        <f>IFERROR(INDEX(MASTER_REGISTER!C:C,MATCH(C2286,MASTER_REGISTER!E:E,0)),"")</f>
        <v>8</v>
      </c>
      <c r="C2286" t="s">
        <v>76</v>
      </c>
      <c r="D2286" t="str">
        <f>IFERROR(INDEX(MASTER_REGISTER!F:F,MATCH(C2286,MASTER_REGISTER!E:E,0)),"")</f>
        <v>Lwazi Mthembu</v>
      </c>
      <c r="E2286" t="s">
        <v>337</v>
      </c>
      <c r="F2286" t="s">
        <v>338</v>
      </c>
      <c r="G2286" t="s">
        <v>339</v>
      </c>
    </row>
    <row r="2287" spans="1:7" x14ac:dyDescent="0.3">
      <c r="A2287" t="s">
        <v>376</v>
      </c>
      <c r="B2287">
        <f>IFERROR(INDEX(MASTER_REGISTER!C:C,MATCH(C2287,MASTER_REGISTER!E:E,0)),"")</f>
        <v>8</v>
      </c>
      <c r="C2287" t="s">
        <v>82</v>
      </c>
      <c r="D2287" t="str">
        <f>IFERROR(INDEX(MASTER_REGISTER!F:F,MATCH(C2287,MASTER_REGISTER!E:E,0)),"")</f>
        <v>Karabo Ngobeni</v>
      </c>
      <c r="E2287" t="s">
        <v>337</v>
      </c>
      <c r="F2287" t="s">
        <v>338</v>
      </c>
      <c r="G2287" t="s">
        <v>339</v>
      </c>
    </row>
    <row r="2288" spans="1:7" x14ac:dyDescent="0.3">
      <c r="A2288" t="s">
        <v>376</v>
      </c>
      <c r="B2288">
        <f>IFERROR(INDEX(MASTER_REGISTER!C:C,MATCH(C2288,MASTER_REGISTER!E:E,0)),"")</f>
        <v>8</v>
      </c>
      <c r="C2288" t="s">
        <v>88</v>
      </c>
      <c r="D2288" t="str">
        <f>IFERROR(INDEX(MASTER_REGISTER!F:F,MATCH(C2288,MASTER_REGISTER!E:E,0)),"")</f>
        <v>Mpho Sithole</v>
      </c>
      <c r="E2288" t="s">
        <v>337</v>
      </c>
      <c r="F2288" t="s">
        <v>338</v>
      </c>
      <c r="G2288" t="s">
        <v>339</v>
      </c>
    </row>
    <row r="2289" spans="1:8" x14ac:dyDescent="0.3">
      <c r="A2289" t="s">
        <v>376</v>
      </c>
      <c r="B2289">
        <f>IFERROR(INDEX(MASTER_REGISTER!C:C,MATCH(C2289,MASTER_REGISTER!E:E,0)),"")</f>
        <v>8</v>
      </c>
      <c r="C2289" t="s">
        <v>94</v>
      </c>
      <c r="D2289" t="str">
        <f>IFERROR(INDEX(MASTER_REGISTER!F:F,MATCH(C2289,MASTER_REGISTER!E:E,0)),"")</f>
        <v>Tshepo Ramushu</v>
      </c>
      <c r="E2289" t="s">
        <v>337</v>
      </c>
      <c r="F2289" t="s">
        <v>338</v>
      </c>
      <c r="G2289" t="s">
        <v>339</v>
      </c>
    </row>
    <row r="2290" spans="1:8" x14ac:dyDescent="0.3">
      <c r="A2290" t="s">
        <v>376</v>
      </c>
      <c r="B2290">
        <f>IFERROR(INDEX(MASTER_REGISTER!C:C,MATCH(C2290,MASTER_REGISTER!E:E,0)),"")</f>
        <v>8</v>
      </c>
      <c r="C2290" t="s">
        <v>100</v>
      </c>
      <c r="D2290" t="str">
        <f>IFERROR(INDEX(MASTER_REGISTER!F:F,MATCH(C2290,MASTER_REGISTER!E:E,0)),"")</f>
        <v>Lerato Kekana</v>
      </c>
      <c r="E2290" t="s">
        <v>337</v>
      </c>
      <c r="F2290" t="s">
        <v>338</v>
      </c>
      <c r="G2290" t="s">
        <v>339</v>
      </c>
    </row>
    <row r="2291" spans="1:8" x14ac:dyDescent="0.3">
      <c r="A2291" t="s">
        <v>376</v>
      </c>
      <c r="B2291">
        <f>IFERROR(INDEX(MASTER_REGISTER!C:C,MATCH(C2291,MASTER_REGISTER!E:E,0)),"")</f>
        <v>8</v>
      </c>
      <c r="C2291" t="s">
        <v>106</v>
      </c>
      <c r="D2291" t="str">
        <f>IFERROR(INDEX(MASTER_REGISTER!F:F,MATCH(C2291,MASTER_REGISTER!E:E,0)),"")</f>
        <v>Neo Ngobeni</v>
      </c>
      <c r="E2291" t="s">
        <v>337</v>
      </c>
      <c r="F2291" t="s">
        <v>338</v>
      </c>
      <c r="G2291" t="s">
        <v>339</v>
      </c>
    </row>
    <row r="2292" spans="1:8" x14ac:dyDescent="0.3">
      <c r="A2292" t="s">
        <v>376</v>
      </c>
      <c r="B2292">
        <f>IFERROR(INDEX(MASTER_REGISTER!C:C,MATCH(C2292,MASTER_REGISTER!E:E,0)),"")</f>
        <v>8</v>
      </c>
      <c r="C2292" t="s">
        <v>112</v>
      </c>
      <c r="D2292" t="str">
        <f>IFERROR(INDEX(MASTER_REGISTER!F:F,MATCH(C2292,MASTER_REGISTER!E:E,0)),"")</f>
        <v>Thabo Mokgadi</v>
      </c>
      <c r="E2292" t="s">
        <v>337</v>
      </c>
      <c r="F2292" t="s">
        <v>338</v>
      </c>
      <c r="G2292" t="s">
        <v>339</v>
      </c>
    </row>
    <row r="2293" spans="1:8" x14ac:dyDescent="0.3">
      <c r="A2293" t="s">
        <v>376</v>
      </c>
      <c r="B2293">
        <f>IFERROR(INDEX(MASTER_REGISTER!C:C,MATCH(C2293,MASTER_REGISTER!E:E,0)),"")</f>
        <v>8</v>
      </c>
      <c r="C2293" t="s">
        <v>118</v>
      </c>
      <c r="D2293" t="str">
        <f>IFERROR(INDEX(MASTER_REGISTER!F:F,MATCH(C2293,MASTER_REGISTER!E:E,0)),"")</f>
        <v>Sifiso Mthembu</v>
      </c>
      <c r="E2293" t="s">
        <v>337</v>
      </c>
      <c r="F2293" t="s">
        <v>338</v>
      </c>
      <c r="G2293" t="s">
        <v>339</v>
      </c>
    </row>
    <row r="2294" spans="1:8" x14ac:dyDescent="0.3">
      <c r="A2294" t="s">
        <v>376</v>
      </c>
      <c r="B2294">
        <f>IFERROR(INDEX(MASTER_REGISTER!C:C,MATCH(C2294,MASTER_REGISTER!E:E,0)),"")</f>
        <v>9</v>
      </c>
      <c r="C2294" t="s">
        <v>123</v>
      </c>
      <c r="D2294" t="str">
        <f>IFERROR(INDEX(MASTER_REGISTER!F:F,MATCH(C2294,MASTER_REGISTER!E:E,0)),"")</f>
        <v>Karabo Phiri</v>
      </c>
      <c r="E2294" t="s">
        <v>337</v>
      </c>
      <c r="F2294" t="s">
        <v>338</v>
      </c>
      <c r="G2294" t="s">
        <v>339</v>
      </c>
    </row>
    <row r="2295" spans="1:8" x14ac:dyDescent="0.3">
      <c r="A2295" t="s">
        <v>376</v>
      </c>
      <c r="B2295">
        <f>IFERROR(INDEX(MASTER_REGISTER!C:C,MATCH(C2295,MASTER_REGISTER!E:E,0)),"")</f>
        <v>9</v>
      </c>
      <c r="C2295" t="s">
        <v>128</v>
      </c>
      <c r="D2295" t="str">
        <f>IFERROR(INDEX(MASTER_REGISTER!F:F,MATCH(C2295,MASTER_REGISTER!E:E,0)),"")</f>
        <v>Lerato Mahlangu</v>
      </c>
      <c r="E2295" t="s">
        <v>337</v>
      </c>
      <c r="F2295" t="s">
        <v>338</v>
      </c>
      <c r="G2295" t="s">
        <v>339</v>
      </c>
    </row>
    <row r="2296" spans="1:8" x14ac:dyDescent="0.3">
      <c r="A2296" t="s">
        <v>376</v>
      </c>
      <c r="B2296">
        <f>IFERROR(INDEX(MASTER_REGISTER!C:C,MATCH(C2296,MASTER_REGISTER!E:E,0)),"")</f>
        <v>9</v>
      </c>
      <c r="C2296" t="s">
        <v>133</v>
      </c>
      <c r="D2296" t="str">
        <f>IFERROR(INDEX(MASTER_REGISTER!F:F,MATCH(C2296,MASTER_REGISTER!E:E,0)),"")</f>
        <v>Mpho Kekana</v>
      </c>
      <c r="E2296" t="s">
        <v>337</v>
      </c>
      <c r="F2296" t="s">
        <v>338</v>
      </c>
      <c r="G2296" t="s">
        <v>339</v>
      </c>
    </row>
    <row r="2297" spans="1:8" x14ac:dyDescent="0.3">
      <c r="A2297" t="s">
        <v>376</v>
      </c>
      <c r="B2297">
        <f>IFERROR(INDEX(MASTER_REGISTER!C:C,MATCH(C2297,MASTER_REGISTER!E:E,0)),"")</f>
        <v>9</v>
      </c>
      <c r="C2297" t="s">
        <v>138</v>
      </c>
      <c r="D2297" t="str">
        <f>IFERROR(INDEX(MASTER_REGISTER!F:F,MATCH(C2297,MASTER_REGISTER!E:E,0)),"")</f>
        <v>Thabo Molefe</v>
      </c>
      <c r="E2297" t="s">
        <v>337</v>
      </c>
      <c r="F2297" t="s">
        <v>338</v>
      </c>
      <c r="G2297" t="s">
        <v>339</v>
      </c>
    </row>
    <row r="2298" spans="1:8" x14ac:dyDescent="0.3">
      <c r="A2298" t="s">
        <v>376</v>
      </c>
      <c r="B2298">
        <f>IFERROR(INDEX(MASTER_REGISTER!C:C,MATCH(C2298,MASTER_REGISTER!E:E,0)),"")</f>
        <v>9</v>
      </c>
      <c r="C2298" t="s">
        <v>143</v>
      </c>
      <c r="D2298" t="str">
        <f>IFERROR(INDEX(MASTER_REGISTER!F:F,MATCH(C2298,MASTER_REGISTER!E:E,0)),"")</f>
        <v>Mpho Ngobeni</v>
      </c>
      <c r="E2298" t="s">
        <v>337</v>
      </c>
      <c r="F2298" t="s">
        <v>338</v>
      </c>
      <c r="G2298" t="s">
        <v>339</v>
      </c>
    </row>
    <row r="2299" spans="1:8" x14ac:dyDescent="0.3">
      <c r="A2299" t="s">
        <v>376</v>
      </c>
      <c r="B2299">
        <f>IFERROR(INDEX(MASTER_REGISTER!C:C,MATCH(C2299,MASTER_REGISTER!E:E,0)),"")</f>
        <v>9</v>
      </c>
      <c r="C2299" t="s">
        <v>148</v>
      </c>
      <c r="D2299" t="str">
        <f>IFERROR(INDEX(MASTER_REGISTER!F:F,MATCH(C2299,MASTER_REGISTER!E:E,0)),"")</f>
        <v>Siyanda Mhlongo</v>
      </c>
      <c r="E2299" t="s">
        <v>337</v>
      </c>
      <c r="F2299" t="s">
        <v>338</v>
      </c>
      <c r="G2299" t="s">
        <v>339</v>
      </c>
    </row>
    <row r="2300" spans="1:8" x14ac:dyDescent="0.3">
      <c r="A2300" t="s">
        <v>376</v>
      </c>
      <c r="B2300">
        <f>IFERROR(INDEX(MASTER_REGISTER!C:C,MATCH(C2300,MASTER_REGISTER!E:E,0)),"")</f>
        <v>9</v>
      </c>
      <c r="C2300" t="s">
        <v>153</v>
      </c>
      <c r="D2300" t="str">
        <f>IFERROR(INDEX(MASTER_REGISTER!F:F,MATCH(C2300,MASTER_REGISTER!E:E,0)),"")</f>
        <v>Siyanda Mahlangu</v>
      </c>
      <c r="E2300" t="s">
        <v>335</v>
      </c>
      <c r="H2300" t="s">
        <v>341</v>
      </c>
    </row>
    <row r="2301" spans="1:8" x14ac:dyDescent="0.3">
      <c r="A2301" t="s">
        <v>376</v>
      </c>
      <c r="B2301">
        <f>IFERROR(INDEX(MASTER_REGISTER!C:C,MATCH(C2301,MASTER_REGISTER!E:E,0)),"")</f>
        <v>9</v>
      </c>
      <c r="C2301" t="s">
        <v>158</v>
      </c>
      <c r="D2301" t="str">
        <f>IFERROR(INDEX(MASTER_REGISTER!F:F,MATCH(C2301,MASTER_REGISTER!E:E,0)),"")</f>
        <v>Sifiso Ramushu</v>
      </c>
      <c r="E2301" t="s">
        <v>335</v>
      </c>
      <c r="H2301" t="s">
        <v>340</v>
      </c>
    </row>
    <row r="2302" spans="1:8" x14ac:dyDescent="0.3">
      <c r="A2302" t="s">
        <v>376</v>
      </c>
      <c r="B2302">
        <f>IFERROR(INDEX(MASTER_REGISTER!C:C,MATCH(C2302,MASTER_REGISTER!E:E,0)),"")</f>
        <v>9</v>
      </c>
      <c r="C2302" t="s">
        <v>163</v>
      </c>
      <c r="D2302" t="str">
        <f>IFERROR(INDEX(MASTER_REGISTER!F:F,MATCH(C2302,MASTER_REGISTER!E:E,0)),"")</f>
        <v>Nandi Ngobeni</v>
      </c>
      <c r="E2302" t="s">
        <v>335</v>
      </c>
      <c r="H2302" t="s">
        <v>342</v>
      </c>
    </row>
    <row r="2303" spans="1:8" x14ac:dyDescent="0.3">
      <c r="A2303" t="s">
        <v>376</v>
      </c>
      <c r="B2303">
        <f>IFERROR(INDEX(MASTER_REGISTER!C:C,MATCH(C2303,MASTER_REGISTER!E:E,0)),"")</f>
        <v>9</v>
      </c>
      <c r="C2303" t="s">
        <v>168</v>
      </c>
      <c r="D2303" t="str">
        <f>IFERROR(INDEX(MASTER_REGISTER!F:F,MATCH(C2303,MASTER_REGISTER!E:E,0)),"")</f>
        <v>Karabo Mokgadi</v>
      </c>
      <c r="E2303" t="s">
        <v>337</v>
      </c>
      <c r="F2303" t="s">
        <v>338</v>
      </c>
      <c r="G2303" t="s">
        <v>339</v>
      </c>
    </row>
    <row r="2304" spans="1:8" x14ac:dyDescent="0.3">
      <c r="A2304" t="s">
        <v>376</v>
      </c>
      <c r="B2304">
        <f>IFERROR(INDEX(MASTER_REGISTER!C:C,MATCH(C2304,MASTER_REGISTER!E:E,0)),"")</f>
        <v>9</v>
      </c>
      <c r="C2304" t="s">
        <v>173</v>
      </c>
      <c r="D2304" t="str">
        <f>IFERROR(INDEX(MASTER_REGISTER!F:F,MATCH(C2304,MASTER_REGISTER!E:E,0)),"")</f>
        <v>Sifiso Mahlangu</v>
      </c>
      <c r="E2304" t="s">
        <v>335</v>
      </c>
      <c r="H2304" t="s">
        <v>336</v>
      </c>
    </row>
    <row r="2305" spans="1:7" x14ac:dyDescent="0.3">
      <c r="A2305" t="s">
        <v>376</v>
      </c>
      <c r="B2305">
        <f>IFERROR(INDEX(MASTER_REGISTER!C:C,MATCH(C2305,MASTER_REGISTER!E:E,0)),"")</f>
        <v>9</v>
      </c>
      <c r="C2305" t="s">
        <v>178</v>
      </c>
      <c r="D2305" t="str">
        <f>IFERROR(INDEX(MASTER_REGISTER!F:F,MATCH(C2305,MASTER_REGISTER!E:E,0)),"")</f>
        <v>Kgothatso Radebe</v>
      </c>
      <c r="E2305" t="s">
        <v>337</v>
      </c>
      <c r="F2305" t="s">
        <v>338</v>
      </c>
      <c r="G2305" t="s">
        <v>339</v>
      </c>
    </row>
    <row r="2306" spans="1:7" x14ac:dyDescent="0.3">
      <c r="A2306" t="s">
        <v>376</v>
      </c>
      <c r="B2306">
        <f>IFERROR(INDEX(MASTER_REGISTER!C:C,MATCH(C2306,MASTER_REGISTER!E:E,0)),"")</f>
        <v>10</v>
      </c>
      <c r="C2306" t="s">
        <v>183</v>
      </c>
      <c r="D2306" t="str">
        <f>IFERROR(INDEX(MASTER_REGISTER!F:F,MATCH(C2306,MASTER_REGISTER!E:E,0)),"")</f>
        <v>Lerato Maseko</v>
      </c>
      <c r="E2306" t="s">
        <v>337</v>
      </c>
      <c r="F2306" t="s">
        <v>338</v>
      </c>
      <c r="G2306" t="s">
        <v>339</v>
      </c>
    </row>
    <row r="2307" spans="1:7" x14ac:dyDescent="0.3">
      <c r="A2307" t="s">
        <v>376</v>
      </c>
      <c r="B2307">
        <f>IFERROR(INDEX(MASTER_REGISTER!C:C,MATCH(C2307,MASTER_REGISTER!E:E,0)),"")</f>
        <v>10</v>
      </c>
      <c r="C2307" t="s">
        <v>188</v>
      </c>
      <c r="D2307" t="str">
        <f>IFERROR(INDEX(MASTER_REGISTER!F:F,MATCH(C2307,MASTER_REGISTER!E:E,0)),"")</f>
        <v>Sibusiso Molefe</v>
      </c>
      <c r="E2307" t="s">
        <v>337</v>
      </c>
      <c r="F2307" t="s">
        <v>338</v>
      </c>
      <c r="G2307" t="s">
        <v>339</v>
      </c>
    </row>
    <row r="2308" spans="1:7" x14ac:dyDescent="0.3">
      <c r="A2308" t="s">
        <v>376</v>
      </c>
      <c r="B2308">
        <f>IFERROR(INDEX(MASTER_REGISTER!C:C,MATCH(C2308,MASTER_REGISTER!E:E,0)),"")</f>
        <v>10</v>
      </c>
      <c r="C2308" t="s">
        <v>193</v>
      </c>
      <c r="D2308" t="str">
        <f>IFERROR(INDEX(MASTER_REGISTER!F:F,MATCH(C2308,MASTER_REGISTER!E:E,0)),"")</f>
        <v>Nandi Molefe</v>
      </c>
      <c r="E2308" t="s">
        <v>337</v>
      </c>
      <c r="F2308" t="s">
        <v>338</v>
      </c>
      <c r="G2308" t="s">
        <v>339</v>
      </c>
    </row>
    <row r="2309" spans="1:7" x14ac:dyDescent="0.3">
      <c r="A2309" t="s">
        <v>376</v>
      </c>
      <c r="B2309">
        <f>IFERROR(INDEX(MASTER_REGISTER!C:C,MATCH(C2309,MASTER_REGISTER!E:E,0)),"")</f>
        <v>10</v>
      </c>
      <c r="C2309" t="s">
        <v>198</v>
      </c>
      <c r="D2309" t="str">
        <f>IFERROR(INDEX(MASTER_REGISTER!F:F,MATCH(C2309,MASTER_REGISTER!E:E,0)),"")</f>
        <v>Kgothatso Baloyi</v>
      </c>
      <c r="E2309" t="s">
        <v>337</v>
      </c>
      <c r="F2309" t="s">
        <v>338</v>
      </c>
      <c r="G2309" t="s">
        <v>339</v>
      </c>
    </row>
    <row r="2310" spans="1:7" x14ac:dyDescent="0.3">
      <c r="A2310" t="s">
        <v>376</v>
      </c>
      <c r="B2310">
        <f>IFERROR(INDEX(MASTER_REGISTER!C:C,MATCH(C2310,MASTER_REGISTER!E:E,0)),"")</f>
        <v>10</v>
      </c>
      <c r="C2310" t="s">
        <v>202</v>
      </c>
      <c r="D2310" t="str">
        <f>IFERROR(INDEX(MASTER_REGISTER!F:F,MATCH(C2310,MASTER_REGISTER!E:E,0)),"")</f>
        <v>Ayanda Mokoena</v>
      </c>
      <c r="E2310" t="s">
        <v>337</v>
      </c>
      <c r="F2310" t="s">
        <v>338</v>
      </c>
      <c r="G2310" t="s">
        <v>339</v>
      </c>
    </row>
    <row r="2311" spans="1:7" x14ac:dyDescent="0.3">
      <c r="A2311" t="s">
        <v>376</v>
      </c>
      <c r="B2311">
        <f>IFERROR(INDEX(MASTER_REGISTER!C:C,MATCH(C2311,MASTER_REGISTER!E:E,0)),"")</f>
        <v>10</v>
      </c>
      <c r="C2311" t="s">
        <v>206</v>
      </c>
      <c r="D2311" t="str">
        <f>IFERROR(INDEX(MASTER_REGISTER!F:F,MATCH(C2311,MASTER_REGISTER!E:E,0)),"")</f>
        <v>Lwazi Baloyi</v>
      </c>
      <c r="E2311" t="s">
        <v>337</v>
      </c>
      <c r="F2311" t="s">
        <v>338</v>
      </c>
      <c r="G2311" t="s">
        <v>339</v>
      </c>
    </row>
    <row r="2312" spans="1:7" x14ac:dyDescent="0.3">
      <c r="A2312" t="s">
        <v>376</v>
      </c>
      <c r="B2312">
        <f>IFERROR(INDEX(MASTER_REGISTER!C:C,MATCH(C2312,MASTER_REGISTER!E:E,0)),"")</f>
        <v>10</v>
      </c>
      <c r="C2312" t="s">
        <v>210</v>
      </c>
      <c r="D2312" t="str">
        <f>IFERROR(INDEX(MASTER_REGISTER!F:F,MATCH(C2312,MASTER_REGISTER!E:E,0)),"")</f>
        <v>Siyanda Mokoena</v>
      </c>
      <c r="E2312" t="s">
        <v>337</v>
      </c>
      <c r="F2312" t="s">
        <v>338</v>
      </c>
      <c r="G2312" t="s">
        <v>339</v>
      </c>
    </row>
    <row r="2313" spans="1:7" x14ac:dyDescent="0.3">
      <c r="A2313" t="s">
        <v>376</v>
      </c>
      <c r="B2313">
        <f>IFERROR(INDEX(MASTER_REGISTER!C:C,MATCH(C2313,MASTER_REGISTER!E:E,0)),"")</f>
        <v>10</v>
      </c>
      <c r="C2313" t="s">
        <v>214</v>
      </c>
      <c r="D2313" t="str">
        <f>IFERROR(INDEX(MASTER_REGISTER!F:F,MATCH(C2313,MASTER_REGISTER!E:E,0)),"")</f>
        <v>Mpho Ngobeni</v>
      </c>
      <c r="E2313" t="s">
        <v>337</v>
      </c>
      <c r="F2313" t="s">
        <v>338</v>
      </c>
      <c r="G2313" t="s">
        <v>339</v>
      </c>
    </row>
    <row r="2314" spans="1:7" x14ac:dyDescent="0.3">
      <c r="A2314" t="s">
        <v>376</v>
      </c>
      <c r="B2314">
        <f>IFERROR(INDEX(MASTER_REGISTER!C:C,MATCH(C2314,MASTER_REGISTER!E:E,0)),"")</f>
        <v>10</v>
      </c>
      <c r="C2314" t="s">
        <v>217</v>
      </c>
      <c r="D2314" t="str">
        <f>IFERROR(INDEX(MASTER_REGISTER!F:F,MATCH(C2314,MASTER_REGISTER!E:E,0)),"")</f>
        <v>Naledi Makhubela</v>
      </c>
      <c r="E2314" t="s">
        <v>337</v>
      </c>
      <c r="F2314" t="s">
        <v>338</v>
      </c>
      <c r="G2314" t="s">
        <v>339</v>
      </c>
    </row>
    <row r="2315" spans="1:7" x14ac:dyDescent="0.3">
      <c r="A2315" t="s">
        <v>376</v>
      </c>
      <c r="B2315">
        <f>IFERROR(INDEX(MASTER_REGISTER!C:C,MATCH(C2315,MASTER_REGISTER!E:E,0)),"")</f>
        <v>10</v>
      </c>
      <c r="C2315" t="s">
        <v>221</v>
      </c>
      <c r="D2315" t="str">
        <f>IFERROR(INDEX(MASTER_REGISTER!F:F,MATCH(C2315,MASTER_REGISTER!E:E,0)),"")</f>
        <v>Kgothatso Mokoena</v>
      </c>
      <c r="E2315" t="s">
        <v>337</v>
      </c>
      <c r="F2315" t="s">
        <v>338</v>
      </c>
      <c r="G2315" t="s">
        <v>339</v>
      </c>
    </row>
    <row r="2316" spans="1:7" x14ac:dyDescent="0.3">
      <c r="A2316" t="s">
        <v>376</v>
      </c>
      <c r="B2316">
        <f>IFERROR(INDEX(MASTER_REGISTER!C:C,MATCH(C2316,MASTER_REGISTER!E:E,0)),"")</f>
        <v>10</v>
      </c>
      <c r="C2316" t="s">
        <v>225</v>
      </c>
      <c r="D2316" t="str">
        <f>IFERROR(INDEX(MASTER_REGISTER!F:F,MATCH(C2316,MASTER_REGISTER!E:E,0)),"")</f>
        <v>Bongani Makhubela</v>
      </c>
      <c r="E2316" t="s">
        <v>337</v>
      </c>
      <c r="F2316" t="s">
        <v>338</v>
      </c>
      <c r="G2316" t="s">
        <v>339</v>
      </c>
    </row>
    <row r="2317" spans="1:7" x14ac:dyDescent="0.3">
      <c r="A2317" t="s">
        <v>376</v>
      </c>
      <c r="B2317">
        <f>IFERROR(INDEX(MASTER_REGISTER!C:C,MATCH(C2317,MASTER_REGISTER!E:E,0)),"")</f>
        <v>10</v>
      </c>
      <c r="C2317" t="s">
        <v>229</v>
      </c>
      <c r="D2317" t="str">
        <f>IFERROR(INDEX(MASTER_REGISTER!F:F,MATCH(C2317,MASTER_REGISTER!E:E,0)),"")</f>
        <v>Kagiso Kekana</v>
      </c>
      <c r="E2317" t="s">
        <v>337</v>
      </c>
      <c r="F2317" t="s">
        <v>338</v>
      </c>
      <c r="G2317" t="s">
        <v>339</v>
      </c>
    </row>
    <row r="2318" spans="1:7" x14ac:dyDescent="0.3">
      <c r="A2318" t="s">
        <v>376</v>
      </c>
      <c r="B2318">
        <f>IFERROR(INDEX(MASTER_REGISTER!C:C,MATCH(C2318,MASTER_REGISTER!E:E,0)),"")</f>
        <v>11</v>
      </c>
      <c r="C2318" t="s">
        <v>233</v>
      </c>
      <c r="D2318" t="str">
        <f>IFERROR(INDEX(MASTER_REGISTER!F:F,MATCH(C2318,MASTER_REGISTER!E:E,0)),"")</f>
        <v>Lwazi Makhubela</v>
      </c>
      <c r="E2318" t="s">
        <v>337</v>
      </c>
      <c r="F2318" t="s">
        <v>338</v>
      </c>
      <c r="G2318" t="s">
        <v>339</v>
      </c>
    </row>
    <row r="2319" spans="1:7" x14ac:dyDescent="0.3">
      <c r="A2319" t="s">
        <v>376</v>
      </c>
      <c r="B2319">
        <f>IFERROR(INDEX(MASTER_REGISTER!C:C,MATCH(C2319,MASTER_REGISTER!E:E,0)),"")</f>
        <v>11</v>
      </c>
      <c r="C2319" t="s">
        <v>237</v>
      </c>
      <c r="D2319" t="str">
        <f>IFERROR(INDEX(MASTER_REGISTER!F:F,MATCH(C2319,MASTER_REGISTER!E:E,0)),"")</f>
        <v>Lebogang Ramushu</v>
      </c>
      <c r="E2319" t="s">
        <v>337</v>
      </c>
      <c r="F2319" t="s">
        <v>338</v>
      </c>
      <c r="G2319" t="s">
        <v>339</v>
      </c>
    </row>
    <row r="2320" spans="1:7" x14ac:dyDescent="0.3">
      <c r="A2320" t="s">
        <v>376</v>
      </c>
      <c r="B2320">
        <f>IFERROR(INDEX(MASTER_REGISTER!C:C,MATCH(C2320,MASTER_REGISTER!E:E,0)),"")</f>
        <v>11</v>
      </c>
      <c r="C2320" t="s">
        <v>241</v>
      </c>
      <c r="D2320" t="str">
        <f>IFERROR(INDEX(MASTER_REGISTER!F:F,MATCH(C2320,MASTER_REGISTER!E:E,0)),"")</f>
        <v>Lerato Kekana</v>
      </c>
      <c r="E2320" t="s">
        <v>337</v>
      </c>
      <c r="F2320" t="s">
        <v>338</v>
      </c>
      <c r="G2320" t="s">
        <v>339</v>
      </c>
    </row>
    <row r="2321" spans="1:8" x14ac:dyDescent="0.3">
      <c r="A2321" t="s">
        <v>376</v>
      </c>
      <c r="B2321">
        <f>IFERROR(INDEX(MASTER_REGISTER!C:C,MATCH(C2321,MASTER_REGISTER!E:E,0)),"")</f>
        <v>11</v>
      </c>
      <c r="C2321" t="s">
        <v>244</v>
      </c>
      <c r="D2321" t="str">
        <f>IFERROR(INDEX(MASTER_REGISTER!F:F,MATCH(C2321,MASTER_REGISTER!E:E,0)),"")</f>
        <v>Bongani Ndlovu</v>
      </c>
      <c r="E2321" t="s">
        <v>337</v>
      </c>
      <c r="F2321" t="s">
        <v>338</v>
      </c>
      <c r="G2321" t="s">
        <v>339</v>
      </c>
    </row>
    <row r="2322" spans="1:8" x14ac:dyDescent="0.3">
      <c r="A2322" t="s">
        <v>376</v>
      </c>
      <c r="B2322">
        <f>IFERROR(INDEX(MASTER_REGISTER!C:C,MATCH(C2322,MASTER_REGISTER!E:E,0)),"")</f>
        <v>11</v>
      </c>
      <c r="C2322" t="s">
        <v>248</v>
      </c>
      <c r="D2322" t="str">
        <f>IFERROR(INDEX(MASTER_REGISTER!F:F,MATCH(C2322,MASTER_REGISTER!E:E,0)),"")</f>
        <v>Sifiso Dlamini</v>
      </c>
      <c r="E2322" t="s">
        <v>337</v>
      </c>
      <c r="F2322" t="s">
        <v>338</v>
      </c>
      <c r="G2322" t="s">
        <v>339</v>
      </c>
    </row>
    <row r="2323" spans="1:8" x14ac:dyDescent="0.3">
      <c r="A2323" t="s">
        <v>376</v>
      </c>
      <c r="B2323">
        <f>IFERROR(INDEX(MASTER_REGISTER!C:C,MATCH(C2323,MASTER_REGISTER!E:E,0)),"")</f>
        <v>11</v>
      </c>
      <c r="C2323" t="s">
        <v>252</v>
      </c>
      <c r="D2323" t="str">
        <f>IFERROR(INDEX(MASTER_REGISTER!F:F,MATCH(C2323,MASTER_REGISTER!E:E,0)),"")</f>
        <v>Refilwe Dlamini</v>
      </c>
      <c r="E2323" t="s">
        <v>337</v>
      </c>
      <c r="F2323" t="s">
        <v>338</v>
      </c>
      <c r="G2323" t="s">
        <v>339</v>
      </c>
    </row>
    <row r="2324" spans="1:8" x14ac:dyDescent="0.3">
      <c r="A2324" t="s">
        <v>376</v>
      </c>
      <c r="B2324">
        <f>IFERROR(INDEX(MASTER_REGISTER!C:C,MATCH(C2324,MASTER_REGISTER!E:E,0)),"")</f>
        <v>11</v>
      </c>
      <c r="C2324" t="s">
        <v>256</v>
      </c>
      <c r="D2324" t="str">
        <f>IFERROR(INDEX(MASTER_REGISTER!F:F,MATCH(C2324,MASTER_REGISTER!E:E,0)),"")</f>
        <v>Lwazi Maseko</v>
      </c>
      <c r="E2324" t="s">
        <v>337</v>
      </c>
      <c r="F2324" t="s">
        <v>338</v>
      </c>
      <c r="G2324" t="s">
        <v>339</v>
      </c>
    </row>
    <row r="2325" spans="1:8" x14ac:dyDescent="0.3">
      <c r="A2325" t="s">
        <v>376</v>
      </c>
      <c r="B2325">
        <f>IFERROR(INDEX(MASTER_REGISTER!C:C,MATCH(C2325,MASTER_REGISTER!E:E,0)),"")</f>
        <v>11</v>
      </c>
      <c r="C2325" t="s">
        <v>260</v>
      </c>
      <c r="D2325" t="str">
        <f>IFERROR(INDEX(MASTER_REGISTER!F:F,MATCH(C2325,MASTER_REGISTER!E:E,0)),"")</f>
        <v>Refilwe Mokgadi</v>
      </c>
      <c r="E2325" t="s">
        <v>337</v>
      </c>
      <c r="F2325" t="s">
        <v>338</v>
      </c>
      <c r="G2325" t="s">
        <v>339</v>
      </c>
    </row>
    <row r="2326" spans="1:8" x14ac:dyDescent="0.3">
      <c r="A2326" t="s">
        <v>376</v>
      </c>
      <c r="B2326">
        <f>IFERROR(INDEX(MASTER_REGISTER!C:C,MATCH(C2326,MASTER_REGISTER!E:E,0)),"")</f>
        <v>11</v>
      </c>
      <c r="C2326" t="s">
        <v>264</v>
      </c>
      <c r="D2326" t="str">
        <f>IFERROR(INDEX(MASTER_REGISTER!F:F,MATCH(C2326,MASTER_REGISTER!E:E,0)),"")</f>
        <v>Kgothatso Molefe</v>
      </c>
      <c r="E2326" t="s">
        <v>337</v>
      </c>
      <c r="F2326" t="s">
        <v>338</v>
      </c>
      <c r="G2326" t="s">
        <v>339</v>
      </c>
    </row>
    <row r="2327" spans="1:8" x14ac:dyDescent="0.3">
      <c r="A2327" t="s">
        <v>376</v>
      </c>
      <c r="B2327">
        <f>IFERROR(INDEX(MASTER_REGISTER!C:C,MATCH(C2327,MASTER_REGISTER!E:E,0)),"")</f>
        <v>11</v>
      </c>
      <c r="C2327" t="s">
        <v>268</v>
      </c>
      <c r="D2327" t="str">
        <f>IFERROR(INDEX(MASTER_REGISTER!F:F,MATCH(C2327,MASTER_REGISTER!E:E,0)),"")</f>
        <v>Tshepo Mokgadi</v>
      </c>
      <c r="E2327" t="s">
        <v>337</v>
      </c>
      <c r="F2327" t="s">
        <v>338</v>
      </c>
      <c r="G2327" t="s">
        <v>339</v>
      </c>
    </row>
    <row r="2328" spans="1:8" x14ac:dyDescent="0.3">
      <c r="A2328" t="s">
        <v>376</v>
      </c>
      <c r="B2328">
        <f>IFERROR(INDEX(MASTER_REGISTER!C:C,MATCH(C2328,MASTER_REGISTER!E:E,0)),"")</f>
        <v>11</v>
      </c>
      <c r="C2328" t="s">
        <v>272</v>
      </c>
      <c r="D2328" t="str">
        <f>IFERROR(INDEX(MASTER_REGISTER!F:F,MATCH(C2328,MASTER_REGISTER!E:E,0)),"")</f>
        <v>Tshepo Phiri</v>
      </c>
      <c r="E2328" t="s">
        <v>337</v>
      </c>
      <c r="F2328" t="s">
        <v>338</v>
      </c>
      <c r="G2328" t="s">
        <v>339</v>
      </c>
    </row>
    <row r="2329" spans="1:8" x14ac:dyDescent="0.3">
      <c r="A2329" t="s">
        <v>376</v>
      </c>
      <c r="B2329">
        <f>IFERROR(INDEX(MASTER_REGISTER!C:C,MATCH(C2329,MASTER_REGISTER!E:E,0)),"")</f>
        <v>11</v>
      </c>
      <c r="C2329" t="s">
        <v>276</v>
      </c>
      <c r="D2329" t="str">
        <f>IFERROR(INDEX(MASTER_REGISTER!F:F,MATCH(C2329,MASTER_REGISTER!E:E,0)),"")</f>
        <v>Zanele Ngobeni</v>
      </c>
      <c r="E2329" t="s">
        <v>337</v>
      </c>
      <c r="F2329" t="s">
        <v>338</v>
      </c>
      <c r="G2329" t="s">
        <v>339</v>
      </c>
    </row>
    <row r="2330" spans="1:8" x14ac:dyDescent="0.3">
      <c r="A2330" t="s">
        <v>376</v>
      </c>
      <c r="B2330">
        <f>IFERROR(INDEX(MASTER_REGISTER!C:C,MATCH(C2330,MASTER_REGISTER!E:E,0)),"")</f>
        <v>12</v>
      </c>
      <c r="C2330" t="s">
        <v>280</v>
      </c>
      <c r="D2330" t="str">
        <f>IFERROR(INDEX(MASTER_REGISTER!F:F,MATCH(C2330,MASTER_REGISTER!E:E,0)),"")</f>
        <v>Palesa Mokoena</v>
      </c>
      <c r="E2330" t="s">
        <v>337</v>
      </c>
      <c r="F2330" t="s">
        <v>338</v>
      </c>
      <c r="G2330" t="s">
        <v>339</v>
      </c>
    </row>
    <row r="2331" spans="1:8" x14ac:dyDescent="0.3">
      <c r="A2331" t="s">
        <v>376</v>
      </c>
      <c r="B2331">
        <f>IFERROR(INDEX(MASTER_REGISTER!C:C,MATCH(C2331,MASTER_REGISTER!E:E,0)),"")</f>
        <v>12</v>
      </c>
      <c r="C2331" t="s">
        <v>284</v>
      </c>
      <c r="D2331" t="str">
        <f>IFERROR(INDEX(MASTER_REGISTER!F:F,MATCH(C2331,MASTER_REGISTER!E:E,0)),"")</f>
        <v>Thabo Ramushu</v>
      </c>
      <c r="E2331" t="s">
        <v>337</v>
      </c>
      <c r="F2331" t="s">
        <v>338</v>
      </c>
      <c r="G2331" t="s">
        <v>339</v>
      </c>
    </row>
    <row r="2332" spans="1:8" x14ac:dyDescent="0.3">
      <c r="A2332" t="s">
        <v>376</v>
      </c>
      <c r="B2332">
        <f>IFERROR(INDEX(MASTER_REGISTER!C:C,MATCH(C2332,MASTER_REGISTER!E:E,0)),"")</f>
        <v>12</v>
      </c>
      <c r="C2332" t="s">
        <v>288</v>
      </c>
      <c r="D2332" t="str">
        <f>IFERROR(INDEX(MASTER_REGISTER!F:F,MATCH(C2332,MASTER_REGISTER!E:E,0)),"")</f>
        <v>Lwazi Ndlovu</v>
      </c>
      <c r="E2332" t="s">
        <v>337</v>
      </c>
      <c r="F2332" t="s">
        <v>338</v>
      </c>
      <c r="G2332" t="s">
        <v>339</v>
      </c>
    </row>
    <row r="2333" spans="1:8" x14ac:dyDescent="0.3">
      <c r="A2333" t="s">
        <v>376</v>
      </c>
      <c r="B2333">
        <f>IFERROR(INDEX(MASTER_REGISTER!C:C,MATCH(C2333,MASTER_REGISTER!E:E,0)),"")</f>
        <v>12</v>
      </c>
      <c r="C2333" t="s">
        <v>292</v>
      </c>
      <c r="D2333" t="str">
        <f>IFERROR(INDEX(MASTER_REGISTER!F:F,MATCH(C2333,MASTER_REGISTER!E:E,0)),"")</f>
        <v>Ayanda Dlamini</v>
      </c>
      <c r="E2333" t="s">
        <v>337</v>
      </c>
      <c r="F2333" t="s">
        <v>338</v>
      </c>
      <c r="G2333" t="s">
        <v>339</v>
      </c>
    </row>
    <row r="2334" spans="1:8" x14ac:dyDescent="0.3">
      <c r="A2334" t="s">
        <v>376</v>
      </c>
      <c r="B2334">
        <f>IFERROR(INDEX(MASTER_REGISTER!C:C,MATCH(C2334,MASTER_REGISTER!E:E,0)),"")</f>
        <v>12</v>
      </c>
      <c r="C2334" t="s">
        <v>296</v>
      </c>
      <c r="D2334" t="str">
        <f>IFERROR(INDEX(MASTER_REGISTER!F:F,MATCH(C2334,MASTER_REGISTER!E:E,0)),"")</f>
        <v>Neo Ndlovu</v>
      </c>
      <c r="E2334" t="s">
        <v>337</v>
      </c>
      <c r="F2334" t="s">
        <v>338</v>
      </c>
      <c r="G2334" t="s">
        <v>339</v>
      </c>
    </row>
    <row r="2335" spans="1:8" x14ac:dyDescent="0.3">
      <c r="A2335" t="s">
        <v>376</v>
      </c>
      <c r="B2335">
        <f>IFERROR(INDEX(MASTER_REGISTER!C:C,MATCH(C2335,MASTER_REGISTER!E:E,0)),"")</f>
        <v>12</v>
      </c>
      <c r="C2335" t="s">
        <v>300</v>
      </c>
      <c r="D2335" t="str">
        <f>IFERROR(INDEX(MASTER_REGISTER!F:F,MATCH(C2335,MASTER_REGISTER!E:E,0)),"")</f>
        <v>Neo Ramushu</v>
      </c>
      <c r="E2335" t="s">
        <v>337</v>
      </c>
      <c r="F2335" t="s">
        <v>338</v>
      </c>
      <c r="G2335" t="s">
        <v>339</v>
      </c>
    </row>
    <row r="2336" spans="1:8" x14ac:dyDescent="0.3">
      <c r="A2336" t="s">
        <v>376</v>
      </c>
      <c r="B2336">
        <f>IFERROR(INDEX(MASTER_REGISTER!C:C,MATCH(C2336,MASTER_REGISTER!E:E,0)),"")</f>
        <v>12</v>
      </c>
      <c r="C2336" t="s">
        <v>304</v>
      </c>
      <c r="D2336" t="str">
        <f>IFERROR(INDEX(MASTER_REGISTER!F:F,MATCH(C2336,MASTER_REGISTER!E:E,0)),"")</f>
        <v>Karabo Baloyi</v>
      </c>
      <c r="E2336" t="s">
        <v>335</v>
      </c>
      <c r="H2336" t="s">
        <v>336</v>
      </c>
    </row>
    <row r="2337" spans="1:7" x14ac:dyDescent="0.3">
      <c r="A2337" t="s">
        <v>376</v>
      </c>
      <c r="B2337">
        <f>IFERROR(INDEX(MASTER_REGISTER!C:C,MATCH(C2337,MASTER_REGISTER!E:E,0)),"")</f>
        <v>12</v>
      </c>
      <c r="C2337" t="s">
        <v>308</v>
      </c>
      <c r="D2337" t="str">
        <f>IFERROR(INDEX(MASTER_REGISTER!F:F,MATCH(C2337,MASTER_REGISTER!E:E,0)),"")</f>
        <v>Tshepo Mokgadi</v>
      </c>
      <c r="E2337" t="s">
        <v>337</v>
      </c>
      <c r="F2337" t="s">
        <v>338</v>
      </c>
      <c r="G2337" t="s">
        <v>339</v>
      </c>
    </row>
    <row r="2338" spans="1:7" x14ac:dyDescent="0.3">
      <c r="A2338" t="s">
        <v>376</v>
      </c>
      <c r="B2338">
        <f>IFERROR(INDEX(MASTER_REGISTER!C:C,MATCH(C2338,MASTER_REGISTER!E:E,0)),"")</f>
        <v>12</v>
      </c>
      <c r="C2338" t="s">
        <v>311</v>
      </c>
      <c r="D2338" t="str">
        <f>IFERROR(INDEX(MASTER_REGISTER!F:F,MATCH(C2338,MASTER_REGISTER!E:E,0)),"")</f>
        <v>Sifiso Mavuso</v>
      </c>
      <c r="E2338" t="s">
        <v>337</v>
      </c>
      <c r="F2338" t="s">
        <v>338</v>
      </c>
      <c r="G2338" t="s">
        <v>339</v>
      </c>
    </row>
    <row r="2339" spans="1:7" x14ac:dyDescent="0.3">
      <c r="A2339" t="s">
        <v>376</v>
      </c>
      <c r="B2339">
        <f>IFERROR(INDEX(MASTER_REGISTER!C:C,MATCH(C2339,MASTER_REGISTER!E:E,0)),"")</f>
        <v>12</v>
      </c>
      <c r="C2339" t="s">
        <v>315</v>
      </c>
      <c r="D2339" t="str">
        <f>IFERROR(INDEX(MASTER_REGISTER!F:F,MATCH(C2339,MASTER_REGISTER!E:E,0)),"")</f>
        <v>Refilwe Sithole</v>
      </c>
      <c r="E2339" t="s">
        <v>337</v>
      </c>
      <c r="F2339" t="s">
        <v>338</v>
      </c>
      <c r="G2339" t="s">
        <v>339</v>
      </c>
    </row>
    <row r="2340" spans="1:7" x14ac:dyDescent="0.3">
      <c r="A2340" t="s">
        <v>376</v>
      </c>
      <c r="B2340">
        <f>IFERROR(INDEX(MASTER_REGISTER!C:C,MATCH(C2340,MASTER_REGISTER!E:E,0)),"")</f>
        <v>12</v>
      </c>
      <c r="C2340" t="s">
        <v>319</v>
      </c>
      <c r="D2340" t="str">
        <f>IFERROR(INDEX(MASTER_REGISTER!F:F,MATCH(C2340,MASTER_REGISTER!E:E,0)),"")</f>
        <v>Lerato Sithole</v>
      </c>
      <c r="E2340" t="s">
        <v>337</v>
      </c>
      <c r="F2340" t="s">
        <v>338</v>
      </c>
      <c r="G2340" t="s">
        <v>339</v>
      </c>
    </row>
    <row r="2341" spans="1:7" x14ac:dyDescent="0.3">
      <c r="A2341" t="s">
        <v>376</v>
      </c>
      <c r="B2341">
        <f>IFERROR(INDEX(MASTER_REGISTER!C:C,MATCH(C2341,MASTER_REGISTER!E:E,0)),"")</f>
        <v>12</v>
      </c>
      <c r="C2341" t="s">
        <v>323</v>
      </c>
      <c r="D2341" t="str">
        <f>IFERROR(INDEX(MASTER_REGISTER!F:F,MATCH(C2341,MASTER_REGISTER!E:E,0)),"")</f>
        <v>Sibusiso Ngobeni</v>
      </c>
      <c r="E2341" t="s">
        <v>337</v>
      </c>
      <c r="F2341" t="s">
        <v>338</v>
      </c>
      <c r="G2341" t="s">
        <v>339</v>
      </c>
    </row>
    <row r="2342" spans="1:7" x14ac:dyDescent="0.3">
      <c r="A2342" t="s">
        <v>377</v>
      </c>
      <c r="B2342">
        <f>IFERROR(INDEX(MASTER_REGISTER!C:C,MATCH(C2342,MASTER_REGISTER!E:E,0)),"")</f>
        <v>8</v>
      </c>
      <c r="C2342" t="s">
        <v>50</v>
      </c>
      <c r="D2342" t="str">
        <f>IFERROR(INDEX(MASTER_REGISTER!F:F,MATCH(C2342,MASTER_REGISTER!E:E,0)),"")</f>
        <v>Lerato Nkosi</v>
      </c>
      <c r="E2342" t="s">
        <v>337</v>
      </c>
      <c r="F2342" t="s">
        <v>338</v>
      </c>
      <c r="G2342" t="s">
        <v>339</v>
      </c>
    </row>
    <row r="2343" spans="1:7" x14ac:dyDescent="0.3">
      <c r="A2343" t="s">
        <v>377</v>
      </c>
      <c r="B2343">
        <f>IFERROR(INDEX(MASTER_REGISTER!C:C,MATCH(C2343,MASTER_REGISTER!E:E,0)),"")</f>
        <v>8</v>
      </c>
      <c r="C2343" t="s">
        <v>58</v>
      </c>
      <c r="D2343" t="str">
        <f>IFERROR(INDEX(MASTER_REGISTER!F:F,MATCH(C2343,MASTER_REGISTER!E:E,0)),"")</f>
        <v>Karabo Maseko</v>
      </c>
      <c r="E2343" t="s">
        <v>337</v>
      </c>
      <c r="F2343" t="s">
        <v>338</v>
      </c>
      <c r="G2343" t="s">
        <v>339</v>
      </c>
    </row>
    <row r="2344" spans="1:7" x14ac:dyDescent="0.3">
      <c r="A2344" t="s">
        <v>377</v>
      </c>
      <c r="B2344">
        <f>IFERROR(INDEX(MASTER_REGISTER!C:C,MATCH(C2344,MASTER_REGISTER!E:E,0)),"")</f>
        <v>8</v>
      </c>
      <c r="C2344" t="s">
        <v>64</v>
      </c>
      <c r="D2344" t="str">
        <f>IFERROR(INDEX(MASTER_REGISTER!F:F,MATCH(C2344,MASTER_REGISTER!E:E,0)),"")</f>
        <v>Sifiso Sithole</v>
      </c>
      <c r="E2344" t="s">
        <v>337</v>
      </c>
      <c r="F2344" t="s">
        <v>338</v>
      </c>
      <c r="G2344" t="s">
        <v>339</v>
      </c>
    </row>
    <row r="2345" spans="1:7" x14ac:dyDescent="0.3">
      <c r="A2345" t="s">
        <v>377</v>
      </c>
      <c r="B2345">
        <f>IFERROR(INDEX(MASTER_REGISTER!C:C,MATCH(C2345,MASTER_REGISTER!E:E,0)),"")</f>
        <v>8</v>
      </c>
      <c r="C2345" t="s">
        <v>70</v>
      </c>
      <c r="D2345" t="str">
        <f>IFERROR(INDEX(MASTER_REGISTER!F:F,MATCH(C2345,MASTER_REGISTER!E:E,0)),"")</f>
        <v>Tshepo Ndlovu</v>
      </c>
      <c r="E2345" t="s">
        <v>337</v>
      </c>
      <c r="F2345" t="s">
        <v>338</v>
      </c>
      <c r="G2345" t="s">
        <v>339</v>
      </c>
    </row>
    <row r="2346" spans="1:7" x14ac:dyDescent="0.3">
      <c r="A2346" t="s">
        <v>377</v>
      </c>
      <c r="B2346">
        <f>IFERROR(INDEX(MASTER_REGISTER!C:C,MATCH(C2346,MASTER_REGISTER!E:E,0)),"")</f>
        <v>8</v>
      </c>
      <c r="C2346" t="s">
        <v>76</v>
      </c>
      <c r="D2346" t="str">
        <f>IFERROR(INDEX(MASTER_REGISTER!F:F,MATCH(C2346,MASTER_REGISTER!E:E,0)),"")</f>
        <v>Lwazi Mthembu</v>
      </c>
      <c r="E2346" t="s">
        <v>337</v>
      </c>
      <c r="F2346" t="s">
        <v>338</v>
      </c>
      <c r="G2346" t="s">
        <v>339</v>
      </c>
    </row>
    <row r="2347" spans="1:7" x14ac:dyDescent="0.3">
      <c r="A2347" t="s">
        <v>377</v>
      </c>
      <c r="B2347">
        <f>IFERROR(INDEX(MASTER_REGISTER!C:C,MATCH(C2347,MASTER_REGISTER!E:E,0)),"")</f>
        <v>8</v>
      </c>
      <c r="C2347" t="s">
        <v>82</v>
      </c>
      <c r="D2347" t="str">
        <f>IFERROR(INDEX(MASTER_REGISTER!F:F,MATCH(C2347,MASTER_REGISTER!E:E,0)),"")</f>
        <v>Karabo Ngobeni</v>
      </c>
      <c r="E2347" t="s">
        <v>337</v>
      </c>
      <c r="F2347" t="s">
        <v>338</v>
      </c>
      <c r="G2347" t="s">
        <v>339</v>
      </c>
    </row>
    <row r="2348" spans="1:7" x14ac:dyDescent="0.3">
      <c r="A2348" t="s">
        <v>377</v>
      </c>
      <c r="B2348">
        <f>IFERROR(INDEX(MASTER_REGISTER!C:C,MATCH(C2348,MASTER_REGISTER!E:E,0)),"")</f>
        <v>8</v>
      </c>
      <c r="C2348" t="s">
        <v>88</v>
      </c>
      <c r="D2348" t="str">
        <f>IFERROR(INDEX(MASTER_REGISTER!F:F,MATCH(C2348,MASTER_REGISTER!E:E,0)),"")</f>
        <v>Mpho Sithole</v>
      </c>
      <c r="E2348" t="s">
        <v>337</v>
      </c>
      <c r="F2348" t="s">
        <v>338</v>
      </c>
      <c r="G2348" t="s">
        <v>339</v>
      </c>
    </row>
    <row r="2349" spans="1:7" x14ac:dyDescent="0.3">
      <c r="A2349" t="s">
        <v>377</v>
      </c>
      <c r="B2349">
        <f>IFERROR(INDEX(MASTER_REGISTER!C:C,MATCH(C2349,MASTER_REGISTER!E:E,0)),"")</f>
        <v>8</v>
      </c>
      <c r="C2349" t="s">
        <v>94</v>
      </c>
      <c r="D2349" t="str">
        <f>IFERROR(INDEX(MASTER_REGISTER!F:F,MATCH(C2349,MASTER_REGISTER!E:E,0)),"")</f>
        <v>Tshepo Ramushu</v>
      </c>
      <c r="E2349" t="s">
        <v>337</v>
      </c>
      <c r="F2349" t="s">
        <v>338</v>
      </c>
      <c r="G2349" t="s">
        <v>339</v>
      </c>
    </row>
    <row r="2350" spans="1:7" x14ac:dyDescent="0.3">
      <c r="A2350" t="s">
        <v>377</v>
      </c>
      <c r="B2350">
        <f>IFERROR(INDEX(MASTER_REGISTER!C:C,MATCH(C2350,MASTER_REGISTER!E:E,0)),"")</f>
        <v>8</v>
      </c>
      <c r="C2350" t="s">
        <v>100</v>
      </c>
      <c r="D2350" t="str">
        <f>IFERROR(INDEX(MASTER_REGISTER!F:F,MATCH(C2350,MASTER_REGISTER!E:E,0)),"")</f>
        <v>Lerato Kekana</v>
      </c>
      <c r="E2350" t="s">
        <v>337</v>
      </c>
      <c r="F2350" t="s">
        <v>338</v>
      </c>
      <c r="G2350" t="s">
        <v>339</v>
      </c>
    </row>
    <row r="2351" spans="1:7" x14ac:dyDescent="0.3">
      <c r="A2351" t="s">
        <v>377</v>
      </c>
      <c r="B2351">
        <f>IFERROR(INDEX(MASTER_REGISTER!C:C,MATCH(C2351,MASTER_REGISTER!E:E,0)),"")</f>
        <v>8</v>
      </c>
      <c r="C2351" t="s">
        <v>106</v>
      </c>
      <c r="D2351" t="str">
        <f>IFERROR(INDEX(MASTER_REGISTER!F:F,MATCH(C2351,MASTER_REGISTER!E:E,0)),"")</f>
        <v>Neo Ngobeni</v>
      </c>
      <c r="E2351" t="s">
        <v>337</v>
      </c>
      <c r="F2351" t="s">
        <v>338</v>
      </c>
      <c r="G2351" t="s">
        <v>339</v>
      </c>
    </row>
    <row r="2352" spans="1:7" x14ac:dyDescent="0.3">
      <c r="A2352" t="s">
        <v>377</v>
      </c>
      <c r="B2352">
        <f>IFERROR(INDEX(MASTER_REGISTER!C:C,MATCH(C2352,MASTER_REGISTER!E:E,0)),"")</f>
        <v>8</v>
      </c>
      <c r="C2352" t="s">
        <v>112</v>
      </c>
      <c r="D2352" t="str">
        <f>IFERROR(INDEX(MASTER_REGISTER!F:F,MATCH(C2352,MASTER_REGISTER!E:E,0)),"")</f>
        <v>Thabo Mokgadi</v>
      </c>
      <c r="E2352" t="s">
        <v>337</v>
      </c>
      <c r="F2352" t="s">
        <v>338</v>
      </c>
      <c r="G2352" t="s">
        <v>339</v>
      </c>
    </row>
    <row r="2353" spans="1:8" x14ac:dyDescent="0.3">
      <c r="A2353" t="s">
        <v>377</v>
      </c>
      <c r="B2353">
        <f>IFERROR(INDEX(MASTER_REGISTER!C:C,MATCH(C2353,MASTER_REGISTER!E:E,0)),"")</f>
        <v>8</v>
      </c>
      <c r="C2353" t="s">
        <v>118</v>
      </c>
      <c r="D2353" t="str">
        <f>IFERROR(INDEX(MASTER_REGISTER!F:F,MATCH(C2353,MASTER_REGISTER!E:E,0)),"")</f>
        <v>Sifiso Mthembu</v>
      </c>
      <c r="E2353" t="s">
        <v>337</v>
      </c>
      <c r="F2353" t="s">
        <v>338</v>
      </c>
      <c r="G2353" t="s">
        <v>339</v>
      </c>
    </row>
    <row r="2354" spans="1:8" x14ac:dyDescent="0.3">
      <c r="A2354" t="s">
        <v>377</v>
      </c>
      <c r="B2354">
        <f>IFERROR(INDEX(MASTER_REGISTER!C:C,MATCH(C2354,MASTER_REGISTER!E:E,0)),"")</f>
        <v>9</v>
      </c>
      <c r="C2354" t="s">
        <v>123</v>
      </c>
      <c r="D2354" t="str">
        <f>IFERROR(INDEX(MASTER_REGISTER!F:F,MATCH(C2354,MASTER_REGISTER!E:E,0)),"")</f>
        <v>Karabo Phiri</v>
      </c>
      <c r="E2354" t="s">
        <v>337</v>
      </c>
      <c r="F2354" t="s">
        <v>338</v>
      </c>
      <c r="G2354" t="s">
        <v>339</v>
      </c>
    </row>
    <row r="2355" spans="1:8" x14ac:dyDescent="0.3">
      <c r="A2355" t="s">
        <v>377</v>
      </c>
      <c r="B2355">
        <f>IFERROR(INDEX(MASTER_REGISTER!C:C,MATCH(C2355,MASTER_REGISTER!E:E,0)),"")</f>
        <v>9</v>
      </c>
      <c r="C2355" t="s">
        <v>128</v>
      </c>
      <c r="D2355" t="str">
        <f>IFERROR(INDEX(MASTER_REGISTER!F:F,MATCH(C2355,MASTER_REGISTER!E:E,0)),"")</f>
        <v>Lerato Mahlangu</v>
      </c>
      <c r="E2355" t="s">
        <v>335</v>
      </c>
      <c r="H2355" t="s">
        <v>336</v>
      </c>
    </row>
    <row r="2356" spans="1:8" x14ac:dyDescent="0.3">
      <c r="A2356" t="s">
        <v>377</v>
      </c>
      <c r="B2356">
        <f>IFERROR(INDEX(MASTER_REGISTER!C:C,MATCH(C2356,MASTER_REGISTER!E:E,0)),"")</f>
        <v>9</v>
      </c>
      <c r="C2356" t="s">
        <v>133</v>
      </c>
      <c r="D2356" t="str">
        <f>IFERROR(INDEX(MASTER_REGISTER!F:F,MATCH(C2356,MASTER_REGISTER!E:E,0)),"")</f>
        <v>Mpho Kekana</v>
      </c>
      <c r="E2356" t="s">
        <v>337</v>
      </c>
      <c r="F2356" t="s">
        <v>338</v>
      </c>
      <c r="G2356" t="s">
        <v>339</v>
      </c>
    </row>
    <row r="2357" spans="1:8" x14ac:dyDescent="0.3">
      <c r="A2357" t="s">
        <v>377</v>
      </c>
      <c r="B2357">
        <f>IFERROR(INDEX(MASTER_REGISTER!C:C,MATCH(C2357,MASTER_REGISTER!E:E,0)),"")</f>
        <v>9</v>
      </c>
      <c r="C2357" t="s">
        <v>138</v>
      </c>
      <c r="D2357" t="str">
        <f>IFERROR(INDEX(MASTER_REGISTER!F:F,MATCH(C2357,MASTER_REGISTER!E:E,0)),"")</f>
        <v>Thabo Molefe</v>
      </c>
      <c r="E2357" t="s">
        <v>337</v>
      </c>
      <c r="F2357" t="s">
        <v>338</v>
      </c>
      <c r="G2357" t="s">
        <v>339</v>
      </c>
    </row>
    <row r="2358" spans="1:8" x14ac:dyDescent="0.3">
      <c r="A2358" t="s">
        <v>377</v>
      </c>
      <c r="B2358">
        <f>IFERROR(INDEX(MASTER_REGISTER!C:C,MATCH(C2358,MASTER_REGISTER!E:E,0)),"")</f>
        <v>9</v>
      </c>
      <c r="C2358" t="s">
        <v>143</v>
      </c>
      <c r="D2358" t="str">
        <f>IFERROR(INDEX(MASTER_REGISTER!F:F,MATCH(C2358,MASTER_REGISTER!E:E,0)),"")</f>
        <v>Mpho Ngobeni</v>
      </c>
      <c r="E2358" t="s">
        <v>337</v>
      </c>
      <c r="F2358" t="s">
        <v>338</v>
      </c>
      <c r="G2358" t="s">
        <v>339</v>
      </c>
    </row>
    <row r="2359" spans="1:8" x14ac:dyDescent="0.3">
      <c r="A2359" t="s">
        <v>377</v>
      </c>
      <c r="B2359">
        <f>IFERROR(INDEX(MASTER_REGISTER!C:C,MATCH(C2359,MASTER_REGISTER!E:E,0)),"")</f>
        <v>9</v>
      </c>
      <c r="C2359" t="s">
        <v>148</v>
      </c>
      <c r="D2359" t="str">
        <f>IFERROR(INDEX(MASTER_REGISTER!F:F,MATCH(C2359,MASTER_REGISTER!E:E,0)),"")</f>
        <v>Siyanda Mhlongo</v>
      </c>
      <c r="E2359" t="s">
        <v>337</v>
      </c>
      <c r="F2359" t="s">
        <v>338</v>
      </c>
      <c r="G2359" t="s">
        <v>339</v>
      </c>
    </row>
    <row r="2360" spans="1:8" x14ac:dyDescent="0.3">
      <c r="A2360" t="s">
        <v>377</v>
      </c>
      <c r="B2360">
        <f>IFERROR(INDEX(MASTER_REGISTER!C:C,MATCH(C2360,MASTER_REGISTER!E:E,0)),"")</f>
        <v>9</v>
      </c>
      <c r="C2360" t="s">
        <v>153</v>
      </c>
      <c r="D2360" t="str">
        <f>IFERROR(INDEX(MASTER_REGISTER!F:F,MATCH(C2360,MASTER_REGISTER!E:E,0)),"")</f>
        <v>Siyanda Mahlangu</v>
      </c>
      <c r="E2360" t="s">
        <v>337</v>
      </c>
      <c r="F2360" t="s">
        <v>338</v>
      </c>
      <c r="G2360" t="s">
        <v>339</v>
      </c>
    </row>
    <row r="2361" spans="1:8" x14ac:dyDescent="0.3">
      <c r="A2361" t="s">
        <v>377</v>
      </c>
      <c r="B2361">
        <f>IFERROR(INDEX(MASTER_REGISTER!C:C,MATCH(C2361,MASTER_REGISTER!E:E,0)),"")</f>
        <v>9</v>
      </c>
      <c r="C2361" t="s">
        <v>158</v>
      </c>
      <c r="D2361" t="str">
        <f>IFERROR(INDEX(MASTER_REGISTER!F:F,MATCH(C2361,MASTER_REGISTER!E:E,0)),"")</f>
        <v>Sifiso Ramushu</v>
      </c>
      <c r="E2361" t="s">
        <v>337</v>
      </c>
      <c r="F2361" t="s">
        <v>338</v>
      </c>
      <c r="G2361" t="s">
        <v>339</v>
      </c>
    </row>
    <row r="2362" spans="1:8" x14ac:dyDescent="0.3">
      <c r="A2362" t="s">
        <v>377</v>
      </c>
      <c r="B2362">
        <f>IFERROR(INDEX(MASTER_REGISTER!C:C,MATCH(C2362,MASTER_REGISTER!E:E,0)),"")</f>
        <v>9</v>
      </c>
      <c r="C2362" t="s">
        <v>163</v>
      </c>
      <c r="D2362" t="str">
        <f>IFERROR(INDEX(MASTER_REGISTER!F:F,MATCH(C2362,MASTER_REGISTER!E:E,0)),"")</f>
        <v>Nandi Ngobeni</v>
      </c>
      <c r="E2362" t="s">
        <v>337</v>
      </c>
      <c r="F2362" t="s">
        <v>338</v>
      </c>
      <c r="G2362" t="s">
        <v>339</v>
      </c>
    </row>
    <row r="2363" spans="1:8" x14ac:dyDescent="0.3">
      <c r="A2363" t="s">
        <v>377</v>
      </c>
      <c r="B2363">
        <f>IFERROR(INDEX(MASTER_REGISTER!C:C,MATCH(C2363,MASTER_REGISTER!E:E,0)),"")</f>
        <v>9</v>
      </c>
      <c r="C2363" t="s">
        <v>168</v>
      </c>
      <c r="D2363" t="str">
        <f>IFERROR(INDEX(MASTER_REGISTER!F:F,MATCH(C2363,MASTER_REGISTER!E:E,0)),"")</f>
        <v>Karabo Mokgadi</v>
      </c>
      <c r="E2363" t="s">
        <v>337</v>
      </c>
      <c r="F2363" t="s">
        <v>338</v>
      </c>
      <c r="G2363" t="s">
        <v>339</v>
      </c>
    </row>
    <row r="2364" spans="1:8" x14ac:dyDescent="0.3">
      <c r="A2364" t="s">
        <v>377</v>
      </c>
      <c r="B2364">
        <f>IFERROR(INDEX(MASTER_REGISTER!C:C,MATCH(C2364,MASTER_REGISTER!E:E,0)),"")</f>
        <v>9</v>
      </c>
      <c r="C2364" t="s">
        <v>173</v>
      </c>
      <c r="D2364" t="str">
        <f>IFERROR(INDEX(MASTER_REGISTER!F:F,MATCH(C2364,MASTER_REGISTER!E:E,0)),"")</f>
        <v>Sifiso Mahlangu</v>
      </c>
      <c r="E2364" t="s">
        <v>337</v>
      </c>
      <c r="F2364" t="s">
        <v>338</v>
      </c>
      <c r="G2364" t="s">
        <v>339</v>
      </c>
    </row>
    <row r="2365" spans="1:8" x14ac:dyDescent="0.3">
      <c r="A2365" t="s">
        <v>377</v>
      </c>
      <c r="B2365">
        <f>IFERROR(INDEX(MASTER_REGISTER!C:C,MATCH(C2365,MASTER_REGISTER!E:E,0)),"")</f>
        <v>9</v>
      </c>
      <c r="C2365" t="s">
        <v>178</v>
      </c>
      <c r="D2365" t="str">
        <f>IFERROR(INDEX(MASTER_REGISTER!F:F,MATCH(C2365,MASTER_REGISTER!E:E,0)),"")</f>
        <v>Kgothatso Radebe</v>
      </c>
      <c r="E2365" t="s">
        <v>337</v>
      </c>
      <c r="F2365" t="s">
        <v>338</v>
      </c>
      <c r="G2365" t="s">
        <v>339</v>
      </c>
    </row>
    <row r="2366" spans="1:8" x14ac:dyDescent="0.3">
      <c r="A2366" t="s">
        <v>377</v>
      </c>
      <c r="B2366">
        <f>IFERROR(INDEX(MASTER_REGISTER!C:C,MATCH(C2366,MASTER_REGISTER!E:E,0)),"")</f>
        <v>10</v>
      </c>
      <c r="C2366" t="s">
        <v>183</v>
      </c>
      <c r="D2366" t="str">
        <f>IFERROR(INDEX(MASTER_REGISTER!F:F,MATCH(C2366,MASTER_REGISTER!E:E,0)),"")</f>
        <v>Lerato Maseko</v>
      </c>
      <c r="E2366" t="s">
        <v>337</v>
      </c>
      <c r="F2366" t="s">
        <v>338</v>
      </c>
      <c r="G2366" t="s">
        <v>339</v>
      </c>
    </row>
    <row r="2367" spans="1:8" x14ac:dyDescent="0.3">
      <c r="A2367" t="s">
        <v>377</v>
      </c>
      <c r="B2367">
        <f>IFERROR(INDEX(MASTER_REGISTER!C:C,MATCH(C2367,MASTER_REGISTER!E:E,0)),"")</f>
        <v>10</v>
      </c>
      <c r="C2367" t="s">
        <v>188</v>
      </c>
      <c r="D2367" t="str">
        <f>IFERROR(INDEX(MASTER_REGISTER!F:F,MATCH(C2367,MASTER_REGISTER!E:E,0)),"")</f>
        <v>Sibusiso Molefe</v>
      </c>
      <c r="E2367" t="s">
        <v>337</v>
      </c>
      <c r="F2367" t="s">
        <v>338</v>
      </c>
      <c r="G2367" t="s">
        <v>339</v>
      </c>
    </row>
    <row r="2368" spans="1:8" x14ac:dyDescent="0.3">
      <c r="A2368" t="s">
        <v>377</v>
      </c>
      <c r="B2368">
        <f>IFERROR(INDEX(MASTER_REGISTER!C:C,MATCH(C2368,MASTER_REGISTER!E:E,0)),"")</f>
        <v>10</v>
      </c>
      <c r="C2368" t="s">
        <v>193</v>
      </c>
      <c r="D2368" t="str">
        <f>IFERROR(INDEX(MASTER_REGISTER!F:F,MATCH(C2368,MASTER_REGISTER!E:E,0)),"")</f>
        <v>Nandi Molefe</v>
      </c>
      <c r="E2368" t="s">
        <v>337</v>
      </c>
      <c r="F2368" t="s">
        <v>338</v>
      </c>
      <c r="G2368" t="s">
        <v>339</v>
      </c>
    </row>
    <row r="2369" spans="1:8" x14ac:dyDescent="0.3">
      <c r="A2369" t="s">
        <v>377</v>
      </c>
      <c r="B2369">
        <f>IFERROR(INDEX(MASTER_REGISTER!C:C,MATCH(C2369,MASTER_REGISTER!E:E,0)),"")</f>
        <v>10</v>
      </c>
      <c r="C2369" t="s">
        <v>198</v>
      </c>
      <c r="D2369" t="str">
        <f>IFERROR(INDEX(MASTER_REGISTER!F:F,MATCH(C2369,MASTER_REGISTER!E:E,0)),"")</f>
        <v>Kgothatso Baloyi</v>
      </c>
      <c r="E2369" t="s">
        <v>337</v>
      </c>
      <c r="F2369" t="s">
        <v>338</v>
      </c>
      <c r="G2369" t="s">
        <v>339</v>
      </c>
    </row>
    <row r="2370" spans="1:8" x14ac:dyDescent="0.3">
      <c r="A2370" t="s">
        <v>377</v>
      </c>
      <c r="B2370">
        <f>IFERROR(INDEX(MASTER_REGISTER!C:C,MATCH(C2370,MASTER_REGISTER!E:E,0)),"")</f>
        <v>10</v>
      </c>
      <c r="C2370" t="s">
        <v>202</v>
      </c>
      <c r="D2370" t="str">
        <f>IFERROR(INDEX(MASTER_REGISTER!F:F,MATCH(C2370,MASTER_REGISTER!E:E,0)),"")</f>
        <v>Ayanda Mokoena</v>
      </c>
      <c r="E2370" t="s">
        <v>337</v>
      </c>
      <c r="F2370" t="s">
        <v>338</v>
      </c>
      <c r="G2370" t="s">
        <v>339</v>
      </c>
    </row>
    <row r="2371" spans="1:8" x14ac:dyDescent="0.3">
      <c r="A2371" t="s">
        <v>377</v>
      </c>
      <c r="B2371">
        <f>IFERROR(INDEX(MASTER_REGISTER!C:C,MATCH(C2371,MASTER_REGISTER!E:E,0)),"")</f>
        <v>10</v>
      </c>
      <c r="C2371" t="s">
        <v>206</v>
      </c>
      <c r="D2371" t="str">
        <f>IFERROR(INDEX(MASTER_REGISTER!F:F,MATCH(C2371,MASTER_REGISTER!E:E,0)),"")</f>
        <v>Lwazi Baloyi</v>
      </c>
      <c r="E2371" t="s">
        <v>337</v>
      </c>
      <c r="F2371" t="s">
        <v>338</v>
      </c>
      <c r="G2371" t="s">
        <v>339</v>
      </c>
    </row>
    <row r="2372" spans="1:8" x14ac:dyDescent="0.3">
      <c r="A2372" t="s">
        <v>377</v>
      </c>
      <c r="B2372">
        <f>IFERROR(INDEX(MASTER_REGISTER!C:C,MATCH(C2372,MASTER_REGISTER!E:E,0)),"")</f>
        <v>10</v>
      </c>
      <c r="C2372" t="s">
        <v>210</v>
      </c>
      <c r="D2372" t="str">
        <f>IFERROR(INDEX(MASTER_REGISTER!F:F,MATCH(C2372,MASTER_REGISTER!E:E,0)),"")</f>
        <v>Siyanda Mokoena</v>
      </c>
      <c r="E2372" t="s">
        <v>337</v>
      </c>
      <c r="F2372" t="s">
        <v>338</v>
      </c>
      <c r="G2372" t="s">
        <v>339</v>
      </c>
    </row>
    <row r="2373" spans="1:8" x14ac:dyDescent="0.3">
      <c r="A2373" t="s">
        <v>377</v>
      </c>
      <c r="B2373">
        <f>IFERROR(INDEX(MASTER_REGISTER!C:C,MATCH(C2373,MASTER_REGISTER!E:E,0)),"")</f>
        <v>10</v>
      </c>
      <c r="C2373" t="s">
        <v>214</v>
      </c>
      <c r="D2373" t="str">
        <f>IFERROR(INDEX(MASTER_REGISTER!F:F,MATCH(C2373,MASTER_REGISTER!E:E,0)),"")</f>
        <v>Mpho Ngobeni</v>
      </c>
      <c r="E2373" t="s">
        <v>335</v>
      </c>
      <c r="H2373" t="s">
        <v>336</v>
      </c>
    </row>
    <row r="2374" spans="1:8" x14ac:dyDescent="0.3">
      <c r="A2374" t="s">
        <v>377</v>
      </c>
      <c r="B2374">
        <f>IFERROR(INDEX(MASTER_REGISTER!C:C,MATCH(C2374,MASTER_REGISTER!E:E,0)),"")</f>
        <v>10</v>
      </c>
      <c r="C2374" t="s">
        <v>217</v>
      </c>
      <c r="D2374" t="str">
        <f>IFERROR(INDEX(MASTER_REGISTER!F:F,MATCH(C2374,MASTER_REGISTER!E:E,0)),"")</f>
        <v>Naledi Makhubela</v>
      </c>
      <c r="E2374" t="s">
        <v>337</v>
      </c>
      <c r="F2374" t="s">
        <v>338</v>
      </c>
      <c r="G2374" t="s">
        <v>339</v>
      </c>
    </row>
    <row r="2375" spans="1:8" x14ac:dyDescent="0.3">
      <c r="A2375" t="s">
        <v>377</v>
      </c>
      <c r="B2375">
        <f>IFERROR(INDEX(MASTER_REGISTER!C:C,MATCH(C2375,MASTER_REGISTER!E:E,0)),"")</f>
        <v>10</v>
      </c>
      <c r="C2375" t="s">
        <v>221</v>
      </c>
      <c r="D2375" t="str">
        <f>IFERROR(INDEX(MASTER_REGISTER!F:F,MATCH(C2375,MASTER_REGISTER!E:E,0)),"")</f>
        <v>Kgothatso Mokoena</v>
      </c>
      <c r="E2375" t="s">
        <v>337</v>
      </c>
      <c r="F2375" t="s">
        <v>338</v>
      </c>
      <c r="G2375" t="s">
        <v>339</v>
      </c>
    </row>
    <row r="2376" spans="1:8" x14ac:dyDescent="0.3">
      <c r="A2376" t="s">
        <v>377</v>
      </c>
      <c r="B2376">
        <f>IFERROR(INDEX(MASTER_REGISTER!C:C,MATCH(C2376,MASTER_REGISTER!E:E,0)),"")</f>
        <v>10</v>
      </c>
      <c r="C2376" t="s">
        <v>225</v>
      </c>
      <c r="D2376" t="str">
        <f>IFERROR(INDEX(MASTER_REGISTER!F:F,MATCH(C2376,MASTER_REGISTER!E:E,0)),"")</f>
        <v>Bongani Makhubela</v>
      </c>
      <c r="E2376" t="s">
        <v>337</v>
      </c>
      <c r="F2376" t="s">
        <v>338</v>
      </c>
      <c r="G2376" t="s">
        <v>339</v>
      </c>
    </row>
    <row r="2377" spans="1:8" x14ac:dyDescent="0.3">
      <c r="A2377" t="s">
        <v>377</v>
      </c>
      <c r="B2377">
        <f>IFERROR(INDEX(MASTER_REGISTER!C:C,MATCH(C2377,MASTER_REGISTER!E:E,0)),"")</f>
        <v>10</v>
      </c>
      <c r="C2377" t="s">
        <v>229</v>
      </c>
      <c r="D2377" t="str">
        <f>IFERROR(INDEX(MASTER_REGISTER!F:F,MATCH(C2377,MASTER_REGISTER!E:E,0)),"")</f>
        <v>Kagiso Kekana</v>
      </c>
      <c r="E2377" t="s">
        <v>337</v>
      </c>
      <c r="F2377" t="s">
        <v>338</v>
      </c>
      <c r="G2377" t="s">
        <v>339</v>
      </c>
    </row>
    <row r="2378" spans="1:8" x14ac:dyDescent="0.3">
      <c r="A2378" t="s">
        <v>377</v>
      </c>
      <c r="B2378">
        <f>IFERROR(INDEX(MASTER_REGISTER!C:C,MATCH(C2378,MASTER_REGISTER!E:E,0)),"")</f>
        <v>11</v>
      </c>
      <c r="C2378" t="s">
        <v>233</v>
      </c>
      <c r="D2378" t="str">
        <f>IFERROR(INDEX(MASTER_REGISTER!F:F,MATCH(C2378,MASTER_REGISTER!E:E,0)),"")</f>
        <v>Lwazi Makhubela</v>
      </c>
      <c r="E2378" t="s">
        <v>337</v>
      </c>
      <c r="F2378" t="s">
        <v>338</v>
      </c>
      <c r="G2378" t="s">
        <v>339</v>
      </c>
    </row>
    <row r="2379" spans="1:8" x14ac:dyDescent="0.3">
      <c r="A2379" t="s">
        <v>377</v>
      </c>
      <c r="B2379">
        <f>IFERROR(INDEX(MASTER_REGISTER!C:C,MATCH(C2379,MASTER_REGISTER!E:E,0)),"")</f>
        <v>11</v>
      </c>
      <c r="C2379" t="s">
        <v>237</v>
      </c>
      <c r="D2379" t="str">
        <f>IFERROR(INDEX(MASTER_REGISTER!F:F,MATCH(C2379,MASTER_REGISTER!E:E,0)),"")</f>
        <v>Lebogang Ramushu</v>
      </c>
      <c r="E2379" t="s">
        <v>337</v>
      </c>
      <c r="F2379" t="s">
        <v>338</v>
      </c>
      <c r="G2379" t="s">
        <v>339</v>
      </c>
    </row>
    <row r="2380" spans="1:8" x14ac:dyDescent="0.3">
      <c r="A2380" t="s">
        <v>377</v>
      </c>
      <c r="B2380">
        <f>IFERROR(INDEX(MASTER_REGISTER!C:C,MATCH(C2380,MASTER_REGISTER!E:E,0)),"")</f>
        <v>11</v>
      </c>
      <c r="C2380" t="s">
        <v>241</v>
      </c>
      <c r="D2380" t="str">
        <f>IFERROR(INDEX(MASTER_REGISTER!F:F,MATCH(C2380,MASTER_REGISTER!E:E,0)),"")</f>
        <v>Lerato Kekana</v>
      </c>
      <c r="E2380" t="s">
        <v>337</v>
      </c>
      <c r="F2380" t="s">
        <v>338</v>
      </c>
      <c r="G2380" t="s">
        <v>339</v>
      </c>
    </row>
    <row r="2381" spans="1:8" x14ac:dyDescent="0.3">
      <c r="A2381" t="s">
        <v>377</v>
      </c>
      <c r="B2381">
        <f>IFERROR(INDEX(MASTER_REGISTER!C:C,MATCH(C2381,MASTER_REGISTER!E:E,0)),"")</f>
        <v>11</v>
      </c>
      <c r="C2381" t="s">
        <v>244</v>
      </c>
      <c r="D2381" t="str">
        <f>IFERROR(INDEX(MASTER_REGISTER!F:F,MATCH(C2381,MASTER_REGISTER!E:E,0)),"")</f>
        <v>Bongani Ndlovu</v>
      </c>
      <c r="E2381" t="s">
        <v>337</v>
      </c>
      <c r="F2381" t="s">
        <v>338</v>
      </c>
      <c r="G2381" t="s">
        <v>339</v>
      </c>
    </row>
    <row r="2382" spans="1:8" x14ac:dyDescent="0.3">
      <c r="A2382" t="s">
        <v>377</v>
      </c>
      <c r="B2382">
        <f>IFERROR(INDEX(MASTER_REGISTER!C:C,MATCH(C2382,MASTER_REGISTER!E:E,0)),"")</f>
        <v>11</v>
      </c>
      <c r="C2382" t="s">
        <v>248</v>
      </c>
      <c r="D2382" t="str">
        <f>IFERROR(INDEX(MASTER_REGISTER!F:F,MATCH(C2382,MASTER_REGISTER!E:E,0)),"")</f>
        <v>Sifiso Dlamini</v>
      </c>
      <c r="E2382" t="s">
        <v>337</v>
      </c>
      <c r="F2382" t="s">
        <v>338</v>
      </c>
      <c r="G2382" t="s">
        <v>339</v>
      </c>
    </row>
    <row r="2383" spans="1:8" x14ac:dyDescent="0.3">
      <c r="A2383" t="s">
        <v>377</v>
      </c>
      <c r="B2383">
        <f>IFERROR(INDEX(MASTER_REGISTER!C:C,MATCH(C2383,MASTER_REGISTER!E:E,0)),"")</f>
        <v>11</v>
      </c>
      <c r="C2383" t="s">
        <v>252</v>
      </c>
      <c r="D2383" t="str">
        <f>IFERROR(INDEX(MASTER_REGISTER!F:F,MATCH(C2383,MASTER_REGISTER!E:E,0)),"")</f>
        <v>Refilwe Dlamini</v>
      </c>
      <c r="E2383" t="s">
        <v>337</v>
      </c>
      <c r="F2383" t="s">
        <v>338</v>
      </c>
      <c r="G2383" t="s">
        <v>339</v>
      </c>
    </row>
    <row r="2384" spans="1:8" x14ac:dyDescent="0.3">
      <c r="A2384" t="s">
        <v>377</v>
      </c>
      <c r="B2384">
        <f>IFERROR(INDEX(MASTER_REGISTER!C:C,MATCH(C2384,MASTER_REGISTER!E:E,0)),"")</f>
        <v>11</v>
      </c>
      <c r="C2384" t="s">
        <v>256</v>
      </c>
      <c r="D2384" t="str">
        <f>IFERROR(INDEX(MASTER_REGISTER!F:F,MATCH(C2384,MASTER_REGISTER!E:E,0)),"")</f>
        <v>Lwazi Maseko</v>
      </c>
      <c r="E2384" t="s">
        <v>337</v>
      </c>
      <c r="F2384" t="s">
        <v>338</v>
      </c>
      <c r="G2384" t="s">
        <v>339</v>
      </c>
    </row>
    <row r="2385" spans="1:8" x14ac:dyDescent="0.3">
      <c r="A2385" t="s">
        <v>377</v>
      </c>
      <c r="B2385">
        <f>IFERROR(INDEX(MASTER_REGISTER!C:C,MATCH(C2385,MASTER_REGISTER!E:E,0)),"")</f>
        <v>11</v>
      </c>
      <c r="C2385" t="s">
        <v>260</v>
      </c>
      <c r="D2385" t="str">
        <f>IFERROR(INDEX(MASTER_REGISTER!F:F,MATCH(C2385,MASTER_REGISTER!E:E,0)),"")</f>
        <v>Refilwe Mokgadi</v>
      </c>
      <c r="E2385" t="s">
        <v>337</v>
      </c>
      <c r="F2385" t="s">
        <v>338</v>
      </c>
      <c r="G2385" t="s">
        <v>339</v>
      </c>
    </row>
    <row r="2386" spans="1:8" x14ac:dyDescent="0.3">
      <c r="A2386" t="s">
        <v>377</v>
      </c>
      <c r="B2386">
        <f>IFERROR(INDEX(MASTER_REGISTER!C:C,MATCH(C2386,MASTER_REGISTER!E:E,0)),"")</f>
        <v>11</v>
      </c>
      <c r="C2386" t="s">
        <v>264</v>
      </c>
      <c r="D2386" t="str">
        <f>IFERROR(INDEX(MASTER_REGISTER!F:F,MATCH(C2386,MASTER_REGISTER!E:E,0)),"")</f>
        <v>Kgothatso Molefe</v>
      </c>
      <c r="E2386" t="s">
        <v>337</v>
      </c>
      <c r="F2386" t="s">
        <v>338</v>
      </c>
      <c r="G2386" t="s">
        <v>339</v>
      </c>
    </row>
    <row r="2387" spans="1:8" x14ac:dyDescent="0.3">
      <c r="A2387" t="s">
        <v>377</v>
      </c>
      <c r="B2387">
        <f>IFERROR(INDEX(MASTER_REGISTER!C:C,MATCH(C2387,MASTER_REGISTER!E:E,0)),"")</f>
        <v>11</v>
      </c>
      <c r="C2387" t="s">
        <v>268</v>
      </c>
      <c r="D2387" t="str">
        <f>IFERROR(INDEX(MASTER_REGISTER!F:F,MATCH(C2387,MASTER_REGISTER!E:E,0)),"")</f>
        <v>Tshepo Mokgadi</v>
      </c>
      <c r="E2387" t="s">
        <v>337</v>
      </c>
      <c r="F2387" t="s">
        <v>338</v>
      </c>
      <c r="G2387" t="s">
        <v>339</v>
      </c>
    </row>
    <row r="2388" spans="1:8" x14ac:dyDescent="0.3">
      <c r="A2388" t="s">
        <v>377</v>
      </c>
      <c r="B2388">
        <f>IFERROR(INDEX(MASTER_REGISTER!C:C,MATCH(C2388,MASTER_REGISTER!E:E,0)),"")</f>
        <v>11</v>
      </c>
      <c r="C2388" t="s">
        <v>272</v>
      </c>
      <c r="D2388" t="str">
        <f>IFERROR(INDEX(MASTER_REGISTER!F:F,MATCH(C2388,MASTER_REGISTER!E:E,0)),"")</f>
        <v>Tshepo Phiri</v>
      </c>
      <c r="E2388" t="s">
        <v>337</v>
      </c>
      <c r="F2388" t="s">
        <v>338</v>
      </c>
      <c r="G2388" t="s">
        <v>339</v>
      </c>
    </row>
    <row r="2389" spans="1:8" x14ac:dyDescent="0.3">
      <c r="A2389" t="s">
        <v>377</v>
      </c>
      <c r="B2389">
        <f>IFERROR(INDEX(MASTER_REGISTER!C:C,MATCH(C2389,MASTER_REGISTER!E:E,0)),"")</f>
        <v>11</v>
      </c>
      <c r="C2389" t="s">
        <v>276</v>
      </c>
      <c r="D2389" t="str">
        <f>IFERROR(INDEX(MASTER_REGISTER!F:F,MATCH(C2389,MASTER_REGISTER!E:E,0)),"")</f>
        <v>Zanele Ngobeni</v>
      </c>
      <c r="E2389" t="s">
        <v>337</v>
      </c>
      <c r="F2389" t="s">
        <v>338</v>
      </c>
      <c r="G2389" t="s">
        <v>339</v>
      </c>
    </row>
    <row r="2390" spans="1:8" x14ac:dyDescent="0.3">
      <c r="A2390" t="s">
        <v>377</v>
      </c>
      <c r="B2390">
        <f>IFERROR(INDEX(MASTER_REGISTER!C:C,MATCH(C2390,MASTER_REGISTER!E:E,0)),"")</f>
        <v>12</v>
      </c>
      <c r="C2390" t="s">
        <v>280</v>
      </c>
      <c r="D2390" t="str">
        <f>IFERROR(INDEX(MASTER_REGISTER!F:F,MATCH(C2390,MASTER_REGISTER!E:E,0)),"")</f>
        <v>Palesa Mokoena</v>
      </c>
      <c r="E2390" t="s">
        <v>337</v>
      </c>
      <c r="F2390" t="s">
        <v>338</v>
      </c>
      <c r="G2390" t="s">
        <v>339</v>
      </c>
    </row>
    <row r="2391" spans="1:8" x14ac:dyDescent="0.3">
      <c r="A2391" t="s">
        <v>377</v>
      </c>
      <c r="B2391">
        <f>IFERROR(INDEX(MASTER_REGISTER!C:C,MATCH(C2391,MASTER_REGISTER!E:E,0)),"")</f>
        <v>12</v>
      </c>
      <c r="C2391" t="s">
        <v>284</v>
      </c>
      <c r="D2391" t="str">
        <f>IFERROR(INDEX(MASTER_REGISTER!F:F,MATCH(C2391,MASTER_REGISTER!E:E,0)),"")</f>
        <v>Thabo Ramushu</v>
      </c>
      <c r="E2391" t="s">
        <v>337</v>
      </c>
      <c r="F2391" t="s">
        <v>338</v>
      </c>
      <c r="G2391" t="s">
        <v>339</v>
      </c>
    </row>
    <row r="2392" spans="1:8" x14ac:dyDescent="0.3">
      <c r="A2392" t="s">
        <v>377</v>
      </c>
      <c r="B2392">
        <f>IFERROR(INDEX(MASTER_REGISTER!C:C,MATCH(C2392,MASTER_REGISTER!E:E,0)),"")</f>
        <v>12</v>
      </c>
      <c r="C2392" t="s">
        <v>288</v>
      </c>
      <c r="D2392" t="str">
        <f>IFERROR(INDEX(MASTER_REGISTER!F:F,MATCH(C2392,MASTER_REGISTER!E:E,0)),"")</f>
        <v>Lwazi Ndlovu</v>
      </c>
      <c r="E2392" t="s">
        <v>337</v>
      </c>
      <c r="F2392" t="s">
        <v>338</v>
      </c>
      <c r="G2392" t="s">
        <v>339</v>
      </c>
    </row>
    <row r="2393" spans="1:8" x14ac:dyDescent="0.3">
      <c r="A2393" t="s">
        <v>377</v>
      </c>
      <c r="B2393">
        <f>IFERROR(INDEX(MASTER_REGISTER!C:C,MATCH(C2393,MASTER_REGISTER!E:E,0)),"")</f>
        <v>12</v>
      </c>
      <c r="C2393" t="s">
        <v>292</v>
      </c>
      <c r="D2393" t="str">
        <f>IFERROR(INDEX(MASTER_REGISTER!F:F,MATCH(C2393,MASTER_REGISTER!E:E,0)),"")</f>
        <v>Ayanda Dlamini</v>
      </c>
      <c r="E2393" t="s">
        <v>337</v>
      </c>
      <c r="F2393" t="s">
        <v>338</v>
      </c>
      <c r="G2393" t="s">
        <v>339</v>
      </c>
    </row>
    <row r="2394" spans="1:8" x14ac:dyDescent="0.3">
      <c r="A2394" t="s">
        <v>377</v>
      </c>
      <c r="B2394">
        <f>IFERROR(INDEX(MASTER_REGISTER!C:C,MATCH(C2394,MASTER_REGISTER!E:E,0)),"")</f>
        <v>12</v>
      </c>
      <c r="C2394" t="s">
        <v>296</v>
      </c>
      <c r="D2394" t="str">
        <f>IFERROR(INDEX(MASTER_REGISTER!F:F,MATCH(C2394,MASTER_REGISTER!E:E,0)),"")</f>
        <v>Neo Ndlovu</v>
      </c>
      <c r="E2394" t="s">
        <v>337</v>
      </c>
      <c r="F2394" t="s">
        <v>338</v>
      </c>
      <c r="G2394" t="s">
        <v>339</v>
      </c>
    </row>
    <row r="2395" spans="1:8" x14ac:dyDescent="0.3">
      <c r="A2395" t="s">
        <v>377</v>
      </c>
      <c r="B2395">
        <f>IFERROR(INDEX(MASTER_REGISTER!C:C,MATCH(C2395,MASTER_REGISTER!E:E,0)),"")</f>
        <v>12</v>
      </c>
      <c r="C2395" t="s">
        <v>300</v>
      </c>
      <c r="D2395" t="str">
        <f>IFERROR(INDEX(MASTER_REGISTER!F:F,MATCH(C2395,MASTER_REGISTER!E:E,0)),"")</f>
        <v>Neo Ramushu</v>
      </c>
      <c r="E2395" t="s">
        <v>337</v>
      </c>
      <c r="F2395" t="s">
        <v>338</v>
      </c>
      <c r="G2395" t="s">
        <v>339</v>
      </c>
    </row>
    <row r="2396" spans="1:8" x14ac:dyDescent="0.3">
      <c r="A2396" t="s">
        <v>377</v>
      </c>
      <c r="B2396">
        <f>IFERROR(INDEX(MASTER_REGISTER!C:C,MATCH(C2396,MASTER_REGISTER!E:E,0)),"")</f>
        <v>12</v>
      </c>
      <c r="C2396" t="s">
        <v>304</v>
      </c>
      <c r="D2396" t="str">
        <f>IFERROR(INDEX(MASTER_REGISTER!F:F,MATCH(C2396,MASTER_REGISTER!E:E,0)),"")</f>
        <v>Karabo Baloyi</v>
      </c>
      <c r="E2396" t="s">
        <v>337</v>
      </c>
      <c r="F2396" t="s">
        <v>338</v>
      </c>
      <c r="G2396" t="s">
        <v>339</v>
      </c>
    </row>
    <row r="2397" spans="1:8" x14ac:dyDescent="0.3">
      <c r="A2397" t="s">
        <v>377</v>
      </c>
      <c r="B2397">
        <f>IFERROR(INDEX(MASTER_REGISTER!C:C,MATCH(C2397,MASTER_REGISTER!E:E,0)),"")</f>
        <v>12</v>
      </c>
      <c r="C2397" t="s">
        <v>308</v>
      </c>
      <c r="D2397" t="str">
        <f>IFERROR(INDEX(MASTER_REGISTER!F:F,MATCH(C2397,MASTER_REGISTER!E:E,0)),"")</f>
        <v>Tshepo Mokgadi</v>
      </c>
      <c r="E2397" t="s">
        <v>337</v>
      </c>
      <c r="F2397" t="s">
        <v>338</v>
      </c>
      <c r="G2397" t="s">
        <v>339</v>
      </c>
    </row>
    <row r="2398" spans="1:8" x14ac:dyDescent="0.3">
      <c r="A2398" t="s">
        <v>377</v>
      </c>
      <c r="B2398">
        <f>IFERROR(INDEX(MASTER_REGISTER!C:C,MATCH(C2398,MASTER_REGISTER!E:E,0)),"")</f>
        <v>12</v>
      </c>
      <c r="C2398" t="s">
        <v>311</v>
      </c>
      <c r="D2398" t="str">
        <f>IFERROR(INDEX(MASTER_REGISTER!F:F,MATCH(C2398,MASTER_REGISTER!E:E,0)),"")</f>
        <v>Sifiso Mavuso</v>
      </c>
      <c r="E2398" t="s">
        <v>335</v>
      </c>
      <c r="H2398" t="s">
        <v>341</v>
      </c>
    </row>
    <row r="2399" spans="1:8" x14ac:dyDescent="0.3">
      <c r="A2399" t="s">
        <v>377</v>
      </c>
      <c r="B2399">
        <f>IFERROR(INDEX(MASTER_REGISTER!C:C,MATCH(C2399,MASTER_REGISTER!E:E,0)),"")</f>
        <v>12</v>
      </c>
      <c r="C2399" t="s">
        <v>315</v>
      </c>
      <c r="D2399" t="str">
        <f>IFERROR(INDEX(MASTER_REGISTER!F:F,MATCH(C2399,MASTER_REGISTER!E:E,0)),"")</f>
        <v>Refilwe Sithole</v>
      </c>
      <c r="E2399" t="s">
        <v>337</v>
      </c>
      <c r="F2399" t="s">
        <v>338</v>
      </c>
      <c r="G2399" t="s">
        <v>339</v>
      </c>
    </row>
    <row r="2400" spans="1:8" x14ac:dyDescent="0.3">
      <c r="A2400" t="s">
        <v>377</v>
      </c>
      <c r="B2400">
        <f>IFERROR(INDEX(MASTER_REGISTER!C:C,MATCH(C2400,MASTER_REGISTER!E:E,0)),"")</f>
        <v>12</v>
      </c>
      <c r="C2400" t="s">
        <v>319</v>
      </c>
      <c r="D2400" t="str">
        <f>IFERROR(INDEX(MASTER_REGISTER!F:F,MATCH(C2400,MASTER_REGISTER!E:E,0)),"")</f>
        <v>Lerato Sithole</v>
      </c>
      <c r="E2400" t="s">
        <v>337</v>
      </c>
      <c r="F2400" t="s">
        <v>338</v>
      </c>
      <c r="G2400" t="s">
        <v>339</v>
      </c>
    </row>
    <row r="2401" spans="1:8" x14ac:dyDescent="0.3">
      <c r="A2401" t="s">
        <v>377</v>
      </c>
      <c r="B2401">
        <f>IFERROR(INDEX(MASTER_REGISTER!C:C,MATCH(C2401,MASTER_REGISTER!E:E,0)),"")</f>
        <v>12</v>
      </c>
      <c r="C2401" t="s">
        <v>323</v>
      </c>
      <c r="D2401" t="str">
        <f>IFERROR(INDEX(MASTER_REGISTER!F:F,MATCH(C2401,MASTER_REGISTER!E:E,0)),"")</f>
        <v>Sibusiso Ngobeni</v>
      </c>
      <c r="E2401" t="s">
        <v>337</v>
      </c>
      <c r="F2401" t="s">
        <v>338</v>
      </c>
      <c r="G2401" t="s">
        <v>339</v>
      </c>
    </row>
    <row r="2402" spans="1:8" x14ac:dyDescent="0.3">
      <c r="A2402" t="s">
        <v>378</v>
      </c>
      <c r="B2402">
        <f>IFERROR(INDEX(MASTER_REGISTER!C:C,MATCH(C2402,MASTER_REGISTER!E:E,0)),"")</f>
        <v>8</v>
      </c>
      <c r="C2402" t="s">
        <v>50</v>
      </c>
      <c r="D2402" t="str">
        <f>IFERROR(INDEX(MASTER_REGISTER!F:F,MATCH(C2402,MASTER_REGISTER!E:E,0)),"")</f>
        <v>Lerato Nkosi</v>
      </c>
      <c r="E2402" t="s">
        <v>337</v>
      </c>
      <c r="F2402" t="s">
        <v>338</v>
      </c>
      <c r="G2402" t="s">
        <v>339</v>
      </c>
    </row>
    <row r="2403" spans="1:8" x14ac:dyDescent="0.3">
      <c r="A2403" t="s">
        <v>378</v>
      </c>
      <c r="B2403">
        <f>IFERROR(INDEX(MASTER_REGISTER!C:C,MATCH(C2403,MASTER_REGISTER!E:E,0)),"")</f>
        <v>8</v>
      </c>
      <c r="C2403" t="s">
        <v>58</v>
      </c>
      <c r="D2403" t="str">
        <f>IFERROR(INDEX(MASTER_REGISTER!F:F,MATCH(C2403,MASTER_REGISTER!E:E,0)),"")</f>
        <v>Karabo Maseko</v>
      </c>
      <c r="E2403" t="s">
        <v>337</v>
      </c>
      <c r="F2403" t="s">
        <v>338</v>
      </c>
      <c r="G2403" t="s">
        <v>339</v>
      </c>
    </row>
    <row r="2404" spans="1:8" x14ac:dyDescent="0.3">
      <c r="A2404" t="s">
        <v>378</v>
      </c>
      <c r="B2404">
        <f>IFERROR(INDEX(MASTER_REGISTER!C:C,MATCH(C2404,MASTER_REGISTER!E:E,0)),"")</f>
        <v>8</v>
      </c>
      <c r="C2404" t="s">
        <v>64</v>
      </c>
      <c r="D2404" t="str">
        <f>IFERROR(INDEX(MASTER_REGISTER!F:F,MATCH(C2404,MASTER_REGISTER!E:E,0)),"")</f>
        <v>Sifiso Sithole</v>
      </c>
      <c r="E2404" t="s">
        <v>337</v>
      </c>
      <c r="F2404" t="s">
        <v>338</v>
      </c>
      <c r="G2404" t="s">
        <v>339</v>
      </c>
    </row>
    <row r="2405" spans="1:8" x14ac:dyDescent="0.3">
      <c r="A2405" t="s">
        <v>378</v>
      </c>
      <c r="B2405">
        <f>IFERROR(INDEX(MASTER_REGISTER!C:C,MATCH(C2405,MASTER_REGISTER!E:E,0)),"")</f>
        <v>8</v>
      </c>
      <c r="C2405" t="s">
        <v>70</v>
      </c>
      <c r="D2405" t="str">
        <f>IFERROR(INDEX(MASTER_REGISTER!F:F,MATCH(C2405,MASTER_REGISTER!E:E,0)),"")</f>
        <v>Tshepo Ndlovu</v>
      </c>
      <c r="E2405" t="s">
        <v>337</v>
      </c>
      <c r="F2405" t="s">
        <v>338</v>
      </c>
      <c r="G2405" t="s">
        <v>339</v>
      </c>
    </row>
    <row r="2406" spans="1:8" x14ac:dyDescent="0.3">
      <c r="A2406" t="s">
        <v>378</v>
      </c>
      <c r="B2406">
        <f>IFERROR(INDEX(MASTER_REGISTER!C:C,MATCH(C2406,MASTER_REGISTER!E:E,0)),"")</f>
        <v>8</v>
      </c>
      <c r="C2406" t="s">
        <v>76</v>
      </c>
      <c r="D2406" t="str">
        <f>IFERROR(INDEX(MASTER_REGISTER!F:F,MATCH(C2406,MASTER_REGISTER!E:E,0)),"")</f>
        <v>Lwazi Mthembu</v>
      </c>
      <c r="E2406" t="s">
        <v>337</v>
      </c>
      <c r="F2406" t="s">
        <v>338</v>
      </c>
      <c r="G2406" t="s">
        <v>339</v>
      </c>
    </row>
    <row r="2407" spans="1:8" x14ac:dyDescent="0.3">
      <c r="A2407" t="s">
        <v>378</v>
      </c>
      <c r="B2407">
        <f>IFERROR(INDEX(MASTER_REGISTER!C:C,MATCH(C2407,MASTER_REGISTER!E:E,0)),"")</f>
        <v>8</v>
      </c>
      <c r="C2407" t="s">
        <v>82</v>
      </c>
      <c r="D2407" t="str">
        <f>IFERROR(INDEX(MASTER_REGISTER!F:F,MATCH(C2407,MASTER_REGISTER!E:E,0)),"")</f>
        <v>Karabo Ngobeni</v>
      </c>
      <c r="E2407" t="s">
        <v>337</v>
      </c>
      <c r="F2407" t="s">
        <v>338</v>
      </c>
      <c r="G2407" t="s">
        <v>339</v>
      </c>
    </row>
    <row r="2408" spans="1:8" x14ac:dyDescent="0.3">
      <c r="A2408" t="s">
        <v>378</v>
      </c>
      <c r="B2408">
        <f>IFERROR(INDEX(MASTER_REGISTER!C:C,MATCH(C2408,MASTER_REGISTER!E:E,0)),"")</f>
        <v>8</v>
      </c>
      <c r="C2408" t="s">
        <v>88</v>
      </c>
      <c r="D2408" t="str">
        <f>IFERROR(INDEX(MASTER_REGISTER!F:F,MATCH(C2408,MASTER_REGISTER!E:E,0)),"")</f>
        <v>Mpho Sithole</v>
      </c>
      <c r="E2408" t="s">
        <v>335</v>
      </c>
      <c r="H2408" t="s">
        <v>336</v>
      </c>
    </row>
    <row r="2409" spans="1:8" x14ac:dyDescent="0.3">
      <c r="A2409" t="s">
        <v>378</v>
      </c>
      <c r="B2409">
        <f>IFERROR(INDEX(MASTER_REGISTER!C:C,MATCH(C2409,MASTER_REGISTER!E:E,0)),"")</f>
        <v>8</v>
      </c>
      <c r="C2409" t="s">
        <v>94</v>
      </c>
      <c r="D2409" t="str">
        <f>IFERROR(INDEX(MASTER_REGISTER!F:F,MATCH(C2409,MASTER_REGISTER!E:E,0)),"")</f>
        <v>Tshepo Ramushu</v>
      </c>
      <c r="E2409" t="s">
        <v>337</v>
      </c>
      <c r="F2409" t="s">
        <v>338</v>
      </c>
      <c r="G2409" t="s">
        <v>339</v>
      </c>
    </row>
    <row r="2410" spans="1:8" x14ac:dyDescent="0.3">
      <c r="A2410" t="s">
        <v>378</v>
      </c>
      <c r="B2410">
        <f>IFERROR(INDEX(MASTER_REGISTER!C:C,MATCH(C2410,MASTER_REGISTER!E:E,0)),"")</f>
        <v>8</v>
      </c>
      <c r="C2410" t="s">
        <v>100</v>
      </c>
      <c r="D2410" t="str">
        <f>IFERROR(INDEX(MASTER_REGISTER!F:F,MATCH(C2410,MASTER_REGISTER!E:E,0)),"")</f>
        <v>Lerato Kekana</v>
      </c>
      <c r="E2410" t="s">
        <v>337</v>
      </c>
      <c r="F2410" t="s">
        <v>338</v>
      </c>
      <c r="G2410" t="s">
        <v>339</v>
      </c>
    </row>
    <row r="2411" spans="1:8" x14ac:dyDescent="0.3">
      <c r="A2411" t="s">
        <v>378</v>
      </c>
      <c r="B2411">
        <f>IFERROR(INDEX(MASTER_REGISTER!C:C,MATCH(C2411,MASTER_REGISTER!E:E,0)),"")</f>
        <v>8</v>
      </c>
      <c r="C2411" t="s">
        <v>106</v>
      </c>
      <c r="D2411" t="str">
        <f>IFERROR(INDEX(MASTER_REGISTER!F:F,MATCH(C2411,MASTER_REGISTER!E:E,0)),"")</f>
        <v>Neo Ngobeni</v>
      </c>
      <c r="E2411" t="s">
        <v>337</v>
      </c>
      <c r="F2411" t="s">
        <v>338</v>
      </c>
      <c r="G2411" t="s">
        <v>339</v>
      </c>
    </row>
    <row r="2412" spans="1:8" x14ac:dyDescent="0.3">
      <c r="A2412" t="s">
        <v>378</v>
      </c>
      <c r="B2412">
        <f>IFERROR(INDEX(MASTER_REGISTER!C:C,MATCH(C2412,MASTER_REGISTER!E:E,0)),"")</f>
        <v>8</v>
      </c>
      <c r="C2412" t="s">
        <v>112</v>
      </c>
      <c r="D2412" t="str">
        <f>IFERROR(INDEX(MASTER_REGISTER!F:F,MATCH(C2412,MASTER_REGISTER!E:E,0)),"")</f>
        <v>Thabo Mokgadi</v>
      </c>
      <c r="E2412" t="s">
        <v>337</v>
      </c>
      <c r="F2412" t="s">
        <v>338</v>
      </c>
      <c r="G2412" t="s">
        <v>339</v>
      </c>
    </row>
    <row r="2413" spans="1:8" x14ac:dyDescent="0.3">
      <c r="A2413" t="s">
        <v>378</v>
      </c>
      <c r="B2413">
        <f>IFERROR(INDEX(MASTER_REGISTER!C:C,MATCH(C2413,MASTER_REGISTER!E:E,0)),"")</f>
        <v>8</v>
      </c>
      <c r="C2413" t="s">
        <v>118</v>
      </c>
      <c r="D2413" t="str">
        <f>IFERROR(INDEX(MASTER_REGISTER!F:F,MATCH(C2413,MASTER_REGISTER!E:E,0)),"")</f>
        <v>Sifiso Mthembu</v>
      </c>
      <c r="E2413" t="s">
        <v>335</v>
      </c>
      <c r="H2413" t="s">
        <v>342</v>
      </c>
    </row>
    <row r="2414" spans="1:8" x14ac:dyDescent="0.3">
      <c r="A2414" t="s">
        <v>378</v>
      </c>
      <c r="B2414">
        <f>IFERROR(INDEX(MASTER_REGISTER!C:C,MATCH(C2414,MASTER_REGISTER!E:E,0)),"")</f>
        <v>9</v>
      </c>
      <c r="C2414" t="s">
        <v>123</v>
      </c>
      <c r="D2414" t="str">
        <f>IFERROR(INDEX(MASTER_REGISTER!F:F,MATCH(C2414,MASTER_REGISTER!E:E,0)),"")</f>
        <v>Karabo Phiri</v>
      </c>
      <c r="E2414" t="s">
        <v>337</v>
      </c>
      <c r="F2414" t="s">
        <v>338</v>
      </c>
      <c r="G2414" t="s">
        <v>339</v>
      </c>
    </row>
    <row r="2415" spans="1:8" x14ac:dyDescent="0.3">
      <c r="A2415" t="s">
        <v>378</v>
      </c>
      <c r="B2415">
        <f>IFERROR(INDEX(MASTER_REGISTER!C:C,MATCH(C2415,MASTER_REGISTER!E:E,0)),"")</f>
        <v>9</v>
      </c>
      <c r="C2415" t="s">
        <v>128</v>
      </c>
      <c r="D2415" t="str">
        <f>IFERROR(INDEX(MASTER_REGISTER!F:F,MATCH(C2415,MASTER_REGISTER!E:E,0)),"")</f>
        <v>Lerato Mahlangu</v>
      </c>
      <c r="E2415" t="s">
        <v>337</v>
      </c>
      <c r="F2415" t="s">
        <v>338</v>
      </c>
      <c r="G2415" t="s">
        <v>339</v>
      </c>
    </row>
    <row r="2416" spans="1:8" x14ac:dyDescent="0.3">
      <c r="A2416" t="s">
        <v>378</v>
      </c>
      <c r="B2416">
        <f>IFERROR(INDEX(MASTER_REGISTER!C:C,MATCH(C2416,MASTER_REGISTER!E:E,0)),"")</f>
        <v>9</v>
      </c>
      <c r="C2416" t="s">
        <v>133</v>
      </c>
      <c r="D2416" t="str">
        <f>IFERROR(INDEX(MASTER_REGISTER!F:F,MATCH(C2416,MASTER_REGISTER!E:E,0)),"")</f>
        <v>Mpho Kekana</v>
      </c>
      <c r="E2416" t="s">
        <v>337</v>
      </c>
      <c r="F2416" t="s">
        <v>338</v>
      </c>
      <c r="G2416" t="s">
        <v>339</v>
      </c>
    </row>
    <row r="2417" spans="1:8" x14ac:dyDescent="0.3">
      <c r="A2417" t="s">
        <v>378</v>
      </c>
      <c r="B2417">
        <f>IFERROR(INDEX(MASTER_REGISTER!C:C,MATCH(C2417,MASTER_REGISTER!E:E,0)),"")</f>
        <v>9</v>
      </c>
      <c r="C2417" t="s">
        <v>138</v>
      </c>
      <c r="D2417" t="str">
        <f>IFERROR(INDEX(MASTER_REGISTER!F:F,MATCH(C2417,MASTER_REGISTER!E:E,0)),"")</f>
        <v>Thabo Molefe</v>
      </c>
      <c r="E2417" t="s">
        <v>337</v>
      </c>
      <c r="F2417" t="s">
        <v>338</v>
      </c>
      <c r="G2417" t="s">
        <v>339</v>
      </c>
    </row>
    <row r="2418" spans="1:8" x14ac:dyDescent="0.3">
      <c r="A2418" t="s">
        <v>378</v>
      </c>
      <c r="B2418">
        <f>IFERROR(INDEX(MASTER_REGISTER!C:C,MATCH(C2418,MASTER_REGISTER!E:E,0)),"")</f>
        <v>9</v>
      </c>
      <c r="C2418" t="s">
        <v>143</v>
      </c>
      <c r="D2418" t="str">
        <f>IFERROR(INDEX(MASTER_REGISTER!F:F,MATCH(C2418,MASTER_REGISTER!E:E,0)),"")</f>
        <v>Mpho Ngobeni</v>
      </c>
      <c r="E2418" t="s">
        <v>337</v>
      </c>
      <c r="F2418" t="s">
        <v>338</v>
      </c>
      <c r="G2418" t="s">
        <v>339</v>
      </c>
    </row>
    <row r="2419" spans="1:8" x14ac:dyDescent="0.3">
      <c r="A2419" t="s">
        <v>378</v>
      </c>
      <c r="B2419">
        <f>IFERROR(INDEX(MASTER_REGISTER!C:C,MATCH(C2419,MASTER_REGISTER!E:E,0)),"")</f>
        <v>9</v>
      </c>
      <c r="C2419" t="s">
        <v>148</v>
      </c>
      <c r="D2419" t="str">
        <f>IFERROR(INDEX(MASTER_REGISTER!F:F,MATCH(C2419,MASTER_REGISTER!E:E,0)),"")</f>
        <v>Siyanda Mhlongo</v>
      </c>
      <c r="E2419" t="s">
        <v>337</v>
      </c>
      <c r="F2419" t="s">
        <v>338</v>
      </c>
      <c r="G2419" t="s">
        <v>339</v>
      </c>
    </row>
    <row r="2420" spans="1:8" x14ac:dyDescent="0.3">
      <c r="A2420" t="s">
        <v>378</v>
      </c>
      <c r="B2420">
        <f>IFERROR(INDEX(MASTER_REGISTER!C:C,MATCH(C2420,MASTER_REGISTER!E:E,0)),"")</f>
        <v>9</v>
      </c>
      <c r="C2420" t="s">
        <v>153</v>
      </c>
      <c r="D2420" t="str">
        <f>IFERROR(INDEX(MASTER_REGISTER!F:F,MATCH(C2420,MASTER_REGISTER!E:E,0)),"")</f>
        <v>Siyanda Mahlangu</v>
      </c>
      <c r="E2420" t="s">
        <v>337</v>
      </c>
      <c r="F2420" t="s">
        <v>338</v>
      </c>
      <c r="G2420" t="s">
        <v>339</v>
      </c>
    </row>
    <row r="2421" spans="1:8" x14ac:dyDescent="0.3">
      <c r="A2421" t="s">
        <v>378</v>
      </c>
      <c r="B2421">
        <f>IFERROR(INDEX(MASTER_REGISTER!C:C,MATCH(C2421,MASTER_REGISTER!E:E,0)),"")</f>
        <v>9</v>
      </c>
      <c r="C2421" t="s">
        <v>158</v>
      </c>
      <c r="D2421" t="str">
        <f>IFERROR(INDEX(MASTER_REGISTER!F:F,MATCH(C2421,MASTER_REGISTER!E:E,0)),"")</f>
        <v>Sifiso Ramushu</v>
      </c>
      <c r="E2421" t="s">
        <v>337</v>
      </c>
      <c r="F2421" t="s">
        <v>338</v>
      </c>
      <c r="G2421" t="s">
        <v>339</v>
      </c>
    </row>
    <row r="2422" spans="1:8" x14ac:dyDescent="0.3">
      <c r="A2422" t="s">
        <v>378</v>
      </c>
      <c r="B2422">
        <f>IFERROR(INDEX(MASTER_REGISTER!C:C,MATCH(C2422,MASTER_REGISTER!E:E,0)),"")</f>
        <v>9</v>
      </c>
      <c r="C2422" t="s">
        <v>163</v>
      </c>
      <c r="D2422" t="str">
        <f>IFERROR(INDEX(MASTER_REGISTER!F:F,MATCH(C2422,MASTER_REGISTER!E:E,0)),"")</f>
        <v>Nandi Ngobeni</v>
      </c>
      <c r="E2422" t="s">
        <v>337</v>
      </c>
      <c r="F2422" t="s">
        <v>338</v>
      </c>
      <c r="G2422" t="s">
        <v>339</v>
      </c>
    </row>
    <row r="2423" spans="1:8" x14ac:dyDescent="0.3">
      <c r="A2423" t="s">
        <v>378</v>
      </c>
      <c r="B2423">
        <f>IFERROR(INDEX(MASTER_REGISTER!C:C,MATCH(C2423,MASTER_REGISTER!E:E,0)),"")</f>
        <v>9</v>
      </c>
      <c r="C2423" t="s">
        <v>168</v>
      </c>
      <c r="D2423" t="str">
        <f>IFERROR(INDEX(MASTER_REGISTER!F:F,MATCH(C2423,MASTER_REGISTER!E:E,0)),"")</f>
        <v>Karabo Mokgadi</v>
      </c>
      <c r="E2423" t="s">
        <v>337</v>
      </c>
      <c r="F2423" t="s">
        <v>338</v>
      </c>
      <c r="G2423" t="s">
        <v>339</v>
      </c>
    </row>
    <row r="2424" spans="1:8" x14ac:dyDescent="0.3">
      <c r="A2424" t="s">
        <v>378</v>
      </c>
      <c r="B2424">
        <f>IFERROR(INDEX(MASTER_REGISTER!C:C,MATCH(C2424,MASTER_REGISTER!E:E,0)),"")</f>
        <v>9</v>
      </c>
      <c r="C2424" t="s">
        <v>173</v>
      </c>
      <c r="D2424" t="str">
        <f>IFERROR(INDEX(MASTER_REGISTER!F:F,MATCH(C2424,MASTER_REGISTER!E:E,0)),"")</f>
        <v>Sifiso Mahlangu</v>
      </c>
      <c r="E2424" t="s">
        <v>337</v>
      </c>
      <c r="F2424" t="s">
        <v>338</v>
      </c>
      <c r="G2424" t="s">
        <v>339</v>
      </c>
    </row>
    <row r="2425" spans="1:8" x14ac:dyDescent="0.3">
      <c r="A2425" t="s">
        <v>378</v>
      </c>
      <c r="B2425">
        <f>IFERROR(INDEX(MASTER_REGISTER!C:C,MATCH(C2425,MASTER_REGISTER!E:E,0)),"")</f>
        <v>9</v>
      </c>
      <c r="C2425" t="s">
        <v>178</v>
      </c>
      <c r="D2425" t="str">
        <f>IFERROR(INDEX(MASTER_REGISTER!F:F,MATCH(C2425,MASTER_REGISTER!E:E,0)),"")</f>
        <v>Kgothatso Radebe</v>
      </c>
      <c r="E2425" t="s">
        <v>337</v>
      </c>
      <c r="F2425" t="s">
        <v>338</v>
      </c>
      <c r="G2425" t="s">
        <v>339</v>
      </c>
    </row>
    <row r="2426" spans="1:8" x14ac:dyDescent="0.3">
      <c r="A2426" t="s">
        <v>378</v>
      </c>
      <c r="B2426">
        <f>IFERROR(INDEX(MASTER_REGISTER!C:C,MATCH(C2426,MASTER_REGISTER!E:E,0)),"")</f>
        <v>10</v>
      </c>
      <c r="C2426" t="s">
        <v>183</v>
      </c>
      <c r="D2426" t="str">
        <f>IFERROR(INDEX(MASTER_REGISTER!F:F,MATCH(C2426,MASTER_REGISTER!E:E,0)),"")</f>
        <v>Lerato Maseko</v>
      </c>
      <c r="E2426" t="s">
        <v>337</v>
      </c>
      <c r="F2426" t="s">
        <v>338</v>
      </c>
      <c r="G2426" t="s">
        <v>339</v>
      </c>
    </row>
    <row r="2427" spans="1:8" x14ac:dyDescent="0.3">
      <c r="A2427" t="s">
        <v>378</v>
      </c>
      <c r="B2427">
        <f>IFERROR(INDEX(MASTER_REGISTER!C:C,MATCH(C2427,MASTER_REGISTER!E:E,0)),"")</f>
        <v>10</v>
      </c>
      <c r="C2427" t="s">
        <v>188</v>
      </c>
      <c r="D2427" t="str">
        <f>IFERROR(INDEX(MASTER_REGISTER!F:F,MATCH(C2427,MASTER_REGISTER!E:E,0)),"")</f>
        <v>Sibusiso Molefe</v>
      </c>
      <c r="E2427" t="s">
        <v>337</v>
      </c>
      <c r="F2427" t="s">
        <v>338</v>
      </c>
      <c r="G2427" t="s">
        <v>339</v>
      </c>
    </row>
    <row r="2428" spans="1:8" x14ac:dyDescent="0.3">
      <c r="A2428" t="s">
        <v>378</v>
      </c>
      <c r="B2428">
        <f>IFERROR(INDEX(MASTER_REGISTER!C:C,MATCH(C2428,MASTER_REGISTER!E:E,0)),"")</f>
        <v>10</v>
      </c>
      <c r="C2428" t="s">
        <v>193</v>
      </c>
      <c r="D2428" t="str">
        <f>IFERROR(INDEX(MASTER_REGISTER!F:F,MATCH(C2428,MASTER_REGISTER!E:E,0)),"")</f>
        <v>Nandi Molefe</v>
      </c>
      <c r="E2428" t="s">
        <v>337</v>
      </c>
      <c r="F2428" t="s">
        <v>338</v>
      </c>
      <c r="G2428" t="s">
        <v>339</v>
      </c>
    </row>
    <row r="2429" spans="1:8" x14ac:dyDescent="0.3">
      <c r="A2429" t="s">
        <v>378</v>
      </c>
      <c r="B2429">
        <f>IFERROR(INDEX(MASTER_REGISTER!C:C,MATCH(C2429,MASTER_REGISTER!E:E,0)),"")</f>
        <v>10</v>
      </c>
      <c r="C2429" t="s">
        <v>198</v>
      </c>
      <c r="D2429" t="str">
        <f>IFERROR(INDEX(MASTER_REGISTER!F:F,MATCH(C2429,MASTER_REGISTER!E:E,0)),"")</f>
        <v>Kgothatso Baloyi</v>
      </c>
      <c r="E2429" t="s">
        <v>335</v>
      </c>
      <c r="H2429" t="s">
        <v>336</v>
      </c>
    </row>
    <row r="2430" spans="1:8" x14ac:dyDescent="0.3">
      <c r="A2430" t="s">
        <v>378</v>
      </c>
      <c r="B2430">
        <f>IFERROR(INDEX(MASTER_REGISTER!C:C,MATCH(C2430,MASTER_REGISTER!E:E,0)),"")</f>
        <v>10</v>
      </c>
      <c r="C2430" t="s">
        <v>202</v>
      </c>
      <c r="D2430" t="str">
        <f>IFERROR(INDEX(MASTER_REGISTER!F:F,MATCH(C2430,MASTER_REGISTER!E:E,0)),"")</f>
        <v>Ayanda Mokoena</v>
      </c>
      <c r="E2430" t="s">
        <v>337</v>
      </c>
      <c r="F2430" t="s">
        <v>338</v>
      </c>
      <c r="G2430" t="s">
        <v>339</v>
      </c>
    </row>
    <row r="2431" spans="1:8" x14ac:dyDescent="0.3">
      <c r="A2431" t="s">
        <v>378</v>
      </c>
      <c r="B2431">
        <f>IFERROR(INDEX(MASTER_REGISTER!C:C,MATCH(C2431,MASTER_REGISTER!E:E,0)),"")</f>
        <v>10</v>
      </c>
      <c r="C2431" t="s">
        <v>206</v>
      </c>
      <c r="D2431" t="str">
        <f>IFERROR(INDEX(MASTER_REGISTER!F:F,MATCH(C2431,MASTER_REGISTER!E:E,0)),"")</f>
        <v>Lwazi Baloyi</v>
      </c>
      <c r="E2431" t="s">
        <v>337</v>
      </c>
      <c r="F2431" t="s">
        <v>338</v>
      </c>
      <c r="G2431" t="s">
        <v>339</v>
      </c>
    </row>
    <row r="2432" spans="1:8" x14ac:dyDescent="0.3">
      <c r="A2432" t="s">
        <v>378</v>
      </c>
      <c r="B2432">
        <f>IFERROR(INDEX(MASTER_REGISTER!C:C,MATCH(C2432,MASTER_REGISTER!E:E,0)),"")</f>
        <v>10</v>
      </c>
      <c r="C2432" t="s">
        <v>210</v>
      </c>
      <c r="D2432" t="str">
        <f>IFERROR(INDEX(MASTER_REGISTER!F:F,MATCH(C2432,MASTER_REGISTER!E:E,0)),"")</f>
        <v>Siyanda Mokoena</v>
      </c>
      <c r="E2432" t="s">
        <v>337</v>
      </c>
      <c r="F2432" t="s">
        <v>338</v>
      </c>
      <c r="G2432" t="s">
        <v>339</v>
      </c>
    </row>
    <row r="2433" spans="1:8" x14ac:dyDescent="0.3">
      <c r="A2433" t="s">
        <v>378</v>
      </c>
      <c r="B2433">
        <f>IFERROR(INDEX(MASTER_REGISTER!C:C,MATCH(C2433,MASTER_REGISTER!E:E,0)),"")</f>
        <v>10</v>
      </c>
      <c r="C2433" t="s">
        <v>214</v>
      </c>
      <c r="D2433" t="str">
        <f>IFERROR(INDEX(MASTER_REGISTER!F:F,MATCH(C2433,MASTER_REGISTER!E:E,0)),"")</f>
        <v>Mpho Ngobeni</v>
      </c>
      <c r="E2433" t="s">
        <v>337</v>
      </c>
      <c r="F2433" t="s">
        <v>338</v>
      </c>
      <c r="G2433" t="s">
        <v>339</v>
      </c>
    </row>
    <row r="2434" spans="1:8" x14ac:dyDescent="0.3">
      <c r="A2434" t="s">
        <v>378</v>
      </c>
      <c r="B2434">
        <f>IFERROR(INDEX(MASTER_REGISTER!C:C,MATCH(C2434,MASTER_REGISTER!E:E,0)),"")</f>
        <v>10</v>
      </c>
      <c r="C2434" t="s">
        <v>217</v>
      </c>
      <c r="D2434" t="str">
        <f>IFERROR(INDEX(MASTER_REGISTER!F:F,MATCH(C2434,MASTER_REGISTER!E:E,0)),"")</f>
        <v>Naledi Makhubela</v>
      </c>
      <c r="E2434" t="s">
        <v>337</v>
      </c>
      <c r="F2434" t="s">
        <v>338</v>
      </c>
      <c r="G2434" t="s">
        <v>339</v>
      </c>
    </row>
    <row r="2435" spans="1:8" x14ac:dyDescent="0.3">
      <c r="A2435" t="s">
        <v>378</v>
      </c>
      <c r="B2435">
        <f>IFERROR(INDEX(MASTER_REGISTER!C:C,MATCH(C2435,MASTER_REGISTER!E:E,0)),"")</f>
        <v>10</v>
      </c>
      <c r="C2435" t="s">
        <v>221</v>
      </c>
      <c r="D2435" t="str">
        <f>IFERROR(INDEX(MASTER_REGISTER!F:F,MATCH(C2435,MASTER_REGISTER!E:E,0)),"")</f>
        <v>Kgothatso Mokoena</v>
      </c>
      <c r="E2435" t="s">
        <v>337</v>
      </c>
      <c r="F2435" t="s">
        <v>338</v>
      </c>
      <c r="G2435" t="s">
        <v>339</v>
      </c>
    </row>
    <row r="2436" spans="1:8" x14ac:dyDescent="0.3">
      <c r="A2436" t="s">
        <v>378</v>
      </c>
      <c r="B2436">
        <f>IFERROR(INDEX(MASTER_REGISTER!C:C,MATCH(C2436,MASTER_REGISTER!E:E,0)),"")</f>
        <v>10</v>
      </c>
      <c r="C2436" t="s">
        <v>225</v>
      </c>
      <c r="D2436" t="str">
        <f>IFERROR(INDEX(MASTER_REGISTER!F:F,MATCH(C2436,MASTER_REGISTER!E:E,0)),"")</f>
        <v>Bongani Makhubela</v>
      </c>
      <c r="E2436" t="s">
        <v>337</v>
      </c>
      <c r="F2436" t="s">
        <v>338</v>
      </c>
      <c r="G2436" t="s">
        <v>339</v>
      </c>
    </row>
    <row r="2437" spans="1:8" x14ac:dyDescent="0.3">
      <c r="A2437" t="s">
        <v>378</v>
      </c>
      <c r="B2437">
        <f>IFERROR(INDEX(MASTER_REGISTER!C:C,MATCH(C2437,MASTER_REGISTER!E:E,0)),"")</f>
        <v>10</v>
      </c>
      <c r="C2437" t="s">
        <v>229</v>
      </c>
      <c r="D2437" t="str">
        <f>IFERROR(INDEX(MASTER_REGISTER!F:F,MATCH(C2437,MASTER_REGISTER!E:E,0)),"")</f>
        <v>Kagiso Kekana</v>
      </c>
      <c r="E2437" t="s">
        <v>337</v>
      </c>
      <c r="F2437" t="s">
        <v>338</v>
      </c>
      <c r="G2437" t="s">
        <v>339</v>
      </c>
    </row>
    <row r="2438" spans="1:8" x14ac:dyDescent="0.3">
      <c r="A2438" t="s">
        <v>378</v>
      </c>
      <c r="B2438">
        <f>IFERROR(INDEX(MASTER_REGISTER!C:C,MATCH(C2438,MASTER_REGISTER!E:E,0)),"")</f>
        <v>11</v>
      </c>
      <c r="C2438" t="s">
        <v>233</v>
      </c>
      <c r="D2438" t="str">
        <f>IFERROR(INDEX(MASTER_REGISTER!F:F,MATCH(C2438,MASTER_REGISTER!E:E,0)),"")</f>
        <v>Lwazi Makhubela</v>
      </c>
      <c r="E2438" t="s">
        <v>337</v>
      </c>
      <c r="F2438" t="s">
        <v>338</v>
      </c>
      <c r="G2438" t="s">
        <v>339</v>
      </c>
    </row>
    <row r="2439" spans="1:8" x14ac:dyDescent="0.3">
      <c r="A2439" t="s">
        <v>378</v>
      </c>
      <c r="B2439">
        <f>IFERROR(INDEX(MASTER_REGISTER!C:C,MATCH(C2439,MASTER_REGISTER!E:E,0)),"")</f>
        <v>11</v>
      </c>
      <c r="C2439" t="s">
        <v>237</v>
      </c>
      <c r="D2439" t="str">
        <f>IFERROR(INDEX(MASTER_REGISTER!F:F,MATCH(C2439,MASTER_REGISTER!E:E,0)),"")</f>
        <v>Lebogang Ramushu</v>
      </c>
      <c r="E2439" t="s">
        <v>335</v>
      </c>
      <c r="H2439" t="s">
        <v>340</v>
      </c>
    </row>
    <row r="2440" spans="1:8" x14ac:dyDescent="0.3">
      <c r="A2440" t="s">
        <v>378</v>
      </c>
      <c r="B2440">
        <f>IFERROR(INDEX(MASTER_REGISTER!C:C,MATCH(C2440,MASTER_REGISTER!E:E,0)),"")</f>
        <v>11</v>
      </c>
      <c r="C2440" t="s">
        <v>241</v>
      </c>
      <c r="D2440" t="str">
        <f>IFERROR(INDEX(MASTER_REGISTER!F:F,MATCH(C2440,MASTER_REGISTER!E:E,0)),"")</f>
        <v>Lerato Kekana</v>
      </c>
      <c r="E2440" t="s">
        <v>337</v>
      </c>
      <c r="F2440" t="s">
        <v>338</v>
      </c>
      <c r="G2440" t="s">
        <v>339</v>
      </c>
    </row>
    <row r="2441" spans="1:8" x14ac:dyDescent="0.3">
      <c r="A2441" t="s">
        <v>378</v>
      </c>
      <c r="B2441">
        <f>IFERROR(INDEX(MASTER_REGISTER!C:C,MATCH(C2441,MASTER_REGISTER!E:E,0)),"")</f>
        <v>11</v>
      </c>
      <c r="C2441" t="s">
        <v>244</v>
      </c>
      <c r="D2441" t="str">
        <f>IFERROR(INDEX(MASTER_REGISTER!F:F,MATCH(C2441,MASTER_REGISTER!E:E,0)),"")</f>
        <v>Bongani Ndlovu</v>
      </c>
      <c r="E2441" t="s">
        <v>337</v>
      </c>
      <c r="F2441" t="s">
        <v>338</v>
      </c>
      <c r="G2441" t="s">
        <v>339</v>
      </c>
    </row>
    <row r="2442" spans="1:8" x14ac:dyDescent="0.3">
      <c r="A2442" t="s">
        <v>378</v>
      </c>
      <c r="B2442">
        <f>IFERROR(INDEX(MASTER_REGISTER!C:C,MATCH(C2442,MASTER_REGISTER!E:E,0)),"")</f>
        <v>11</v>
      </c>
      <c r="C2442" t="s">
        <v>248</v>
      </c>
      <c r="D2442" t="str">
        <f>IFERROR(INDEX(MASTER_REGISTER!F:F,MATCH(C2442,MASTER_REGISTER!E:E,0)),"")</f>
        <v>Sifiso Dlamini</v>
      </c>
      <c r="E2442" t="s">
        <v>337</v>
      </c>
      <c r="F2442" t="s">
        <v>338</v>
      </c>
      <c r="G2442" t="s">
        <v>339</v>
      </c>
    </row>
    <row r="2443" spans="1:8" x14ac:dyDescent="0.3">
      <c r="A2443" t="s">
        <v>378</v>
      </c>
      <c r="B2443">
        <f>IFERROR(INDEX(MASTER_REGISTER!C:C,MATCH(C2443,MASTER_REGISTER!E:E,0)),"")</f>
        <v>11</v>
      </c>
      <c r="C2443" t="s">
        <v>252</v>
      </c>
      <c r="D2443" t="str">
        <f>IFERROR(INDEX(MASTER_REGISTER!F:F,MATCH(C2443,MASTER_REGISTER!E:E,0)),"")</f>
        <v>Refilwe Dlamini</v>
      </c>
      <c r="E2443" t="s">
        <v>335</v>
      </c>
      <c r="H2443" t="s">
        <v>336</v>
      </c>
    </row>
    <row r="2444" spans="1:8" x14ac:dyDescent="0.3">
      <c r="A2444" t="s">
        <v>378</v>
      </c>
      <c r="B2444">
        <f>IFERROR(INDEX(MASTER_REGISTER!C:C,MATCH(C2444,MASTER_REGISTER!E:E,0)),"")</f>
        <v>11</v>
      </c>
      <c r="C2444" t="s">
        <v>256</v>
      </c>
      <c r="D2444" t="str">
        <f>IFERROR(INDEX(MASTER_REGISTER!F:F,MATCH(C2444,MASTER_REGISTER!E:E,0)),"")</f>
        <v>Lwazi Maseko</v>
      </c>
      <c r="E2444" t="s">
        <v>335</v>
      </c>
      <c r="H2444" t="s">
        <v>341</v>
      </c>
    </row>
    <row r="2445" spans="1:8" x14ac:dyDescent="0.3">
      <c r="A2445" t="s">
        <v>378</v>
      </c>
      <c r="B2445">
        <f>IFERROR(INDEX(MASTER_REGISTER!C:C,MATCH(C2445,MASTER_REGISTER!E:E,0)),"")</f>
        <v>11</v>
      </c>
      <c r="C2445" t="s">
        <v>260</v>
      </c>
      <c r="D2445" t="str">
        <f>IFERROR(INDEX(MASTER_REGISTER!F:F,MATCH(C2445,MASTER_REGISTER!E:E,0)),"")</f>
        <v>Refilwe Mokgadi</v>
      </c>
      <c r="E2445" t="s">
        <v>337</v>
      </c>
      <c r="F2445" t="s">
        <v>338</v>
      </c>
      <c r="G2445" t="s">
        <v>339</v>
      </c>
    </row>
    <row r="2446" spans="1:8" x14ac:dyDescent="0.3">
      <c r="A2446" t="s">
        <v>378</v>
      </c>
      <c r="B2446">
        <f>IFERROR(INDEX(MASTER_REGISTER!C:C,MATCH(C2446,MASTER_REGISTER!E:E,0)),"")</f>
        <v>11</v>
      </c>
      <c r="C2446" t="s">
        <v>264</v>
      </c>
      <c r="D2446" t="str">
        <f>IFERROR(INDEX(MASTER_REGISTER!F:F,MATCH(C2446,MASTER_REGISTER!E:E,0)),"")</f>
        <v>Kgothatso Molefe</v>
      </c>
      <c r="E2446" t="s">
        <v>337</v>
      </c>
      <c r="F2446" t="s">
        <v>338</v>
      </c>
      <c r="G2446" t="s">
        <v>339</v>
      </c>
    </row>
    <row r="2447" spans="1:8" x14ac:dyDescent="0.3">
      <c r="A2447" t="s">
        <v>378</v>
      </c>
      <c r="B2447">
        <f>IFERROR(INDEX(MASTER_REGISTER!C:C,MATCH(C2447,MASTER_REGISTER!E:E,0)),"")</f>
        <v>11</v>
      </c>
      <c r="C2447" t="s">
        <v>268</v>
      </c>
      <c r="D2447" t="str">
        <f>IFERROR(INDEX(MASTER_REGISTER!F:F,MATCH(C2447,MASTER_REGISTER!E:E,0)),"")</f>
        <v>Tshepo Mokgadi</v>
      </c>
      <c r="E2447" t="s">
        <v>337</v>
      </c>
      <c r="F2447" t="s">
        <v>338</v>
      </c>
      <c r="G2447" t="s">
        <v>339</v>
      </c>
    </row>
    <row r="2448" spans="1:8" x14ac:dyDescent="0.3">
      <c r="A2448" t="s">
        <v>378</v>
      </c>
      <c r="B2448">
        <f>IFERROR(INDEX(MASTER_REGISTER!C:C,MATCH(C2448,MASTER_REGISTER!E:E,0)),"")</f>
        <v>11</v>
      </c>
      <c r="C2448" t="s">
        <v>272</v>
      </c>
      <c r="D2448" t="str">
        <f>IFERROR(INDEX(MASTER_REGISTER!F:F,MATCH(C2448,MASTER_REGISTER!E:E,0)),"")</f>
        <v>Tshepo Phiri</v>
      </c>
      <c r="E2448" t="s">
        <v>337</v>
      </c>
      <c r="F2448" t="s">
        <v>338</v>
      </c>
      <c r="G2448" t="s">
        <v>339</v>
      </c>
    </row>
    <row r="2449" spans="1:8" x14ac:dyDescent="0.3">
      <c r="A2449" t="s">
        <v>378</v>
      </c>
      <c r="B2449">
        <f>IFERROR(INDEX(MASTER_REGISTER!C:C,MATCH(C2449,MASTER_REGISTER!E:E,0)),"")</f>
        <v>11</v>
      </c>
      <c r="C2449" t="s">
        <v>276</v>
      </c>
      <c r="D2449" t="str">
        <f>IFERROR(INDEX(MASTER_REGISTER!F:F,MATCH(C2449,MASTER_REGISTER!E:E,0)),"")</f>
        <v>Zanele Ngobeni</v>
      </c>
      <c r="E2449" t="s">
        <v>337</v>
      </c>
      <c r="F2449" t="s">
        <v>338</v>
      </c>
      <c r="G2449" t="s">
        <v>339</v>
      </c>
    </row>
    <row r="2450" spans="1:8" x14ac:dyDescent="0.3">
      <c r="A2450" t="s">
        <v>378</v>
      </c>
      <c r="B2450">
        <f>IFERROR(INDEX(MASTER_REGISTER!C:C,MATCH(C2450,MASTER_REGISTER!E:E,0)),"")</f>
        <v>12</v>
      </c>
      <c r="C2450" t="s">
        <v>280</v>
      </c>
      <c r="D2450" t="str">
        <f>IFERROR(INDEX(MASTER_REGISTER!F:F,MATCH(C2450,MASTER_REGISTER!E:E,0)),"")</f>
        <v>Palesa Mokoena</v>
      </c>
      <c r="E2450" t="s">
        <v>335</v>
      </c>
      <c r="H2450" t="s">
        <v>340</v>
      </c>
    </row>
    <row r="2451" spans="1:8" x14ac:dyDescent="0.3">
      <c r="A2451" t="s">
        <v>378</v>
      </c>
      <c r="B2451">
        <f>IFERROR(INDEX(MASTER_REGISTER!C:C,MATCH(C2451,MASTER_REGISTER!E:E,0)),"")</f>
        <v>12</v>
      </c>
      <c r="C2451" t="s">
        <v>284</v>
      </c>
      <c r="D2451" t="str">
        <f>IFERROR(INDEX(MASTER_REGISTER!F:F,MATCH(C2451,MASTER_REGISTER!E:E,0)),"")</f>
        <v>Thabo Ramushu</v>
      </c>
      <c r="E2451" t="s">
        <v>335</v>
      </c>
      <c r="H2451" t="s">
        <v>340</v>
      </c>
    </row>
    <row r="2452" spans="1:8" x14ac:dyDescent="0.3">
      <c r="A2452" t="s">
        <v>378</v>
      </c>
      <c r="B2452">
        <f>IFERROR(INDEX(MASTER_REGISTER!C:C,MATCH(C2452,MASTER_REGISTER!E:E,0)),"")</f>
        <v>12</v>
      </c>
      <c r="C2452" t="s">
        <v>288</v>
      </c>
      <c r="D2452" t="str">
        <f>IFERROR(INDEX(MASTER_REGISTER!F:F,MATCH(C2452,MASTER_REGISTER!E:E,0)),"")</f>
        <v>Lwazi Ndlovu</v>
      </c>
      <c r="E2452" t="s">
        <v>337</v>
      </c>
      <c r="F2452" t="s">
        <v>338</v>
      </c>
      <c r="G2452" t="s">
        <v>339</v>
      </c>
    </row>
    <row r="2453" spans="1:8" x14ac:dyDescent="0.3">
      <c r="A2453" t="s">
        <v>378</v>
      </c>
      <c r="B2453">
        <f>IFERROR(INDEX(MASTER_REGISTER!C:C,MATCH(C2453,MASTER_REGISTER!E:E,0)),"")</f>
        <v>12</v>
      </c>
      <c r="C2453" t="s">
        <v>292</v>
      </c>
      <c r="D2453" t="str">
        <f>IFERROR(INDEX(MASTER_REGISTER!F:F,MATCH(C2453,MASTER_REGISTER!E:E,0)),"")</f>
        <v>Ayanda Dlamini</v>
      </c>
      <c r="E2453" t="s">
        <v>335</v>
      </c>
      <c r="H2453" t="s">
        <v>336</v>
      </c>
    </row>
    <row r="2454" spans="1:8" x14ac:dyDescent="0.3">
      <c r="A2454" t="s">
        <v>378</v>
      </c>
      <c r="B2454">
        <f>IFERROR(INDEX(MASTER_REGISTER!C:C,MATCH(C2454,MASTER_REGISTER!E:E,0)),"")</f>
        <v>12</v>
      </c>
      <c r="C2454" t="s">
        <v>296</v>
      </c>
      <c r="D2454" t="str">
        <f>IFERROR(INDEX(MASTER_REGISTER!F:F,MATCH(C2454,MASTER_REGISTER!E:E,0)),"")</f>
        <v>Neo Ndlovu</v>
      </c>
      <c r="E2454" t="s">
        <v>337</v>
      </c>
      <c r="F2454" t="s">
        <v>338</v>
      </c>
      <c r="G2454" t="s">
        <v>339</v>
      </c>
    </row>
    <row r="2455" spans="1:8" x14ac:dyDescent="0.3">
      <c r="A2455" t="s">
        <v>378</v>
      </c>
      <c r="B2455">
        <f>IFERROR(INDEX(MASTER_REGISTER!C:C,MATCH(C2455,MASTER_REGISTER!E:E,0)),"")</f>
        <v>12</v>
      </c>
      <c r="C2455" t="s">
        <v>300</v>
      </c>
      <c r="D2455" t="str">
        <f>IFERROR(INDEX(MASTER_REGISTER!F:F,MATCH(C2455,MASTER_REGISTER!E:E,0)),"")</f>
        <v>Neo Ramushu</v>
      </c>
      <c r="E2455" t="s">
        <v>337</v>
      </c>
      <c r="F2455" t="s">
        <v>338</v>
      </c>
      <c r="G2455" t="s">
        <v>339</v>
      </c>
    </row>
    <row r="2456" spans="1:8" x14ac:dyDescent="0.3">
      <c r="A2456" t="s">
        <v>378</v>
      </c>
      <c r="B2456">
        <f>IFERROR(INDEX(MASTER_REGISTER!C:C,MATCH(C2456,MASTER_REGISTER!E:E,0)),"")</f>
        <v>12</v>
      </c>
      <c r="C2456" t="s">
        <v>304</v>
      </c>
      <c r="D2456" t="str">
        <f>IFERROR(INDEX(MASTER_REGISTER!F:F,MATCH(C2456,MASTER_REGISTER!E:E,0)),"")</f>
        <v>Karabo Baloyi</v>
      </c>
      <c r="E2456" t="s">
        <v>335</v>
      </c>
      <c r="H2456" t="s">
        <v>336</v>
      </c>
    </row>
    <row r="2457" spans="1:8" x14ac:dyDescent="0.3">
      <c r="A2457" t="s">
        <v>378</v>
      </c>
      <c r="B2457">
        <f>IFERROR(INDEX(MASTER_REGISTER!C:C,MATCH(C2457,MASTER_REGISTER!E:E,0)),"")</f>
        <v>12</v>
      </c>
      <c r="C2457" t="s">
        <v>308</v>
      </c>
      <c r="D2457" t="str">
        <f>IFERROR(INDEX(MASTER_REGISTER!F:F,MATCH(C2457,MASTER_REGISTER!E:E,0)),"")</f>
        <v>Tshepo Mokgadi</v>
      </c>
      <c r="E2457" t="s">
        <v>337</v>
      </c>
      <c r="F2457" t="s">
        <v>338</v>
      </c>
      <c r="G2457" t="s">
        <v>339</v>
      </c>
    </row>
    <row r="2458" spans="1:8" x14ac:dyDescent="0.3">
      <c r="A2458" t="s">
        <v>378</v>
      </c>
      <c r="B2458">
        <f>IFERROR(INDEX(MASTER_REGISTER!C:C,MATCH(C2458,MASTER_REGISTER!E:E,0)),"")</f>
        <v>12</v>
      </c>
      <c r="C2458" t="s">
        <v>311</v>
      </c>
      <c r="D2458" t="str">
        <f>IFERROR(INDEX(MASTER_REGISTER!F:F,MATCH(C2458,MASTER_REGISTER!E:E,0)),"")</f>
        <v>Sifiso Mavuso</v>
      </c>
      <c r="E2458" t="s">
        <v>335</v>
      </c>
      <c r="H2458" t="s">
        <v>341</v>
      </c>
    </row>
    <row r="2459" spans="1:8" x14ac:dyDescent="0.3">
      <c r="A2459" t="s">
        <v>378</v>
      </c>
      <c r="B2459">
        <f>IFERROR(INDEX(MASTER_REGISTER!C:C,MATCH(C2459,MASTER_REGISTER!E:E,0)),"")</f>
        <v>12</v>
      </c>
      <c r="C2459" t="s">
        <v>315</v>
      </c>
      <c r="D2459" t="str">
        <f>IFERROR(INDEX(MASTER_REGISTER!F:F,MATCH(C2459,MASTER_REGISTER!E:E,0)),"")</f>
        <v>Refilwe Sithole</v>
      </c>
      <c r="E2459" t="s">
        <v>337</v>
      </c>
      <c r="F2459" t="s">
        <v>338</v>
      </c>
      <c r="G2459" t="s">
        <v>339</v>
      </c>
    </row>
    <row r="2460" spans="1:8" x14ac:dyDescent="0.3">
      <c r="A2460" t="s">
        <v>378</v>
      </c>
      <c r="B2460">
        <f>IFERROR(INDEX(MASTER_REGISTER!C:C,MATCH(C2460,MASTER_REGISTER!E:E,0)),"")</f>
        <v>12</v>
      </c>
      <c r="C2460" t="s">
        <v>319</v>
      </c>
      <c r="D2460" t="str">
        <f>IFERROR(INDEX(MASTER_REGISTER!F:F,MATCH(C2460,MASTER_REGISTER!E:E,0)),"")</f>
        <v>Lerato Sithole</v>
      </c>
      <c r="E2460" t="s">
        <v>337</v>
      </c>
      <c r="F2460" t="s">
        <v>338</v>
      </c>
      <c r="G2460" t="s">
        <v>339</v>
      </c>
    </row>
    <row r="2461" spans="1:8" x14ac:dyDescent="0.3">
      <c r="A2461" t="s">
        <v>378</v>
      </c>
      <c r="B2461">
        <f>IFERROR(INDEX(MASTER_REGISTER!C:C,MATCH(C2461,MASTER_REGISTER!E:E,0)),"")</f>
        <v>12</v>
      </c>
      <c r="C2461" t="s">
        <v>323</v>
      </c>
      <c r="D2461" t="str">
        <f>IFERROR(INDEX(MASTER_REGISTER!F:F,MATCH(C2461,MASTER_REGISTER!E:E,0)),"")</f>
        <v>Sibusiso Ngobeni</v>
      </c>
      <c r="E2461" t="s">
        <v>337</v>
      </c>
      <c r="F2461" t="s">
        <v>338</v>
      </c>
      <c r="G2461" t="s">
        <v>339</v>
      </c>
    </row>
    <row r="2462" spans="1:8" x14ac:dyDescent="0.3">
      <c r="A2462" t="s">
        <v>379</v>
      </c>
      <c r="B2462">
        <f>IFERROR(INDEX(MASTER_REGISTER!C:C,MATCH(C2462,MASTER_REGISTER!E:E,0)),"")</f>
        <v>8</v>
      </c>
      <c r="C2462" t="s">
        <v>50</v>
      </c>
      <c r="D2462" t="str">
        <f>IFERROR(INDEX(MASTER_REGISTER!F:F,MATCH(C2462,MASTER_REGISTER!E:E,0)),"")</f>
        <v>Lerato Nkosi</v>
      </c>
      <c r="E2462" t="s">
        <v>337</v>
      </c>
      <c r="F2462" t="s">
        <v>338</v>
      </c>
      <c r="G2462" t="s">
        <v>339</v>
      </c>
    </row>
    <row r="2463" spans="1:8" x14ac:dyDescent="0.3">
      <c r="A2463" t="s">
        <v>379</v>
      </c>
      <c r="B2463">
        <f>IFERROR(INDEX(MASTER_REGISTER!C:C,MATCH(C2463,MASTER_REGISTER!E:E,0)),"")</f>
        <v>8</v>
      </c>
      <c r="C2463" t="s">
        <v>58</v>
      </c>
      <c r="D2463" t="str">
        <f>IFERROR(INDEX(MASTER_REGISTER!F:F,MATCH(C2463,MASTER_REGISTER!E:E,0)),"")</f>
        <v>Karabo Maseko</v>
      </c>
      <c r="E2463" t="s">
        <v>337</v>
      </c>
      <c r="F2463" t="s">
        <v>338</v>
      </c>
      <c r="G2463" t="s">
        <v>339</v>
      </c>
    </row>
    <row r="2464" spans="1:8" x14ac:dyDescent="0.3">
      <c r="A2464" t="s">
        <v>379</v>
      </c>
      <c r="B2464">
        <f>IFERROR(INDEX(MASTER_REGISTER!C:C,MATCH(C2464,MASTER_REGISTER!E:E,0)),"")</f>
        <v>8</v>
      </c>
      <c r="C2464" t="s">
        <v>64</v>
      </c>
      <c r="D2464" t="str">
        <f>IFERROR(INDEX(MASTER_REGISTER!F:F,MATCH(C2464,MASTER_REGISTER!E:E,0)),"")</f>
        <v>Sifiso Sithole</v>
      </c>
      <c r="E2464" t="s">
        <v>337</v>
      </c>
      <c r="F2464" t="s">
        <v>338</v>
      </c>
      <c r="G2464" t="s">
        <v>339</v>
      </c>
    </row>
    <row r="2465" spans="1:7" x14ac:dyDescent="0.3">
      <c r="A2465" t="s">
        <v>379</v>
      </c>
      <c r="B2465">
        <f>IFERROR(INDEX(MASTER_REGISTER!C:C,MATCH(C2465,MASTER_REGISTER!E:E,0)),"")</f>
        <v>8</v>
      </c>
      <c r="C2465" t="s">
        <v>70</v>
      </c>
      <c r="D2465" t="str">
        <f>IFERROR(INDEX(MASTER_REGISTER!F:F,MATCH(C2465,MASTER_REGISTER!E:E,0)),"")</f>
        <v>Tshepo Ndlovu</v>
      </c>
      <c r="E2465" t="s">
        <v>337</v>
      </c>
      <c r="F2465" t="s">
        <v>338</v>
      </c>
      <c r="G2465" t="s">
        <v>339</v>
      </c>
    </row>
    <row r="2466" spans="1:7" x14ac:dyDescent="0.3">
      <c r="A2466" t="s">
        <v>379</v>
      </c>
      <c r="B2466">
        <f>IFERROR(INDEX(MASTER_REGISTER!C:C,MATCH(C2466,MASTER_REGISTER!E:E,0)),"")</f>
        <v>8</v>
      </c>
      <c r="C2466" t="s">
        <v>76</v>
      </c>
      <c r="D2466" t="str">
        <f>IFERROR(INDEX(MASTER_REGISTER!F:F,MATCH(C2466,MASTER_REGISTER!E:E,0)),"")</f>
        <v>Lwazi Mthembu</v>
      </c>
      <c r="E2466" t="s">
        <v>337</v>
      </c>
      <c r="F2466" t="s">
        <v>338</v>
      </c>
      <c r="G2466" t="s">
        <v>339</v>
      </c>
    </row>
    <row r="2467" spans="1:7" x14ac:dyDescent="0.3">
      <c r="A2467" t="s">
        <v>379</v>
      </c>
      <c r="B2467">
        <f>IFERROR(INDEX(MASTER_REGISTER!C:C,MATCH(C2467,MASTER_REGISTER!E:E,0)),"")</f>
        <v>8</v>
      </c>
      <c r="C2467" t="s">
        <v>82</v>
      </c>
      <c r="D2467" t="str">
        <f>IFERROR(INDEX(MASTER_REGISTER!F:F,MATCH(C2467,MASTER_REGISTER!E:E,0)),"")</f>
        <v>Karabo Ngobeni</v>
      </c>
      <c r="E2467" t="s">
        <v>337</v>
      </c>
      <c r="F2467" t="s">
        <v>338</v>
      </c>
      <c r="G2467" t="s">
        <v>339</v>
      </c>
    </row>
    <row r="2468" spans="1:7" x14ac:dyDescent="0.3">
      <c r="A2468" t="s">
        <v>379</v>
      </c>
      <c r="B2468">
        <f>IFERROR(INDEX(MASTER_REGISTER!C:C,MATCH(C2468,MASTER_REGISTER!E:E,0)),"")</f>
        <v>8</v>
      </c>
      <c r="C2468" t="s">
        <v>88</v>
      </c>
      <c r="D2468" t="str">
        <f>IFERROR(INDEX(MASTER_REGISTER!F:F,MATCH(C2468,MASTER_REGISTER!E:E,0)),"")</f>
        <v>Mpho Sithole</v>
      </c>
      <c r="E2468" t="s">
        <v>337</v>
      </c>
      <c r="F2468" t="s">
        <v>338</v>
      </c>
      <c r="G2468" t="s">
        <v>339</v>
      </c>
    </row>
    <row r="2469" spans="1:7" x14ac:dyDescent="0.3">
      <c r="A2469" t="s">
        <v>379</v>
      </c>
      <c r="B2469">
        <f>IFERROR(INDEX(MASTER_REGISTER!C:C,MATCH(C2469,MASTER_REGISTER!E:E,0)),"")</f>
        <v>8</v>
      </c>
      <c r="C2469" t="s">
        <v>94</v>
      </c>
      <c r="D2469" t="str">
        <f>IFERROR(INDEX(MASTER_REGISTER!F:F,MATCH(C2469,MASTER_REGISTER!E:E,0)),"")</f>
        <v>Tshepo Ramushu</v>
      </c>
      <c r="E2469" t="s">
        <v>337</v>
      </c>
      <c r="F2469" t="s">
        <v>338</v>
      </c>
      <c r="G2469" t="s">
        <v>339</v>
      </c>
    </row>
    <row r="2470" spans="1:7" x14ac:dyDescent="0.3">
      <c r="A2470" t="s">
        <v>379</v>
      </c>
      <c r="B2470">
        <f>IFERROR(INDEX(MASTER_REGISTER!C:C,MATCH(C2470,MASTER_REGISTER!E:E,0)),"")</f>
        <v>8</v>
      </c>
      <c r="C2470" t="s">
        <v>100</v>
      </c>
      <c r="D2470" t="str">
        <f>IFERROR(INDEX(MASTER_REGISTER!F:F,MATCH(C2470,MASTER_REGISTER!E:E,0)),"")</f>
        <v>Lerato Kekana</v>
      </c>
      <c r="E2470" t="s">
        <v>337</v>
      </c>
      <c r="F2470" t="s">
        <v>338</v>
      </c>
      <c r="G2470" t="s">
        <v>339</v>
      </c>
    </row>
    <row r="2471" spans="1:7" x14ac:dyDescent="0.3">
      <c r="A2471" t="s">
        <v>379</v>
      </c>
      <c r="B2471">
        <f>IFERROR(INDEX(MASTER_REGISTER!C:C,MATCH(C2471,MASTER_REGISTER!E:E,0)),"")</f>
        <v>8</v>
      </c>
      <c r="C2471" t="s">
        <v>106</v>
      </c>
      <c r="D2471" t="str">
        <f>IFERROR(INDEX(MASTER_REGISTER!F:F,MATCH(C2471,MASTER_REGISTER!E:E,0)),"")</f>
        <v>Neo Ngobeni</v>
      </c>
      <c r="E2471" t="s">
        <v>337</v>
      </c>
      <c r="F2471" t="s">
        <v>338</v>
      </c>
      <c r="G2471" t="s">
        <v>339</v>
      </c>
    </row>
    <row r="2472" spans="1:7" x14ac:dyDescent="0.3">
      <c r="A2472" t="s">
        <v>379</v>
      </c>
      <c r="B2472">
        <f>IFERROR(INDEX(MASTER_REGISTER!C:C,MATCH(C2472,MASTER_REGISTER!E:E,0)),"")</f>
        <v>8</v>
      </c>
      <c r="C2472" t="s">
        <v>112</v>
      </c>
      <c r="D2472" t="str">
        <f>IFERROR(INDEX(MASTER_REGISTER!F:F,MATCH(C2472,MASTER_REGISTER!E:E,0)),"")</f>
        <v>Thabo Mokgadi</v>
      </c>
      <c r="E2472" t="s">
        <v>337</v>
      </c>
      <c r="F2472" t="s">
        <v>338</v>
      </c>
      <c r="G2472" t="s">
        <v>339</v>
      </c>
    </row>
    <row r="2473" spans="1:7" x14ac:dyDescent="0.3">
      <c r="A2473" t="s">
        <v>379</v>
      </c>
      <c r="B2473">
        <f>IFERROR(INDEX(MASTER_REGISTER!C:C,MATCH(C2473,MASTER_REGISTER!E:E,0)),"")</f>
        <v>8</v>
      </c>
      <c r="C2473" t="s">
        <v>118</v>
      </c>
      <c r="D2473" t="str">
        <f>IFERROR(INDEX(MASTER_REGISTER!F:F,MATCH(C2473,MASTER_REGISTER!E:E,0)),"")</f>
        <v>Sifiso Mthembu</v>
      </c>
      <c r="E2473" t="s">
        <v>337</v>
      </c>
      <c r="F2473" t="s">
        <v>338</v>
      </c>
      <c r="G2473" t="s">
        <v>339</v>
      </c>
    </row>
    <row r="2474" spans="1:7" x14ac:dyDescent="0.3">
      <c r="A2474" t="s">
        <v>379</v>
      </c>
      <c r="B2474">
        <f>IFERROR(INDEX(MASTER_REGISTER!C:C,MATCH(C2474,MASTER_REGISTER!E:E,0)),"")</f>
        <v>9</v>
      </c>
      <c r="C2474" t="s">
        <v>123</v>
      </c>
      <c r="D2474" t="str">
        <f>IFERROR(INDEX(MASTER_REGISTER!F:F,MATCH(C2474,MASTER_REGISTER!E:E,0)),"")</f>
        <v>Karabo Phiri</v>
      </c>
      <c r="E2474" t="s">
        <v>337</v>
      </c>
      <c r="F2474" t="s">
        <v>338</v>
      </c>
      <c r="G2474" t="s">
        <v>339</v>
      </c>
    </row>
    <row r="2475" spans="1:7" x14ac:dyDescent="0.3">
      <c r="A2475" t="s">
        <v>379</v>
      </c>
      <c r="B2475">
        <f>IFERROR(INDEX(MASTER_REGISTER!C:C,MATCH(C2475,MASTER_REGISTER!E:E,0)),"")</f>
        <v>9</v>
      </c>
      <c r="C2475" t="s">
        <v>128</v>
      </c>
      <c r="D2475" t="str">
        <f>IFERROR(INDEX(MASTER_REGISTER!F:F,MATCH(C2475,MASTER_REGISTER!E:E,0)),"")</f>
        <v>Lerato Mahlangu</v>
      </c>
      <c r="E2475" t="s">
        <v>337</v>
      </c>
      <c r="F2475" t="s">
        <v>338</v>
      </c>
      <c r="G2475" t="s">
        <v>339</v>
      </c>
    </row>
    <row r="2476" spans="1:7" x14ac:dyDescent="0.3">
      <c r="A2476" t="s">
        <v>379</v>
      </c>
      <c r="B2476">
        <f>IFERROR(INDEX(MASTER_REGISTER!C:C,MATCH(C2476,MASTER_REGISTER!E:E,0)),"")</f>
        <v>9</v>
      </c>
      <c r="C2476" t="s">
        <v>133</v>
      </c>
      <c r="D2476" t="str">
        <f>IFERROR(INDEX(MASTER_REGISTER!F:F,MATCH(C2476,MASTER_REGISTER!E:E,0)),"")</f>
        <v>Mpho Kekana</v>
      </c>
      <c r="E2476" t="s">
        <v>337</v>
      </c>
      <c r="F2476" t="s">
        <v>338</v>
      </c>
      <c r="G2476" t="s">
        <v>339</v>
      </c>
    </row>
    <row r="2477" spans="1:7" x14ac:dyDescent="0.3">
      <c r="A2477" t="s">
        <v>379</v>
      </c>
      <c r="B2477">
        <f>IFERROR(INDEX(MASTER_REGISTER!C:C,MATCH(C2477,MASTER_REGISTER!E:E,0)),"")</f>
        <v>9</v>
      </c>
      <c r="C2477" t="s">
        <v>138</v>
      </c>
      <c r="D2477" t="str">
        <f>IFERROR(INDEX(MASTER_REGISTER!F:F,MATCH(C2477,MASTER_REGISTER!E:E,0)),"")</f>
        <v>Thabo Molefe</v>
      </c>
      <c r="E2477" t="s">
        <v>337</v>
      </c>
      <c r="F2477" t="s">
        <v>338</v>
      </c>
      <c r="G2477" t="s">
        <v>339</v>
      </c>
    </row>
    <row r="2478" spans="1:7" x14ac:dyDescent="0.3">
      <c r="A2478" t="s">
        <v>379</v>
      </c>
      <c r="B2478">
        <f>IFERROR(INDEX(MASTER_REGISTER!C:C,MATCH(C2478,MASTER_REGISTER!E:E,0)),"")</f>
        <v>9</v>
      </c>
      <c r="C2478" t="s">
        <v>143</v>
      </c>
      <c r="D2478" t="str">
        <f>IFERROR(INDEX(MASTER_REGISTER!F:F,MATCH(C2478,MASTER_REGISTER!E:E,0)),"")</f>
        <v>Mpho Ngobeni</v>
      </c>
      <c r="E2478" t="s">
        <v>337</v>
      </c>
      <c r="F2478" t="s">
        <v>338</v>
      </c>
      <c r="G2478" t="s">
        <v>339</v>
      </c>
    </row>
    <row r="2479" spans="1:7" x14ac:dyDescent="0.3">
      <c r="A2479" t="s">
        <v>379</v>
      </c>
      <c r="B2479">
        <f>IFERROR(INDEX(MASTER_REGISTER!C:C,MATCH(C2479,MASTER_REGISTER!E:E,0)),"")</f>
        <v>9</v>
      </c>
      <c r="C2479" t="s">
        <v>148</v>
      </c>
      <c r="D2479" t="str">
        <f>IFERROR(INDEX(MASTER_REGISTER!F:F,MATCH(C2479,MASTER_REGISTER!E:E,0)),"")</f>
        <v>Siyanda Mhlongo</v>
      </c>
      <c r="E2479" t="s">
        <v>337</v>
      </c>
      <c r="F2479" t="s">
        <v>338</v>
      </c>
      <c r="G2479" t="s">
        <v>339</v>
      </c>
    </row>
    <row r="2480" spans="1:7" x14ac:dyDescent="0.3">
      <c r="A2480" t="s">
        <v>379</v>
      </c>
      <c r="B2480">
        <f>IFERROR(INDEX(MASTER_REGISTER!C:C,MATCH(C2480,MASTER_REGISTER!E:E,0)),"")</f>
        <v>9</v>
      </c>
      <c r="C2480" t="s">
        <v>153</v>
      </c>
      <c r="D2480" t="str">
        <f>IFERROR(INDEX(MASTER_REGISTER!F:F,MATCH(C2480,MASTER_REGISTER!E:E,0)),"")</f>
        <v>Siyanda Mahlangu</v>
      </c>
      <c r="E2480" t="s">
        <v>337</v>
      </c>
      <c r="F2480" t="s">
        <v>338</v>
      </c>
      <c r="G2480" t="s">
        <v>339</v>
      </c>
    </row>
    <row r="2481" spans="1:8" x14ac:dyDescent="0.3">
      <c r="A2481" t="s">
        <v>379</v>
      </c>
      <c r="B2481">
        <f>IFERROR(INDEX(MASTER_REGISTER!C:C,MATCH(C2481,MASTER_REGISTER!E:E,0)),"")</f>
        <v>9</v>
      </c>
      <c r="C2481" t="s">
        <v>158</v>
      </c>
      <c r="D2481" t="str">
        <f>IFERROR(INDEX(MASTER_REGISTER!F:F,MATCH(C2481,MASTER_REGISTER!E:E,0)),"")</f>
        <v>Sifiso Ramushu</v>
      </c>
      <c r="E2481" t="s">
        <v>337</v>
      </c>
      <c r="F2481" t="s">
        <v>338</v>
      </c>
      <c r="G2481" t="s">
        <v>339</v>
      </c>
    </row>
    <row r="2482" spans="1:8" x14ac:dyDescent="0.3">
      <c r="A2482" t="s">
        <v>379</v>
      </c>
      <c r="B2482">
        <f>IFERROR(INDEX(MASTER_REGISTER!C:C,MATCH(C2482,MASTER_REGISTER!E:E,0)),"")</f>
        <v>9</v>
      </c>
      <c r="C2482" t="s">
        <v>163</v>
      </c>
      <c r="D2482" t="str">
        <f>IFERROR(INDEX(MASTER_REGISTER!F:F,MATCH(C2482,MASTER_REGISTER!E:E,0)),"")</f>
        <v>Nandi Ngobeni</v>
      </c>
      <c r="E2482" t="s">
        <v>335</v>
      </c>
      <c r="H2482" t="s">
        <v>342</v>
      </c>
    </row>
    <row r="2483" spans="1:8" x14ac:dyDescent="0.3">
      <c r="A2483" t="s">
        <v>379</v>
      </c>
      <c r="B2483">
        <f>IFERROR(INDEX(MASTER_REGISTER!C:C,MATCH(C2483,MASTER_REGISTER!E:E,0)),"")</f>
        <v>9</v>
      </c>
      <c r="C2483" t="s">
        <v>168</v>
      </c>
      <c r="D2483" t="str">
        <f>IFERROR(INDEX(MASTER_REGISTER!F:F,MATCH(C2483,MASTER_REGISTER!E:E,0)),"")</f>
        <v>Karabo Mokgadi</v>
      </c>
      <c r="E2483" t="s">
        <v>337</v>
      </c>
      <c r="F2483" t="s">
        <v>338</v>
      </c>
      <c r="G2483" t="s">
        <v>339</v>
      </c>
    </row>
    <row r="2484" spans="1:8" x14ac:dyDescent="0.3">
      <c r="A2484" t="s">
        <v>379</v>
      </c>
      <c r="B2484">
        <f>IFERROR(INDEX(MASTER_REGISTER!C:C,MATCH(C2484,MASTER_REGISTER!E:E,0)),"")</f>
        <v>9</v>
      </c>
      <c r="C2484" t="s">
        <v>173</v>
      </c>
      <c r="D2484" t="str">
        <f>IFERROR(INDEX(MASTER_REGISTER!F:F,MATCH(C2484,MASTER_REGISTER!E:E,0)),"")</f>
        <v>Sifiso Mahlangu</v>
      </c>
      <c r="E2484" t="s">
        <v>337</v>
      </c>
      <c r="F2484" t="s">
        <v>338</v>
      </c>
      <c r="G2484" t="s">
        <v>339</v>
      </c>
    </row>
    <row r="2485" spans="1:8" x14ac:dyDescent="0.3">
      <c r="A2485" t="s">
        <v>379</v>
      </c>
      <c r="B2485">
        <f>IFERROR(INDEX(MASTER_REGISTER!C:C,MATCH(C2485,MASTER_REGISTER!E:E,0)),"")</f>
        <v>9</v>
      </c>
      <c r="C2485" t="s">
        <v>178</v>
      </c>
      <c r="D2485" t="str">
        <f>IFERROR(INDEX(MASTER_REGISTER!F:F,MATCH(C2485,MASTER_REGISTER!E:E,0)),"")</f>
        <v>Kgothatso Radebe</v>
      </c>
      <c r="E2485" t="s">
        <v>337</v>
      </c>
      <c r="F2485" t="s">
        <v>338</v>
      </c>
      <c r="G2485" t="s">
        <v>339</v>
      </c>
    </row>
    <row r="2486" spans="1:8" x14ac:dyDescent="0.3">
      <c r="A2486" t="s">
        <v>379</v>
      </c>
      <c r="B2486">
        <f>IFERROR(INDEX(MASTER_REGISTER!C:C,MATCH(C2486,MASTER_REGISTER!E:E,0)),"")</f>
        <v>10</v>
      </c>
      <c r="C2486" t="s">
        <v>183</v>
      </c>
      <c r="D2486" t="str">
        <f>IFERROR(INDEX(MASTER_REGISTER!F:F,MATCH(C2486,MASTER_REGISTER!E:E,0)),"")</f>
        <v>Lerato Maseko</v>
      </c>
      <c r="E2486" t="s">
        <v>335</v>
      </c>
      <c r="H2486" t="s">
        <v>342</v>
      </c>
    </row>
    <row r="2487" spans="1:8" x14ac:dyDescent="0.3">
      <c r="A2487" t="s">
        <v>379</v>
      </c>
      <c r="B2487">
        <f>IFERROR(INDEX(MASTER_REGISTER!C:C,MATCH(C2487,MASTER_REGISTER!E:E,0)),"")</f>
        <v>10</v>
      </c>
      <c r="C2487" t="s">
        <v>188</v>
      </c>
      <c r="D2487" t="str">
        <f>IFERROR(INDEX(MASTER_REGISTER!F:F,MATCH(C2487,MASTER_REGISTER!E:E,0)),"")</f>
        <v>Sibusiso Molefe</v>
      </c>
      <c r="E2487" t="s">
        <v>337</v>
      </c>
      <c r="F2487" t="s">
        <v>338</v>
      </c>
      <c r="G2487" t="s">
        <v>339</v>
      </c>
    </row>
    <row r="2488" spans="1:8" x14ac:dyDescent="0.3">
      <c r="A2488" t="s">
        <v>379</v>
      </c>
      <c r="B2488">
        <f>IFERROR(INDEX(MASTER_REGISTER!C:C,MATCH(C2488,MASTER_REGISTER!E:E,0)),"")</f>
        <v>10</v>
      </c>
      <c r="C2488" t="s">
        <v>193</v>
      </c>
      <c r="D2488" t="str">
        <f>IFERROR(INDEX(MASTER_REGISTER!F:F,MATCH(C2488,MASTER_REGISTER!E:E,0)),"")</f>
        <v>Nandi Molefe</v>
      </c>
      <c r="E2488" t="s">
        <v>337</v>
      </c>
      <c r="F2488" t="s">
        <v>338</v>
      </c>
      <c r="G2488" t="s">
        <v>339</v>
      </c>
    </row>
    <row r="2489" spans="1:8" x14ac:dyDescent="0.3">
      <c r="A2489" t="s">
        <v>379</v>
      </c>
      <c r="B2489">
        <f>IFERROR(INDEX(MASTER_REGISTER!C:C,MATCH(C2489,MASTER_REGISTER!E:E,0)),"")</f>
        <v>10</v>
      </c>
      <c r="C2489" t="s">
        <v>198</v>
      </c>
      <c r="D2489" t="str">
        <f>IFERROR(INDEX(MASTER_REGISTER!F:F,MATCH(C2489,MASTER_REGISTER!E:E,0)),"")</f>
        <v>Kgothatso Baloyi</v>
      </c>
      <c r="E2489" t="s">
        <v>337</v>
      </c>
      <c r="F2489" t="s">
        <v>338</v>
      </c>
      <c r="G2489" t="s">
        <v>339</v>
      </c>
    </row>
    <row r="2490" spans="1:8" x14ac:dyDescent="0.3">
      <c r="A2490" t="s">
        <v>379</v>
      </c>
      <c r="B2490">
        <f>IFERROR(INDEX(MASTER_REGISTER!C:C,MATCH(C2490,MASTER_REGISTER!E:E,0)),"")</f>
        <v>10</v>
      </c>
      <c r="C2490" t="s">
        <v>202</v>
      </c>
      <c r="D2490" t="str">
        <f>IFERROR(INDEX(MASTER_REGISTER!F:F,MATCH(C2490,MASTER_REGISTER!E:E,0)),"")</f>
        <v>Ayanda Mokoena</v>
      </c>
      <c r="E2490" t="s">
        <v>337</v>
      </c>
      <c r="F2490" t="s">
        <v>338</v>
      </c>
      <c r="G2490" t="s">
        <v>339</v>
      </c>
    </row>
    <row r="2491" spans="1:8" x14ac:dyDescent="0.3">
      <c r="A2491" t="s">
        <v>379</v>
      </c>
      <c r="B2491">
        <f>IFERROR(INDEX(MASTER_REGISTER!C:C,MATCH(C2491,MASTER_REGISTER!E:E,0)),"")</f>
        <v>10</v>
      </c>
      <c r="C2491" t="s">
        <v>206</v>
      </c>
      <c r="D2491" t="str">
        <f>IFERROR(INDEX(MASTER_REGISTER!F:F,MATCH(C2491,MASTER_REGISTER!E:E,0)),"")</f>
        <v>Lwazi Baloyi</v>
      </c>
      <c r="E2491" t="s">
        <v>337</v>
      </c>
      <c r="F2491" t="s">
        <v>338</v>
      </c>
      <c r="G2491" t="s">
        <v>339</v>
      </c>
    </row>
    <row r="2492" spans="1:8" x14ac:dyDescent="0.3">
      <c r="A2492" t="s">
        <v>379</v>
      </c>
      <c r="B2492">
        <f>IFERROR(INDEX(MASTER_REGISTER!C:C,MATCH(C2492,MASTER_REGISTER!E:E,0)),"")</f>
        <v>10</v>
      </c>
      <c r="C2492" t="s">
        <v>210</v>
      </c>
      <c r="D2492" t="str">
        <f>IFERROR(INDEX(MASTER_REGISTER!F:F,MATCH(C2492,MASTER_REGISTER!E:E,0)),"")</f>
        <v>Siyanda Mokoena</v>
      </c>
      <c r="E2492" t="s">
        <v>337</v>
      </c>
      <c r="F2492" t="s">
        <v>338</v>
      </c>
      <c r="G2492" t="s">
        <v>339</v>
      </c>
    </row>
    <row r="2493" spans="1:8" x14ac:dyDescent="0.3">
      <c r="A2493" t="s">
        <v>379</v>
      </c>
      <c r="B2493">
        <f>IFERROR(INDEX(MASTER_REGISTER!C:C,MATCH(C2493,MASTER_REGISTER!E:E,0)),"")</f>
        <v>10</v>
      </c>
      <c r="C2493" t="s">
        <v>214</v>
      </c>
      <c r="D2493" t="str">
        <f>IFERROR(INDEX(MASTER_REGISTER!F:F,MATCH(C2493,MASTER_REGISTER!E:E,0)),"")</f>
        <v>Mpho Ngobeni</v>
      </c>
      <c r="E2493" t="s">
        <v>337</v>
      </c>
      <c r="F2493" t="s">
        <v>338</v>
      </c>
      <c r="G2493" t="s">
        <v>339</v>
      </c>
    </row>
    <row r="2494" spans="1:8" x14ac:dyDescent="0.3">
      <c r="A2494" t="s">
        <v>379</v>
      </c>
      <c r="B2494">
        <f>IFERROR(INDEX(MASTER_REGISTER!C:C,MATCH(C2494,MASTER_REGISTER!E:E,0)),"")</f>
        <v>10</v>
      </c>
      <c r="C2494" t="s">
        <v>217</v>
      </c>
      <c r="D2494" t="str">
        <f>IFERROR(INDEX(MASTER_REGISTER!F:F,MATCH(C2494,MASTER_REGISTER!E:E,0)),"")</f>
        <v>Naledi Makhubela</v>
      </c>
      <c r="E2494" t="s">
        <v>335</v>
      </c>
      <c r="H2494" t="s">
        <v>336</v>
      </c>
    </row>
    <row r="2495" spans="1:8" x14ac:dyDescent="0.3">
      <c r="A2495" t="s">
        <v>379</v>
      </c>
      <c r="B2495">
        <f>IFERROR(INDEX(MASTER_REGISTER!C:C,MATCH(C2495,MASTER_REGISTER!E:E,0)),"")</f>
        <v>10</v>
      </c>
      <c r="C2495" t="s">
        <v>221</v>
      </c>
      <c r="D2495" t="str">
        <f>IFERROR(INDEX(MASTER_REGISTER!F:F,MATCH(C2495,MASTER_REGISTER!E:E,0)),"")</f>
        <v>Kgothatso Mokoena</v>
      </c>
      <c r="E2495" t="s">
        <v>337</v>
      </c>
      <c r="F2495" t="s">
        <v>338</v>
      </c>
      <c r="G2495" t="s">
        <v>339</v>
      </c>
    </row>
    <row r="2496" spans="1:8" x14ac:dyDescent="0.3">
      <c r="A2496" t="s">
        <v>379</v>
      </c>
      <c r="B2496">
        <f>IFERROR(INDEX(MASTER_REGISTER!C:C,MATCH(C2496,MASTER_REGISTER!E:E,0)),"")</f>
        <v>10</v>
      </c>
      <c r="C2496" t="s">
        <v>225</v>
      </c>
      <c r="D2496" t="str">
        <f>IFERROR(INDEX(MASTER_REGISTER!F:F,MATCH(C2496,MASTER_REGISTER!E:E,0)),"")</f>
        <v>Bongani Makhubela</v>
      </c>
      <c r="E2496" t="s">
        <v>337</v>
      </c>
      <c r="F2496" t="s">
        <v>338</v>
      </c>
      <c r="G2496" t="s">
        <v>339</v>
      </c>
    </row>
    <row r="2497" spans="1:8" x14ac:dyDescent="0.3">
      <c r="A2497" t="s">
        <v>379</v>
      </c>
      <c r="B2497">
        <f>IFERROR(INDEX(MASTER_REGISTER!C:C,MATCH(C2497,MASTER_REGISTER!E:E,0)),"")</f>
        <v>10</v>
      </c>
      <c r="C2497" t="s">
        <v>229</v>
      </c>
      <c r="D2497" t="str">
        <f>IFERROR(INDEX(MASTER_REGISTER!F:F,MATCH(C2497,MASTER_REGISTER!E:E,0)),"")</f>
        <v>Kagiso Kekana</v>
      </c>
      <c r="E2497" t="s">
        <v>337</v>
      </c>
      <c r="F2497" t="s">
        <v>338</v>
      </c>
      <c r="G2497" t="s">
        <v>339</v>
      </c>
    </row>
    <row r="2498" spans="1:8" x14ac:dyDescent="0.3">
      <c r="A2498" t="s">
        <v>379</v>
      </c>
      <c r="B2498">
        <f>IFERROR(INDEX(MASTER_REGISTER!C:C,MATCH(C2498,MASTER_REGISTER!E:E,0)),"")</f>
        <v>11</v>
      </c>
      <c r="C2498" t="s">
        <v>233</v>
      </c>
      <c r="D2498" t="str">
        <f>IFERROR(INDEX(MASTER_REGISTER!F:F,MATCH(C2498,MASTER_REGISTER!E:E,0)),"")</f>
        <v>Lwazi Makhubela</v>
      </c>
      <c r="E2498" t="s">
        <v>337</v>
      </c>
      <c r="F2498" t="s">
        <v>338</v>
      </c>
      <c r="G2498" t="s">
        <v>339</v>
      </c>
    </row>
    <row r="2499" spans="1:8" x14ac:dyDescent="0.3">
      <c r="A2499" t="s">
        <v>379</v>
      </c>
      <c r="B2499">
        <f>IFERROR(INDEX(MASTER_REGISTER!C:C,MATCH(C2499,MASTER_REGISTER!E:E,0)),"")</f>
        <v>11</v>
      </c>
      <c r="C2499" t="s">
        <v>237</v>
      </c>
      <c r="D2499" t="str">
        <f>IFERROR(INDEX(MASTER_REGISTER!F:F,MATCH(C2499,MASTER_REGISTER!E:E,0)),"")</f>
        <v>Lebogang Ramushu</v>
      </c>
      <c r="E2499" t="s">
        <v>337</v>
      </c>
      <c r="F2499" t="s">
        <v>338</v>
      </c>
      <c r="G2499" t="s">
        <v>339</v>
      </c>
    </row>
    <row r="2500" spans="1:8" x14ac:dyDescent="0.3">
      <c r="A2500" t="s">
        <v>379</v>
      </c>
      <c r="B2500">
        <f>IFERROR(INDEX(MASTER_REGISTER!C:C,MATCH(C2500,MASTER_REGISTER!E:E,0)),"")</f>
        <v>11</v>
      </c>
      <c r="C2500" t="s">
        <v>241</v>
      </c>
      <c r="D2500" t="str">
        <f>IFERROR(INDEX(MASTER_REGISTER!F:F,MATCH(C2500,MASTER_REGISTER!E:E,0)),"")</f>
        <v>Lerato Kekana</v>
      </c>
      <c r="E2500" t="s">
        <v>337</v>
      </c>
      <c r="F2500" t="s">
        <v>338</v>
      </c>
      <c r="G2500" t="s">
        <v>339</v>
      </c>
    </row>
    <row r="2501" spans="1:8" x14ac:dyDescent="0.3">
      <c r="A2501" t="s">
        <v>379</v>
      </c>
      <c r="B2501">
        <f>IFERROR(INDEX(MASTER_REGISTER!C:C,MATCH(C2501,MASTER_REGISTER!E:E,0)),"")</f>
        <v>11</v>
      </c>
      <c r="C2501" t="s">
        <v>244</v>
      </c>
      <c r="D2501" t="str">
        <f>IFERROR(INDEX(MASTER_REGISTER!F:F,MATCH(C2501,MASTER_REGISTER!E:E,0)),"")</f>
        <v>Bongani Ndlovu</v>
      </c>
      <c r="E2501" t="s">
        <v>337</v>
      </c>
      <c r="F2501" t="s">
        <v>338</v>
      </c>
      <c r="G2501" t="s">
        <v>339</v>
      </c>
    </row>
    <row r="2502" spans="1:8" x14ac:dyDescent="0.3">
      <c r="A2502" t="s">
        <v>379</v>
      </c>
      <c r="B2502">
        <f>IFERROR(INDEX(MASTER_REGISTER!C:C,MATCH(C2502,MASTER_REGISTER!E:E,0)),"")</f>
        <v>11</v>
      </c>
      <c r="C2502" t="s">
        <v>248</v>
      </c>
      <c r="D2502" t="str">
        <f>IFERROR(INDEX(MASTER_REGISTER!F:F,MATCH(C2502,MASTER_REGISTER!E:E,0)),"")</f>
        <v>Sifiso Dlamini</v>
      </c>
      <c r="E2502" t="s">
        <v>335</v>
      </c>
      <c r="H2502" t="s">
        <v>340</v>
      </c>
    </row>
    <row r="2503" spans="1:8" x14ac:dyDescent="0.3">
      <c r="A2503" t="s">
        <v>379</v>
      </c>
      <c r="B2503">
        <f>IFERROR(INDEX(MASTER_REGISTER!C:C,MATCH(C2503,MASTER_REGISTER!E:E,0)),"")</f>
        <v>11</v>
      </c>
      <c r="C2503" t="s">
        <v>252</v>
      </c>
      <c r="D2503" t="str">
        <f>IFERROR(INDEX(MASTER_REGISTER!F:F,MATCH(C2503,MASTER_REGISTER!E:E,0)),"")</f>
        <v>Refilwe Dlamini</v>
      </c>
      <c r="E2503" t="s">
        <v>337</v>
      </c>
      <c r="F2503" t="s">
        <v>338</v>
      </c>
      <c r="G2503" t="s">
        <v>339</v>
      </c>
    </row>
    <row r="2504" spans="1:8" x14ac:dyDescent="0.3">
      <c r="A2504" t="s">
        <v>379</v>
      </c>
      <c r="B2504">
        <f>IFERROR(INDEX(MASTER_REGISTER!C:C,MATCH(C2504,MASTER_REGISTER!E:E,0)),"")</f>
        <v>11</v>
      </c>
      <c r="C2504" t="s">
        <v>256</v>
      </c>
      <c r="D2504" t="str">
        <f>IFERROR(INDEX(MASTER_REGISTER!F:F,MATCH(C2504,MASTER_REGISTER!E:E,0)),"")</f>
        <v>Lwazi Maseko</v>
      </c>
      <c r="E2504" t="s">
        <v>335</v>
      </c>
      <c r="H2504" t="s">
        <v>340</v>
      </c>
    </row>
    <row r="2505" spans="1:8" x14ac:dyDescent="0.3">
      <c r="A2505" t="s">
        <v>379</v>
      </c>
      <c r="B2505">
        <f>IFERROR(INDEX(MASTER_REGISTER!C:C,MATCH(C2505,MASTER_REGISTER!E:E,0)),"")</f>
        <v>11</v>
      </c>
      <c r="C2505" t="s">
        <v>260</v>
      </c>
      <c r="D2505" t="str">
        <f>IFERROR(INDEX(MASTER_REGISTER!F:F,MATCH(C2505,MASTER_REGISTER!E:E,0)),"")</f>
        <v>Refilwe Mokgadi</v>
      </c>
      <c r="E2505" t="s">
        <v>337</v>
      </c>
      <c r="F2505" t="s">
        <v>338</v>
      </c>
      <c r="G2505" t="s">
        <v>339</v>
      </c>
    </row>
    <row r="2506" spans="1:8" x14ac:dyDescent="0.3">
      <c r="A2506" t="s">
        <v>379</v>
      </c>
      <c r="B2506">
        <f>IFERROR(INDEX(MASTER_REGISTER!C:C,MATCH(C2506,MASTER_REGISTER!E:E,0)),"")</f>
        <v>11</v>
      </c>
      <c r="C2506" t="s">
        <v>264</v>
      </c>
      <c r="D2506" t="str">
        <f>IFERROR(INDEX(MASTER_REGISTER!F:F,MATCH(C2506,MASTER_REGISTER!E:E,0)),"")</f>
        <v>Kgothatso Molefe</v>
      </c>
      <c r="E2506" t="s">
        <v>337</v>
      </c>
      <c r="F2506" t="s">
        <v>338</v>
      </c>
      <c r="G2506" t="s">
        <v>339</v>
      </c>
    </row>
    <row r="2507" spans="1:8" x14ac:dyDescent="0.3">
      <c r="A2507" t="s">
        <v>379</v>
      </c>
      <c r="B2507">
        <f>IFERROR(INDEX(MASTER_REGISTER!C:C,MATCH(C2507,MASTER_REGISTER!E:E,0)),"")</f>
        <v>11</v>
      </c>
      <c r="C2507" t="s">
        <v>268</v>
      </c>
      <c r="D2507" t="str">
        <f>IFERROR(INDEX(MASTER_REGISTER!F:F,MATCH(C2507,MASTER_REGISTER!E:E,0)),"")</f>
        <v>Tshepo Mokgadi</v>
      </c>
      <c r="E2507" t="s">
        <v>337</v>
      </c>
      <c r="F2507" t="s">
        <v>338</v>
      </c>
      <c r="G2507" t="s">
        <v>339</v>
      </c>
    </row>
    <row r="2508" spans="1:8" x14ac:dyDescent="0.3">
      <c r="A2508" t="s">
        <v>379</v>
      </c>
      <c r="B2508">
        <f>IFERROR(INDEX(MASTER_REGISTER!C:C,MATCH(C2508,MASTER_REGISTER!E:E,0)),"")</f>
        <v>11</v>
      </c>
      <c r="C2508" t="s">
        <v>272</v>
      </c>
      <c r="D2508" t="str">
        <f>IFERROR(INDEX(MASTER_REGISTER!F:F,MATCH(C2508,MASTER_REGISTER!E:E,0)),"")</f>
        <v>Tshepo Phiri</v>
      </c>
      <c r="E2508" t="s">
        <v>337</v>
      </c>
      <c r="F2508" t="s">
        <v>338</v>
      </c>
      <c r="G2508" t="s">
        <v>339</v>
      </c>
    </row>
    <row r="2509" spans="1:8" x14ac:dyDescent="0.3">
      <c r="A2509" t="s">
        <v>379</v>
      </c>
      <c r="B2509">
        <f>IFERROR(INDEX(MASTER_REGISTER!C:C,MATCH(C2509,MASTER_REGISTER!E:E,0)),"")</f>
        <v>11</v>
      </c>
      <c r="C2509" t="s">
        <v>276</v>
      </c>
      <c r="D2509" t="str">
        <f>IFERROR(INDEX(MASTER_REGISTER!F:F,MATCH(C2509,MASTER_REGISTER!E:E,0)),"")</f>
        <v>Zanele Ngobeni</v>
      </c>
      <c r="E2509" t="s">
        <v>337</v>
      </c>
      <c r="F2509" t="s">
        <v>338</v>
      </c>
      <c r="G2509" t="s">
        <v>339</v>
      </c>
    </row>
    <row r="2510" spans="1:8" x14ac:dyDescent="0.3">
      <c r="A2510" t="s">
        <v>379</v>
      </c>
      <c r="B2510">
        <f>IFERROR(INDEX(MASTER_REGISTER!C:C,MATCH(C2510,MASTER_REGISTER!E:E,0)),"")</f>
        <v>12</v>
      </c>
      <c r="C2510" t="s">
        <v>280</v>
      </c>
      <c r="D2510" t="str">
        <f>IFERROR(INDEX(MASTER_REGISTER!F:F,MATCH(C2510,MASTER_REGISTER!E:E,0)),"")</f>
        <v>Palesa Mokoena</v>
      </c>
      <c r="E2510" t="s">
        <v>335</v>
      </c>
      <c r="H2510" t="s">
        <v>341</v>
      </c>
    </row>
    <row r="2511" spans="1:8" x14ac:dyDescent="0.3">
      <c r="A2511" t="s">
        <v>379</v>
      </c>
      <c r="B2511">
        <f>IFERROR(INDEX(MASTER_REGISTER!C:C,MATCH(C2511,MASTER_REGISTER!E:E,0)),"")</f>
        <v>12</v>
      </c>
      <c r="C2511" t="s">
        <v>284</v>
      </c>
      <c r="D2511" t="str">
        <f>IFERROR(INDEX(MASTER_REGISTER!F:F,MATCH(C2511,MASTER_REGISTER!E:E,0)),"")</f>
        <v>Thabo Ramushu</v>
      </c>
      <c r="E2511" t="s">
        <v>337</v>
      </c>
      <c r="F2511" t="s">
        <v>338</v>
      </c>
      <c r="G2511" t="s">
        <v>339</v>
      </c>
    </row>
    <row r="2512" spans="1:8" x14ac:dyDescent="0.3">
      <c r="A2512" t="s">
        <v>379</v>
      </c>
      <c r="B2512">
        <f>IFERROR(INDEX(MASTER_REGISTER!C:C,MATCH(C2512,MASTER_REGISTER!E:E,0)),"")</f>
        <v>12</v>
      </c>
      <c r="C2512" t="s">
        <v>288</v>
      </c>
      <c r="D2512" t="str">
        <f>IFERROR(INDEX(MASTER_REGISTER!F:F,MATCH(C2512,MASTER_REGISTER!E:E,0)),"")</f>
        <v>Lwazi Ndlovu</v>
      </c>
      <c r="E2512" t="s">
        <v>337</v>
      </c>
      <c r="F2512" t="s">
        <v>338</v>
      </c>
      <c r="G2512" t="s">
        <v>339</v>
      </c>
    </row>
    <row r="2513" spans="1:8" x14ac:dyDescent="0.3">
      <c r="A2513" t="s">
        <v>379</v>
      </c>
      <c r="B2513">
        <f>IFERROR(INDEX(MASTER_REGISTER!C:C,MATCH(C2513,MASTER_REGISTER!E:E,0)),"")</f>
        <v>12</v>
      </c>
      <c r="C2513" t="s">
        <v>292</v>
      </c>
      <c r="D2513" t="str">
        <f>IFERROR(INDEX(MASTER_REGISTER!F:F,MATCH(C2513,MASTER_REGISTER!E:E,0)),"")</f>
        <v>Ayanda Dlamini</v>
      </c>
      <c r="E2513" t="s">
        <v>337</v>
      </c>
      <c r="F2513" t="s">
        <v>338</v>
      </c>
      <c r="G2513" t="s">
        <v>339</v>
      </c>
    </row>
    <row r="2514" spans="1:8" x14ac:dyDescent="0.3">
      <c r="A2514" t="s">
        <v>379</v>
      </c>
      <c r="B2514">
        <f>IFERROR(INDEX(MASTER_REGISTER!C:C,MATCH(C2514,MASTER_REGISTER!E:E,0)),"")</f>
        <v>12</v>
      </c>
      <c r="C2514" t="s">
        <v>296</v>
      </c>
      <c r="D2514" t="str">
        <f>IFERROR(INDEX(MASTER_REGISTER!F:F,MATCH(C2514,MASTER_REGISTER!E:E,0)),"")</f>
        <v>Neo Ndlovu</v>
      </c>
      <c r="E2514" t="s">
        <v>337</v>
      </c>
      <c r="F2514" t="s">
        <v>338</v>
      </c>
      <c r="G2514" t="s">
        <v>339</v>
      </c>
    </row>
    <row r="2515" spans="1:8" x14ac:dyDescent="0.3">
      <c r="A2515" t="s">
        <v>379</v>
      </c>
      <c r="B2515">
        <f>IFERROR(INDEX(MASTER_REGISTER!C:C,MATCH(C2515,MASTER_REGISTER!E:E,0)),"")</f>
        <v>12</v>
      </c>
      <c r="C2515" t="s">
        <v>300</v>
      </c>
      <c r="D2515" t="str">
        <f>IFERROR(INDEX(MASTER_REGISTER!F:F,MATCH(C2515,MASTER_REGISTER!E:E,0)),"")</f>
        <v>Neo Ramushu</v>
      </c>
      <c r="E2515" t="s">
        <v>335</v>
      </c>
      <c r="H2515" t="s">
        <v>336</v>
      </c>
    </row>
    <row r="2516" spans="1:8" x14ac:dyDescent="0.3">
      <c r="A2516" t="s">
        <v>379</v>
      </c>
      <c r="B2516">
        <f>IFERROR(INDEX(MASTER_REGISTER!C:C,MATCH(C2516,MASTER_REGISTER!E:E,0)),"")</f>
        <v>12</v>
      </c>
      <c r="C2516" t="s">
        <v>304</v>
      </c>
      <c r="D2516" t="str">
        <f>IFERROR(INDEX(MASTER_REGISTER!F:F,MATCH(C2516,MASTER_REGISTER!E:E,0)),"")</f>
        <v>Karabo Baloyi</v>
      </c>
      <c r="E2516" t="s">
        <v>337</v>
      </c>
      <c r="F2516" t="s">
        <v>338</v>
      </c>
      <c r="G2516" t="s">
        <v>339</v>
      </c>
    </row>
    <row r="2517" spans="1:8" x14ac:dyDescent="0.3">
      <c r="A2517" t="s">
        <v>379</v>
      </c>
      <c r="B2517">
        <f>IFERROR(INDEX(MASTER_REGISTER!C:C,MATCH(C2517,MASTER_REGISTER!E:E,0)),"")</f>
        <v>12</v>
      </c>
      <c r="C2517" t="s">
        <v>308</v>
      </c>
      <c r="D2517" t="str">
        <f>IFERROR(INDEX(MASTER_REGISTER!F:F,MATCH(C2517,MASTER_REGISTER!E:E,0)),"")</f>
        <v>Tshepo Mokgadi</v>
      </c>
      <c r="E2517" t="s">
        <v>337</v>
      </c>
      <c r="F2517" t="s">
        <v>338</v>
      </c>
      <c r="G2517" t="s">
        <v>339</v>
      </c>
    </row>
    <row r="2518" spans="1:8" x14ac:dyDescent="0.3">
      <c r="A2518" t="s">
        <v>379</v>
      </c>
      <c r="B2518">
        <f>IFERROR(INDEX(MASTER_REGISTER!C:C,MATCH(C2518,MASTER_REGISTER!E:E,0)),"")</f>
        <v>12</v>
      </c>
      <c r="C2518" t="s">
        <v>311</v>
      </c>
      <c r="D2518" t="str">
        <f>IFERROR(INDEX(MASTER_REGISTER!F:F,MATCH(C2518,MASTER_REGISTER!E:E,0)),"")</f>
        <v>Sifiso Mavuso</v>
      </c>
      <c r="E2518" t="s">
        <v>337</v>
      </c>
      <c r="F2518" t="s">
        <v>338</v>
      </c>
      <c r="G2518" t="s">
        <v>339</v>
      </c>
    </row>
    <row r="2519" spans="1:8" x14ac:dyDescent="0.3">
      <c r="A2519" t="s">
        <v>379</v>
      </c>
      <c r="B2519">
        <f>IFERROR(INDEX(MASTER_REGISTER!C:C,MATCH(C2519,MASTER_REGISTER!E:E,0)),"")</f>
        <v>12</v>
      </c>
      <c r="C2519" t="s">
        <v>315</v>
      </c>
      <c r="D2519" t="str">
        <f>IFERROR(INDEX(MASTER_REGISTER!F:F,MATCH(C2519,MASTER_REGISTER!E:E,0)),"")</f>
        <v>Refilwe Sithole</v>
      </c>
      <c r="E2519" t="s">
        <v>337</v>
      </c>
      <c r="F2519" t="s">
        <v>338</v>
      </c>
      <c r="G2519" t="s">
        <v>339</v>
      </c>
    </row>
    <row r="2520" spans="1:8" x14ac:dyDescent="0.3">
      <c r="A2520" t="s">
        <v>379</v>
      </c>
      <c r="B2520">
        <f>IFERROR(INDEX(MASTER_REGISTER!C:C,MATCH(C2520,MASTER_REGISTER!E:E,0)),"")</f>
        <v>12</v>
      </c>
      <c r="C2520" t="s">
        <v>319</v>
      </c>
      <c r="D2520" t="str">
        <f>IFERROR(INDEX(MASTER_REGISTER!F:F,MATCH(C2520,MASTER_REGISTER!E:E,0)),"")</f>
        <v>Lerato Sithole</v>
      </c>
      <c r="E2520" t="s">
        <v>337</v>
      </c>
      <c r="F2520" t="s">
        <v>338</v>
      </c>
      <c r="G2520" t="s">
        <v>339</v>
      </c>
    </row>
    <row r="2521" spans="1:8" x14ac:dyDescent="0.3">
      <c r="A2521" t="s">
        <v>379</v>
      </c>
      <c r="B2521">
        <f>IFERROR(INDEX(MASTER_REGISTER!C:C,MATCH(C2521,MASTER_REGISTER!E:E,0)),"")</f>
        <v>12</v>
      </c>
      <c r="C2521" t="s">
        <v>323</v>
      </c>
      <c r="D2521" t="str">
        <f>IFERROR(INDEX(MASTER_REGISTER!F:F,MATCH(C2521,MASTER_REGISTER!E:E,0)),"")</f>
        <v>Sibusiso Ngobeni</v>
      </c>
      <c r="E2521" t="s">
        <v>337</v>
      </c>
      <c r="F2521" t="s">
        <v>338</v>
      </c>
      <c r="G2521" t="s">
        <v>339</v>
      </c>
    </row>
    <row r="2522" spans="1:8" x14ac:dyDescent="0.3">
      <c r="A2522" t="s">
        <v>380</v>
      </c>
      <c r="B2522">
        <f>IFERROR(INDEX(MASTER_REGISTER!C:C,MATCH(C2522,MASTER_REGISTER!E:E,0)),"")</f>
        <v>8</v>
      </c>
      <c r="C2522" t="s">
        <v>50</v>
      </c>
      <c r="D2522" t="str">
        <f>IFERROR(INDEX(MASTER_REGISTER!F:F,MATCH(C2522,MASTER_REGISTER!E:E,0)),"")</f>
        <v>Lerato Nkosi</v>
      </c>
      <c r="E2522" t="s">
        <v>335</v>
      </c>
      <c r="H2522" t="s">
        <v>342</v>
      </c>
    </row>
    <row r="2523" spans="1:8" x14ac:dyDescent="0.3">
      <c r="A2523" t="s">
        <v>380</v>
      </c>
      <c r="B2523">
        <f>IFERROR(INDEX(MASTER_REGISTER!C:C,MATCH(C2523,MASTER_REGISTER!E:E,0)),"")</f>
        <v>8</v>
      </c>
      <c r="C2523" t="s">
        <v>58</v>
      </c>
      <c r="D2523" t="str">
        <f>IFERROR(INDEX(MASTER_REGISTER!F:F,MATCH(C2523,MASTER_REGISTER!E:E,0)),"")</f>
        <v>Karabo Maseko</v>
      </c>
      <c r="E2523" t="s">
        <v>337</v>
      </c>
      <c r="F2523" t="s">
        <v>338</v>
      </c>
      <c r="G2523" t="s">
        <v>339</v>
      </c>
    </row>
    <row r="2524" spans="1:8" x14ac:dyDescent="0.3">
      <c r="A2524" t="s">
        <v>380</v>
      </c>
      <c r="B2524">
        <f>IFERROR(INDEX(MASTER_REGISTER!C:C,MATCH(C2524,MASTER_REGISTER!E:E,0)),"")</f>
        <v>8</v>
      </c>
      <c r="C2524" t="s">
        <v>64</v>
      </c>
      <c r="D2524" t="str">
        <f>IFERROR(INDEX(MASTER_REGISTER!F:F,MATCH(C2524,MASTER_REGISTER!E:E,0)),"")</f>
        <v>Sifiso Sithole</v>
      </c>
      <c r="E2524" t="s">
        <v>337</v>
      </c>
      <c r="F2524" t="s">
        <v>338</v>
      </c>
      <c r="G2524" t="s">
        <v>339</v>
      </c>
    </row>
    <row r="2525" spans="1:8" x14ac:dyDescent="0.3">
      <c r="A2525" t="s">
        <v>380</v>
      </c>
      <c r="B2525">
        <f>IFERROR(INDEX(MASTER_REGISTER!C:C,MATCH(C2525,MASTER_REGISTER!E:E,0)),"")</f>
        <v>8</v>
      </c>
      <c r="C2525" t="s">
        <v>70</v>
      </c>
      <c r="D2525" t="str">
        <f>IFERROR(INDEX(MASTER_REGISTER!F:F,MATCH(C2525,MASTER_REGISTER!E:E,0)),"")</f>
        <v>Tshepo Ndlovu</v>
      </c>
      <c r="E2525" t="s">
        <v>337</v>
      </c>
      <c r="F2525" t="s">
        <v>338</v>
      </c>
      <c r="G2525" t="s">
        <v>339</v>
      </c>
    </row>
    <row r="2526" spans="1:8" x14ac:dyDescent="0.3">
      <c r="A2526" t="s">
        <v>380</v>
      </c>
      <c r="B2526">
        <f>IFERROR(INDEX(MASTER_REGISTER!C:C,MATCH(C2526,MASTER_REGISTER!E:E,0)),"")</f>
        <v>8</v>
      </c>
      <c r="C2526" t="s">
        <v>76</v>
      </c>
      <c r="D2526" t="str">
        <f>IFERROR(INDEX(MASTER_REGISTER!F:F,MATCH(C2526,MASTER_REGISTER!E:E,0)),"")</f>
        <v>Lwazi Mthembu</v>
      </c>
      <c r="E2526" t="s">
        <v>337</v>
      </c>
      <c r="F2526" t="s">
        <v>338</v>
      </c>
      <c r="G2526" t="s">
        <v>339</v>
      </c>
    </row>
    <row r="2527" spans="1:8" x14ac:dyDescent="0.3">
      <c r="A2527" t="s">
        <v>380</v>
      </c>
      <c r="B2527">
        <f>IFERROR(INDEX(MASTER_REGISTER!C:C,MATCH(C2527,MASTER_REGISTER!E:E,0)),"")</f>
        <v>8</v>
      </c>
      <c r="C2527" t="s">
        <v>82</v>
      </c>
      <c r="D2527" t="str">
        <f>IFERROR(INDEX(MASTER_REGISTER!F:F,MATCH(C2527,MASTER_REGISTER!E:E,0)),"")</f>
        <v>Karabo Ngobeni</v>
      </c>
      <c r="E2527" t="s">
        <v>337</v>
      </c>
      <c r="F2527" t="s">
        <v>338</v>
      </c>
      <c r="G2527" t="s">
        <v>339</v>
      </c>
    </row>
    <row r="2528" spans="1:8" x14ac:dyDescent="0.3">
      <c r="A2528" t="s">
        <v>380</v>
      </c>
      <c r="B2528">
        <f>IFERROR(INDEX(MASTER_REGISTER!C:C,MATCH(C2528,MASTER_REGISTER!E:E,0)),"")</f>
        <v>8</v>
      </c>
      <c r="C2528" t="s">
        <v>88</v>
      </c>
      <c r="D2528" t="str">
        <f>IFERROR(INDEX(MASTER_REGISTER!F:F,MATCH(C2528,MASTER_REGISTER!E:E,0)),"")</f>
        <v>Mpho Sithole</v>
      </c>
      <c r="E2528" t="s">
        <v>337</v>
      </c>
      <c r="F2528" t="s">
        <v>338</v>
      </c>
      <c r="G2528" t="s">
        <v>339</v>
      </c>
    </row>
    <row r="2529" spans="1:8" x14ac:dyDescent="0.3">
      <c r="A2529" t="s">
        <v>380</v>
      </c>
      <c r="B2529">
        <f>IFERROR(INDEX(MASTER_REGISTER!C:C,MATCH(C2529,MASTER_REGISTER!E:E,0)),"")</f>
        <v>8</v>
      </c>
      <c r="C2529" t="s">
        <v>94</v>
      </c>
      <c r="D2529" t="str">
        <f>IFERROR(INDEX(MASTER_REGISTER!F:F,MATCH(C2529,MASTER_REGISTER!E:E,0)),"")</f>
        <v>Tshepo Ramushu</v>
      </c>
      <c r="E2529" t="s">
        <v>337</v>
      </c>
      <c r="F2529" t="s">
        <v>338</v>
      </c>
      <c r="G2529" t="s">
        <v>339</v>
      </c>
    </row>
    <row r="2530" spans="1:8" x14ac:dyDescent="0.3">
      <c r="A2530" t="s">
        <v>380</v>
      </c>
      <c r="B2530">
        <f>IFERROR(INDEX(MASTER_REGISTER!C:C,MATCH(C2530,MASTER_REGISTER!E:E,0)),"")</f>
        <v>8</v>
      </c>
      <c r="C2530" t="s">
        <v>100</v>
      </c>
      <c r="D2530" t="str">
        <f>IFERROR(INDEX(MASTER_REGISTER!F:F,MATCH(C2530,MASTER_REGISTER!E:E,0)),"")</f>
        <v>Lerato Kekana</v>
      </c>
      <c r="E2530" t="s">
        <v>337</v>
      </c>
      <c r="F2530" t="s">
        <v>338</v>
      </c>
      <c r="G2530" t="s">
        <v>339</v>
      </c>
    </row>
    <row r="2531" spans="1:8" x14ac:dyDescent="0.3">
      <c r="A2531" t="s">
        <v>380</v>
      </c>
      <c r="B2531">
        <f>IFERROR(INDEX(MASTER_REGISTER!C:C,MATCH(C2531,MASTER_REGISTER!E:E,0)),"")</f>
        <v>8</v>
      </c>
      <c r="C2531" t="s">
        <v>106</v>
      </c>
      <c r="D2531" t="str">
        <f>IFERROR(INDEX(MASTER_REGISTER!F:F,MATCH(C2531,MASTER_REGISTER!E:E,0)),"")</f>
        <v>Neo Ngobeni</v>
      </c>
      <c r="E2531" t="s">
        <v>337</v>
      </c>
      <c r="F2531" t="s">
        <v>338</v>
      </c>
      <c r="G2531" t="s">
        <v>339</v>
      </c>
    </row>
    <row r="2532" spans="1:8" x14ac:dyDescent="0.3">
      <c r="A2532" t="s">
        <v>380</v>
      </c>
      <c r="B2532">
        <f>IFERROR(INDEX(MASTER_REGISTER!C:C,MATCH(C2532,MASTER_REGISTER!E:E,0)),"")</f>
        <v>8</v>
      </c>
      <c r="C2532" t="s">
        <v>112</v>
      </c>
      <c r="D2532" t="str">
        <f>IFERROR(INDEX(MASTER_REGISTER!F:F,MATCH(C2532,MASTER_REGISTER!E:E,0)),"")</f>
        <v>Thabo Mokgadi</v>
      </c>
      <c r="E2532" t="s">
        <v>337</v>
      </c>
      <c r="F2532" t="s">
        <v>338</v>
      </c>
      <c r="G2532" t="s">
        <v>339</v>
      </c>
    </row>
    <row r="2533" spans="1:8" x14ac:dyDescent="0.3">
      <c r="A2533" t="s">
        <v>380</v>
      </c>
      <c r="B2533">
        <f>IFERROR(INDEX(MASTER_REGISTER!C:C,MATCH(C2533,MASTER_REGISTER!E:E,0)),"")</f>
        <v>8</v>
      </c>
      <c r="C2533" t="s">
        <v>118</v>
      </c>
      <c r="D2533" t="str">
        <f>IFERROR(INDEX(MASTER_REGISTER!F:F,MATCH(C2533,MASTER_REGISTER!E:E,0)),"")</f>
        <v>Sifiso Mthembu</v>
      </c>
      <c r="E2533" t="s">
        <v>337</v>
      </c>
      <c r="F2533" t="s">
        <v>338</v>
      </c>
      <c r="G2533" t="s">
        <v>339</v>
      </c>
    </row>
    <row r="2534" spans="1:8" x14ac:dyDescent="0.3">
      <c r="A2534" t="s">
        <v>380</v>
      </c>
      <c r="B2534">
        <f>IFERROR(INDEX(MASTER_REGISTER!C:C,MATCH(C2534,MASTER_REGISTER!E:E,0)),"")</f>
        <v>9</v>
      </c>
      <c r="C2534" t="s">
        <v>123</v>
      </c>
      <c r="D2534" t="str">
        <f>IFERROR(INDEX(MASTER_REGISTER!F:F,MATCH(C2534,MASTER_REGISTER!E:E,0)),"")</f>
        <v>Karabo Phiri</v>
      </c>
      <c r="E2534" t="s">
        <v>337</v>
      </c>
      <c r="F2534" t="s">
        <v>338</v>
      </c>
      <c r="G2534" t="s">
        <v>339</v>
      </c>
    </row>
    <row r="2535" spans="1:8" x14ac:dyDescent="0.3">
      <c r="A2535" t="s">
        <v>380</v>
      </c>
      <c r="B2535">
        <f>IFERROR(INDEX(MASTER_REGISTER!C:C,MATCH(C2535,MASTER_REGISTER!E:E,0)),"")</f>
        <v>9</v>
      </c>
      <c r="C2535" t="s">
        <v>128</v>
      </c>
      <c r="D2535" t="str">
        <f>IFERROR(INDEX(MASTER_REGISTER!F:F,MATCH(C2535,MASTER_REGISTER!E:E,0)),"")</f>
        <v>Lerato Mahlangu</v>
      </c>
      <c r="E2535" t="s">
        <v>337</v>
      </c>
      <c r="F2535" t="s">
        <v>338</v>
      </c>
      <c r="G2535" t="s">
        <v>339</v>
      </c>
    </row>
    <row r="2536" spans="1:8" x14ac:dyDescent="0.3">
      <c r="A2536" t="s">
        <v>380</v>
      </c>
      <c r="B2536">
        <f>IFERROR(INDEX(MASTER_REGISTER!C:C,MATCH(C2536,MASTER_REGISTER!E:E,0)),"")</f>
        <v>9</v>
      </c>
      <c r="C2536" t="s">
        <v>133</v>
      </c>
      <c r="D2536" t="str">
        <f>IFERROR(INDEX(MASTER_REGISTER!F:F,MATCH(C2536,MASTER_REGISTER!E:E,0)),"")</f>
        <v>Mpho Kekana</v>
      </c>
      <c r="E2536" t="s">
        <v>337</v>
      </c>
      <c r="F2536" t="s">
        <v>338</v>
      </c>
      <c r="G2536" t="s">
        <v>339</v>
      </c>
    </row>
    <row r="2537" spans="1:8" x14ac:dyDescent="0.3">
      <c r="A2537" t="s">
        <v>380</v>
      </c>
      <c r="B2537">
        <f>IFERROR(INDEX(MASTER_REGISTER!C:C,MATCH(C2537,MASTER_REGISTER!E:E,0)),"")</f>
        <v>9</v>
      </c>
      <c r="C2537" t="s">
        <v>138</v>
      </c>
      <c r="D2537" t="str">
        <f>IFERROR(INDEX(MASTER_REGISTER!F:F,MATCH(C2537,MASTER_REGISTER!E:E,0)),"")</f>
        <v>Thabo Molefe</v>
      </c>
      <c r="E2537" t="s">
        <v>337</v>
      </c>
      <c r="F2537" t="s">
        <v>338</v>
      </c>
      <c r="G2537" t="s">
        <v>339</v>
      </c>
    </row>
    <row r="2538" spans="1:8" x14ac:dyDescent="0.3">
      <c r="A2538" t="s">
        <v>380</v>
      </c>
      <c r="B2538">
        <f>IFERROR(INDEX(MASTER_REGISTER!C:C,MATCH(C2538,MASTER_REGISTER!E:E,0)),"")</f>
        <v>9</v>
      </c>
      <c r="C2538" t="s">
        <v>143</v>
      </c>
      <c r="D2538" t="str">
        <f>IFERROR(INDEX(MASTER_REGISTER!F:F,MATCH(C2538,MASTER_REGISTER!E:E,0)),"")</f>
        <v>Mpho Ngobeni</v>
      </c>
      <c r="E2538" t="s">
        <v>337</v>
      </c>
      <c r="F2538" t="s">
        <v>338</v>
      </c>
      <c r="G2538" t="s">
        <v>339</v>
      </c>
    </row>
    <row r="2539" spans="1:8" x14ac:dyDescent="0.3">
      <c r="A2539" t="s">
        <v>380</v>
      </c>
      <c r="B2539">
        <f>IFERROR(INDEX(MASTER_REGISTER!C:C,MATCH(C2539,MASTER_REGISTER!E:E,0)),"")</f>
        <v>9</v>
      </c>
      <c r="C2539" t="s">
        <v>148</v>
      </c>
      <c r="D2539" t="str">
        <f>IFERROR(INDEX(MASTER_REGISTER!F:F,MATCH(C2539,MASTER_REGISTER!E:E,0)),"")</f>
        <v>Siyanda Mhlongo</v>
      </c>
      <c r="E2539" t="s">
        <v>337</v>
      </c>
      <c r="F2539" t="s">
        <v>338</v>
      </c>
      <c r="G2539" t="s">
        <v>339</v>
      </c>
    </row>
    <row r="2540" spans="1:8" x14ac:dyDescent="0.3">
      <c r="A2540" t="s">
        <v>380</v>
      </c>
      <c r="B2540">
        <f>IFERROR(INDEX(MASTER_REGISTER!C:C,MATCH(C2540,MASTER_REGISTER!E:E,0)),"")</f>
        <v>9</v>
      </c>
      <c r="C2540" t="s">
        <v>153</v>
      </c>
      <c r="D2540" t="str">
        <f>IFERROR(INDEX(MASTER_REGISTER!F:F,MATCH(C2540,MASTER_REGISTER!E:E,0)),"")</f>
        <v>Siyanda Mahlangu</v>
      </c>
      <c r="E2540" t="s">
        <v>337</v>
      </c>
      <c r="F2540" t="s">
        <v>338</v>
      </c>
      <c r="G2540" t="s">
        <v>339</v>
      </c>
    </row>
    <row r="2541" spans="1:8" x14ac:dyDescent="0.3">
      <c r="A2541" t="s">
        <v>380</v>
      </c>
      <c r="B2541">
        <f>IFERROR(INDEX(MASTER_REGISTER!C:C,MATCH(C2541,MASTER_REGISTER!E:E,0)),"")</f>
        <v>9</v>
      </c>
      <c r="C2541" t="s">
        <v>158</v>
      </c>
      <c r="D2541" t="str">
        <f>IFERROR(INDEX(MASTER_REGISTER!F:F,MATCH(C2541,MASTER_REGISTER!E:E,0)),"")</f>
        <v>Sifiso Ramushu</v>
      </c>
      <c r="E2541" t="s">
        <v>337</v>
      </c>
      <c r="F2541" t="s">
        <v>338</v>
      </c>
      <c r="G2541" t="s">
        <v>339</v>
      </c>
    </row>
    <row r="2542" spans="1:8" x14ac:dyDescent="0.3">
      <c r="A2542" t="s">
        <v>380</v>
      </c>
      <c r="B2542">
        <f>IFERROR(INDEX(MASTER_REGISTER!C:C,MATCH(C2542,MASTER_REGISTER!E:E,0)),"")</f>
        <v>9</v>
      </c>
      <c r="C2542" t="s">
        <v>163</v>
      </c>
      <c r="D2542" t="str">
        <f>IFERROR(INDEX(MASTER_REGISTER!F:F,MATCH(C2542,MASTER_REGISTER!E:E,0)),"")</f>
        <v>Nandi Ngobeni</v>
      </c>
      <c r="E2542" t="s">
        <v>337</v>
      </c>
      <c r="F2542" t="s">
        <v>338</v>
      </c>
      <c r="G2542" t="s">
        <v>339</v>
      </c>
    </row>
    <row r="2543" spans="1:8" x14ac:dyDescent="0.3">
      <c r="A2543" t="s">
        <v>380</v>
      </c>
      <c r="B2543">
        <f>IFERROR(INDEX(MASTER_REGISTER!C:C,MATCH(C2543,MASTER_REGISTER!E:E,0)),"")</f>
        <v>9</v>
      </c>
      <c r="C2543" t="s">
        <v>168</v>
      </c>
      <c r="D2543" t="str">
        <f>IFERROR(INDEX(MASTER_REGISTER!F:F,MATCH(C2543,MASTER_REGISTER!E:E,0)),"")</f>
        <v>Karabo Mokgadi</v>
      </c>
      <c r="E2543" t="s">
        <v>337</v>
      </c>
      <c r="F2543" t="s">
        <v>338</v>
      </c>
      <c r="G2543" t="s">
        <v>339</v>
      </c>
    </row>
    <row r="2544" spans="1:8" x14ac:dyDescent="0.3">
      <c r="A2544" t="s">
        <v>380</v>
      </c>
      <c r="B2544">
        <f>IFERROR(INDEX(MASTER_REGISTER!C:C,MATCH(C2544,MASTER_REGISTER!E:E,0)),"")</f>
        <v>9</v>
      </c>
      <c r="C2544" t="s">
        <v>173</v>
      </c>
      <c r="D2544" t="str">
        <f>IFERROR(INDEX(MASTER_REGISTER!F:F,MATCH(C2544,MASTER_REGISTER!E:E,0)),"")</f>
        <v>Sifiso Mahlangu</v>
      </c>
      <c r="E2544" t="s">
        <v>335</v>
      </c>
      <c r="H2544" t="s">
        <v>342</v>
      </c>
    </row>
    <row r="2545" spans="1:8" x14ac:dyDescent="0.3">
      <c r="A2545" t="s">
        <v>380</v>
      </c>
      <c r="B2545">
        <f>IFERROR(INDEX(MASTER_REGISTER!C:C,MATCH(C2545,MASTER_REGISTER!E:E,0)),"")</f>
        <v>9</v>
      </c>
      <c r="C2545" t="s">
        <v>178</v>
      </c>
      <c r="D2545" t="str">
        <f>IFERROR(INDEX(MASTER_REGISTER!F:F,MATCH(C2545,MASTER_REGISTER!E:E,0)),"")</f>
        <v>Kgothatso Radebe</v>
      </c>
      <c r="E2545" t="s">
        <v>337</v>
      </c>
      <c r="F2545" t="s">
        <v>338</v>
      </c>
      <c r="G2545" t="s">
        <v>339</v>
      </c>
    </row>
    <row r="2546" spans="1:8" x14ac:dyDescent="0.3">
      <c r="A2546" t="s">
        <v>380</v>
      </c>
      <c r="B2546">
        <f>IFERROR(INDEX(MASTER_REGISTER!C:C,MATCH(C2546,MASTER_REGISTER!E:E,0)),"")</f>
        <v>10</v>
      </c>
      <c r="C2546" t="s">
        <v>183</v>
      </c>
      <c r="D2546" t="str">
        <f>IFERROR(INDEX(MASTER_REGISTER!F:F,MATCH(C2546,MASTER_REGISTER!E:E,0)),"")</f>
        <v>Lerato Maseko</v>
      </c>
      <c r="E2546" t="s">
        <v>337</v>
      </c>
      <c r="F2546" t="s">
        <v>338</v>
      </c>
      <c r="G2546" t="s">
        <v>339</v>
      </c>
    </row>
    <row r="2547" spans="1:8" x14ac:dyDescent="0.3">
      <c r="A2547" t="s">
        <v>380</v>
      </c>
      <c r="B2547">
        <f>IFERROR(INDEX(MASTER_REGISTER!C:C,MATCH(C2547,MASTER_REGISTER!E:E,0)),"")</f>
        <v>10</v>
      </c>
      <c r="C2547" t="s">
        <v>188</v>
      </c>
      <c r="D2547" t="str">
        <f>IFERROR(INDEX(MASTER_REGISTER!F:F,MATCH(C2547,MASTER_REGISTER!E:E,0)),"")</f>
        <v>Sibusiso Molefe</v>
      </c>
      <c r="E2547" t="s">
        <v>337</v>
      </c>
      <c r="F2547" t="s">
        <v>338</v>
      </c>
      <c r="G2547" t="s">
        <v>339</v>
      </c>
    </row>
    <row r="2548" spans="1:8" x14ac:dyDescent="0.3">
      <c r="A2548" t="s">
        <v>380</v>
      </c>
      <c r="B2548">
        <f>IFERROR(INDEX(MASTER_REGISTER!C:C,MATCH(C2548,MASTER_REGISTER!E:E,0)),"")</f>
        <v>10</v>
      </c>
      <c r="C2548" t="s">
        <v>193</v>
      </c>
      <c r="D2548" t="str">
        <f>IFERROR(INDEX(MASTER_REGISTER!F:F,MATCH(C2548,MASTER_REGISTER!E:E,0)),"")</f>
        <v>Nandi Molefe</v>
      </c>
      <c r="E2548" t="s">
        <v>337</v>
      </c>
      <c r="F2548" t="s">
        <v>338</v>
      </c>
      <c r="G2548" t="s">
        <v>339</v>
      </c>
    </row>
    <row r="2549" spans="1:8" x14ac:dyDescent="0.3">
      <c r="A2549" t="s">
        <v>380</v>
      </c>
      <c r="B2549">
        <f>IFERROR(INDEX(MASTER_REGISTER!C:C,MATCH(C2549,MASTER_REGISTER!E:E,0)),"")</f>
        <v>10</v>
      </c>
      <c r="C2549" t="s">
        <v>198</v>
      </c>
      <c r="D2549" t="str">
        <f>IFERROR(INDEX(MASTER_REGISTER!F:F,MATCH(C2549,MASTER_REGISTER!E:E,0)),"")</f>
        <v>Kgothatso Baloyi</v>
      </c>
      <c r="E2549" t="s">
        <v>335</v>
      </c>
      <c r="H2549" t="s">
        <v>340</v>
      </c>
    </row>
    <row r="2550" spans="1:8" x14ac:dyDescent="0.3">
      <c r="A2550" t="s">
        <v>380</v>
      </c>
      <c r="B2550">
        <f>IFERROR(INDEX(MASTER_REGISTER!C:C,MATCH(C2550,MASTER_REGISTER!E:E,0)),"")</f>
        <v>10</v>
      </c>
      <c r="C2550" t="s">
        <v>202</v>
      </c>
      <c r="D2550" t="str">
        <f>IFERROR(INDEX(MASTER_REGISTER!F:F,MATCH(C2550,MASTER_REGISTER!E:E,0)),"")</f>
        <v>Ayanda Mokoena</v>
      </c>
      <c r="E2550" t="s">
        <v>337</v>
      </c>
      <c r="F2550" t="s">
        <v>338</v>
      </c>
      <c r="G2550" t="s">
        <v>339</v>
      </c>
    </row>
    <row r="2551" spans="1:8" x14ac:dyDescent="0.3">
      <c r="A2551" t="s">
        <v>380</v>
      </c>
      <c r="B2551">
        <f>IFERROR(INDEX(MASTER_REGISTER!C:C,MATCH(C2551,MASTER_REGISTER!E:E,0)),"")</f>
        <v>10</v>
      </c>
      <c r="C2551" t="s">
        <v>206</v>
      </c>
      <c r="D2551" t="str">
        <f>IFERROR(INDEX(MASTER_REGISTER!F:F,MATCH(C2551,MASTER_REGISTER!E:E,0)),"")</f>
        <v>Lwazi Baloyi</v>
      </c>
      <c r="E2551" t="s">
        <v>337</v>
      </c>
      <c r="F2551" t="s">
        <v>338</v>
      </c>
      <c r="G2551" t="s">
        <v>339</v>
      </c>
    </row>
    <row r="2552" spans="1:8" x14ac:dyDescent="0.3">
      <c r="A2552" t="s">
        <v>380</v>
      </c>
      <c r="B2552">
        <f>IFERROR(INDEX(MASTER_REGISTER!C:C,MATCH(C2552,MASTER_REGISTER!E:E,0)),"")</f>
        <v>10</v>
      </c>
      <c r="C2552" t="s">
        <v>210</v>
      </c>
      <c r="D2552" t="str">
        <f>IFERROR(INDEX(MASTER_REGISTER!F:F,MATCH(C2552,MASTER_REGISTER!E:E,0)),"")</f>
        <v>Siyanda Mokoena</v>
      </c>
      <c r="E2552" t="s">
        <v>337</v>
      </c>
      <c r="F2552" t="s">
        <v>338</v>
      </c>
      <c r="G2552" t="s">
        <v>339</v>
      </c>
    </row>
    <row r="2553" spans="1:8" x14ac:dyDescent="0.3">
      <c r="A2553" t="s">
        <v>380</v>
      </c>
      <c r="B2553">
        <f>IFERROR(INDEX(MASTER_REGISTER!C:C,MATCH(C2553,MASTER_REGISTER!E:E,0)),"")</f>
        <v>10</v>
      </c>
      <c r="C2553" t="s">
        <v>214</v>
      </c>
      <c r="D2553" t="str">
        <f>IFERROR(INDEX(MASTER_REGISTER!F:F,MATCH(C2553,MASTER_REGISTER!E:E,0)),"")</f>
        <v>Mpho Ngobeni</v>
      </c>
      <c r="E2553" t="s">
        <v>337</v>
      </c>
      <c r="F2553" t="s">
        <v>338</v>
      </c>
      <c r="G2553" t="s">
        <v>339</v>
      </c>
    </row>
    <row r="2554" spans="1:8" x14ac:dyDescent="0.3">
      <c r="A2554" t="s">
        <v>380</v>
      </c>
      <c r="B2554">
        <f>IFERROR(INDEX(MASTER_REGISTER!C:C,MATCH(C2554,MASTER_REGISTER!E:E,0)),"")</f>
        <v>10</v>
      </c>
      <c r="C2554" t="s">
        <v>217</v>
      </c>
      <c r="D2554" t="str">
        <f>IFERROR(INDEX(MASTER_REGISTER!F:F,MATCH(C2554,MASTER_REGISTER!E:E,0)),"")</f>
        <v>Naledi Makhubela</v>
      </c>
      <c r="E2554" t="s">
        <v>337</v>
      </c>
      <c r="F2554" t="s">
        <v>338</v>
      </c>
      <c r="G2554" t="s">
        <v>339</v>
      </c>
    </row>
    <row r="2555" spans="1:8" x14ac:dyDescent="0.3">
      <c r="A2555" t="s">
        <v>380</v>
      </c>
      <c r="B2555">
        <f>IFERROR(INDEX(MASTER_REGISTER!C:C,MATCH(C2555,MASTER_REGISTER!E:E,0)),"")</f>
        <v>10</v>
      </c>
      <c r="C2555" t="s">
        <v>221</v>
      </c>
      <c r="D2555" t="str">
        <f>IFERROR(INDEX(MASTER_REGISTER!F:F,MATCH(C2555,MASTER_REGISTER!E:E,0)),"")</f>
        <v>Kgothatso Mokoena</v>
      </c>
      <c r="E2555" t="s">
        <v>337</v>
      </c>
      <c r="F2555" t="s">
        <v>338</v>
      </c>
      <c r="G2555" t="s">
        <v>339</v>
      </c>
    </row>
    <row r="2556" spans="1:8" x14ac:dyDescent="0.3">
      <c r="A2556" t="s">
        <v>380</v>
      </c>
      <c r="B2556">
        <f>IFERROR(INDEX(MASTER_REGISTER!C:C,MATCH(C2556,MASTER_REGISTER!E:E,0)),"")</f>
        <v>10</v>
      </c>
      <c r="C2556" t="s">
        <v>225</v>
      </c>
      <c r="D2556" t="str">
        <f>IFERROR(INDEX(MASTER_REGISTER!F:F,MATCH(C2556,MASTER_REGISTER!E:E,0)),"")</f>
        <v>Bongani Makhubela</v>
      </c>
      <c r="E2556" t="s">
        <v>337</v>
      </c>
      <c r="F2556" t="s">
        <v>338</v>
      </c>
      <c r="G2556" t="s">
        <v>339</v>
      </c>
    </row>
    <row r="2557" spans="1:8" x14ac:dyDescent="0.3">
      <c r="A2557" t="s">
        <v>380</v>
      </c>
      <c r="B2557">
        <f>IFERROR(INDEX(MASTER_REGISTER!C:C,MATCH(C2557,MASTER_REGISTER!E:E,0)),"")</f>
        <v>10</v>
      </c>
      <c r="C2557" t="s">
        <v>229</v>
      </c>
      <c r="D2557" t="str">
        <f>IFERROR(INDEX(MASTER_REGISTER!F:F,MATCH(C2557,MASTER_REGISTER!E:E,0)),"")</f>
        <v>Kagiso Kekana</v>
      </c>
      <c r="E2557" t="s">
        <v>337</v>
      </c>
      <c r="F2557" t="s">
        <v>338</v>
      </c>
      <c r="G2557" t="s">
        <v>339</v>
      </c>
    </row>
    <row r="2558" spans="1:8" x14ac:dyDescent="0.3">
      <c r="A2558" t="s">
        <v>380</v>
      </c>
      <c r="B2558">
        <f>IFERROR(INDEX(MASTER_REGISTER!C:C,MATCH(C2558,MASTER_REGISTER!E:E,0)),"")</f>
        <v>11</v>
      </c>
      <c r="C2558" t="s">
        <v>233</v>
      </c>
      <c r="D2558" t="str">
        <f>IFERROR(INDEX(MASTER_REGISTER!F:F,MATCH(C2558,MASTER_REGISTER!E:E,0)),"")</f>
        <v>Lwazi Makhubela</v>
      </c>
      <c r="E2558" t="s">
        <v>337</v>
      </c>
      <c r="F2558" t="s">
        <v>338</v>
      </c>
      <c r="G2558" t="s">
        <v>339</v>
      </c>
    </row>
    <row r="2559" spans="1:8" x14ac:dyDescent="0.3">
      <c r="A2559" t="s">
        <v>380</v>
      </c>
      <c r="B2559">
        <f>IFERROR(INDEX(MASTER_REGISTER!C:C,MATCH(C2559,MASTER_REGISTER!E:E,0)),"")</f>
        <v>11</v>
      </c>
      <c r="C2559" t="s">
        <v>237</v>
      </c>
      <c r="D2559" t="str">
        <f>IFERROR(INDEX(MASTER_REGISTER!F:F,MATCH(C2559,MASTER_REGISTER!E:E,0)),"")</f>
        <v>Lebogang Ramushu</v>
      </c>
      <c r="E2559" t="s">
        <v>337</v>
      </c>
      <c r="F2559" t="s">
        <v>338</v>
      </c>
      <c r="G2559" t="s">
        <v>339</v>
      </c>
    </row>
    <row r="2560" spans="1:8" x14ac:dyDescent="0.3">
      <c r="A2560" t="s">
        <v>380</v>
      </c>
      <c r="B2560">
        <f>IFERROR(INDEX(MASTER_REGISTER!C:C,MATCH(C2560,MASTER_REGISTER!E:E,0)),"")</f>
        <v>11</v>
      </c>
      <c r="C2560" t="s">
        <v>241</v>
      </c>
      <c r="D2560" t="str">
        <f>IFERROR(INDEX(MASTER_REGISTER!F:F,MATCH(C2560,MASTER_REGISTER!E:E,0)),"")</f>
        <v>Lerato Kekana</v>
      </c>
      <c r="E2560" t="s">
        <v>337</v>
      </c>
      <c r="F2560" t="s">
        <v>338</v>
      </c>
      <c r="G2560" t="s">
        <v>339</v>
      </c>
    </row>
    <row r="2561" spans="1:8" x14ac:dyDescent="0.3">
      <c r="A2561" t="s">
        <v>380</v>
      </c>
      <c r="B2561">
        <f>IFERROR(INDEX(MASTER_REGISTER!C:C,MATCH(C2561,MASTER_REGISTER!E:E,0)),"")</f>
        <v>11</v>
      </c>
      <c r="C2561" t="s">
        <v>244</v>
      </c>
      <c r="D2561" t="str">
        <f>IFERROR(INDEX(MASTER_REGISTER!F:F,MATCH(C2561,MASTER_REGISTER!E:E,0)),"")</f>
        <v>Bongani Ndlovu</v>
      </c>
      <c r="E2561" t="s">
        <v>337</v>
      </c>
      <c r="F2561" t="s">
        <v>338</v>
      </c>
      <c r="G2561" t="s">
        <v>339</v>
      </c>
    </row>
    <row r="2562" spans="1:8" x14ac:dyDescent="0.3">
      <c r="A2562" t="s">
        <v>380</v>
      </c>
      <c r="B2562">
        <f>IFERROR(INDEX(MASTER_REGISTER!C:C,MATCH(C2562,MASTER_REGISTER!E:E,0)),"")</f>
        <v>11</v>
      </c>
      <c r="C2562" t="s">
        <v>248</v>
      </c>
      <c r="D2562" t="str">
        <f>IFERROR(INDEX(MASTER_REGISTER!F:F,MATCH(C2562,MASTER_REGISTER!E:E,0)),"")</f>
        <v>Sifiso Dlamini</v>
      </c>
      <c r="E2562" t="s">
        <v>337</v>
      </c>
      <c r="F2562" t="s">
        <v>338</v>
      </c>
      <c r="G2562" t="s">
        <v>339</v>
      </c>
    </row>
    <row r="2563" spans="1:8" x14ac:dyDescent="0.3">
      <c r="A2563" t="s">
        <v>380</v>
      </c>
      <c r="B2563">
        <f>IFERROR(INDEX(MASTER_REGISTER!C:C,MATCH(C2563,MASTER_REGISTER!E:E,0)),"")</f>
        <v>11</v>
      </c>
      <c r="C2563" t="s">
        <v>252</v>
      </c>
      <c r="D2563" t="str">
        <f>IFERROR(INDEX(MASTER_REGISTER!F:F,MATCH(C2563,MASTER_REGISTER!E:E,0)),"")</f>
        <v>Refilwe Dlamini</v>
      </c>
      <c r="E2563" t="s">
        <v>337</v>
      </c>
      <c r="F2563" t="s">
        <v>338</v>
      </c>
      <c r="G2563" t="s">
        <v>339</v>
      </c>
    </row>
    <row r="2564" spans="1:8" x14ac:dyDescent="0.3">
      <c r="A2564" t="s">
        <v>380</v>
      </c>
      <c r="B2564">
        <f>IFERROR(INDEX(MASTER_REGISTER!C:C,MATCH(C2564,MASTER_REGISTER!E:E,0)),"")</f>
        <v>11</v>
      </c>
      <c r="C2564" t="s">
        <v>256</v>
      </c>
      <c r="D2564" t="str">
        <f>IFERROR(INDEX(MASTER_REGISTER!F:F,MATCH(C2564,MASTER_REGISTER!E:E,0)),"")</f>
        <v>Lwazi Maseko</v>
      </c>
      <c r="E2564" t="s">
        <v>335</v>
      </c>
      <c r="H2564" t="s">
        <v>340</v>
      </c>
    </row>
    <row r="2565" spans="1:8" x14ac:dyDescent="0.3">
      <c r="A2565" t="s">
        <v>380</v>
      </c>
      <c r="B2565">
        <f>IFERROR(INDEX(MASTER_REGISTER!C:C,MATCH(C2565,MASTER_REGISTER!E:E,0)),"")</f>
        <v>11</v>
      </c>
      <c r="C2565" t="s">
        <v>260</v>
      </c>
      <c r="D2565" t="str">
        <f>IFERROR(INDEX(MASTER_REGISTER!F:F,MATCH(C2565,MASTER_REGISTER!E:E,0)),"")</f>
        <v>Refilwe Mokgadi</v>
      </c>
      <c r="E2565" t="s">
        <v>337</v>
      </c>
      <c r="F2565" t="s">
        <v>338</v>
      </c>
      <c r="G2565" t="s">
        <v>339</v>
      </c>
    </row>
    <row r="2566" spans="1:8" x14ac:dyDescent="0.3">
      <c r="A2566" t="s">
        <v>380</v>
      </c>
      <c r="B2566">
        <f>IFERROR(INDEX(MASTER_REGISTER!C:C,MATCH(C2566,MASTER_REGISTER!E:E,0)),"")</f>
        <v>11</v>
      </c>
      <c r="C2566" t="s">
        <v>264</v>
      </c>
      <c r="D2566" t="str">
        <f>IFERROR(INDEX(MASTER_REGISTER!F:F,MATCH(C2566,MASTER_REGISTER!E:E,0)),"")</f>
        <v>Kgothatso Molefe</v>
      </c>
      <c r="E2566" t="s">
        <v>337</v>
      </c>
      <c r="F2566" t="s">
        <v>338</v>
      </c>
      <c r="G2566" t="s">
        <v>339</v>
      </c>
    </row>
    <row r="2567" spans="1:8" x14ac:dyDescent="0.3">
      <c r="A2567" t="s">
        <v>380</v>
      </c>
      <c r="B2567">
        <f>IFERROR(INDEX(MASTER_REGISTER!C:C,MATCH(C2567,MASTER_REGISTER!E:E,0)),"")</f>
        <v>11</v>
      </c>
      <c r="C2567" t="s">
        <v>268</v>
      </c>
      <c r="D2567" t="str">
        <f>IFERROR(INDEX(MASTER_REGISTER!F:F,MATCH(C2567,MASTER_REGISTER!E:E,0)),"")</f>
        <v>Tshepo Mokgadi</v>
      </c>
      <c r="E2567" t="s">
        <v>337</v>
      </c>
      <c r="F2567" t="s">
        <v>338</v>
      </c>
      <c r="G2567" t="s">
        <v>339</v>
      </c>
    </row>
    <row r="2568" spans="1:8" x14ac:dyDescent="0.3">
      <c r="A2568" t="s">
        <v>380</v>
      </c>
      <c r="B2568">
        <f>IFERROR(INDEX(MASTER_REGISTER!C:C,MATCH(C2568,MASTER_REGISTER!E:E,0)),"")</f>
        <v>11</v>
      </c>
      <c r="C2568" t="s">
        <v>272</v>
      </c>
      <c r="D2568" t="str">
        <f>IFERROR(INDEX(MASTER_REGISTER!F:F,MATCH(C2568,MASTER_REGISTER!E:E,0)),"")</f>
        <v>Tshepo Phiri</v>
      </c>
      <c r="E2568" t="s">
        <v>337</v>
      </c>
      <c r="F2568" t="s">
        <v>338</v>
      </c>
      <c r="G2568" t="s">
        <v>339</v>
      </c>
    </row>
    <row r="2569" spans="1:8" x14ac:dyDescent="0.3">
      <c r="A2569" t="s">
        <v>380</v>
      </c>
      <c r="B2569">
        <f>IFERROR(INDEX(MASTER_REGISTER!C:C,MATCH(C2569,MASTER_REGISTER!E:E,0)),"")</f>
        <v>11</v>
      </c>
      <c r="C2569" t="s">
        <v>276</v>
      </c>
      <c r="D2569" t="str">
        <f>IFERROR(INDEX(MASTER_REGISTER!F:F,MATCH(C2569,MASTER_REGISTER!E:E,0)),"")</f>
        <v>Zanele Ngobeni</v>
      </c>
      <c r="E2569" t="s">
        <v>337</v>
      </c>
      <c r="F2569" t="s">
        <v>338</v>
      </c>
      <c r="G2569" t="s">
        <v>339</v>
      </c>
    </row>
    <row r="2570" spans="1:8" x14ac:dyDescent="0.3">
      <c r="A2570" t="s">
        <v>380</v>
      </c>
      <c r="B2570">
        <f>IFERROR(INDEX(MASTER_REGISTER!C:C,MATCH(C2570,MASTER_REGISTER!E:E,0)),"")</f>
        <v>12</v>
      </c>
      <c r="C2570" t="s">
        <v>280</v>
      </c>
      <c r="D2570" t="str">
        <f>IFERROR(INDEX(MASTER_REGISTER!F:F,MATCH(C2570,MASTER_REGISTER!E:E,0)),"")</f>
        <v>Palesa Mokoena</v>
      </c>
      <c r="E2570" t="s">
        <v>337</v>
      </c>
      <c r="F2570" t="s">
        <v>338</v>
      </c>
      <c r="G2570" t="s">
        <v>339</v>
      </c>
    </row>
    <row r="2571" spans="1:8" x14ac:dyDescent="0.3">
      <c r="A2571" t="s">
        <v>380</v>
      </c>
      <c r="B2571">
        <f>IFERROR(INDEX(MASTER_REGISTER!C:C,MATCH(C2571,MASTER_REGISTER!E:E,0)),"")</f>
        <v>12</v>
      </c>
      <c r="C2571" t="s">
        <v>284</v>
      </c>
      <c r="D2571" t="str">
        <f>IFERROR(INDEX(MASTER_REGISTER!F:F,MATCH(C2571,MASTER_REGISTER!E:E,0)),"")</f>
        <v>Thabo Ramushu</v>
      </c>
      <c r="E2571" t="s">
        <v>337</v>
      </c>
      <c r="F2571" t="s">
        <v>338</v>
      </c>
      <c r="G2571" t="s">
        <v>339</v>
      </c>
    </row>
    <row r="2572" spans="1:8" x14ac:dyDescent="0.3">
      <c r="A2572" t="s">
        <v>380</v>
      </c>
      <c r="B2572">
        <f>IFERROR(INDEX(MASTER_REGISTER!C:C,MATCH(C2572,MASTER_REGISTER!E:E,0)),"")</f>
        <v>12</v>
      </c>
      <c r="C2572" t="s">
        <v>288</v>
      </c>
      <c r="D2572" t="str">
        <f>IFERROR(INDEX(MASTER_REGISTER!F:F,MATCH(C2572,MASTER_REGISTER!E:E,0)),"")</f>
        <v>Lwazi Ndlovu</v>
      </c>
      <c r="E2572" t="s">
        <v>337</v>
      </c>
      <c r="F2572" t="s">
        <v>338</v>
      </c>
      <c r="G2572" t="s">
        <v>339</v>
      </c>
    </row>
    <row r="2573" spans="1:8" x14ac:dyDescent="0.3">
      <c r="A2573" t="s">
        <v>380</v>
      </c>
      <c r="B2573">
        <f>IFERROR(INDEX(MASTER_REGISTER!C:C,MATCH(C2573,MASTER_REGISTER!E:E,0)),"")</f>
        <v>12</v>
      </c>
      <c r="C2573" t="s">
        <v>292</v>
      </c>
      <c r="D2573" t="str">
        <f>IFERROR(INDEX(MASTER_REGISTER!F:F,MATCH(C2573,MASTER_REGISTER!E:E,0)),"")</f>
        <v>Ayanda Dlamini</v>
      </c>
      <c r="E2573" t="s">
        <v>335</v>
      </c>
      <c r="H2573" t="s">
        <v>340</v>
      </c>
    </row>
    <row r="2574" spans="1:8" x14ac:dyDescent="0.3">
      <c r="A2574" t="s">
        <v>380</v>
      </c>
      <c r="B2574">
        <f>IFERROR(INDEX(MASTER_REGISTER!C:C,MATCH(C2574,MASTER_REGISTER!E:E,0)),"")</f>
        <v>12</v>
      </c>
      <c r="C2574" t="s">
        <v>296</v>
      </c>
      <c r="D2574" t="str">
        <f>IFERROR(INDEX(MASTER_REGISTER!F:F,MATCH(C2574,MASTER_REGISTER!E:E,0)),"")</f>
        <v>Neo Ndlovu</v>
      </c>
      <c r="E2574" t="s">
        <v>337</v>
      </c>
      <c r="F2574" t="s">
        <v>338</v>
      </c>
      <c r="G2574" t="s">
        <v>339</v>
      </c>
    </row>
    <row r="2575" spans="1:8" x14ac:dyDescent="0.3">
      <c r="A2575" t="s">
        <v>380</v>
      </c>
      <c r="B2575">
        <f>IFERROR(INDEX(MASTER_REGISTER!C:C,MATCH(C2575,MASTER_REGISTER!E:E,0)),"")</f>
        <v>12</v>
      </c>
      <c r="C2575" t="s">
        <v>300</v>
      </c>
      <c r="D2575" t="str">
        <f>IFERROR(INDEX(MASTER_REGISTER!F:F,MATCH(C2575,MASTER_REGISTER!E:E,0)),"")</f>
        <v>Neo Ramushu</v>
      </c>
      <c r="E2575" t="s">
        <v>337</v>
      </c>
      <c r="F2575" t="s">
        <v>338</v>
      </c>
      <c r="G2575" t="s">
        <v>339</v>
      </c>
    </row>
    <row r="2576" spans="1:8" x14ac:dyDescent="0.3">
      <c r="A2576" t="s">
        <v>380</v>
      </c>
      <c r="B2576">
        <f>IFERROR(INDEX(MASTER_REGISTER!C:C,MATCH(C2576,MASTER_REGISTER!E:E,0)),"")</f>
        <v>12</v>
      </c>
      <c r="C2576" t="s">
        <v>304</v>
      </c>
      <c r="D2576" t="str">
        <f>IFERROR(INDEX(MASTER_REGISTER!F:F,MATCH(C2576,MASTER_REGISTER!E:E,0)),"")</f>
        <v>Karabo Baloyi</v>
      </c>
      <c r="E2576" t="s">
        <v>337</v>
      </c>
      <c r="F2576" t="s">
        <v>338</v>
      </c>
      <c r="G2576" t="s">
        <v>339</v>
      </c>
    </row>
    <row r="2577" spans="1:8" x14ac:dyDescent="0.3">
      <c r="A2577" t="s">
        <v>380</v>
      </c>
      <c r="B2577">
        <f>IFERROR(INDEX(MASTER_REGISTER!C:C,MATCH(C2577,MASTER_REGISTER!E:E,0)),"")</f>
        <v>12</v>
      </c>
      <c r="C2577" t="s">
        <v>308</v>
      </c>
      <c r="D2577" t="str">
        <f>IFERROR(INDEX(MASTER_REGISTER!F:F,MATCH(C2577,MASTER_REGISTER!E:E,0)),"")</f>
        <v>Tshepo Mokgadi</v>
      </c>
      <c r="E2577" t="s">
        <v>337</v>
      </c>
      <c r="F2577" t="s">
        <v>338</v>
      </c>
      <c r="G2577" t="s">
        <v>339</v>
      </c>
    </row>
    <row r="2578" spans="1:8" x14ac:dyDescent="0.3">
      <c r="A2578" t="s">
        <v>380</v>
      </c>
      <c r="B2578">
        <f>IFERROR(INDEX(MASTER_REGISTER!C:C,MATCH(C2578,MASTER_REGISTER!E:E,0)),"")</f>
        <v>12</v>
      </c>
      <c r="C2578" t="s">
        <v>311</v>
      </c>
      <c r="D2578" t="str">
        <f>IFERROR(INDEX(MASTER_REGISTER!F:F,MATCH(C2578,MASTER_REGISTER!E:E,0)),"")</f>
        <v>Sifiso Mavuso</v>
      </c>
      <c r="E2578" t="s">
        <v>335</v>
      </c>
      <c r="H2578" t="s">
        <v>336</v>
      </c>
    </row>
    <row r="2579" spans="1:8" x14ac:dyDescent="0.3">
      <c r="A2579" t="s">
        <v>380</v>
      </c>
      <c r="B2579">
        <f>IFERROR(INDEX(MASTER_REGISTER!C:C,MATCH(C2579,MASTER_REGISTER!E:E,0)),"")</f>
        <v>12</v>
      </c>
      <c r="C2579" t="s">
        <v>315</v>
      </c>
      <c r="D2579" t="str">
        <f>IFERROR(INDEX(MASTER_REGISTER!F:F,MATCH(C2579,MASTER_REGISTER!E:E,0)),"")</f>
        <v>Refilwe Sithole</v>
      </c>
      <c r="E2579" t="s">
        <v>337</v>
      </c>
      <c r="F2579" t="s">
        <v>338</v>
      </c>
      <c r="G2579" t="s">
        <v>339</v>
      </c>
    </row>
    <row r="2580" spans="1:8" x14ac:dyDescent="0.3">
      <c r="A2580" t="s">
        <v>380</v>
      </c>
      <c r="B2580">
        <f>IFERROR(INDEX(MASTER_REGISTER!C:C,MATCH(C2580,MASTER_REGISTER!E:E,0)),"")</f>
        <v>12</v>
      </c>
      <c r="C2580" t="s">
        <v>319</v>
      </c>
      <c r="D2580" t="str">
        <f>IFERROR(INDEX(MASTER_REGISTER!F:F,MATCH(C2580,MASTER_REGISTER!E:E,0)),"")</f>
        <v>Lerato Sithole</v>
      </c>
      <c r="E2580" t="s">
        <v>337</v>
      </c>
      <c r="F2580" t="s">
        <v>338</v>
      </c>
      <c r="G2580" t="s">
        <v>339</v>
      </c>
    </row>
    <row r="2581" spans="1:8" x14ac:dyDescent="0.3">
      <c r="A2581" t="s">
        <v>380</v>
      </c>
      <c r="B2581">
        <f>IFERROR(INDEX(MASTER_REGISTER!C:C,MATCH(C2581,MASTER_REGISTER!E:E,0)),"")</f>
        <v>12</v>
      </c>
      <c r="C2581" t="s">
        <v>323</v>
      </c>
      <c r="D2581" t="str">
        <f>IFERROR(INDEX(MASTER_REGISTER!F:F,MATCH(C2581,MASTER_REGISTER!E:E,0)),"")</f>
        <v>Sibusiso Ngobeni</v>
      </c>
      <c r="E2581" t="s">
        <v>335</v>
      </c>
      <c r="H2581" t="s">
        <v>342</v>
      </c>
    </row>
    <row r="2582" spans="1:8" x14ac:dyDescent="0.3">
      <c r="A2582" t="s">
        <v>381</v>
      </c>
      <c r="B2582">
        <f>IFERROR(INDEX(MASTER_REGISTER!C:C,MATCH(C2582,MASTER_REGISTER!E:E,0)),"")</f>
        <v>8</v>
      </c>
      <c r="C2582" t="s">
        <v>50</v>
      </c>
      <c r="D2582" t="str">
        <f>IFERROR(INDEX(MASTER_REGISTER!F:F,MATCH(C2582,MASTER_REGISTER!E:E,0)),"")</f>
        <v>Lerato Nkosi</v>
      </c>
      <c r="E2582" t="s">
        <v>337</v>
      </c>
      <c r="F2582" t="s">
        <v>338</v>
      </c>
      <c r="G2582" t="s">
        <v>339</v>
      </c>
    </row>
    <row r="2583" spans="1:8" x14ac:dyDescent="0.3">
      <c r="A2583" t="s">
        <v>381</v>
      </c>
      <c r="B2583">
        <f>IFERROR(INDEX(MASTER_REGISTER!C:C,MATCH(C2583,MASTER_REGISTER!E:E,0)),"")</f>
        <v>8</v>
      </c>
      <c r="C2583" t="s">
        <v>58</v>
      </c>
      <c r="D2583" t="str">
        <f>IFERROR(INDEX(MASTER_REGISTER!F:F,MATCH(C2583,MASTER_REGISTER!E:E,0)),"")</f>
        <v>Karabo Maseko</v>
      </c>
      <c r="E2583" t="s">
        <v>335</v>
      </c>
      <c r="H2583" t="s">
        <v>336</v>
      </c>
    </row>
    <row r="2584" spans="1:8" x14ac:dyDescent="0.3">
      <c r="A2584" t="s">
        <v>381</v>
      </c>
      <c r="B2584">
        <f>IFERROR(INDEX(MASTER_REGISTER!C:C,MATCH(C2584,MASTER_REGISTER!E:E,0)),"")</f>
        <v>8</v>
      </c>
      <c r="C2584" t="s">
        <v>64</v>
      </c>
      <c r="D2584" t="str">
        <f>IFERROR(INDEX(MASTER_REGISTER!F:F,MATCH(C2584,MASTER_REGISTER!E:E,0)),"")</f>
        <v>Sifiso Sithole</v>
      </c>
      <c r="E2584" t="s">
        <v>337</v>
      </c>
      <c r="F2584" t="s">
        <v>338</v>
      </c>
      <c r="G2584" t="s">
        <v>339</v>
      </c>
    </row>
    <row r="2585" spans="1:8" x14ac:dyDescent="0.3">
      <c r="A2585" t="s">
        <v>381</v>
      </c>
      <c r="B2585">
        <f>IFERROR(INDEX(MASTER_REGISTER!C:C,MATCH(C2585,MASTER_REGISTER!E:E,0)),"")</f>
        <v>8</v>
      </c>
      <c r="C2585" t="s">
        <v>70</v>
      </c>
      <c r="D2585" t="str">
        <f>IFERROR(INDEX(MASTER_REGISTER!F:F,MATCH(C2585,MASTER_REGISTER!E:E,0)),"")</f>
        <v>Tshepo Ndlovu</v>
      </c>
      <c r="E2585" t="s">
        <v>337</v>
      </c>
      <c r="F2585" t="s">
        <v>338</v>
      </c>
      <c r="G2585" t="s">
        <v>339</v>
      </c>
    </row>
    <row r="2586" spans="1:8" x14ac:dyDescent="0.3">
      <c r="A2586" t="s">
        <v>381</v>
      </c>
      <c r="B2586">
        <f>IFERROR(INDEX(MASTER_REGISTER!C:C,MATCH(C2586,MASTER_REGISTER!E:E,0)),"")</f>
        <v>8</v>
      </c>
      <c r="C2586" t="s">
        <v>76</v>
      </c>
      <c r="D2586" t="str">
        <f>IFERROR(INDEX(MASTER_REGISTER!F:F,MATCH(C2586,MASTER_REGISTER!E:E,0)),"")</f>
        <v>Lwazi Mthembu</v>
      </c>
      <c r="E2586" t="s">
        <v>337</v>
      </c>
      <c r="F2586" t="s">
        <v>338</v>
      </c>
      <c r="G2586" t="s">
        <v>339</v>
      </c>
    </row>
    <row r="2587" spans="1:8" x14ac:dyDescent="0.3">
      <c r="A2587" t="s">
        <v>381</v>
      </c>
      <c r="B2587">
        <f>IFERROR(INDEX(MASTER_REGISTER!C:C,MATCH(C2587,MASTER_REGISTER!E:E,0)),"")</f>
        <v>8</v>
      </c>
      <c r="C2587" t="s">
        <v>82</v>
      </c>
      <c r="D2587" t="str">
        <f>IFERROR(INDEX(MASTER_REGISTER!F:F,MATCH(C2587,MASTER_REGISTER!E:E,0)),"")</f>
        <v>Karabo Ngobeni</v>
      </c>
      <c r="E2587" t="s">
        <v>337</v>
      </c>
      <c r="F2587" t="s">
        <v>338</v>
      </c>
      <c r="G2587" t="s">
        <v>339</v>
      </c>
    </row>
    <row r="2588" spans="1:8" x14ac:dyDescent="0.3">
      <c r="A2588" t="s">
        <v>381</v>
      </c>
      <c r="B2588">
        <f>IFERROR(INDEX(MASTER_REGISTER!C:C,MATCH(C2588,MASTER_REGISTER!E:E,0)),"")</f>
        <v>8</v>
      </c>
      <c r="C2588" t="s">
        <v>88</v>
      </c>
      <c r="D2588" t="str">
        <f>IFERROR(INDEX(MASTER_REGISTER!F:F,MATCH(C2588,MASTER_REGISTER!E:E,0)),"")</f>
        <v>Mpho Sithole</v>
      </c>
      <c r="E2588" t="s">
        <v>337</v>
      </c>
      <c r="F2588" t="s">
        <v>338</v>
      </c>
      <c r="G2588" t="s">
        <v>339</v>
      </c>
    </row>
    <row r="2589" spans="1:8" x14ac:dyDescent="0.3">
      <c r="A2589" t="s">
        <v>381</v>
      </c>
      <c r="B2589">
        <f>IFERROR(INDEX(MASTER_REGISTER!C:C,MATCH(C2589,MASTER_REGISTER!E:E,0)),"")</f>
        <v>8</v>
      </c>
      <c r="C2589" t="s">
        <v>94</v>
      </c>
      <c r="D2589" t="str">
        <f>IFERROR(INDEX(MASTER_REGISTER!F:F,MATCH(C2589,MASTER_REGISTER!E:E,0)),"")</f>
        <v>Tshepo Ramushu</v>
      </c>
      <c r="E2589" t="s">
        <v>337</v>
      </c>
      <c r="F2589" t="s">
        <v>338</v>
      </c>
      <c r="G2589" t="s">
        <v>339</v>
      </c>
    </row>
    <row r="2590" spans="1:8" x14ac:dyDescent="0.3">
      <c r="A2590" t="s">
        <v>381</v>
      </c>
      <c r="B2590">
        <f>IFERROR(INDEX(MASTER_REGISTER!C:C,MATCH(C2590,MASTER_REGISTER!E:E,0)),"")</f>
        <v>8</v>
      </c>
      <c r="C2590" t="s">
        <v>100</v>
      </c>
      <c r="D2590" t="str">
        <f>IFERROR(INDEX(MASTER_REGISTER!F:F,MATCH(C2590,MASTER_REGISTER!E:E,0)),"")</f>
        <v>Lerato Kekana</v>
      </c>
      <c r="E2590" t="s">
        <v>337</v>
      </c>
      <c r="F2590" t="s">
        <v>338</v>
      </c>
      <c r="G2590" t="s">
        <v>339</v>
      </c>
    </row>
    <row r="2591" spans="1:8" x14ac:dyDescent="0.3">
      <c r="A2591" t="s">
        <v>381</v>
      </c>
      <c r="B2591">
        <f>IFERROR(INDEX(MASTER_REGISTER!C:C,MATCH(C2591,MASTER_REGISTER!E:E,0)),"")</f>
        <v>8</v>
      </c>
      <c r="C2591" t="s">
        <v>106</v>
      </c>
      <c r="D2591" t="str">
        <f>IFERROR(INDEX(MASTER_REGISTER!F:F,MATCH(C2591,MASTER_REGISTER!E:E,0)),"")</f>
        <v>Neo Ngobeni</v>
      </c>
      <c r="E2591" t="s">
        <v>337</v>
      </c>
      <c r="F2591" t="s">
        <v>338</v>
      </c>
      <c r="G2591" t="s">
        <v>339</v>
      </c>
    </row>
    <row r="2592" spans="1:8" x14ac:dyDescent="0.3">
      <c r="A2592" t="s">
        <v>381</v>
      </c>
      <c r="B2592">
        <f>IFERROR(INDEX(MASTER_REGISTER!C:C,MATCH(C2592,MASTER_REGISTER!E:E,0)),"")</f>
        <v>8</v>
      </c>
      <c r="C2592" t="s">
        <v>112</v>
      </c>
      <c r="D2592" t="str">
        <f>IFERROR(INDEX(MASTER_REGISTER!F:F,MATCH(C2592,MASTER_REGISTER!E:E,0)),"")</f>
        <v>Thabo Mokgadi</v>
      </c>
      <c r="E2592" t="s">
        <v>337</v>
      </c>
      <c r="F2592" t="s">
        <v>338</v>
      </c>
      <c r="G2592" t="s">
        <v>339</v>
      </c>
    </row>
    <row r="2593" spans="1:8" x14ac:dyDescent="0.3">
      <c r="A2593" t="s">
        <v>381</v>
      </c>
      <c r="B2593">
        <f>IFERROR(INDEX(MASTER_REGISTER!C:C,MATCH(C2593,MASTER_REGISTER!E:E,0)),"")</f>
        <v>8</v>
      </c>
      <c r="C2593" t="s">
        <v>118</v>
      </c>
      <c r="D2593" t="str">
        <f>IFERROR(INDEX(MASTER_REGISTER!F:F,MATCH(C2593,MASTER_REGISTER!E:E,0)),"")</f>
        <v>Sifiso Mthembu</v>
      </c>
      <c r="E2593" t="s">
        <v>337</v>
      </c>
      <c r="F2593" t="s">
        <v>338</v>
      </c>
      <c r="G2593" t="s">
        <v>339</v>
      </c>
    </row>
    <row r="2594" spans="1:8" x14ac:dyDescent="0.3">
      <c r="A2594" t="s">
        <v>381</v>
      </c>
      <c r="B2594">
        <f>IFERROR(INDEX(MASTER_REGISTER!C:C,MATCH(C2594,MASTER_REGISTER!E:E,0)),"")</f>
        <v>9</v>
      </c>
      <c r="C2594" t="s">
        <v>123</v>
      </c>
      <c r="D2594" t="str">
        <f>IFERROR(INDEX(MASTER_REGISTER!F:F,MATCH(C2594,MASTER_REGISTER!E:E,0)),"")</f>
        <v>Karabo Phiri</v>
      </c>
      <c r="E2594" t="s">
        <v>337</v>
      </c>
      <c r="F2594" t="s">
        <v>338</v>
      </c>
      <c r="G2594" t="s">
        <v>339</v>
      </c>
    </row>
    <row r="2595" spans="1:8" x14ac:dyDescent="0.3">
      <c r="A2595" t="s">
        <v>381</v>
      </c>
      <c r="B2595">
        <f>IFERROR(INDEX(MASTER_REGISTER!C:C,MATCH(C2595,MASTER_REGISTER!E:E,0)),"")</f>
        <v>9</v>
      </c>
      <c r="C2595" t="s">
        <v>128</v>
      </c>
      <c r="D2595" t="str">
        <f>IFERROR(INDEX(MASTER_REGISTER!F:F,MATCH(C2595,MASTER_REGISTER!E:E,0)),"")</f>
        <v>Lerato Mahlangu</v>
      </c>
      <c r="E2595" t="s">
        <v>337</v>
      </c>
      <c r="F2595" t="s">
        <v>338</v>
      </c>
      <c r="G2595" t="s">
        <v>339</v>
      </c>
    </row>
    <row r="2596" spans="1:8" x14ac:dyDescent="0.3">
      <c r="A2596" t="s">
        <v>381</v>
      </c>
      <c r="B2596">
        <f>IFERROR(INDEX(MASTER_REGISTER!C:C,MATCH(C2596,MASTER_REGISTER!E:E,0)),"")</f>
        <v>9</v>
      </c>
      <c r="C2596" t="s">
        <v>133</v>
      </c>
      <c r="D2596" t="str">
        <f>IFERROR(INDEX(MASTER_REGISTER!F:F,MATCH(C2596,MASTER_REGISTER!E:E,0)),"")</f>
        <v>Mpho Kekana</v>
      </c>
      <c r="E2596" t="s">
        <v>335</v>
      </c>
      <c r="H2596" t="s">
        <v>340</v>
      </c>
    </row>
    <row r="2597" spans="1:8" x14ac:dyDescent="0.3">
      <c r="A2597" t="s">
        <v>381</v>
      </c>
      <c r="B2597">
        <f>IFERROR(INDEX(MASTER_REGISTER!C:C,MATCH(C2597,MASTER_REGISTER!E:E,0)),"")</f>
        <v>9</v>
      </c>
      <c r="C2597" t="s">
        <v>138</v>
      </c>
      <c r="D2597" t="str">
        <f>IFERROR(INDEX(MASTER_REGISTER!F:F,MATCH(C2597,MASTER_REGISTER!E:E,0)),"")</f>
        <v>Thabo Molefe</v>
      </c>
      <c r="E2597" t="s">
        <v>337</v>
      </c>
      <c r="F2597" t="s">
        <v>338</v>
      </c>
      <c r="G2597" t="s">
        <v>339</v>
      </c>
    </row>
    <row r="2598" spans="1:8" x14ac:dyDescent="0.3">
      <c r="A2598" t="s">
        <v>381</v>
      </c>
      <c r="B2598">
        <f>IFERROR(INDEX(MASTER_REGISTER!C:C,MATCH(C2598,MASTER_REGISTER!E:E,0)),"")</f>
        <v>9</v>
      </c>
      <c r="C2598" t="s">
        <v>143</v>
      </c>
      <c r="D2598" t="str">
        <f>IFERROR(INDEX(MASTER_REGISTER!F:F,MATCH(C2598,MASTER_REGISTER!E:E,0)),"")</f>
        <v>Mpho Ngobeni</v>
      </c>
      <c r="E2598" t="s">
        <v>337</v>
      </c>
      <c r="F2598" t="s">
        <v>338</v>
      </c>
      <c r="G2598" t="s">
        <v>339</v>
      </c>
    </row>
    <row r="2599" spans="1:8" x14ac:dyDescent="0.3">
      <c r="A2599" t="s">
        <v>381</v>
      </c>
      <c r="B2599">
        <f>IFERROR(INDEX(MASTER_REGISTER!C:C,MATCH(C2599,MASTER_REGISTER!E:E,0)),"")</f>
        <v>9</v>
      </c>
      <c r="C2599" t="s">
        <v>148</v>
      </c>
      <c r="D2599" t="str">
        <f>IFERROR(INDEX(MASTER_REGISTER!F:F,MATCH(C2599,MASTER_REGISTER!E:E,0)),"")</f>
        <v>Siyanda Mhlongo</v>
      </c>
      <c r="E2599" t="s">
        <v>337</v>
      </c>
      <c r="F2599" t="s">
        <v>338</v>
      </c>
      <c r="G2599" t="s">
        <v>339</v>
      </c>
    </row>
    <row r="2600" spans="1:8" x14ac:dyDescent="0.3">
      <c r="A2600" t="s">
        <v>381</v>
      </c>
      <c r="B2600">
        <f>IFERROR(INDEX(MASTER_REGISTER!C:C,MATCH(C2600,MASTER_REGISTER!E:E,0)),"")</f>
        <v>9</v>
      </c>
      <c r="C2600" t="s">
        <v>153</v>
      </c>
      <c r="D2600" t="str">
        <f>IFERROR(INDEX(MASTER_REGISTER!F:F,MATCH(C2600,MASTER_REGISTER!E:E,0)),"")</f>
        <v>Siyanda Mahlangu</v>
      </c>
      <c r="E2600" t="s">
        <v>337</v>
      </c>
      <c r="F2600" t="s">
        <v>338</v>
      </c>
      <c r="G2600" t="s">
        <v>339</v>
      </c>
    </row>
    <row r="2601" spans="1:8" x14ac:dyDescent="0.3">
      <c r="A2601" t="s">
        <v>381</v>
      </c>
      <c r="B2601">
        <f>IFERROR(INDEX(MASTER_REGISTER!C:C,MATCH(C2601,MASTER_REGISTER!E:E,0)),"")</f>
        <v>9</v>
      </c>
      <c r="C2601" t="s">
        <v>158</v>
      </c>
      <c r="D2601" t="str">
        <f>IFERROR(INDEX(MASTER_REGISTER!F:F,MATCH(C2601,MASTER_REGISTER!E:E,0)),"")</f>
        <v>Sifiso Ramushu</v>
      </c>
      <c r="E2601" t="s">
        <v>337</v>
      </c>
      <c r="F2601" t="s">
        <v>338</v>
      </c>
      <c r="G2601" t="s">
        <v>339</v>
      </c>
    </row>
    <row r="2602" spans="1:8" x14ac:dyDescent="0.3">
      <c r="A2602" t="s">
        <v>381</v>
      </c>
      <c r="B2602">
        <f>IFERROR(INDEX(MASTER_REGISTER!C:C,MATCH(C2602,MASTER_REGISTER!E:E,0)),"")</f>
        <v>9</v>
      </c>
      <c r="C2602" t="s">
        <v>163</v>
      </c>
      <c r="D2602" t="str">
        <f>IFERROR(INDEX(MASTER_REGISTER!F:F,MATCH(C2602,MASTER_REGISTER!E:E,0)),"")</f>
        <v>Nandi Ngobeni</v>
      </c>
      <c r="E2602" t="s">
        <v>337</v>
      </c>
      <c r="F2602" t="s">
        <v>338</v>
      </c>
      <c r="G2602" t="s">
        <v>339</v>
      </c>
    </row>
    <row r="2603" spans="1:8" x14ac:dyDescent="0.3">
      <c r="A2603" t="s">
        <v>381</v>
      </c>
      <c r="B2603">
        <f>IFERROR(INDEX(MASTER_REGISTER!C:C,MATCH(C2603,MASTER_REGISTER!E:E,0)),"")</f>
        <v>9</v>
      </c>
      <c r="C2603" t="s">
        <v>168</v>
      </c>
      <c r="D2603" t="str">
        <f>IFERROR(INDEX(MASTER_REGISTER!F:F,MATCH(C2603,MASTER_REGISTER!E:E,0)),"")</f>
        <v>Karabo Mokgadi</v>
      </c>
      <c r="E2603" t="s">
        <v>337</v>
      </c>
      <c r="F2603" t="s">
        <v>338</v>
      </c>
      <c r="G2603" t="s">
        <v>339</v>
      </c>
    </row>
    <row r="2604" spans="1:8" x14ac:dyDescent="0.3">
      <c r="A2604" t="s">
        <v>381</v>
      </c>
      <c r="B2604">
        <f>IFERROR(INDEX(MASTER_REGISTER!C:C,MATCH(C2604,MASTER_REGISTER!E:E,0)),"")</f>
        <v>9</v>
      </c>
      <c r="C2604" t="s">
        <v>173</v>
      </c>
      <c r="D2604" t="str">
        <f>IFERROR(INDEX(MASTER_REGISTER!F:F,MATCH(C2604,MASTER_REGISTER!E:E,0)),"")</f>
        <v>Sifiso Mahlangu</v>
      </c>
      <c r="E2604" t="s">
        <v>337</v>
      </c>
      <c r="F2604" t="s">
        <v>338</v>
      </c>
      <c r="G2604" t="s">
        <v>339</v>
      </c>
    </row>
    <row r="2605" spans="1:8" x14ac:dyDescent="0.3">
      <c r="A2605" t="s">
        <v>381</v>
      </c>
      <c r="B2605">
        <f>IFERROR(INDEX(MASTER_REGISTER!C:C,MATCH(C2605,MASTER_REGISTER!E:E,0)),"")</f>
        <v>9</v>
      </c>
      <c r="C2605" t="s">
        <v>178</v>
      </c>
      <c r="D2605" t="str">
        <f>IFERROR(INDEX(MASTER_REGISTER!F:F,MATCH(C2605,MASTER_REGISTER!E:E,0)),"")</f>
        <v>Kgothatso Radebe</v>
      </c>
      <c r="E2605" t="s">
        <v>337</v>
      </c>
      <c r="F2605" t="s">
        <v>338</v>
      </c>
      <c r="G2605" t="s">
        <v>339</v>
      </c>
    </row>
    <row r="2606" spans="1:8" x14ac:dyDescent="0.3">
      <c r="A2606" t="s">
        <v>381</v>
      </c>
      <c r="B2606">
        <f>IFERROR(INDEX(MASTER_REGISTER!C:C,MATCH(C2606,MASTER_REGISTER!E:E,0)),"")</f>
        <v>10</v>
      </c>
      <c r="C2606" t="s">
        <v>183</v>
      </c>
      <c r="D2606" t="str">
        <f>IFERROR(INDEX(MASTER_REGISTER!F:F,MATCH(C2606,MASTER_REGISTER!E:E,0)),"")</f>
        <v>Lerato Maseko</v>
      </c>
      <c r="E2606" t="s">
        <v>337</v>
      </c>
      <c r="F2606" t="s">
        <v>338</v>
      </c>
      <c r="G2606" t="s">
        <v>339</v>
      </c>
    </row>
    <row r="2607" spans="1:8" x14ac:dyDescent="0.3">
      <c r="A2607" t="s">
        <v>381</v>
      </c>
      <c r="B2607">
        <f>IFERROR(INDEX(MASTER_REGISTER!C:C,MATCH(C2607,MASTER_REGISTER!E:E,0)),"")</f>
        <v>10</v>
      </c>
      <c r="C2607" t="s">
        <v>188</v>
      </c>
      <c r="D2607" t="str">
        <f>IFERROR(INDEX(MASTER_REGISTER!F:F,MATCH(C2607,MASTER_REGISTER!E:E,0)),"")</f>
        <v>Sibusiso Molefe</v>
      </c>
      <c r="E2607" t="s">
        <v>337</v>
      </c>
      <c r="F2607" t="s">
        <v>338</v>
      </c>
      <c r="G2607" t="s">
        <v>339</v>
      </c>
    </row>
    <row r="2608" spans="1:8" x14ac:dyDescent="0.3">
      <c r="A2608" t="s">
        <v>381</v>
      </c>
      <c r="B2608">
        <f>IFERROR(INDEX(MASTER_REGISTER!C:C,MATCH(C2608,MASTER_REGISTER!E:E,0)),"")</f>
        <v>10</v>
      </c>
      <c r="C2608" t="s">
        <v>193</v>
      </c>
      <c r="D2608" t="str">
        <f>IFERROR(INDEX(MASTER_REGISTER!F:F,MATCH(C2608,MASTER_REGISTER!E:E,0)),"")</f>
        <v>Nandi Molefe</v>
      </c>
      <c r="E2608" t="s">
        <v>337</v>
      </c>
      <c r="F2608" t="s">
        <v>338</v>
      </c>
      <c r="G2608" t="s">
        <v>339</v>
      </c>
    </row>
    <row r="2609" spans="1:8" x14ac:dyDescent="0.3">
      <c r="A2609" t="s">
        <v>381</v>
      </c>
      <c r="B2609">
        <f>IFERROR(INDEX(MASTER_REGISTER!C:C,MATCH(C2609,MASTER_REGISTER!E:E,0)),"")</f>
        <v>10</v>
      </c>
      <c r="C2609" t="s">
        <v>198</v>
      </c>
      <c r="D2609" t="str">
        <f>IFERROR(INDEX(MASTER_REGISTER!F:F,MATCH(C2609,MASTER_REGISTER!E:E,0)),"")</f>
        <v>Kgothatso Baloyi</v>
      </c>
      <c r="E2609" t="s">
        <v>337</v>
      </c>
      <c r="F2609" t="s">
        <v>338</v>
      </c>
      <c r="G2609" t="s">
        <v>339</v>
      </c>
    </row>
    <row r="2610" spans="1:8" x14ac:dyDescent="0.3">
      <c r="A2610" t="s">
        <v>381</v>
      </c>
      <c r="B2610">
        <f>IFERROR(INDEX(MASTER_REGISTER!C:C,MATCH(C2610,MASTER_REGISTER!E:E,0)),"")</f>
        <v>10</v>
      </c>
      <c r="C2610" t="s">
        <v>202</v>
      </c>
      <c r="D2610" t="str">
        <f>IFERROR(INDEX(MASTER_REGISTER!F:F,MATCH(C2610,MASTER_REGISTER!E:E,0)),"")</f>
        <v>Ayanda Mokoena</v>
      </c>
      <c r="E2610" t="s">
        <v>335</v>
      </c>
      <c r="H2610" t="s">
        <v>336</v>
      </c>
    </row>
    <row r="2611" spans="1:8" x14ac:dyDescent="0.3">
      <c r="A2611" t="s">
        <v>381</v>
      </c>
      <c r="B2611">
        <f>IFERROR(INDEX(MASTER_REGISTER!C:C,MATCH(C2611,MASTER_REGISTER!E:E,0)),"")</f>
        <v>10</v>
      </c>
      <c r="C2611" t="s">
        <v>206</v>
      </c>
      <c r="D2611" t="str">
        <f>IFERROR(INDEX(MASTER_REGISTER!F:F,MATCH(C2611,MASTER_REGISTER!E:E,0)),"")</f>
        <v>Lwazi Baloyi</v>
      </c>
      <c r="E2611" t="s">
        <v>337</v>
      </c>
      <c r="F2611" t="s">
        <v>338</v>
      </c>
      <c r="G2611" t="s">
        <v>339</v>
      </c>
    </row>
    <row r="2612" spans="1:8" x14ac:dyDescent="0.3">
      <c r="A2612" t="s">
        <v>381</v>
      </c>
      <c r="B2612">
        <f>IFERROR(INDEX(MASTER_REGISTER!C:C,MATCH(C2612,MASTER_REGISTER!E:E,0)),"")</f>
        <v>10</v>
      </c>
      <c r="C2612" t="s">
        <v>210</v>
      </c>
      <c r="D2612" t="str">
        <f>IFERROR(INDEX(MASTER_REGISTER!F:F,MATCH(C2612,MASTER_REGISTER!E:E,0)),"")</f>
        <v>Siyanda Mokoena</v>
      </c>
      <c r="E2612" t="s">
        <v>337</v>
      </c>
      <c r="F2612" t="s">
        <v>338</v>
      </c>
      <c r="G2612" t="s">
        <v>339</v>
      </c>
    </row>
    <row r="2613" spans="1:8" x14ac:dyDescent="0.3">
      <c r="A2613" t="s">
        <v>381</v>
      </c>
      <c r="B2613">
        <f>IFERROR(INDEX(MASTER_REGISTER!C:C,MATCH(C2613,MASTER_REGISTER!E:E,0)),"")</f>
        <v>10</v>
      </c>
      <c r="C2613" t="s">
        <v>214</v>
      </c>
      <c r="D2613" t="str">
        <f>IFERROR(INDEX(MASTER_REGISTER!F:F,MATCH(C2613,MASTER_REGISTER!E:E,0)),"")</f>
        <v>Mpho Ngobeni</v>
      </c>
      <c r="E2613" t="s">
        <v>337</v>
      </c>
      <c r="F2613" t="s">
        <v>338</v>
      </c>
      <c r="G2613" t="s">
        <v>339</v>
      </c>
    </row>
    <row r="2614" spans="1:8" x14ac:dyDescent="0.3">
      <c r="A2614" t="s">
        <v>381</v>
      </c>
      <c r="B2614">
        <f>IFERROR(INDEX(MASTER_REGISTER!C:C,MATCH(C2614,MASTER_REGISTER!E:E,0)),"")</f>
        <v>10</v>
      </c>
      <c r="C2614" t="s">
        <v>217</v>
      </c>
      <c r="D2614" t="str">
        <f>IFERROR(INDEX(MASTER_REGISTER!F:F,MATCH(C2614,MASTER_REGISTER!E:E,0)),"")</f>
        <v>Naledi Makhubela</v>
      </c>
      <c r="E2614" t="s">
        <v>337</v>
      </c>
      <c r="F2614" t="s">
        <v>338</v>
      </c>
      <c r="G2614" t="s">
        <v>339</v>
      </c>
    </row>
    <row r="2615" spans="1:8" x14ac:dyDescent="0.3">
      <c r="A2615" t="s">
        <v>381</v>
      </c>
      <c r="B2615">
        <f>IFERROR(INDEX(MASTER_REGISTER!C:C,MATCH(C2615,MASTER_REGISTER!E:E,0)),"")</f>
        <v>10</v>
      </c>
      <c r="C2615" t="s">
        <v>221</v>
      </c>
      <c r="D2615" t="str">
        <f>IFERROR(INDEX(MASTER_REGISTER!F:F,MATCH(C2615,MASTER_REGISTER!E:E,0)),"")</f>
        <v>Kgothatso Mokoena</v>
      </c>
      <c r="E2615" t="s">
        <v>337</v>
      </c>
      <c r="F2615" t="s">
        <v>338</v>
      </c>
      <c r="G2615" t="s">
        <v>339</v>
      </c>
    </row>
    <row r="2616" spans="1:8" x14ac:dyDescent="0.3">
      <c r="A2616" t="s">
        <v>381</v>
      </c>
      <c r="B2616">
        <f>IFERROR(INDEX(MASTER_REGISTER!C:C,MATCH(C2616,MASTER_REGISTER!E:E,0)),"")</f>
        <v>10</v>
      </c>
      <c r="C2616" t="s">
        <v>225</v>
      </c>
      <c r="D2616" t="str">
        <f>IFERROR(INDEX(MASTER_REGISTER!F:F,MATCH(C2616,MASTER_REGISTER!E:E,0)),"")</f>
        <v>Bongani Makhubela</v>
      </c>
      <c r="E2616" t="s">
        <v>337</v>
      </c>
      <c r="F2616" t="s">
        <v>338</v>
      </c>
      <c r="G2616" t="s">
        <v>339</v>
      </c>
    </row>
    <row r="2617" spans="1:8" x14ac:dyDescent="0.3">
      <c r="A2617" t="s">
        <v>381</v>
      </c>
      <c r="B2617">
        <f>IFERROR(INDEX(MASTER_REGISTER!C:C,MATCH(C2617,MASTER_REGISTER!E:E,0)),"")</f>
        <v>10</v>
      </c>
      <c r="C2617" t="s">
        <v>229</v>
      </c>
      <c r="D2617" t="str">
        <f>IFERROR(INDEX(MASTER_REGISTER!F:F,MATCH(C2617,MASTER_REGISTER!E:E,0)),"")</f>
        <v>Kagiso Kekana</v>
      </c>
      <c r="E2617" t="s">
        <v>337</v>
      </c>
      <c r="F2617" t="s">
        <v>338</v>
      </c>
      <c r="G2617" t="s">
        <v>339</v>
      </c>
    </row>
    <row r="2618" spans="1:8" x14ac:dyDescent="0.3">
      <c r="A2618" t="s">
        <v>381</v>
      </c>
      <c r="B2618">
        <f>IFERROR(INDEX(MASTER_REGISTER!C:C,MATCH(C2618,MASTER_REGISTER!E:E,0)),"")</f>
        <v>11</v>
      </c>
      <c r="C2618" t="s">
        <v>233</v>
      </c>
      <c r="D2618" t="str">
        <f>IFERROR(INDEX(MASTER_REGISTER!F:F,MATCH(C2618,MASTER_REGISTER!E:E,0)),"")</f>
        <v>Lwazi Makhubela</v>
      </c>
      <c r="E2618" t="s">
        <v>337</v>
      </c>
      <c r="F2618" t="s">
        <v>338</v>
      </c>
      <c r="G2618" t="s">
        <v>339</v>
      </c>
    </row>
    <row r="2619" spans="1:8" x14ac:dyDescent="0.3">
      <c r="A2619" t="s">
        <v>381</v>
      </c>
      <c r="B2619">
        <f>IFERROR(INDEX(MASTER_REGISTER!C:C,MATCH(C2619,MASTER_REGISTER!E:E,0)),"")</f>
        <v>11</v>
      </c>
      <c r="C2619" t="s">
        <v>237</v>
      </c>
      <c r="D2619" t="str">
        <f>IFERROR(INDEX(MASTER_REGISTER!F:F,MATCH(C2619,MASTER_REGISTER!E:E,0)),"")</f>
        <v>Lebogang Ramushu</v>
      </c>
      <c r="E2619" t="s">
        <v>335</v>
      </c>
      <c r="H2619" t="s">
        <v>340</v>
      </c>
    </row>
    <row r="2620" spans="1:8" x14ac:dyDescent="0.3">
      <c r="A2620" t="s">
        <v>381</v>
      </c>
      <c r="B2620">
        <f>IFERROR(INDEX(MASTER_REGISTER!C:C,MATCH(C2620,MASTER_REGISTER!E:E,0)),"")</f>
        <v>11</v>
      </c>
      <c r="C2620" t="s">
        <v>241</v>
      </c>
      <c r="D2620" t="str">
        <f>IFERROR(INDEX(MASTER_REGISTER!F:F,MATCH(C2620,MASTER_REGISTER!E:E,0)),"")</f>
        <v>Lerato Kekana</v>
      </c>
      <c r="E2620" t="s">
        <v>337</v>
      </c>
      <c r="F2620" t="s">
        <v>338</v>
      </c>
      <c r="G2620" t="s">
        <v>339</v>
      </c>
    </row>
    <row r="2621" spans="1:8" x14ac:dyDescent="0.3">
      <c r="A2621" t="s">
        <v>381</v>
      </c>
      <c r="B2621">
        <f>IFERROR(INDEX(MASTER_REGISTER!C:C,MATCH(C2621,MASTER_REGISTER!E:E,0)),"")</f>
        <v>11</v>
      </c>
      <c r="C2621" t="s">
        <v>244</v>
      </c>
      <c r="D2621" t="str">
        <f>IFERROR(INDEX(MASTER_REGISTER!F:F,MATCH(C2621,MASTER_REGISTER!E:E,0)),"")</f>
        <v>Bongani Ndlovu</v>
      </c>
      <c r="E2621" t="s">
        <v>337</v>
      </c>
      <c r="F2621" t="s">
        <v>338</v>
      </c>
      <c r="G2621" t="s">
        <v>339</v>
      </c>
    </row>
    <row r="2622" spans="1:8" x14ac:dyDescent="0.3">
      <c r="A2622" t="s">
        <v>381</v>
      </c>
      <c r="B2622">
        <f>IFERROR(INDEX(MASTER_REGISTER!C:C,MATCH(C2622,MASTER_REGISTER!E:E,0)),"")</f>
        <v>11</v>
      </c>
      <c r="C2622" t="s">
        <v>248</v>
      </c>
      <c r="D2622" t="str">
        <f>IFERROR(INDEX(MASTER_REGISTER!F:F,MATCH(C2622,MASTER_REGISTER!E:E,0)),"")</f>
        <v>Sifiso Dlamini</v>
      </c>
      <c r="E2622" t="s">
        <v>337</v>
      </c>
      <c r="F2622" t="s">
        <v>338</v>
      </c>
      <c r="G2622" t="s">
        <v>339</v>
      </c>
    </row>
    <row r="2623" spans="1:8" x14ac:dyDescent="0.3">
      <c r="A2623" t="s">
        <v>381</v>
      </c>
      <c r="B2623">
        <f>IFERROR(INDEX(MASTER_REGISTER!C:C,MATCH(C2623,MASTER_REGISTER!E:E,0)),"")</f>
        <v>11</v>
      </c>
      <c r="C2623" t="s">
        <v>252</v>
      </c>
      <c r="D2623" t="str">
        <f>IFERROR(INDEX(MASTER_REGISTER!F:F,MATCH(C2623,MASTER_REGISTER!E:E,0)),"")</f>
        <v>Refilwe Dlamini</v>
      </c>
      <c r="E2623" t="s">
        <v>337</v>
      </c>
      <c r="F2623" t="s">
        <v>338</v>
      </c>
      <c r="G2623" t="s">
        <v>339</v>
      </c>
    </row>
    <row r="2624" spans="1:8" x14ac:dyDescent="0.3">
      <c r="A2624" t="s">
        <v>381</v>
      </c>
      <c r="B2624">
        <f>IFERROR(INDEX(MASTER_REGISTER!C:C,MATCH(C2624,MASTER_REGISTER!E:E,0)),"")</f>
        <v>11</v>
      </c>
      <c r="C2624" t="s">
        <v>256</v>
      </c>
      <c r="D2624" t="str">
        <f>IFERROR(INDEX(MASTER_REGISTER!F:F,MATCH(C2624,MASTER_REGISTER!E:E,0)),"")</f>
        <v>Lwazi Maseko</v>
      </c>
      <c r="E2624" t="s">
        <v>337</v>
      </c>
      <c r="F2624" t="s">
        <v>338</v>
      </c>
      <c r="G2624" t="s">
        <v>339</v>
      </c>
    </row>
    <row r="2625" spans="1:8" x14ac:dyDescent="0.3">
      <c r="A2625" t="s">
        <v>381</v>
      </c>
      <c r="B2625">
        <f>IFERROR(INDEX(MASTER_REGISTER!C:C,MATCH(C2625,MASTER_REGISTER!E:E,0)),"")</f>
        <v>11</v>
      </c>
      <c r="C2625" t="s">
        <v>260</v>
      </c>
      <c r="D2625" t="str">
        <f>IFERROR(INDEX(MASTER_REGISTER!F:F,MATCH(C2625,MASTER_REGISTER!E:E,0)),"")</f>
        <v>Refilwe Mokgadi</v>
      </c>
      <c r="E2625" t="s">
        <v>337</v>
      </c>
      <c r="F2625" t="s">
        <v>338</v>
      </c>
      <c r="G2625" t="s">
        <v>339</v>
      </c>
    </row>
    <row r="2626" spans="1:8" x14ac:dyDescent="0.3">
      <c r="A2626" t="s">
        <v>381</v>
      </c>
      <c r="B2626">
        <f>IFERROR(INDEX(MASTER_REGISTER!C:C,MATCH(C2626,MASTER_REGISTER!E:E,0)),"")</f>
        <v>11</v>
      </c>
      <c r="C2626" t="s">
        <v>264</v>
      </c>
      <c r="D2626" t="str">
        <f>IFERROR(INDEX(MASTER_REGISTER!F:F,MATCH(C2626,MASTER_REGISTER!E:E,0)),"")</f>
        <v>Kgothatso Molefe</v>
      </c>
      <c r="E2626" t="s">
        <v>337</v>
      </c>
      <c r="F2626" t="s">
        <v>338</v>
      </c>
      <c r="G2626" t="s">
        <v>339</v>
      </c>
    </row>
    <row r="2627" spans="1:8" x14ac:dyDescent="0.3">
      <c r="A2627" t="s">
        <v>381</v>
      </c>
      <c r="B2627">
        <f>IFERROR(INDEX(MASTER_REGISTER!C:C,MATCH(C2627,MASTER_REGISTER!E:E,0)),"")</f>
        <v>11</v>
      </c>
      <c r="C2627" t="s">
        <v>268</v>
      </c>
      <c r="D2627" t="str">
        <f>IFERROR(INDEX(MASTER_REGISTER!F:F,MATCH(C2627,MASTER_REGISTER!E:E,0)),"")</f>
        <v>Tshepo Mokgadi</v>
      </c>
      <c r="E2627" t="s">
        <v>337</v>
      </c>
      <c r="F2627" t="s">
        <v>338</v>
      </c>
      <c r="G2627" t="s">
        <v>339</v>
      </c>
    </row>
    <row r="2628" spans="1:8" x14ac:dyDescent="0.3">
      <c r="A2628" t="s">
        <v>381</v>
      </c>
      <c r="B2628">
        <f>IFERROR(INDEX(MASTER_REGISTER!C:C,MATCH(C2628,MASTER_REGISTER!E:E,0)),"")</f>
        <v>11</v>
      </c>
      <c r="C2628" t="s">
        <v>272</v>
      </c>
      <c r="D2628" t="str">
        <f>IFERROR(INDEX(MASTER_REGISTER!F:F,MATCH(C2628,MASTER_REGISTER!E:E,0)),"")</f>
        <v>Tshepo Phiri</v>
      </c>
      <c r="E2628" t="s">
        <v>335</v>
      </c>
      <c r="H2628" t="s">
        <v>336</v>
      </c>
    </row>
    <row r="2629" spans="1:8" x14ac:dyDescent="0.3">
      <c r="A2629" t="s">
        <v>381</v>
      </c>
      <c r="B2629">
        <f>IFERROR(INDEX(MASTER_REGISTER!C:C,MATCH(C2629,MASTER_REGISTER!E:E,0)),"")</f>
        <v>11</v>
      </c>
      <c r="C2629" t="s">
        <v>276</v>
      </c>
      <c r="D2629" t="str">
        <f>IFERROR(INDEX(MASTER_REGISTER!F:F,MATCH(C2629,MASTER_REGISTER!E:E,0)),"")</f>
        <v>Zanele Ngobeni</v>
      </c>
      <c r="E2629" t="s">
        <v>337</v>
      </c>
      <c r="F2629" t="s">
        <v>338</v>
      </c>
      <c r="G2629" t="s">
        <v>339</v>
      </c>
    </row>
    <row r="2630" spans="1:8" x14ac:dyDescent="0.3">
      <c r="A2630" t="s">
        <v>381</v>
      </c>
      <c r="B2630">
        <f>IFERROR(INDEX(MASTER_REGISTER!C:C,MATCH(C2630,MASTER_REGISTER!E:E,0)),"")</f>
        <v>12</v>
      </c>
      <c r="C2630" t="s">
        <v>280</v>
      </c>
      <c r="D2630" t="str">
        <f>IFERROR(INDEX(MASTER_REGISTER!F:F,MATCH(C2630,MASTER_REGISTER!E:E,0)),"")</f>
        <v>Palesa Mokoena</v>
      </c>
      <c r="E2630" t="s">
        <v>335</v>
      </c>
      <c r="H2630" t="s">
        <v>340</v>
      </c>
    </row>
    <row r="2631" spans="1:8" x14ac:dyDescent="0.3">
      <c r="A2631" t="s">
        <v>381</v>
      </c>
      <c r="B2631">
        <f>IFERROR(INDEX(MASTER_REGISTER!C:C,MATCH(C2631,MASTER_REGISTER!E:E,0)),"")</f>
        <v>12</v>
      </c>
      <c r="C2631" t="s">
        <v>284</v>
      </c>
      <c r="D2631" t="str">
        <f>IFERROR(INDEX(MASTER_REGISTER!F:F,MATCH(C2631,MASTER_REGISTER!E:E,0)),"")</f>
        <v>Thabo Ramushu</v>
      </c>
      <c r="E2631" t="s">
        <v>337</v>
      </c>
      <c r="F2631" t="s">
        <v>338</v>
      </c>
      <c r="G2631" t="s">
        <v>339</v>
      </c>
    </row>
    <row r="2632" spans="1:8" x14ac:dyDescent="0.3">
      <c r="A2632" t="s">
        <v>381</v>
      </c>
      <c r="B2632">
        <f>IFERROR(INDEX(MASTER_REGISTER!C:C,MATCH(C2632,MASTER_REGISTER!E:E,0)),"")</f>
        <v>12</v>
      </c>
      <c r="C2632" t="s">
        <v>288</v>
      </c>
      <c r="D2632" t="str">
        <f>IFERROR(INDEX(MASTER_REGISTER!F:F,MATCH(C2632,MASTER_REGISTER!E:E,0)),"")</f>
        <v>Lwazi Ndlovu</v>
      </c>
      <c r="E2632" t="s">
        <v>337</v>
      </c>
      <c r="F2632" t="s">
        <v>338</v>
      </c>
      <c r="G2632" t="s">
        <v>339</v>
      </c>
    </row>
    <row r="2633" spans="1:8" x14ac:dyDescent="0.3">
      <c r="A2633" t="s">
        <v>381</v>
      </c>
      <c r="B2633">
        <f>IFERROR(INDEX(MASTER_REGISTER!C:C,MATCH(C2633,MASTER_REGISTER!E:E,0)),"")</f>
        <v>12</v>
      </c>
      <c r="C2633" t="s">
        <v>292</v>
      </c>
      <c r="D2633" t="str">
        <f>IFERROR(INDEX(MASTER_REGISTER!F:F,MATCH(C2633,MASTER_REGISTER!E:E,0)),"")</f>
        <v>Ayanda Dlamini</v>
      </c>
      <c r="E2633" t="s">
        <v>335</v>
      </c>
      <c r="H2633" t="s">
        <v>342</v>
      </c>
    </row>
    <row r="2634" spans="1:8" x14ac:dyDescent="0.3">
      <c r="A2634" t="s">
        <v>381</v>
      </c>
      <c r="B2634">
        <f>IFERROR(INDEX(MASTER_REGISTER!C:C,MATCH(C2634,MASTER_REGISTER!E:E,0)),"")</f>
        <v>12</v>
      </c>
      <c r="C2634" t="s">
        <v>296</v>
      </c>
      <c r="D2634" t="str">
        <f>IFERROR(INDEX(MASTER_REGISTER!F:F,MATCH(C2634,MASTER_REGISTER!E:E,0)),"")</f>
        <v>Neo Ndlovu</v>
      </c>
      <c r="E2634" t="s">
        <v>337</v>
      </c>
      <c r="F2634" t="s">
        <v>338</v>
      </c>
      <c r="G2634" t="s">
        <v>339</v>
      </c>
    </row>
    <row r="2635" spans="1:8" x14ac:dyDescent="0.3">
      <c r="A2635" t="s">
        <v>381</v>
      </c>
      <c r="B2635">
        <f>IFERROR(INDEX(MASTER_REGISTER!C:C,MATCH(C2635,MASTER_REGISTER!E:E,0)),"")</f>
        <v>12</v>
      </c>
      <c r="C2635" t="s">
        <v>300</v>
      </c>
      <c r="D2635" t="str">
        <f>IFERROR(INDEX(MASTER_REGISTER!F:F,MATCH(C2635,MASTER_REGISTER!E:E,0)),"")</f>
        <v>Neo Ramushu</v>
      </c>
      <c r="E2635" t="s">
        <v>337</v>
      </c>
      <c r="F2635" t="s">
        <v>338</v>
      </c>
      <c r="G2635" t="s">
        <v>339</v>
      </c>
    </row>
    <row r="2636" spans="1:8" x14ac:dyDescent="0.3">
      <c r="A2636" t="s">
        <v>381</v>
      </c>
      <c r="B2636">
        <f>IFERROR(INDEX(MASTER_REGISTER!C:C,MATCH(C2636,MASTER_REGISTER!E:E,0)),"")</f>
        <v>12</v>
      </c>
      <c r="C2636" t="s">
        <v>304</v>
      </c>
      <c r="D2636" t="str">
        <f>IFERROR(INDEX(MASTER_REGISTER!F:F,MATCH(C2636,MASTER_REGISTER!E:E,0)),"")</f>
        <v>Karabo Baloyi</v>
      </c>
      <c r="E2636" t="s">
        <v>337</v>
      </c>
      <c r="F2636" t="s">
        <v>338</v>
      </c>
      <c r="G2636" t="s">
        <v>339</v>
      </c>
    </row>
    <row r="2637" spans="1:8" x14ac:dyDescent="0.3">
      <c r="A2637" t="s">
        <v>381</v>
      </c>
      <c r="B2637">
        <f>IFERROR(INDEX(MASTER_REGISTER!C:C,MATCH(C2637,MASTER_REGISTER!E:E,0)),"")</f>
        <v>12</v>
      </c>
      <c r="C2637" t="s">
        <v>308</v>
      </c>
      <c r="D2637" t="str">
        <f>IFERROR(INDEX(MASTER_REGISTER!F:F,MATCH(C2637,MASTER_REGISTER!E:E,0)),"")</f>
        <v>Tshepo Mokgadi</v>
      </c>
      <c r="E2637" t="s">
        <v>335</v>
      </c>
      <c r="H2637" t="s">
        <v>336</v>
      </c>
    </row>
    <row r="2638" spans="1:8" x14ac:dyDescent="0.3">
      <c r="A2638" t="s">
        <v>381</v>
      </c>
      <c r="B2638">
        <f>IFERROR(INDEX(MASTER_REGISTER!C:C,MATCH(C2638,MASTER_REGISTER!E:E,0)),"")</f>
        <v>12</v>
      </c>
      <c r="C2638" t="s">
        <v>311</v>
      </c>
      <c r="D2638" t="str">
        <f>IFERROR(INDEX(MASTER_REGISTER!F:F,MATCH(C2638,MASTER_REGISTER!E:E,0)),"")</f>
        <v>Sifiso Mavuso</v>
      </c>
      <c r="E2638" t="s">
        <v>337</v>
      </c>
      <c r="F2638" t="s">
        <v>338</v>
      </c>
      <c r="G2638" t="s">
        <v>339</v>
      </c>
    </row>
    <row r="2639" spans="1:8" x14ac:dyDescent="0.3">
      <c r="A2639" t="s">
        <v>381</v>
      </c>
      <c r="B2639">
        <f>IFERROR(INDEX(MASTER_REGISTER!C:C,MATCH(C2639,MASTER_REGISTER!E:E,0)),"")</f>
        <v>12</v>
      </c>
      <c r="C2639" t="s">
        <v>315</v>
      </c>
      <c r="D2639" t="str">
        <f>IFERROR(INDEX(MASTER_REGISTER!F:F,MATCH(C2639,MASTER_REGISTER!E:E,0)),"")</f>
        <v>Refilwe Sithole</v>
      </c>
      <c r="E2639" t="s">
        <v>337</v>
      </c>
      <c r="F2639" t="s">
        <v>338</v>
      </c>
      <c r="G2639" t="s">
        <v>339</v>
      </c>
    </row>
    <row r="2640" spans="1:8" x14ac:dyDescent="0.3">
      <c r="A2640" t="s">
        <v>381</v>
      </c>
      <c r="B2640">
        <f>IFERROR(INDEX(MASTER_REGISTER!C:C,MATCH(C2640,MASTER_REGISTER!E:E,0)),"")</f>
        <v>12</v>
      </c>
      <c r="C2640" t="s">
        <v>319</v>
      </c>
      <c r="D2640" t="str">
        <f>IFERROR(INDEX(MASTER_REGISTER!F:F,MATCH(C2640,MASTER_REGISTER!E:E,0)),"")</f>
        <v>Lerato Sithole</v>
      </c>
      <c r="E2640" t="s">
        <v>337</v>
      </c>
      <c r="F2640" t="s">
        <v>338</v>
      </c>
      <c r="G2640" t="s">
        <v>339</v>
      </c>
    </row>
    <row r="2641" spans="1:8" x14ac:dyDescent="0.3">
      <c r="A2641" t="s">
        <v>381</v>
      </c>
      <c r="B2641">
        <f>IFERROR(INDEX(MASTER_REGISTER!C:C,MATCH(C2641,MASTER_REGISTER!E:E,0)),"")</f>
        <v>12</v>
      </c>
      <c r="C2641" t="s">
        <v>323</v>
      </c>
      <c r="D2641" t="str">
        <f>IFERROR(INDEX(MASTER_REGISTER!F:F,MATCH(C2641,MASTER_REGISTER!E:E,0)),"")</f>
        <v>Sibusiso Ngobeni</v>
      </c>
      <c r="E2641" t="s">
        <v>337</v>
      </c>
      <c r="F2641" t="s">
        <v>338</v>
      </c>
      <c r="G2641" t="s">
        <v>339</v>
      </c>
    </row>
    <row r="2642" spans="1:8" x14ac:dyDescent="0.3">
      <c r="A2642" t="s">
        <v>382</v>
      </c>
      <c r="B2642">
        <f>IFERROR(INDEX(MASTER_REGISTER!C:C,MATCH(C2642,MASTER_REGISTER!E:E,0)),"")</f>
        <v>8</v>
      </c>
      <c r="C2642" t="s">
        <v>50</v>
      </c>
      <c r="D2642" t="str">
        <f>IFERROR(INDEX(MASTER_REGISTER!F:F,MATCH(C2642,MASTER_REGISTER!E:E,0)),"")</f>
        <v>Lerato Nkosi</v>
      </c>
      <c r="E2642" t="s">
        <v>337</v>
      </c>
      <c r="F2642" t="s">
        <v>338</v>
      </c>
      <c r="G2642" t="s">
        <v>339</v>
      </c>
    </row>
    <row r="2643" spans="1:8" x14ac:dyDescent="0.3">
      <c r="A2643" t="s">
        <v>382</v>
      </c>
      <c r="B2643">
        <f>IFERROR(INDEX(MASTER_REGISTER!C:C,MATCH(C2643,MASTER_REGISTER!E:E,0)),"")</f>
        <v>8</v>
      </c>
      <c r="C2643" t="s">
        <v>58</v>
      </c>
      <c r="D2643" t="str">
        <f>IFERROR(INDEX(MASTER_REGISTER!F:F,MATCH(C2643,MASTER_REGISTER!E:E,0)),"")</f>
        <v>Karabo Maseko</v>
      </c>
      <c r="E2643" t="s">
        <v>337</v>
      </c>
      <c r="F2643" t="s">
        <v>338</v>
      </c>
      <c r="G2643" t="s">
        <v>339</v>
      </c>
    </row>
    <row r="2644" spans="1:8" x14ac:dyDescent="0.3">
      <c r="A2644" t="s">
        <v>382</v>
      </c>
      <c r="B2644">
        <f>IFERROR(INDEX(MASTER_REGISTER!C:C,MATCH(C2644,MASTER_REGISTER!E:E,0)),"")</f>
        <v>8</v>
      </c>
      <c r="C2644" t="s">
        <v>64</v>
      </c>
      <c r="D2644" t="str">
        <f>IFERROR(INDEX(MASTER_REGISTER!F:F,MATCH(C2644,MASTER_REGISTER!E:E,0)),"")</f>
        <v>Sifiso Sithole</v>
      </c>
      <c r="E2644" t="s">
        <v>337</v>
      </c>
      <c r="F2644" t="s">
        <v>338</v>
      </c>
      <c r="G2644" t="s">
        <v>339</v>
      </c>
    </row>
    <row r="2645" spans="1:8" x14ac:dyDescent="0.3">
      <c r="A2645" t="s">
        <v>382</v>
      </c>
      <c r="B2645">
        <f>IFERROR(INDEX(MASTER_REGISTER!C:C,MATCH(C2645,MASTER_REGISTER!E:E,0)),"")</f>
        <v>8</v>
      </c>
      <c r="C2645" t="s">
        <v>70</v>
      </c>
      <c r="D2645" t="str">
        <f>IFERROR(INDEX(MASTER_REGISTER!F:F,MATCH(C2645,MASTER_REGISTER!E:E,0)),"")</f>
        <v>Tshepo Ndlovu</v>
      </c>
      <c r="E2645" t="s">
        <v>337</v>
      </c>
      <c r="F2645" t="s">
        <v>338</v>
      </c>
      <c r="G2645" t="s">
        <v>339</v>
      </c>
    </row>
    <row r="2646" spans="1:8" x14ac:dyDescent="0.3">
      <c r="A2646" t="s">
        <v>382</v>
      </c>
      <c r="B2646">
        <f>IFERROR(INDEX(MASTER_REGISTER!C:C,MATCH(C2646,MASTER_REGISTER!E:E,0)),"")</f>
        <v>8</v>
      </c>
      <c r="C2646" t="s">
        <v>76</v>
      </c>
      <c r="D2646" t="str">
        <f>IFERROR(INDEX(MASTER_REGISTER!F:F,MATCH(C2646,MASTER_REGISTER!E:E,0)),"")</f>
        <v>Lwazi Mthembu</v>
      </c>
      <c r="E2646" t="s">
        <v>337</v>
      </c>
      <c r="F2646" t="s">
        <v>338</v>
      </c>
      <c r="G2646" t="s">
        <v>339</v>
      </c>
    </row>
    <row r="2647" spans="1:8" x14ac:dyDescent="0.3">
      <c r="A2647" t="s">
        <v>382</v>
      </c>
      <c r="B2647">
        <f>IFERROR(INDEX(MASTER_REGISTER!C:C,MATCH(C2647,MASTER_REGISTER!E:E,0)),"")</f>
        <v>8</v>
      </c>
      <c r="C2647" t="s">
        <v>82</v>
      </c>
      <c r="D2647" t="str">
        <f>IFERROR(INDEX(MASTER_REGISTER!F:F,MATCH(C2647,MASTER_REGISTER!E:E,0)),"")</f>
        <v>Karabo Ngobeni</v>
      </c>
      <c r="E2647" t="s">
        <v>337</v>
      </c>
      <c r="F2647" t="s">
        <v>338</v>
      </c>
      <c r="G2647" t="s">
        <v>339</v>
      </c>
    </row>
    <row r="2648" spans="1:8" x14ac:dyDescent="0.3">
      <c r="A2648" t="s">
        <v>382</v>
      </c>
      <c r="B2648">
        <f>IFERROR(INDEX(MASTER_REGISTER!C:C,MATCH(C2648,MASTER_REGISTER!E:E,0)),"")</f>
        <v>8</v>
      </c>
      <c r="C2648" t="s">
        <v>88</v>
      </c>
      <c r="D2648" t="str">
        <f>IFERROR(INDEX(MASTER_REGISTER!F:F,MATCH(C2648,MASTER_REGISTER!E:E,0)),"")</f>
        <v>Mpho Sithole</v>
      </c>
      <c r="E2648" t="s">
        <v>337</v>
      </c>
      <c r="F2648" t="s">
        <v>338</v>
      </c>
      <c r="G2648" t="s">
        <v>339</v>
      </c>
    </row>
    <row r="2649" spans="1:8" x14ac:dyDescent="0.3">
      <c r="A2649" t="s">
        <v>382</v>
      </c>
      <c r="B2649">
        <f>IFERROR(INDEX(MASTER_REGISTER!C:C,MATCH(C2649,MASTER_REGISTER!E:E,0)),"")</f>
        <v>8</v>
      </c>
      <c r="C2649" t="s">
        <v>94</v>
      </c>
      <c r="D2649" t="str">
        <f>IFERROR(INDEX(MASTER_REGISTER!F:F,MATCH(C2649,MASTER_REGISTER!E:E,0)),"")</f>
        <v>Tshepo Ramushu</v>
      </c>
      <c r="E2649" t="s">
        <v>337</v>
      </c>
      <c r="F2649" t="s">
        <v>338</v>
      </c>
      <c r="G2649" t="s">
        <v>339</v>
      </c>
    </row>
    <row r="2650" spans="1:8" x14ac:dyDescent="0.3">
      <c r="A2650" t="s">
        <v>382</v>
      </c>
      <c r="B2650">
        <f>IFERROR(INDEX(MASTER_REGISTER!C:C,MATCH(C2650,MASTER_REGISTER!E:E,0)),"")</f>
        <v>8</v>
      </c>
      <c r="C2650" t="s">
        <v>100</v>
      </c>
      <c r="D2650" t="str">
        <f>IFERROR(INDEX(MASTER_REGISTER!F:F,MATCH(C2650,MASTER_REGISTER!E:E,0)),"")</f>
        <v>Lerato Kekana</v>
      </c>
      <c r="E2650" t="s">
        <v>337</v>
      </c>
      <c r="F2650" t="s">
        <v>338</v>
      </c>
      <c r="G2650" t="s">
        <v>339</v>
      </c>
    </row>
    <row r="2651" spans="1:8" x14ac:dyDescent="0.3">
      <c r="A2651" t="s">
        <v>382</v>
      </c>
      <c r="B2651">
        <f>IFERROR(INDEX(MASTER_REGISTER!C:C,MATCH(C2651,MASTER_REGISTER!E:E,0)),"")</f>
        <v>8</v>
      </c>
      <c r="C2651" t="s">
        <v>106</v>
      </c>
      <c r="D2651" t="str">
        <f>IFERROR(INDEX(MASTER_REGISTER!F:F,MATCH(C2651,MASTER_REGISTER!E:E,0)),"")</f>
        <v>Neo Ngobeni</v>
      </c>
      <c r="E2651" t="s">
        <v>337</v>
      </c>
      <c r="F2651" t="s">
        <v>338</v>
      </c>
      <c r="G2651" t="s">
        <v>339</v>
      </c>
    </row>
    <row r="2652" spans="1:8" x14ac:dyDescent="0.3">
      <c r="A2652" t="s">
        <v>382</v>
      </c>
      <c r="B2652">
        <f>IFERROR(INDEX(MASTER_REGISTER!C:C,MATCH(C2652,MASTER_REGISTER!E:E,0)),"")</f>
        <v>8</v>
      </c>
      <c r="C2652" t="s">
        <v>112</v>
      </c>
      <c r="D2652" t="str">
        <f>IFERROR(INDEX(MASTER_REGISTER!F:F,MATCH(C2652,MASTER_REGISTER!E:E,0)),"")</f>
        <v>Thabo Mokgadi</v>
      </c>
      <c r="E2652" t="s">
        <v>337</v>
      </c>
      <c r="F2652" t="s">
        <v>338</v>
      </c>
      <c r="G2652" t="s">
        <v>339</v>
      </c>
    </row>
    <row r="2653" spans="1:8" x14ac:dyDescent="0.3">
      <c r="A2653" t="s">
        <v>382</v>
      </c>
      <c r="B2653">
        <f>IFERROR(INDEX(MASTER_REGISTER!C:C,MATCH(C2653,MASTER_REGISTER!E:E,0)),"")</f>
        <v>8</v>
      </c>
      <c r="C2653" t="s">
        <v>118</v>
      </c>
      <c r="D2653" t="str">
        <f>IFERROR(INDEX(MASTER_REGISTER!F:F,MATCH(C2653,MASTER_REGISTER!E:E,0)),"")</f>
        <v>Sifiso Mthembu</v>
      </c>
      <c r="E2653" t="s">
        <v>337</v>
      </c>
      <c r="F2653" t="s">
        <v>338</v>
      </c>
      <c r="G2653" t="s">
        <v>339</v>
      </c>
    </row>
    <row r="2654" spans="1:8" x14ac:dyDescent="0.3">
      <c r="A2654" t="s">
        <v>382</v>
      </c>
      <c r="B2654">
        <f>IFERROR(INDEX(MASTER_REGISTER!C:C,MATCH(C2654,MASTER_REGISTER!E:E,0)),"")</f>
        <v>9</v>
      </c>
      <c r="C2654" t="s">
        <v>123</v>
      </c>
      <c r="D2654" t="str">
        <f>IFERROR(INDEX(MASTER_REGISTER!F:F,MATCH(C2654,MASTER_REGISTER!E:E,0)),"")</f>
        <v>Karabo Phiri</v>
      </c>
      <c r="E2654" t="s">
        <v>335</v>
      </c>
      <c r="H2654" t="s">
        <v>336</v>
      </c>
    </row>
    <row r="2655" spans="1:8" x14ac:dyDescent="0.3">
      <c r="A2655" t="s">
        <v>382</v>
      </c>
      <c r="B2655">
        <f>IFERROR(INDEX(MASTER_REGISTER!C:C,MATCH(C2655,MASTER_REGISTER!E:E,0)),"")</f>
        <v>9</v>
      </c>
      <c r="C2655" t="s">
        <v>128</v>
      </c>
      <c r="D2655" t="str">
        <f>IFERROR(INDEX(MASTER_REGISTER!F:F,MATCH(C2655,MASTER_REGISTER!E:E,0)),"")</f>
        <v>Lerato Mahlangu</v>
      </c>
      <c r="E2655" t="s">
        <v>337</v>
      </c>
      <c r="F2655" t="s">
        <v>338</v>
      </c>
      <c r="G2655" t="s">
        <v>339</v>
      </c>
    </row>
    <row r="2656" spans="1:8" x14ac:dyDescent="0.3">
      <c r="A2656" t="s">
        <v>382</v>
      </c>
      <c r="B2656">
        <f>IFERROR(INDEX(MASTER_REGISTER!C:C,MATCH(C2656,MASTER_REGISTER!E:E,0)),"")</f>
        <v>9</v>
      </c>
      <c r="C2656" t="s">
        <v>133</v>
      </c>
      <c r="D2656" t="str">
        <f>IFERROR(INDEX(MASTER_REGISTER!F:F,MATCH(C2656,MASTER_REGISTER!E:E,0)),"")</f>
        <v>Mpho Kekana</v>
      </c>
      <c r="E2656" t="s">
        <v>337</v>
      </c>
      <c r="F2656" t="s">
        <v>338</v>
      </c>
      <c r="G2656" t="s">
        <v>339</v>
      </c>
    </row>
    <row r="2657" spans="1:8" x14ac:dyDescent="0.3">
      <c r="A2657" t="s">
        <v>382</v>
      </c>
      <c r="B2657">
        <f>IFERROR(INDEX(MASTER_REGISTER!C:C,MATCH(C2657,MASTER_REGISTER!E:E,0)),"")</f>
        <v>9</v>
      </c>
      <c r="C2657" t="s">
        <v>138</v>
      </c>
      <c r="D2657" t="str">
        <f>IFERROR(INDEX(MASTER_REGISTER!F:F,MATCH(C2657,MASTER_REGISTER!E:E,0)),"")</f>
        <v>Thabo Molefe</v>
      </c>
      <c r="E2657" t="s">
        <v>337</v>
      </c>
      <c r="F2657" t="s">
        <v>338</v>
      </c>
      <c r="G2657" t="s">
        <v>339</v>
      </c>
    </row>
    <row r="2658" spans="1:8" x14ac:dyDescent="0.3">
      <c r="A2658" t="s">
        <v>382</v>
      </c>
      <c r="B2658">
        <f>IFERROR(INDEX(MASTER_REGISTER!C:C,MATCH(C2658,MASTER_REGISTER!E:E,0)),"")</f>
        <v>9</v>
      </c>
      <c r="C2658" t="s">
        <v>143</v>
      </c>
      <c r="D2658" t="str">
        <f>IFERROR(INDEX(MASTER_REGISTER!F:F,MATCH(C2658,MASTER_REGISTER!E:E,0)),"")</f>
        <v>Mpho Ngobeni</v>
      </c>
      <c r="E2658" t="s">
        <v>337</v>
      </c>
      <c r="F2658" t="s">
        <v>338</v>
      </c>
      <c r="G2658" t="s">
        <v>339</v>
      </c>
    </row>
    <row r="2659" spans="1:8" x14ac:dyDescent="0.3">
      <c r="A2659" t="s">
        <v>382</v>
      </c>
      <c r="B2659">
        <f>IFERROR(INDEX(MASTER_REGISTER!C:C,MATCH(C2659,MASTER_REGISTER!E:E,0)),"")</f>
        <v>9</v>
      </c>
      <c r="C2659" t="s">
        <v>148</v>
      </c>
      <c r="D2659" t="str">
        <f>IFERROR(INDEX(MASTER_REGISTER!F:F,MATCH(C2659,MASTER_REGISTER!E:E,0)),"")</f>
        <v>Siyanda Mhlongo</v>
      </c>
      <c r="E2659" t="s">
        <v>337</v>
      </c>
      <c r="F2659" t="s">
        <v>338</v>
      </c>
      <c r="G2659" t="s">
        <v>339</v>
      </c>
    </row>
    <row r="2660" spans="1:8" x14ac:dyDescent="0.3">
      <c r="A2660" t="s">
        <v>382</v>
      </c>
      <c r="B2660">
        <f>IFERROR(INDEX(MASTER_REGISTER!C:C,MATCH(C2660,MASTER_REGISTER!E:E,0)),"")</f>
        <v>9</v>
      </c>
      <c r="C2660" t="s">
        <v>153</v>
      </c>
      <c r="D2660" t="str">
        <f>IFERROR(INDEX(MASTER_REGISTER!F:F,MATCH(C2660,MASTER_REGISTER!E:E,0)),"")</f>
        <v>Siyanda Mahlangu</v>
      </c>
      <c r="E2660" t="s">
        <v>337</v>
      </c>
      <c r="F2660" t="s">
        <v>338</v>
      </c>
      <c r="G2660" t="s">
        <v>339</v>
      </c>
    </row>
    <row r="2661" spans="1:8" x14ac:dyDescent="0.3">
      <c r="A2661" t="s">
        <v>382</v>
      </c>
      <c r="B2661">
        <f>IFERROR(INDEX(MASTER_REGISTER!C:C,MATCH(C2661,MASTER_REGISTER!E:E,0)),"")</f>
        <v>9</v>
      </c>
      <c r="C2661" t="s">
        <v>158</v>
      </c>
      <c r="D2661" t="str">
        <f>IFERROR(INDEX(MASTER_REGISTER!F:F,MATCH(C2661,MASTER_REGISTER!E:E,0)),"")</f>
        <v>Sifiso Ramushu</v>
      </c>
      <c r="E2661" t="s">
        <v>337</v>
      </c>
      <c r="F2661" t="s">
        <v>338</v>
      </c>
      <c r="G2661" t="s">
        <v>339</v>
      </c>
    </row>
    <row r="2662" spans="1:8" x14ac:dyDescent="0.3">
      <c r="A2662" t="s">
        <v>382</v>
      </c>
      <c r="B2662">
        <f>IFERROR(INDEX(MASTER_REGISTER!C:C,MATCH(C2662,MASTER_REGISTER!E:E,0)),"")</f>
        <v>9</v>
      </c>
      <c r="C2662" t="s">
        <v>163</v>
      </c>
      <c r="D2662" t="str">
        <f>IFERROR(INDEX(MASTER_REGISTER!F:F,MATCH(C2662,MASTER_REGISTER!E:E,0)),"")</f>
        <v>Nandi Ngobeni</v>
      </c>
      <c r="E2662" t="s">
        <v>335</v>
      </c>
      <c r="H2662" t="s">
        <v>336</v>
      </c>
    </row>
    <row r="2663" spans="1:8" x14ac:dyDescent="0.3">
      <c r="A2663" t="s">
        <v>382</v>
      </c>
      <c r="B2663">
        <f>IFERROR(INDEX(MASTER_REGISTER!C:C,MATCH(C2663,MASTER_REGISTER!E:E,0)),"")</f>
        <v>9</v>
      </c>
      <c r="C2663" t="s">
        <v>168</v>
      </c>
      <c r="D2663" t="str">
        <f>IFERROR(INDEX(MASTER_REGISTER!F:F,MATCH(C2663,MASTER_REGISTER!E:E,0)),"")</f>
        <v>Karabo Mokgadi</v>
      </c>
      <c r="E2663" t="s">
        <v>337</v>
      </c>
      <c r="F2663" t="s">
        <v>338</v>
      </c>
      <c r="G2663" t="s">
        <v>339</v>
      </c>
    </row>
    <row r="2664" spans="1:8" x14ac:dyDescent="0.3">
      <c r="A2664" t="s">
        <v>382</v>
      </c>
      <c r="B2664">
        <f>IFERROR(INDEX(MASTER_REGISTER!C:C,MATCH(C2664,MASTER_REGISTER!E:E,0)),"")</f>
        <v>9</v>
      </c>
      <c r="C2664" t="s">
        <v>173</v>
      </c>
      <c r="D2664" t="str">
        <f>IFERROR(INDEX(MASTER_REGISTER!F:F,MATCH(C2664,MASTER_REGISTER!E:E,0)),"")</f>
        <v>Sifiso Mahlangu</v>
      </c>
      <c r="E2664" t="s">
        <v>337</v>
      </c>
      <c r="F2664" t="s">
        <v>338</v>
      </c>
      <c r="G2664" t="s">
        <v>339</v>
      </c>
    </row>
    <row r="2665" spans="1:8" x14ac:dyDescent="0.3">
      <c r="A2665" t="s">
        <v>382</v>
      </c>
      <c r="B2665">
        <f>IFERROR(INDEX(MASTER_REGISTER!C:C,MATCH(C2665,MASTER_REGISTER!E:E,0)),"")</f>
        <v>9</v>
      </c>
      <c r="C2665" t="s">
        <v>178</v>
      </c>
      <c r="D2665" t="str">
        <f>IFERROR(INDEX(MASTER_REGISTER!F:F,MATCH(C2665,MASTER_REGISTER!E:E,0)),"")</f>
        <v>Kgothatso Radebe</v>
      </c>
      <c r="E2665" t="s">
        <v>337</v>
      </c>
      <c r="F2665" t="s">
        <v>338</v>
      </c>
      <c r="G2665" t="s">
        <v>339</v>
      </c>
    </row>
    <row r="2666" spans="1:8" x14ac:dyDescent="0.3">
      <c r="A2666" t="s">
        <v>382</v>
      </c>
      <c r="B2666">
        <f>IFERROR(INDEX(MASTER_REGISTER!C:C,MATCH(C2666,MASTER_REGISTER!E:E,0)),"")</f>
        <v>10</v>
      </c>
      <c r="C2666" t="s">
        <v>183</v>
      </c>
      <c r="D2666" t="str">
        <f>IFERROR(INDEX(MASTER_REGISTER!F:F,MATCH(C2666,MASTER_REGISTER!E:E,0)),"")</f>
        <v>Lerato Maseko</v>
      </c>
      <c r="E2666" t="s">
        <v>337</v>
      </c>
      <c r="F2666" t="s">
        <v>338</v>
      </c>
      <c r="G2666" t="s">
        <v>339</v>
      </c>
    </row>
    <row r="2667" spans="1:8" x14ac:dyDescent="0.3">
      <c r="A2667" t="s">
        <v>382</v>
      </c>
      <c r="B2667">
        <f>IFERROR(INDEX(MASTER_REGISTER!C:C,MATCH(C2667,MASTER_REGISTER!E:E,0)),"")</f>
        <v>10</v>
      </c>
      <c r="C2667" t="s">
        <v>188</v>
      </c>
      <c r="D2667" t="str">
        <f>IFERROR(INDEX(MASTER_REGISTER!F:F,MATCH(C2667,MASTER_REGISTER!E:E,0)),"")</f>
        <v>Sibusiso Molefe</v>
      </c>
      <c r="E2667" t="s">
        <v>337</v>
      </c>
      <c r="F2667" t="s">
        <v>338</v>
      </c>
      <c r="G2667" t="s">
        <v>339</v>
      </c>
    </row>
    <row r="2668" spans="1:8" x14ac:dyDescent="0.3">
      <c r="A2668" t="s">
        <v>382</v>
      </c>
      <c r="B2668">
        <f>IFERROR(INDEX(MASTER_REGISTER!C:C,MATCH(C2668,MASTER_REGISTER!E:E,0)),"")</f>
        <v>10</v>
      </c>
      <c r="C2668" t="s">
        <v>193</v>
      </c>
      <c r="D2668" t="str">
        <f>IFERROR(INDEX(MASTER_REGISTER!F:F,MATCH(C2668,MASTER_REGISTER!E:E,0)),"")</f>
        <v>Nandi Molefe</v>
      </c>
      <c r="E2668" t="s">
        <v>337</v>
      </c>
      <c r="F2668" t="s">
        <v>338</v>
      </c>
      <c r="G2668" t="s">
        <v>339</v>
      </c>
    </row>
    <row r="2669" spans="1:8" x14ac:dyDescent="0.3">
      <c r="A2669" t="s">
        <v>382</v>
      </c>
      <c r="B2669">
        <f>IFERROR(INDEX(MASTER_REGISTER!C:C,MATCH(C2669,MASTER_REGISTER!E:E,0)),"")</f>
        <v>10</v>
      </c>
      <c r="C2669" t="s">
        <v>198</v>
      </c>
      <c r="D2669" t="str">
        <f>IFERROR(INDEX(MASTER_REGISTER!F:F,MATCH(C2669,MASTER_REGISTER!E:E,0)),"")</f>
        <v>Kgothatso Baloyi</v>
      </c>
      <c r="E2669" t="s">
        <v>337</v>
      </c>
      <c r="F2669" t="s">
        <v>338</v>
      </c>
      <c r="G2669" t="s">
        <v>339</v>
      </c>
    </row>
    <row r="2670" spans="1:8" x14ac:dyDescent="0.3">
      <c r="A2670" t="s">
        <v>382</v>
      </c>
      <c r="B2670">
        <f>IFERROR(INDEX(MASTER_REGISTER!C:C,MATCH(C2670,MASTER_REGISTER!E:E,0)),"")</f>
        <v>10</v>
      </c>
      <c r="C2670" t="s">
        <v>202</v>
      </c>
      <c r="D2670" t="str">
        <f>IFERROR(INDEX(MASTER_REGISTER!F:F,MATCH(C2670,MASTER_REGISTER!E:E,0)),"")</f>
        <v>Ayanda Mokoena</v>
      </c>
      <c r="E2670" t="s">
        <v>337</v>
      </c>
      <c r="F2670" t="s">
        <v>338</v>
      </c>
      <c r="G2670" t="s">
        <v>339</v>
      </c>
    </row>
    <row r="2671" spans="1:8" x14ac:dyDescent="0.3">
      <c r="A2671" t="s">
        <v>382</v>
      </c>
      <c r="B2671">
        <f>IFERROR(INDEX(MASTER_REGISTER!C:C,MATCH(C2671,MASTER_REGISTER!E:E,0)),"")</f>
        <v>10</v>
      </c>
      <c r="C2671" t="s">
        <v>206</v>
      </c>
      <c r="D2671" t="str">
        <f>IFERROR(INDEX(MASTER_REGISTER!F:F,MATCH(C2671,MASTER_REGISTER!E:E,0)),"")</f>
        <v>Lwazi Baloyi</v>
      </c>
      <c r="E2671" t="s">
        <v>337</v>
      </c>
      <c r="F2671" t="s">
        <v>338</v>
      </c>
      <c r="G2671" t="s">
        <v>339</v>
      </c>
    </row>
    <row r="2672" spans="1:8" x14ac:dyDescent="0.3">
      <c r="A2672" t="s">
        <v>382</v>
      </c>
      <c r="B2672">
        <f>IFERROR(INDEX(MASTER_REGISTER!C:C,MATCH(C2672,MASTER_REGISTER!E:E,0)),"")</f>
        <v>10</v>
      </c>
      <c r="C2672" t="s">
        <v>210</v>
      </c>
      <c r="D2672" t="str">
        <f>IFERROR(INDEX(MASTER_REGISTER!F:F,MATCH(C2672,MASTER_REGISTER!E:E,0)),"")</f>
        <v>Siyanda Mokoena</v>
      </c>
      <c r="E2672" t="s">
        <v>335</v>
      </c>
      <c r="H2672" t="s">
        <v>340</v>
      </c>
    </row>
    <row r="2673" spans="1:7" x14ac:dyDescent="0.3">
      <c r="A2673" t="s">
        <v>382</v>
      </c>
      <c r="B2673">
        <f>IFERROR(INDEX(MASTER_REGISTER!C:C,MATCH(C2673,MASTER_REGISTER!E:E,0)),"")</f>
        <v>10</v>
      </c>
      <c r="C2673" t="s">
        <v>214</v>
      </c>
      <c r="D2673" t="str">
        <f>IFERROR(INDEX(MASTER_REGISTER!F:F,MATCH(C2673,MASTER_REGISTER!E:E,0)),"")</f>
        <v>Mpho Ngobeni</v>
      </c>
      <c r="E2673" t="s">
        <v>337</v>
      </c>
      <c r="F2673" t="s">
        <v>338</v>
      </c>
      <c r="G2673" t="s">
        <v>339</v>
      </c>
    </row>
    <row r="2674" spans="1:7" x14ac:dyDescent="0.3">
      <c r="A2674" t="s">
        <v>382</v>
      </c>
      <c r="B2674">
        <f>IFERROR(INDEX(MASTER_REGISTER!C:C,MATCH(C2674,MASTER_REGISTER!E:E,0)),"")</f>
        <v>10</v>
      </c>
      <c r="C2674" t="s">
        <v>217</v>
      </c>
      <c r="D2674" t="str">
        <f>IFERROR(INDEX(MASTER_REGISTER!F:F,MATCH(C2674,MASTER_REGISTER!E:E,0)),"")</f>
        <v>Naledi Makhubela</v>
      </c>
      <c r="E2674" t="s">
        <v>337</v>
      </c>
      <c r="F2674" t="s">
        <v>338</v>
      </c>
      <c r="G2674" t="s">
        <v>339</v>
      </c>
    </row>
    <row r="2675" spans="1:7" x14ac:dyDescent="0.3">
      <c r="A2675" t="s">
        <v>382</v>
      </c>
      <c r="B2675">
        <f>IFERROR(INDEX(MASTER_REGISTER!C:C,MATCH(C2675,MASTER_REGISTER!E:E,0)),"")</f>
        <v>10</v>
      </c>
      <c r="C2675" t="s">
        <v>221</v>
      </c>
      <c r="D2675" t="str">
        <f>IFERROR(INDEX(MASTER_REGISTER!F:F,MATCH(C2675,MASTER_REGISTER!E:E,0)),"")</f>
        <v>Kgothatso Mokoena</v>
      </c>
      <c r="E2675" t="s">
        <v>337</v>
      </c>
      <c r="F2675" t="s">
        <v>338</v>
      </c>
      <c r="G2675" t="s">
        <v>339</v>
      </c>
    </row>
    <row r="2676" spans="1:7" x14ac:dyDescent="0.3">
      <c r="A2676" t="s">
        <v>382</v>
      </c>
      <c r="B2676">
        <f>IFERROR(INDEX(MASTER_REGISTER!C:C,MATCH(C2676,MASTER_REGISTER!E:E,0)),"")</f>
        <v>10</v>
      </c>
      <c r="C2676" t="s">
        <v>225</v>
      </c>
      <c r="D2676" t="str">
        <f>IFERROR(INDEX(MASTER_REGISTER!F:F,MATCH(C2676,MASTER_REGISTER!E:E,0)),"")</f>
        <v>Bongani Makhubela</v>
      </c>
      <c r="E2676" t="s">
        <v>337</v>
      </c>
      <c r="F2676" t="s">
        <v>338</v>
      </c>
      <c r="G2676" t="s">
        <v>339</v>
      </c>
    </row>
    <row r="2677" spans="1:7" x14ac:dyDescent="0.3">
      <c r="A2677" t="s">
        <v>382</v>
      </c>
      <c r="B2677">
        <f>IFERROR(INDEX(MASTER_REGISTER!C:C,MATCH(C2677,MASTER_REGISTER!E:E,0)),"")</f>
        <v>10</v>
      </c>
      <c r="C2677" t="s">
        <v>229</v>
      </c>
      <c r="D2677" t="str">
        <f>IFERROR(INDEX(MASTER_REGISTER!F:F,MATCH(C2677,MASTER_REGISTER!E:E,0)),"")</f>
        <v>Kagiso Kekana</v>
      </c>
      <c r="E2677" t="s">
        <v>337</v>
      </c>
      <c r="F2677" t="s">
        <v>338</v>
      </c>
      <c r="G2677" t="s">
        <v>339</v>
      </c>
    </row>
    <row r="2678" spans="1:7" x14ac:dyDescent="0.3">
      <c r="A2678" t="s">
        <v>382</v>
      </c>
      <c r="B2678">
        <f>IFERROR(INDEX(MASTER_REGISTER!C:C,MATCH(C2678,MASTER_REGISTER!E:E,0)),"")</f>
        <v>11</v>
      </c>
      <c r="C2678" t="s">
        <v>233</v>
      </c>
      <c r="D2678" t="str">
        <f>IFERROR(INDEX(MASTER_REGISTER!F:F,MATCH(C2678,MASTER_REGISTER!E:E,0)),"")</f>
        <v>Lwazi Makhubela</v>
      </c>
      <c r="E2678" t="s">
        <v>337</v>
      </c>
      <c r="F2678" t="s">
        <v>338</v>
      </c>
      <c r="G2678" t="s">
        <v>339</v>
      </c>
    </row>
    <row r="2679" spans="1:7" x14ac:dyDescent="0.3">
      <c r="A2679" t="s">
        <v>382</v>
      </c>
      <c r="B2679">
        <f>IFERROR(INDEX(MASTER_REGISTER!C:C,MATCH(C2679,MASTER_REGISTER!E:E,0)),"")</f>
        <v>11</v>
      </c>
      <c r="C2679" t="s">
        <v>237</v>
      </c>
      <c r="D2679" t="str">
        <f>IFERROR(INDEX(MASTER_REGISTER!F:F,MATCH(C2679,MASTER_REGISTER!E:E,0)),"")</f>
        <v>Lebogang Ramushu</v>
      </c>
      <c r="E2679" t="s">
        <v>337</v>
      </c>
      <c r="F2679" t="s">
        <v>338</v>
      </c>
      <c r="G2679" t="s">
        <v>339</v>
      </c>
    </row>
    <row r="2680" spans="1:7" x14ac:dyDescent="0.3">
      <c r="A2680" t="s">
        <v>382</v>
      </c>
      <c r="B2680">
        <f>IFERROR(INDEX(MASTER_REGISTER!C:C,MATCH(C2680,MASTER_REGISTER!E:E,0)),"")</f>
        <v>11</v>
      </c>
      <c r="C2680" t="s">
        <v>241</v>
      </c>
      <c r="D2680" t="str">
        <f>IFERROR(INDEX(MASTER_REGISTER!F:F,MATCH(C2680,MASTER_REGISTER!E:E,0)),"")</f>
        <v>Lerato Kekana</v>
      </c>
      <c r="E2680" t="s">
        <v>337</v>
      </c>
      <c r="F2680" t="s">
        <v>338</v>
      </c>
      <c r="G2680" t="s">
        <v>339</v>
      </c>
    </row>
    <row r="2681" spans="1:7" x14ac:dyDescent="0.3">
      <c r="A2681" t="s">
        <v>382</v>
      </c>
      <c r="B2681">
        <f>IFERROR(INDEX(MASTER_REGISTER!C:C,MATCH(C2681,MASTER_REGISTER!E:E,0)),"")</f>
        <v>11</v>
      </c>
      <c r="C2681" t="s">
        <v>244</v>
      </c>
      <c r="D2681" t="str">
        <f>IFERROR(INDEX(MASTER_REGISTER!F:F,MATCH(C2681,MASTER_REGISTER!E:E,0)),"")</f>
        <v>Bongani Ndlovu</v>
      </c>
      <c r="E2681" t="s">
        <v>337</v>
      </c>
      <c r="F2681" t="s">
        <v>338</v>
      </c>
      <c r="G2681" t="s">
        <v>339</v>
      </c>
    </row>
    <row r="2682" spans="1:7" x14ac:dyDescent="0.3">
      <c r="A2682" t="s">
        <v>382</v>
      </c>
      <c r="B2682">
        <f>IFERROR(INDEX(MASTER_REGISTER!C:C,MATCH(C2682,MASTER_REGISTER!E:E,0)),"")</f>
        <v>11</v>
      </c>
      <c r="C2682" t="s">
        <v>248</v>
      </c>
      <c r="D2682" t="str">
        <f>IFERROR(INDEX(MASTER_REGISTER!F:F,MATCH(C2682,MASTER_REGISTER!E:E,0)),"")</f>
        <v>Sifiso Dlamini</v>
      </c>
      <c r="E2682" t="s">
        <v>337</v>
      </c>
      <c r="F2682" t="s">
        <v>338</v>
      </c>
      <c r="G2682" t="s">
        <v>339</v>
      </c>
    </row>
    <row r="2683" spans="1:7" x14ac:dyDescent="0.3">
      <c r="A2683" t="s">
        <v>382</v>
      </c>
      <c r="B2683">
        <f>IFERROR(INDEX(MASTER_REGISTER!C:C,MATCH(C2683,MASTER_REGISTER!E:E,0)),"")</f>
        <v>11</v>
      </c>
      <c r="C2683" t="s">
        <v>252</v>
      </c>
      <c r="D2683" t="str">
        <f>IFERROR(INDEX(MASTER_REGISTER!F:F,MATCH(C2683,MASTER_REGISTER!E:E,0)),"")</f>
        <v>Refilwe Dlamini</v>
      </c>
      <c r="E2683" t="s">
        <v>337</v>
      </c>
      <c r="F2683" t="s">
        <v>338</v>
      </c>
      <c r="G2683" t="s">
        <v>339</v>
      </c>
    </row>
    <row r="2684" spans="1:7" x14ac:dyDescent="0.3">
      <c r="A2684" t="s">
        <v>382</v>
      </c>
      <c r="B2684">
        <f>IFERROR(INDEX(MASTER_REGISTER!C:C,MATCH(C2684,MASTER_REGISTER!E:E,0)),"")</f>
        <v>11</v>
      </c>
      <c r="C2684" t="s">
        <v>256</v>
      </c>
      <c r="D2684" t="str">
        <f>IFERROR(INDEX(MASTER_REGISTER!F:F,MATCH(C2684,MASTER_REGISTER!E:E,0)),"")</f>
        <v>Lwazi Maseko</v>
      </c>
      <c r="E2684" t="s">
        <v>337</v>
      </c>
      <c r="F2684" t="s">
        <v>338</v>
      </c>
      <c r="G2684" t="s">
        <v>339</v>
      </c>
    </row>
    <row r="2685" spans="1:7" x14ac:dyDescent="0.3">
      <c r="A2685" t="s">
        <v>382</v>
      </c>
      <c r="B2685">
        <f>IFERROR(INDEX(MASTER_REGISTER!C:C,MATCH(C2685,MASTER_REGISTER!E:E,0)),"")</f>
        <v>11</v>
      </c>
      <c r="C2685" t="s">
        <v>260</v>
      </c>
      <c r="D2685" t="str">
        <f>IFERROR(INDEX(MASTER_REGISTER!F:F,MATCH(C2685,MASTER_REGISTER!E:E,0)),"")</f>
        <v>Refilwe Mokgadi</v>
      </c>
      <c r="E2685" t="s">
        <v>337</v>
      </c>
      <c r="F2685" t="s">
        <v>338</v>
      </c>
      <c r="G2685" t="s">
        <v>339</v>
      </c>
    </row>
    <row r="2686" spans="1:7" x14ac:dyDescent="0.3">
      <c r="A2686" t="s">
        <v>382</v>
      </c>
      <c r="B2686">
        <f>IFERROR(INDEX(MASTER_REGISTER!C:C,MATCH(C2686,MASTER_REGISTER!E:E,0)),"")</f>
        <v>11</v>
      </c>
      <c r="C2686" t="s">
        <v>264</v>
      </c>
      <c r="D2686" t="str">
        <f>IFERROR(INDEX(MASTER_REGISTER!F:F,MATCH(C2686,MASTER_REGISTER!E:E,0)),"")</f>
        <v>Kgothatso Molefe</v>
      </c>
      <c r="E2686" t="s">
        <v>337</v>
      </c>
      <c r="F2686" t="s">
        <v>338</v>
      </c>
      <c r="G2686" t="s">
        <v>339</v>
      </c>
    </row>
    <row r="2687" spans="1:7" x14ac:dyDescent="0.3">
      <c r="A2687" t="s">
        <v>382</v>
      </c>
      <c r="B2687">
        <f>IFERROR(INDEX(MASTER_REGISTER!C:C,MATCH(C2687,MASTER_REGISTER!E:E,0)),"")</f>
        <v>11</v>
      </c>
      <c r="C2687" t="s">
        <v>268</v>
      </c>
      <c r="D2687" t="str">
        <f>IFERROR(INDEX(MASTER_REGISTER!F:F,MATCH(C2687,MASTER_REGISTER!E:E,0)),"")</f>
        <v>Tshepo Mokgadi</v>
      </c>
      <c r="E2687" t="s">
        <v>337</v>
      </c>
      <c r="F2687" t="s">
        <v>338</v>
      </c>
      <c r="G2687" t="s">
        <v>339</v>
      </c>
    </row>
    <row r="2688" spans="1:7" x14ac:dyDescent="0.3">
      <c r="A2688" t="s">
        <v>382</v>
      </c>
      <c r="B2688">
        <f>IFERROR(INDEX(MASTER_REGISTER!C:C,MATCH(C2688,MASTER_REGISTER!E:E,0)),"")</f>
        <v>11</v>
      </c>
      <c r="C2688" t="s">
        <v>272</v>
      </c>
      <c r="D2688" t="str">
        <f>IFERROR(INDEX(MASTER_REGISTER!F:F,MATCH(C2688,MASTER_REGISTER!E:E,0)),"")</f>
        <v>Tshepo Phiri</v>
      </c>
      <c r="E2688" t="s">
        <v>337</v>
      </c>
      <c r="F2688" t="s">
        <v>338</v>
      </c>
      <c r="G2688" t="s">
        <v>339</v>
      </c>
    </row>
    <row r="2689" spans="1:8" x14ac:dyDescent="0.3">
      <c r="A2689" t="s">
        <v>382</v>
      </c>
      <c r="B2689">
        <f>IFERROR(INDEX(MASTER_REGISTER!C:C,MATCH(C2689,MASTER_REGISTER!E:E,0)),"")</f>
        <v>11</v>
      </c>
      <c r="C2689" t="s">
        <v>276</v>
      </c>
      <c r="D2689" t="str">
        <f>IFERROR(INDEX(MASTER_REGISTER!F:F,MATCH(C2689,MASTER_REGISTER!E:E,0)),"")</f>
        <v>Zanele Ngobeni</v>
      </c>
      <c r="E2689" t="s">
        <v>337</v>
      </c>
      <c r="F2689" t="s">
        <v>338</v>
      </c>
      <c r="G2689" t="s">
        <v>339</v>
      </c>
    </row>
    <row r="2690" spans="1:8" x14ac:dyDescent="0.3">
      <c r="A2690" t="s">
        <v>382</v>
      </c>
      <c r="B2690">
        <f>IFERROR(INDEX(MASTER_REGISTER!C:C,MATCH(C2690,MASTER_REGISTER!E:E,0)),"")</f>
        <v>12</v>
      </c>
      <c r="C2690" t="s">
        <v>280</v>
      </c>
      <c r="D2690" t="str">
        <f>IFERROR(INDEX(MASTER_REGISTER!F:F,MATCH(C2690,MASTER_REGISTER!E:E,0)),"")</f>
        <v>Palesa Mokoena</v>
      </c>
      <c r="E2690" t="s">
        <v>337</v>
      </c>
      <c r="F2690" t="s">
        <v>338</v>
      </c>
      <c r="G2690" t="s">
        <v>339</v>
      </c>
    </row>
    <row r="2691" spans="1:8" x14ac:dyDescent="0.3">
      <c r="A2691" t="s">
        <v>382</v>
      </c>
      <c r="B2691">
        <f>IFERROR(INDEX(MASTER_REGISTER!C:C,MATCH(C2691,MASTER_REGISTER!E:E,0)),"")</f>
        <v>12</v>
      </c>
      <c r="C2691" t="s">
        <v>284</v>
      </c>
      <c r="D2691" t="str">
        <f>IFERROR(INDEX(MASTER_REGISTER!F:F,MATCH(C2691,MASTER_REGISTER!E:E,0)),"")</f>
        <v>Thabo Ramushu</v>
      </c>
      <c r="E2691" t="s">
        <v>337</v>
      </c>
      <c r="F2691" t="s">
        <v>338</v>
      </c>
      <c r="G2691" t="s">
        <v>339</v>
      </c>
    </row>
    <row r="2692" spans="1:8" x14ac:dyDescent="0.3">
      <c r="A2692" t="s">
        <v>382</v>
      </c>
      <c r="B2692">
        <f>IFERROR(INDEX(MASTER_REGISTER!C:C,MATCH(C2692,MASTER_REGISTER!E:E,0)),"")</f>
        <v>12</v>
      </c>
      <c r="C2692" t="s">
        <v>288</v>
      </c>
      <c r="D2692" t="str">
        <f>IFERROR(INDEX(MASTER_REGISTER!F:F,MATCH(C2692,MASTER_REGISTER!E:E,0)),"")</f>
        <v>Lwazi Ndlovu</v>
      </c>
      <c r="E2692" t="s">
        <v>337</v>
      </c>
      <c r="F2692" t="s">
        <v>338</v>
      </c>
      <c r="G2692" t="s">
        <v>339</v>
      </c>
    </row>
    <row r="2693" spans="1:8" x14ac:dyDescent="0.3">
      <c r="A2693" t="s">
        <v>382</v>
      </c>
      <c r="B2693">
        <f>IFERROR(INDEX(MASTER_REGISTER!C:C,MATCH(C2693,MASTER_REGISTER!E:E,0)),"")</f>
        <v>12</v>
      </c>
      <c r="C2693" t="s">
        <v>292</v>
      </c>
      <c r="D2693" t="str">
        <f>IFERROR(INDEX(MASTER_REGISTER!F:F,MATCH(C2693,MASTER_REGISTER!E:E,0)),"")</f>
        <v>Ayanda Dlamini</v>
      </c>
      <c r="E2693" t="s">
        <v>337</v>
      </c>
      <c r="F2693" t="s">
        <v>338</v>
      </c>
      <c r="G2693" t="s">
        <v>339</v>
      </c>
    </row>
    <row r="2694" spans="1:8" x14ac:dyDescent="0.3">
      <c r="A2694" t="s">
        <v>382</v>
      </c>
      <c r="B2694">
        <f>IFERROR(INDEX(MASTER_REGISTER!C:C,MATCH(C2694,MASTER_REGISTER!E:E,0)),"")</f>
        <v>12</v>
      </c>
      <c r="C2694" t="s">
        <v>296</v>
      </c>
      <c r="D2694" t="str">
        <f>IFERROR(INDEX(MASTER_REGISTER!F:F,MATCH(C2694,MASTER_REGISTER!E:E,0)),"")</f>
        <v>Neo Ndlovu</v>
      </c>
      <c r="E2694" t="s">
        <v>337</v>
      </c>
      <c r="F2694" t="s">
        <v>338</v>
      </c>
      <c r="G2694" t="s">
        <v>339</v>
      </c>
    </row>
    <row r="2695" spans="1:8" x14ac:dyDescent="0.3">
      <c r="A2695" t="s">
        <v>382</v>
      </c>
      <c r="B2695">
        <f>IFERROR(INDEX(MASTER_REGISTER!C:C,MATCH(C2695,MASTER_REGISTER!E:E,0)),"")</f>
        <v>12</v>
      </c>
      <c r="C2695" t="s">
        <v>300</v>
      </c>
      <c r="D2695" t="str">
        <f>IFERROR(INDEX(MASTER_REGISTER!F:F,MATCH(C2695,MASTER_REGISTER!E:E,0)),"")</f>
        <v>Neo Ramushu</v>
      </c>
      <c r="E2695" t="s">
        <v>337</v>
      </c>
      <c r="F2695" t="s">
        <v>338</v>
      </c>
      <c r="G2695" t="s">
        <v>339</v>
      </c>
    </row>
    <row r="2696" spans="1:8" x14ac:dyDescent="0.3">
      <c r="A2696" t="s">
        <v>382</v>
      </c>
      <c r="B2696">
        <f>IFERROR(INDEX(MASTER_REGISTER!C:C,MATCH(C2696,MASTER_REGISTER!E:E,0)),"")</f>
        <v>12</v>
      </c>
      <c r="C2696" t="s">
        <v>304</v>
      </c>
      <c r="D2696" t="str">
        <f>IFERROR(INDEX(MASTER_REGISTER!F:F,MATCH(C2696,MASTER_REGISTER!E:E,0)),"")</f>
        <v>Karabo Baloyi</v>
      </c>
      <c r="E2696" t="s">
        <v>337</v>
      </c>
      <c r="F2696" t="s">
        <v>338</v>
      </c>
      <c r="G2696" t="s">
        <v>339</v>
      </c>
    </row>
    <row r="2697" spans="1:8" x14ac:dyDescent="0.3">
      <c r="A2697" t="s">
        <v>382</v>
      </c>
      <c r="B2697">
        <f>IFERROR(INDEX(MASTER_REGISTER!C:C,MATCH(C2697,MASTER_REGISTER!E:E,0)),"")</f>
        <v>12</v>
      </c>
      <c r="C2697" t="s">
        <v>308</v>
      </c>
      <c r="D2697" t="str">
        <f>IFERROR(INDEX(MASTER_REGISTER!F:F,MATCH(C2697,MASTER_REGISTER!E:E,0)),"")</f>
        <v>Tshepo Mokgadi</v>
      </c>
      <c r="E2697" t="s">
        <v>337</v>
      </c>
      <c r="F2697" t="s">
        <v>338</v>
      </c>
      <c r="G2697" t="s">
        <v>339</v>
      </c>
    </row>
    <row r="2698" spans="1:8" x14ac:dyDescent="0.3">
      <c r="A2698" t="s">
        <v>382</v>
      </c>
      <c r="B2698">
        <f>IFERROR(INDEX(MASTER_REGISTER!C:C,MATCH(C2698,MASTER_REGISTER!E:E,0)),"")</f>
        <v>12</v>
      </c>
      <c r="C2698" t="s">
        <v>311</v>
      </c>
      <c r="D2698" t="str">
        <f>IFERROR(INDEX(MASTER_REGISTER!F:F,MATCH(C2698,MASTER_REGISTER!E:E,0)),"")</f>
        <v>Sifiso Mavuso</v>
      </c>
      <c r="E2698" t="s">
        <v>337</v>
      </c>
      <c r="F2698" t="s">
        <v>338</v>
      </c>
      <c r="G2698" t="s">
        <v>339</v>
      </c>
    </row>
    <row r="2699" spans="1:8" x14ac:dyDescent="0.3">
      <c r="A2699" t="s">
        <v>382</v>
      </c>
      <c r="B2699">
        <f>IFERROR(INDEX(MASTER_REGISTER!C:C,MATCH(C2699,MASTER_REGISTER!E:E,0)),"")</f>
        <v>12</v>
      </c>
      <c r="C2699" t="s">
        <v>315</v>
      </c>
      <c r="D2699" t="str">
        <f>IFERROR(INDEX(MASTER_REGISTER!F:F,MATCH(C2699,MASTER_REGISTER!E:E,0)),"")</f>
        <v>Refilwe Sithole</v>
      </c>
      <c r="E2699" t="s">
        <v>335</v>
      </c>
      <c r="H2699" t="s">
        <v>336</v>
      </c>
    </row>
    <row r="2700" spans="1:8" x14ac:dyDescent="0.3">
      <c r="A2700" t="s">
        <v>382</v>
      </c>
      <c r="B2700">
        <f>IFERROR(INDEX(MASTER_REGISTER!C:C,MATCH(C2700,MASTER_REGISTER!E:E,0)),"")</f>
        <v>12</v>
      </c>
      <c r="C2700" t="s">
        <v>319</v>
      </c>
      <c r="D2700" t="str">
        <f>IFERROR(INDEX(MASTER_REGISTER!F:F,MATCH(C2700,MASTER_REGISTER!E:E,0)),"")</f>
        <v>Lerato Sithole</v>
      </c>
      <c r="E2700" t="s">
        <v>337</v>
      </c>
      <c r="F2700" t="s">
        <v>338</v>
      </c>
      <c r="G2700" t="s">
        <v>339</v>
      </c>
    </row>
    <row r="2701" spans="1:8" x14ac:dyDescent="0.3">
      <c r="A2701" t="s">
        <v>382</v>
      </c>
      <c r="B2701">
        <f>IFERROR(INDEX(MASTER_REGISTER!C:C,MATCH(C2701,MASTER_REGISTER!E:E,0)),"")</f>
        <v>12</v>
      </c>
      <c r="C2701" t="s">
        <v>323</v>
      </c>
      <c r="D2701" t="str">
        <f>IFERROR(INDEX(MASTER_REGISTER!F:F,MATCH(C2701,MASTER_REGISTER!E:E,0)),"")</f>
        <v>Sibusiso Ngobeni</v>
      </c>
      <c r="E2701" t="s">
        <v>337</v>
      </c>
      <c r="F2701" t="s">
        <v>338</v>
      </c>
      <c r="G2701" t="s">
        <v>339</v>
      </c>
    </row>
    <row r="2702" spans="1:8" x14ac:dyDescent="0.3">
      <c r="A2702" t="s">
        <v>383</v>
      </c>
      <c r="B2702">
        <f>IFERROR(INDEX(MASTER_REGISTER!C:C,MATCH(C2702,MASTER_REGISTER!E:E,0)),"")</f>
        <v>8</v>
      </c>
      <c r="C2702" t="s">
        <v>50</v>
      </c>
      <c r="D2702" t="str">
        <f>IFERROR(INDEX(MASTER_REGISTER!F:F,MATCH(C2702,MASTER_REGISTER!E:E,0)),"")</f>
        <v>Lerato Nkosi</v>
      </c>
      <c r="E2702" t="s">
        <v>337</v>
      </c>
      <c r="F2702" t="s">
        <v>338</v>
      </c>
      <c r="G2702" t="s">
        <v>339</v>
      </c>
    </row>
    <row r="2703" spans="1:8" x14ac:dyDescent="0.3">
      <c r="A2703" t="s">
        <v>383</v>
      </c>
      <c r="B2703">
        <f>IFERROR(INDEX(MASTER_REGISTER!C:C,MATCH(C2703,MASTER_REGISTER!E:E,0)),"")</f>
        <v>8</v>
      </c>
      <c r="C2703" t="s">
        <v>58</v>
      </c>
      <c r="D2703" t="str">
        <f>IFERROR(INDEX(MASTER_REGISTER!F:F,MATCH(C2703,MASTER_REGISTER!E:E,0)),"")</f>
        <v>Karabo Maseko</v>
      </c>
      <c r="E2703" t="s">
        <v>337</v>
      </c>
      <c r="F2703" t="s">
        <v>338</v>
      </c>
      <c r="G2703" t="s">
        <v>339</v>
      </c>
    </row>
    <row r="2704" spans="1:8" x14ac:dyDescent="0.3">
      <c r="A2704" t="s">
        <v>383</v>
      </c>
      <c r="B2704">
        <f>IFERROR(INDEX(MASTER_REGISTER!C:C,MATCH(C2704,MASTER_REGISTER!E:E,0)),"")</f>
        <v>8</v>
      </c>
      <c r="C2704" t="s">
        <v>64</v>
      </c>
      <c r="D2704" t="str">
        <f>IFERROR(INDEX(MASTER_REGISTER!F:F,MATCH(C2704,MASTER_REGISTER!E:E,0)),"")</f>
        <v>Sifiso Sithole</v>
      </c>
      <c r="E2704" t="s">
        <v>337</v>
      </c>
      <c r="F2704" t="s">
        <v>338</v>
      </c>
      <c r="G2704" t="s">
        <v>339</v>
      </c>
    </row>
    <row r="2705" spans="1:8" x14ac:dyDescent="0.3">
      <c r="A2705" t="s">
        <v>383</v>
      </c>
      <c r="B2705">
        <f>IFERROR(INDEX(MASTER_REGISTER!C:C,MATCH(C2705,MASTER_REGISTER!E:E,0)),"")</f>
        <v>8</v>
      </c>
      <c r="C2705" t="s">
        <v>70</v>
      </c>
      <c r="D2705" t="str">
        <f>IFERROR(INDEX(MASTER_REGISTER!F:F,MATCH(C2705,MASTER_REGISTER!E:E,0)),"")</f>
        <v>Tshepo Ndlovu</v>
      </c>
      <c r="E2705" t="s">
        <v>337</v>
      </c>
      <c r="F2705" t="s">
        <v>338</v>
      </c>
      <c r="G2705" t="s">
        <v>339</v>
      </c>
    </row>
    <row r="2706" spans="1:8" x14ac:dyDescent="0.3">
      <c r="A2706" t="s">
        <v>383</v>
      </c>
      <c r="B2706">
        <f>IFERROR(INDEX(MASTER_REGISTER!C:C,MATCH(C2706,MASTER_REGISTER!E:E,0)),"")</f>
        <v>8</v>
      </c>
      <c r="C2706" t="s">
        <v>76</v>
      </c>
      <c r="D2706" t="str">
        <f>IFERROR(INDEX(MASTER_REGISTER!F:F,MATCH(C2706,MASTER_REGISTER!E:E,0)),"")</f>
        <v>Lwazi Mthembu</v>
      </c>
      <c r="E2706" t="s">
        <v>337</v>
      </c>
      <c r="F2706" t="s">
        <v>338</v>
      </c>
      <c r="G2706" t="s">
        <v>339</v>
      </c>
    </row>
    <row r="2707" spans="1:8" x14ac:dyDescent="0.3">
      <c r="A2707" t="s">
        <v>383</v>
      </c>
      <c r="B2707">
        <f>IFERROR(INDEX(MASTER_REGISTER!C:C,MATCH(C2707,MASTER_REGISTER!E:E,0)),"")</f>
        <v>8</v>
      </c>
      <c r="C2707" t="s">
        <v>82</v>
      </c>
      <c r="D2707" t="str">
        <f>IFERROR(INDEX(MASTER_REGISTER!F:F,MATCH(C2707,MASTER_REGISTER!E:E,0)),"")</f>
        <v>Karabo Ngobeni</v>
      </c>
      <c r="E2707" t="s">
        <v>337</v>
      </c>
      <c r="F2707" t="s">
        <v>338</v>
      </c>
      <c r="G2707" t="s">
        <v>339</v>
      </c>
    </row>
    <row r="2708" spans="1:8" x14ac:dyDescent="0.3">
      <c r="A2708" t="s">
        <v>383</v>
      </c>
      <c r="B2708">
        <f>IFERROR(INDEX(MASTER_REGISTER!C:C,MATCH(C2708,MASTER_REGISTER!E:E,0)),"")</f>
        <v>8</v>
      </c>
      <c r="C2708" t="s">
        <v>88</v>
      </c>
      <c r="D2708" t="str">
        <f>IFERROR(INDEX(MASTER_REGISTER!F:F,MATCH(C2708,MASTER_REGISTER!E:E,0)),"")</f>
        <v>Mpho Sithole</v>
      </c>
      <c r="E2708" t="s">
        <v>337</v>
      </c>
      <c r="F2708" t="s">
        <v>338</v>
      </c>
      <c r="G2708" t="s">
        <v>339</v>
      </c>
    </row>
    <row r="2709" spans="1:8" x14ac:dyDescent="0.3">
      <c r="A2709" t="s">
        <v>383</v>
      </c>
      <c r="B2709">
        <f>IFERROR(INDEX(MASTER_REGISTER!C:C,MATCH(C2709,MASTER_REGISTER!E:E,0)),"")</f>
        <v>8</v>
      </c>
      <c r="C2709" t="s">
        <v>94</v>
      </c>
      <c r="D2709" t="str">
        <f>IFERROR(INDEX(MASTER_REGISTER!F:F,MATCH(C2709,MASTER_REGISTER!E:E,0)),"")</f>
        <v>Tshepo Ramushu</v>
      </c>
      <c r="E2709" t="s">
        <v>335</v>
      </c>
      <c r="H2709" t="s">
        <v>340</v>
      </c>
    </row>
    <row r="2710" spans="1:8" x14ac:dyDescent="0.3">
      <c r="A2710" t="s">
        <v>383</v>
      </c>
      <c r="B2710">
        <f>IFERROR(INDEX(MASTER_REGISTER!C:C,MATCH(C2710,MASTER_REGISTER!E:E,0)),"")</f>
        <v>8</v>
      </c>
      <c r="C2710" t="s">
        <v>100</v>
      </c>
      <c r="D2710" t="str">
        <f>IFERROR(INDEX(MASTER_REGISTER!F:F,MATCH(C2710,MASTER_REGISTER!E:E,0)),"")</f>
        <v>Lerato Kekana</v>
      </c>
      <c r="E2710" t="s">
        <v>337</v>
      </c>
      <c r="F2710" t="s">
        <v>338</v>
      </c>
      <c r="G2710" t="s">
        <v>339</v>
      </c>
    </row>
    <row r="2711" spans="1:8" x14ac:dyDescent="0.3">
      <c r="A2711" t="s">
        <v>383</v>
      </c>
      <c r="B2711">
        <f>IFERROR(INDEX(MASTER_REGISTER!C:C,MATCH(C2711,MASTER_REGISTER!E:E,0)),"")</f>
        <v>8</v>
      </c>
      <c r="C2711" t="s">
        <v>106</v>
      </c>
      <c r="D2711" t="str">
        <f>IFERROR(INDEX(MASTER_REGISTER!F:F,MATCH(C2711,MASTER_REGISTER!E:E,0)),"")</f>
        <v>Neo Ngobeni</v>
      </c>
      <c r="E2711" t="s">
        <v>337</v>
      </c>
      <c r="F2711" t="s">
        <v>338</v>
      </c>
      <c r="G2711" t="s">
        <v>339</v>
      </c>
    </row>
    <row r="2712" spans="1:8" x14ac:dyDescent="0.3">
      <c r="A2712" t="s">
        <v>383</v>
      </c>
      <c r="B2712">
        <f>IFERROR(INDEX(MASTER_REGISTER!C:C,MATCH(C2712,MASTER_REGISTER!E:E,0)),"")</f>
        <v>8</v>
      </c>
      <c r="C2712" t="s">
        <v>112</v>
      </c>
      <c r="D2712" t="str">
        <f>IFERROR(INDEX(MASTER_REGISTER!F:F,MATCH(C2712,MASTER_REGISTER!E:E,0)),"")</f>
        <v>Thabo Mokgadi</v>
      </c>
      <c r="E2712" t="s">
        <v>337</v>
      </c>
      <c r="F2712" t="s">
        <v>338</v>
      </c>
      <c r="G2712" t="s">
        <v>339</v>
      </c>
    </row>
    <row r="2713" spans="1:8" x14ac:dyDescent="0.3">
      <c r="A2713" t="s">
        <v>383</v>
      </c>
      <c r="B2713">
        <f>IFERROR(INDEX(MASTER_REGISTER!C:C,MATCH(C2713,MASTER_REGISTER!E:E,0)),"")</f>
        <v>8</v>
      </c>
      <c r="C2713" t="s">
        <v>118</v>
      </c>
      <c r="D2713" t="str">
        <f>IFERROR(INDEX(MASTER_REGISTER!F:F,MATCH(C2713,MASTER_REGISTER!E:E,0)),"")</f>
        <v>Sifiso Mthembu</v>
      </c>
      <c r="E2713" t="s">
        <v>337</v>
      </c>
      <c r="F2713" t="s">
        <v>338</v>
      </c>
      <c r="G2713" t="s">
        <v>339</v>
      </c>
    </row>
    <row r="2714" spans="1:8" x14ac:dyDescent="0.3">
      <c r="A2714" t="s">
        <v>383</v>
      </c>
      <c r="B2714">
        <f>IFERROR(INDEX(MASTER_REGISTER!C:C,MATCH(C2714,MASTER_REGISTER!E:E,0)),"")</f>
        <v>9</v>
      </c>
      <c r="C2714" t="s">
        <v>123</v>
      </c>
      <c r="D2714" t="str">
        <f>IFERROR(INDEX(MASTER_REGISTER!F:F,MATCH(C2714,MASTER_REGISTER!E:E,0)),"")</f>
        <v>Karabo Phiri</v>
      </c>
      <c r="E2714" t="s">
        <v>337</v>
      </c>
      <c r="F2714" t="s">
        <v>338</v>
      </c>
      <c r="G2714" t="s">
        <v>339</v>
      </c>
    </row>
    <row r="2715" spans="1:8" x14ac:dyDescent="0.3">
      <c r="A2715" t="s">
        <v>383</v>
      </c>
      <c r="B2715">
        <f>IFERROR(INDEX(MASTER_REGISTER!C:C,MATCH(C2715,MASTER_REGISTER!E:E,0)),"")</f>
        <v>9</v>
      </c>
      <c r="C2715" t="s">
        <v>128</v>
      </c>
      <c r="D2715" t="str">
        <f>IFERROR(INDEX(MASTER_REGISTER!F:F,MATCH(C2715,MASTER_REGISTER!E:E,0)),"")</f>
        <v>Lerato Mahlangu</v>
      </c>
      <c r="E2715" t="s">
        <v>337</v>
      </c>
      <c r="F2715" t="s">
        <v>338</v>
      </c>
      <c r="G2715" t="s">
        <v>339</v>
      </c>
    </row>
    <row r="2716" spans="1:8" x14ac:dyDescent="0.3">
      <c r="A2716" t="s">
        <v>383</v>
      </c>
      <c r="B2716">
        <f>IFERROR(INDEX(MASTER_REGISTER!C:C,MATCH(C2716,MASTER_REGISTER!E:E,0)),"")</f>
        <v>9</v>
      </c>
      <c r="C2716" t="s">
        <v>133</v>
      </c>
      <c r="D2716" t="str">
        <f>IFERROR(INDEX(MASTER_REGISTER!F:F,MATCH(C2716,MASTER_REGISTER!E:E,0)),"")</f>
        <v>Mpho Kekana</v>
      </c>
      <c r="E2716" t="s">
        <v>337</v>
      </c>
      <c r="F2716" t="s">
        <v>338</v>
      </c>
      <c r="G2716" t="s">
        <v>339</v>
      </c>
    </row>
    <row r="2717" spans="1:8" x14ac:dyDescent="0.3">
      <c r="A2717" t="s">
        <v>383</v>
      </c>
      <c r="B2717">
        <f>IFERROR(INDEX(MASTER_REGISTER!C:C,MATCH(C2717,MASTER_REGISTER!E:E,0)),"")</f>
        <v>9</v>
      </c>
      <c r="C2717" t="s">
        <v>138</v>
      </c>
      <c r="D2717" t="str">
        <f>IFERROR(INDEX(MASTER_REGISTER!F:F,MATCH(C2717,MASTER_REGISTER!E:E,0)),"")</f>
        <v>Thabo Molefe</v>
      </c>
      <c r="E2717" t="s">
        <v>337</v>
      </c>
      <c r="F2717" t="s">
        <v>338</v>
      </c>
      <c r="G2717" t="s">
        <v>339</v>
      </c>
    </row>
    <row r="2718" spans="1:8" x14ac:dyDescent="0.3">
      <c r="A2718" t="s">
        <v>383</v>
      </c>
      <c r="B2718">
        <f>IFERROR(INDEX(MASTER_REGISTER!C:C,MATCH(C2718,MASTER_REGISTER!E:E,0)),"")</f>
        <v>9</v>
      </c>
      <c r="C2718" t="s">
        <v>143</v>
      </c>
      <c r="D2718" t="str">
        <f>IFERROR(INDEX(MASTER_REGISTER!F:F,MATCH(C2718,MASTER_REGISTER!E:E,0)),"")</f>
        <v>Mpho Ngobeni</v>
      </c>
      <c r="E2718" t="s">
        <v>337</v>
      </c>
      <c r="F2718" t="s">
        <v>338</v>
      </c>
      <c r="G2718" t="s">
        <v>339</v>
      </c>
    </row>
    <row r="2719" spans="1:8" x14ac:dyDescent="0.3">
      <c r="A2719" t="s">
        <v>383</v>
      </c>
      <c r="B2719">
        <f>IFERROR(INDEX(MASTER_REGISTER!C:C,MATCH(C2719,MASTER_REGISTER!E:E,0)),"")</f>
        <v>9</v>
      </c>
      <c r="C2719" t="s">
        <v>148</v>
      </c>
      <c r="D2719" t="str">
        <f>IFERROR(INDEX(MASTER_REGISTER!F:F,MATCH(C2719,MASTER_REGISTER!E:E,0)),"")</f>
        <v>Siyanda Mhlongo</v>
      </c>
      <c r="E2719" t="s">
        <v>337</v>
      </c>
      <c r="F2719" t="s">
        <v>338</v>
      </c>
      <c r="G2719" t="s">
        <v>339</v>
      </c>
    </row>
    <row r="2720" spans="1:8" x14ac:dyDescent="0.3">
      <c r="A2720" t="s">
        <v>383</v>
      </c>
      <c r="B2720">
        <f>IFERROR(INDEX(MASTER_REGISTER!C:C,MATCH(C2720,MASTER_REGISTER!E:E,0)),"")</f>
        <v>9</v>
      </c>
      <c r="C2720" t="s">
        <v>153</v>
      </c>
      <c r="D2720" t="str">
        <f>IFERROR(INDEX(MASTER_REGISTER!F:F,MATCH(C2720,MASTER_REGISTER!E:E,0)),"")</f>
        <v>Siyanda Mahlangu</v>
      </c>
      <c r="E2720" t="s">
        <v>337</v>
      </c>
      <c r="F2720" t="s">
        <v>338</v>
      </c>
      <c r="G2720" t="s">
        <v>339</v>
      </c>
    </row>
    <row r="2721" spans="1:8" x14ac:dyDescent="0.3">
      <c r="A2721" t="s">
        <v>383</v>
      </c>
      <c r="B2721">
        <f>IFERROR(INDEX(MASTER_REGISTER!C:C,MATCH(C2721,MASTER_REGISTER!E:E,0)),"")</f>
        <v>9</v>
      </c>
      <c r="C2721" t="s">
        <v>158</v>
      </c>
      <c r="D2721" t="str">
        <f>IFERROR(INDEX(MASTER_REGISTER!F:F,MATCH(C2721,MASTER_REGISTER!E:E,0)),"")</f>
        <v>Sifiso Ramushu</v>
      </c>
      <c r="E2721" t="s">
        <v>337</v>
      </c>
      <c r="F2721" t="s">
        <v>338</v>
      </c>
      <c r="G2721" t="s">
        <v>339</v>
      </c>
    </row>
    <row r="2722" spans="1:8" x14ac:dyDescent="0.3">
      <c r="A2722" t="s">
        <v>383</v>
      </c>
      <c r="B2722">
        <f>IFERROR(INDEX(MASTER_REGISTER!C:C,MATCH(C2722,MASTER_REGISTER!E:E,0)),"")</f>
        <v>9</v>
      </c>
      <c r="C2722" t="s">
        <v>163</v>
      </c>
      <c r="D2722" t="str">
        <f>IFERROR(INDEX(MASTER_REGISTER!F:F,MATCH(C2722,MASTER_REGISTER!E:E,0)),"")</f>
        <v>Nandi Ngobeni</v>
      </c>
      <c r="E2722" t="s">
        <v>335</v>
      </c>
      <c r="H2722" t="s">
        <v>336</v>
      </c>
    </row>
    <row r="2723" spans="1:8" x14ac:dyDescent="0.3">
      <c r="A2723" t="s">
        <v>383</v>
      </c>
      <c r="B2723">
        <f>IFERROR(INDEX(MASTER_REGISTER!C:C,MATCH(C2723,MASTER_REGISTER!E:E,0)),"")</f>
        <v>9</v>
      </c>
      <c r="C2723" t="s">
        <v>168</v>
      </c>
      <c r="D2723" t="str">
        <f>IFERROR(INDEX(MASTER_REGISTER!F:F,MATCH(C2723,MASTER_REGISTER!E:E,0)),"")</f>
        <v>Karabo Mokgadi</v>
      </c>
      <c r="E2723" t="s">
        <v>337</v>
      </c>
      <c r="F2723" t="s">
        <v>338</v>
      </c>
      <c r="G2723" t="s">
        <v>339</v>
      </c>
    </row>
    <row r="2724" spans="1:8" x14ac:dyDescent="0.3">
      <c r="A2724" t="s">
        <v>383</v>
      </c>
      <c r="B2724">
        <f>IFERROR(INDEX(MASTER_REGISTER!C:C,MATCH(C2724,MASTER_REGISTER!E:E,0)),"")</f>
        <v>9</v>
      </c>
      <c r="C2724" t="s">
        <v>173</v>
      </c>
      <c r="D2724" t="str">
        <f>IFERROR(INDEX(MASTER_REGISTER!F:F,MATCH(C2724,MASTER_REGISTER!E:E,0)),"")</f>
        <v>Sifiso Mahlangu</v>
      </c>
      <c r="E2724" t="s">
        <v>335</v>
      </c>
      <c r="H2724" t="s">
        <v>340</v>
      </c>
    </row>
    <row r="2725" spans="1:8" x14ac:dyDescent="0.3">
      <c r="A2725" t="s">
        <v>383</v>
      </c>
      <c r="B2725">
        <f>IFERROR(INDEX(MASTER_REGISTER!C:C,MATCH(C2725,MASTER_REGISTER!E:E,0)),"")</f>
        <v>9</v>
      </c>
      <c r="C2725" t="s">
        <v>178</v>
      </c>
      <c r="D2725" t="str">
        <f>IFERROR(INDEX(MASTER_REGISTER!F:F,MATCH(C2725,MASTER_REGISTER!E:E,0)),"")</f>
        <v>Kgothatso Radebe</v>
      </c>
      <c r="E2725" t="s">
        <v>337</v>
      </c>
      <c r="F2725" t="s">
        <v>338</v>
      </c>
      <c r="G2725" t="s">
        <v>339</v>
      </c>
    </row>
    <row r="2726" spans="1:8" x14ac:dyDescent="0.3">
      <c r="A2726" t="s">
        <v>383</v>
      </c>
      <c r="B2726">
        <f>IFERROR(INDEX(MASTER_REGISTER!C:C,MATCH(C2726,MASTER_REGISTER!E:E,0)),"")</f>
        <v>10</v>
      </c>
      <c r="C2726" t="s">
        <v>183</v>
      </c>
      <c r="D2726" t="str">
        <f>IFERROR(INDEX(MASTER_REGISTER!F:F,MATCH(C2726,MASTER_REGISTER!E:E,0)),"")</f>
        <v>Lerato Maseko</v>
      </c>
      <c r="E2726" t="s">
        <v>337</v>
      </c>
      <c r="F2726" t="s">
        <v>338</v>
      </c>
      <c r="G2726" t="s">
        <v>339</v>
      </c>
    </row>
    <row r="2727" spans="1:8" x14ac:dyDescent="0.3">
      <c r="A2727" t="s">
        <v>383</v>
      </c>
      <c r="B2727">
        <f>IFERROR(INDEX(MASTER_REGISTER!C:C,MATCH(C2727,MASTER_REGISTER!E:E,0)),"")</f>
        <v>10</v>
      </c>
      <c r="C2727" t="s">
        <v>188</v>
      </c>
      <c r="D2727" t="str">
        <f>IFERROR(INDEX(MASTER_REGISTER!F:F,MATCH(C2727,MASTER_REGISTER!E:E,0)),"")</f>
        <v>Sibusiso Molefe</v>
      </c>
      <c r="E2727" t="s">
        <v>337</v>
      </c>
      <c r="F2727" t="s">
        <v>338</v>
      </c>
      <c r="G2727" t="s">
        <v>339</v>
      </c>
    </row>
    <row r="2728" spans="1:8" x14ac:dyDescent="0.3">
      <c r="A2728" t="s">
        <v>383</v>
      </c>
      <c r="B2728">
        <f>IFERROR(INDEX(MASTER_REGISTER!C:C,MATCH(C2728,MASTER_REGISTER!E:E,0)),"")</f>
        <v>10</v>
      </c>
      <c r="C2728" t="s">
        <v>193</v>
      </c>
      <c r="D2728" t="str">
        <f>IFERROR(INDEX(MASTER_REGISTER!F:F,MATCH(C2728,MASTER_REGISTER!E:E,0)),"")</f>
        <v>Nandi Molefe</v>
      </c>
      <c r="E2728" t="s">
        <v>337</v>
      </c>
      <c r="F2728" t="s">
        <v>338</v>
      </c>
      <c r="G2728" t="s">
        <v>339</v>
      </c>
    </row>
    <row r="2729" spans="1:8" x14ac:dyDescent="0.3">
      <c r="A2729" t="s">
        <v>383</v>
      </c>
      <c r="B2729">
        <f>IFERROR(INDEX(MASTER_REGISTER!C:C,MATCH(C2729,MASTER_REGISTER!E:E,0)),"")</f>
        <v>10</v>
      </c>
      <c r="C2729" t="s">
        <v>198</v>
      </c>
      <c r="D2729" t="str">
        <f>IFERROR(INDEX(MASTER_REGISTER!F:F,MATCH(C2729,MASTER_REGISTER!E:E,0)),"")</f>
        <v>Kgothatso Baloyi</v>
      </c>
      <c r="E2729" t="s">
        <v>337</v>
      </c>
      <c r="F2729" t="s">
        <v>338</v>
      </c>
      <c r="G2729" t="s">
        <v>339</v>
      </c>
    </row>
    <row r="2730" spans="1:8" x14ac:dyDescent="0.3">
      <c r="A2730" t="s">
        <v>383</v>
      </c>
      <c r="B2730">
        <f>IFERROR(INDEX(MASTER_REGISTER!C:C,MATCH(C2730,MASTER_REGISTER!E:E,0)),"")</f>
        <v>10</v>
      </c>
      <c r="C2730" t="s">
        <v>202</v>
      </c>
      <c r="D2730" t="str">
        <f>IFERROR(INDEX(MASTER_REGISTER!F:F,MATCH(C2730,MASTER_REGISTER!E:E,0)),"")</f>
        <v>Ayanda Mokoena</v>
      </c>
      <c r="E2730" t="s">
        <v>337</v>
      </c>
      <c r="F2730" t="s">
        <v>338</v>
      </c>
      <c r="G2730" t="s">
        <v>339</v>
      </c>
    </row>
    <row r="2731" spans="1:8" x14ac:dyDescent="0.3">
      <c r="A2731" t="s">
        <v>383</v>
      </c>
      <c r="B2731">
        <f>IFERROR(INDEX(MASTER_REGISTER!C:C,MATCH(C2731,MASTER_REGISTER!E:E,0)),"")</f>
        <v>10</v>
      </c>
      <c r="C2731" t="s">
        <v>206</v>
      </c>
      <c r="D2731" t="str">
        <f>IFERROR(INDEX(MASTER_REGISTER!F:F,MATCH(C2731,MASTER_REGISTER!E:E,0)),"")</f>
        <v>Lwazi Baloyi</v>
      </c>
      <c r="E2731" t="s">
        <v>337</v>
      </c>
      <c r="F2731" t="s">
        <v>338</v>
      </c>
      <c r="G2731" t="s">
        <v>339</v>
      </c>
    </row>
    <row r="2732" spans="1:8" x14ac:dyDescent="0.3">
      <c r="A2732" t="s">
        <v>383</v>
      </c>
      <c r="B2732">
        <f>IFERROR(INDEX(MASTER_REGISTER!C:C,MATCH(C2732,MASTER_REGISTER!E:E,0)),"")</f>
        <v>10</v>
      </c>
      <c r="C2732" t="s">
        <v>210</v>
      </c>
      <c r="D2732" t="str">
        <f>IFERROR(INDEX(MASTER_REGISTER!F:F,MATCH(C2732,MASTER_REGISTER!E:E,0)),"")</f>
        <v>Siyanda Mokoena</v>
      </c>
      <c r="E2732" t="s">
        <v>337</v>
      </c>
      <c r="F2732" t="s">
        <v>338</v>
      </c>
      <c r="G2732" t="s">
        <v>339</v>
      </c>
    </row>
    <row r="2733" spans="1:8" x14ac:dyDescent="0.3">
      <c r="A2733" t="s">
        <v>383</v>
      </c>
      <c r="B2733">
        <f>IFERROR(INDEX(MASTER_REGISTER!C:C,MATCH(C2733,MASTER_REGISTER!E:E,0)),"")</f>
        <v>10</v>
      </c>
      <c r="C2733" t="s">
        <v>214</v>
      </c>
      <c r="D2733" t="str">
        <f>IFERROR(INDEX(MASTER_REGISTER!F:F,MATCH(C2733,MASTER_REGISTER!E:E,0)),"")</f>
        <v>Mpho Ngobeni</v>
      </c>
      <c r="E2733" t="s">
        <v>337</v>
      </c>
      <c r="F2733" t="s">
        <v>338</v>
      </c>
      <c r="G2733" t="s">
        <v>339</v>
      </c>
    </row>
    <row r="2734" spans="1:8" x14ac:dyDescent="0.3">
      <c r="A2734" t="s">
        <v>383</v>
      </c>
      <c r="B2734">
        <f>IFERROR(INDEX(MASTER_REGISTER!C:C,MATCH(C2734,MASTER_REGISTER!E:E,0)),"")</f>
        <v>10</v>
      </c>
      <c r="C2734" t="s">
        <v>217</v>
      </c>
      <c r="D2734" t="str">
        <f>IFERROR(INDEX(MASTER_REGISTER!F:F,MATCH(C2734,MASTER_REGISTER!E:E,0)),"")</f>
        <v>Naledi Makhubela</v>
      </c>
      <c r="E2734" t="s">
        <v>337</v>
      </c>
      <c r="F2734" t="s">
        <v>338</v>
      </c>
      <c r="G2734" t="s">
        <v>339</v>
      </c>
    </row>
    <row r="2735" spans="1:8" x14ac:dyDescent="0.3">
      <c r="A2735" t="s">
        <v>383</v>
      </c>
      <c r="B2735">
        <f>IFERROR(INDEX(MASTER_REGISTER!C:C,MATCH(C2735,MASTER_REGISTER!E:E,0)),"")</f>
        <v>10</v>
      </c>
      <c r="C2735" t="s">
        <v>221</v>
      </c>
      <c r="D2735" t="str">
        <f>IFERROR(INDEX(MASTER_REGISTER!F:F,MATCH(C2735,MASTER_REGISTER!E:E,0)),"")</f>
        <v>Kgothatso Mokoena</v>
      </c>
      <c r="E2735" t="s">
        <v>335</v>
      </c>
      <c r="H2735" t="s">
        <v>342</v>
      </c>
    </row>
    <row r="2736" spans="1:8" x14ac:dyDescent="0.3">
      <c r="A2736" t="s">
        <v>383</v>
      </c>
      <c r="B2736">
        <f>IFERROR(INDEX(MASTER_REGISTER!C:C,MATCH(C2736,MASTER_REGISTER!E:E,0)),"")</f>
        <v>10</v>
      </c>
      <c r="C2736" t="s">
        <v>225</v>
      </c>
      <c r="D2736" t="str">
        <f>IFERROR(INDEX(MASTER_REGISTER!F:F,MATCH(C2736,MASTER_REGISTER!E:E,0)),"")</f>
        <v>Bongani Makhubela</v>
      </c>
      <c r="E2736" t="s">
        <v>337</v>
      </c>
      <c r="F2736" t="s">
        <v>338</v>
      </c>
      <c r="G2736" t="s">
        <v>339</v>
      </c>
    </row>
    <row r="2737" spans="1:8" x14ac:dyDescent="0.3">
      <c r="A2737" t="s">
        <v>383</v>
      </c>
      <c r="B2737">
        <f>IFERROR(INDEX(MASTER_REGISTER!C:C,MATCH(C2737,MASTER_REGISTER!E:E,0)),"")</f>
        <v>10</v>
      </c>
      <c r="C2737" t="s">
        <v>229</v>
      </c>
      <c r="D2737" t="str">
        <f>IFERROR(INDEX(MASTER_REGISTER!F:F,MATCH(C2737,MASTER_REGISTER!E:E,0)),"")</f>
        <v>Kagiso Kekana</v>
      </c>
      <c r="E2737" t="s">
        <v>337</v>
      </c>
      <c r="F2737" t="s">
        <v>338</v>
      </c>
      <c r="G2737" t="s">
        <v>339</v>
      </c>
    </row>
    <row r="2738" spans="1:8" x14ac:dyDescent="0.3">
      <c r="A2738" t="s">
        <v>383</v>
      </c>
      <c r="B2738">
        <f>IFERROR(INDEX(MASTER_REGISTER!C:C,MATCH(C2738,MASTER_REGISTER!E:E,0)),"")</f>
        <v>11</v>
      </c>
      <c r="C2738" t="s">
        <v>233</v>
      </c>
      <c r="D2738" t="str">
        <f>IFERROR(INDEX(MASTER_REGISTER!F:F,MATCH(C2738,MASTER_REGISTER!E:E,0)),"")</f>
        <v>Lwazi Makhubela</v>
      </c>
      <c r="E2738" t="s">
        <v>337</v>
      </c>
      <c r="F2738" t="s">
        <v>338</v>
      </c>
      <c r="G2738" t="s">
        <v>339</v>
      </c>
    </row>
    <row r="2739" spans="1:8" x14ac:dyDescent="0.3">
      <c r="A2739" t="s">
        <v>383</v>
      </c>
      <c r="B2739">
        <f>IFERROR(INDEX(MASTER_REGISTER!C:C,MATCH(C2739,MASTER_REGISTER!E:E,0)),"")</f>
        <v>11</v>
      </c>
      <c r="C2739" t="s">
        <v>237</v>
      </c>
      <c r="D2739" t="str">
        <f>IFERROR(INDEX(MASTER_REGISTER!F:F,MATCH(C2739,MASTER_REGISTER!E:E,0)),"")</f>
        <v>Lebogang Ramushu</v>
      </c>
      <c r="E2739" t="s">
        <v>337</v>
      </c>
      <c r="F2739" t="s">
        <v>338</v>
      </c>
      <c r="G2739" t="s">
        <v>339</v>
      </c>
    </row>
    <row r="2740" spans="1:8" x14ac:dyDescent="0.3">
      <c r="A2740" t="s">
        <v>383</v>
      </c>
      <c r="B2740">
        <f>IFERROR(INDEX(MASTER_REGISTER!C:C,MATCH(C2740,MASTER_REGISTER!E:E,0)),"")</f>
        <v>11</v>
      </c>
      <c r="C2740" t="s">
        <v>241</v>
      </c>
      <c r="D2740" t="str">
        <f>IFERROR(INDEX(MASTER_REGISTER!F:F,MATCH(C2740,MASTER_REGISTER!E:E,0)),"")</f>
        <v>Lerato Kekana</v>
      </c>
      <c r="E2740" t="s">
        <v>337</v>
      </c>
      <c r="F2740" t="s">
        <v>338</v>
      </c>
      <c r="G2740" t="s">
        <v>339</v>
      </c>
    </row>
    <row r="2741" spans="1:8" x14ac:dyDescent="0.3">
      <c r="A2741" t="s">
        <v>383</v>
      </c>
      <c r="B2741">
        <f>IFERROR(INDEX(MASTER_REGISTER!C:C,MATCH(C2741,MASTER_REGISTER!E:E,0)),"")</f>
        <v>11</v>
      </c>
      <c r="C2741" t="s">
        <v>244</v>
      </c>
      <c r="D2741" t="str">
        <f>IFERROR(INDEX(MASTER_REGISTER!F:F,MATCH(C2741,MASTER_REGISTER!E:E,0)),"")</f>
        <v>Bongani Ndlovu</v>
      </c>
      <c r="E2741" t="s">
        <v>337</v>
      </c>
      <c r="F2741" t="s">
        <v>338</v>
      </c>
      <c r="G2741" t="s">
        <v>339</v>
      </c>
    </row>
    <row r="2742" spans="1:8" x14ac:dyDescent="0.3">
      <c r="A2742" t="s">
        <v>383</v>
      </c>
      <c r="B2742">
        <f>IFERROR(INDEX(MASTER_REGISTER!C:C,MATCH(C2742,MASTER_REGISTER!E:E,0)),"")</f>
        <v>11</v>
      </c>
      <c r="C2742" t="s">
        <v>248</v>
      </c>
      <c r="D2742" t="str">
        <f>IFERROR(INDEX(MASTER_REGISTER!F:F,MATCH(C2742,MASTER_REGISTER!E:E,0)),"")</f>
        <v>Sifiso Dlamini</v>
      </c>
      <c r="E2742" t="s">
        <v>337</v>
      </c>
      <c r="F2742" t="s">
        <v>338</v>
      </c>
      <c r="G2742" t="s">
        <v>339</v>
      </c>
    </row>
    <row r="2743" spans="1:8" x14ac:dyDescent="0.3">
      <c r="A2743" t="s">
        <v>383</v>
      </c>
      <c r="B2743">
        <f>IFERROR(INDEX(MASTER_REGISTER!C:C,MATCH(C2743,MASTER_REGISTER!E:E,0)),"")</f>
        <v>11</v>
      </c>
      <c r="C2743" t="s">
        <v>252</v>
      </c>
      <c r="D2743" t="str">
        <f>IFERROR(INDEX(MASTER_REGISTER!F:F,MATCH(C2743,MASTER_REGISTER!E:E,0)),"")</f>
        <v>Refilwe Dlamini</v>
      </c>
      <c r="E2743" t="s">
        <v>337</v>
      </c>
      <c r="F2743" t="s">
        <v>338</v>
      </c>
      <c r="G2743" t="s">
        <v>339</v>
      </c>
    </row>
    <row r="2744" spans="1:8" x14ac:dyDescent="0.3">
      <c r="A2744" t="s">
        <v>383</v>
      </c>
      <c r="B2744">
        <f>IFERROR(INDEX(MASTER_REGISTER!C:C,MATCH(C2744,MASTER_REGISTER!E:E,0)),"")</f>
        <v>11</v>
      </c>
      <c r="C2744" t="s">
        <v>256</v>
      </c>
      <c r="D2744" t="str">
        <f>IFERROR(INDEX(MASTER_REGISTER!F:F,MATCH(C2744,MASTER_REGISTER!E:E,0)),"")</f>
        <v>Lwazi Maseko</v>
      </c>
      <c r="E2744" t="s">
        <v>337</v>
      </c>
      <c r="F2744" t="s">
        <v>338</v>
      </c>
      <c r="G2744" t="s">
        <v>339</v>
      </c>
    </row>
    <row r="2745" spans="1:8" x14ac:dyDescent="0.3">
      <c r="A2745" t="s">
        <v>383</v>
      </c>
      <c r="B2745">
        <f>IFERROR(INDEX(MASTER_REGISTER!C:C,MATCH(C2745,MASTER_REGISTER!E:E,0)),"")</f>
        <v>11</v>
      </c>
      <c r="C2745" t="s">
        <v>260</v>
      </c>
      <c r="D2745" t="str">
        <f>IFERROR(INDEX(MASTER_REGISTER!F:F,MATCH(C2745,MASTER_REGISTER!E:E,0)),"")</f>
        <v>Refilwe Mokgadi</v>
      </c>
      <c r="E2745" t="s">
        <v>337</v>
      </c>
      <c r="F2745" t="s">
        <v>338</v>
      </c>
      <c r="G2745" t="s">
        <v>339</v>
      </c>
    </row>
    <row r="2746" spans="1:8" x14ac:dyDescent="0.3">
      <c r="A2746" t="s">
        <v>383</v>
      </c>
      <c r="B2746">
        <f>IFERROR(INDEX(MASTER_REGISTER!C:C,MATCH(C2746,MASTER_REGISTER!E:E,0)),"")</f>
        <v>11</v>
      </c>
      <c r="C2746" t="s">
        <v>264</v>
      </c>
      <c r="D2746" t="str">
        <f>IFERROR(INDEX(MASTER_REGISTER!F:F,MATCH(C2746,MASTER_REGISTER!E:E,0)),"")</f>
        <v>Kgothatso Molefe</v>
      </c>
      <c r="E2746" t="s">
        <v>337</v>
      </c>
      <c r="F2746" t="s">
        <v>338</v>
      </c>
      <c r="G2746" t="s">
        <v>339</v>
      </c>
    </row>
    <row r="2747" spans="1:8" x14ac:dyDescent="0.3">
      <c r="A2747" t="s">
        <v>383</v>
      </c>
      <c r="B2747">
        <f>IFERROR(INDEX(MASTER_REGISTER!C:C,MATCH(C2747,MASTER_REGISTER!E:E,0)),"")</f>
        <v>11</v>
      </c>
      <c r="C2747" t="s">
        <v>268</v>
      </c>
      <c r="D2747" t="str">
        <f>IFERROR(INDEX(MASTER_REGISTER!F:F,MATCH(C2747,MASTER_REGISTER!E:E,0)),"")</f>
        <v>Tshepo Mokgadi</v>
      </c>
      <c r="E2747" t="s">
        <v>337</v>
      </c>
      <c r="F2747" t="s">
        <v>338</v>
      </c>
      <c r="G2747" t="s">
        <v>339</v>
      </c>
    </row>
    <row r="2748" spans="1:8" x14ac:dyDescent="0.3">
      <c r="A2748" t="s">
        <v>383</v>
      </c>
      <c r="B2748">
        <f>IFERROR(INDEX(MASTER_REGISTER!C:C,MATCH(C2748,MASTER_REGISTER!E:E,0)),"")</f>
        <v>11</v>
      </c>
      <c r="C2748" t="s">
        <v>272</v>
      </c>
      <c r="D2748" t="str">
        <f>IFERROR(INDEX(MASTER_REGISTER!F:F,MATCH(C2748,MASTER_REGISTER!E:E,0)),"")</f>
        <v>Tshepo Phiri</v>
      </c>
      <c r="E2748" t="s">
        <v>337</v>
      </c>
      <c r="F2748" t="s">
        <v>338</v>
      </c>
      <c r="G2748" t="s">
        <v>339</v>
      </c>
    </row>
    <row r="2749" spans="1:8" x14ac:dyDescent="0.3">
      <c r="A2749" t="s">
        <v>383</v>
      </c>
      <c r="B2749">
        <f>IFERROR(INDEX(MASTER_REGISTER!C:C,MATCH(C2749,MASTER_REGISTER!E:E,0)),"")</f>
        <v>11</v>
      </c>
      <c r="C2749" t="s">
        <v>276</v>
      </c>
      <c r="D2749" t="str">
        <f>IFERROR(INDEX(MASTER_REGISTER!F:F,MATCH(C2749,MASTER_REGISTER!E:E,0)),"")</f>
        <v>Zanele Ngobeni</v>
      </c>
      <c r="E2749" t="s">
        <v>337</v>
      </c>
      <c r="F2749" t="s">
        <v>338</v>
      </c>
      <c r="G2749" t="s">
        <v>339</v>
      </c>
    </row>
    <row r="2750" spans="1:8" x14ac:dyDescent="0.3">
      <c r="A2750" t="s">
        <v>383</v>
      </c>
      <c r="B2750">
        <f>IFERROR(INDEX(MASTER_REGISTER!C:C,MATCH(C2750,MASTER_REGISTER!E:E,0)),"")</f>
        <v>12</v>
      </c>
      <c r="C2750" t="s">
        <v>280</v>
      </c>
      <c r="D2750" t="str">
        <f>IFERROR(INDEX(MASTER_REGISTER!F:F,MATCH(C2750,MASTER_REGISTER!E:E,0)),"")</f>
        <v>Palesa Mokoena</v>
      </c>
      <c r="E2750" t="s">
        <v>337</v>
      </c>
      <c r="F2750" t="s">
        <v>338</v>
      </c>
      <c r="G2750" t="s">
        <v>339</v>
      </c>
    </row>
    <row r="2751" spans="1:8" x14ac:dyDescent="0.3">
      <c r="A2751" t="s">
        <v>383</v>
      </c>
      <c r="B2751">
        <f>IFERROR(INDEX(MASTER_REGISTER!C:C,MATCH(C2751,MASTER_REGISTER!E:E,0)),"")</f>
        <v>12</v>
      </c>
      <c r="C2751" t="s">
        <v>284</v>
      </c>
      <c r="D2751" t="str">
        <f>IFERROR(INDEX(MASTER_REGISTER!F:F,MATCH(C2751,MASTER_REGISTER!E:E,0)),"")</f>
        <v>Thabo Ramushu</v>
      </c>
      <c r="E2751" t="s">
        <v>337</v>
      </c>
      <c r="F2751" t="s">
        <v>338</v>
      </c>
      <c r="G2751" t="s">
        <v>339</v>
      </c>
    </row>
    <row r="2752" spans="1:8" x14ac:dyDescent="0.3">
      <c r="A2752" t="s">
        <v>383</v>
      </c>
      <c r="B2752">
        <f>IFERROR(INDEX(MASTER_REGISTER!C:C,MATCH(C2752,MASTER_REGISTER!E:E,0)),"")</f>
        <v>12</v>
      </c>
      <c r="C2752" t="s">
        <v>288</v>
      </c>
      <c r="D2752" t="str">
        <f>IFERROR(INDEX(MASTER_REGISTER!F:F,MATCH(C2752,MASTER_REGISTER!E:E,0)),"")</f>
        <v>Lwazi Ndlovu</v>
      </c>
      <c r="E2752" t="s">
        <v>335</v>
      </c>
      <c r="H2752" t="s">
        <v>341</v>
      </c>
    </row>
    <row r="2753" spans="1:8" x14ac:dyDescent="0.3">
      <c r="A2753" t="s">
        <v>383</v>
      </c>
      <c r="B2753">
        <f>IFERROR(INDEX(MASTER_REGISTER!C:C,MATCH(C2753,MASTER_REGISTER!E:E,0)),"")</f>
        <v>12</v>
      </c>
      <c r="C2753" t="s">
        <v>292</v>
      </c>
      <c r="D2753" t="str">
        <f>IFERROR(INDEX(MASTER_REGISTER!F:F,MATCH(C2753,MASTER_REGISTER!E:E,0)),"")</f>
        <v>Ayanda Dlamini</v>
      </c>
      <c r="E2753" t="s">
        <v>337</v>
      </c>
      <c r="F2753" t="s">
        <v>338</v>
      </c>
      <c r="G2753" t="s">
        <v>339</v>
      </c>
    </row>
    <row r="2754" spans="1:8" x14ac:dyDescent="0.3">
      <c r="A2754" t="s">
        <v>383</v>
      </c>
      <c r="B2754">
        <f>IFERROR(INDEX(MASTER_REGISTER!C:C,MATCH(C2754,MASTER_REGISTER!E:E,0)),"")</f>
        <v>12</v>
      </c>
      <c r="C2754" t="s">
        <v>296</v>
      </c>
      <c r="D2754" t="str">
        <f>IFERROR(INDEX(MASTER_REGISTER!F:F,MATCH(C2754,MASTER_REGISTER!E:E,0)),"")</f>
        <v>Neo Ndlovu</v>
      </c>
      <c r="E2754" t="s">
        <v>337</v>
      </c>
      <c r="F2754" t="s">
        <v>338</v>
      </c>
      <c r="G2754" t="s">
        <v>339</v>
      </c>
    </row>
    <row r="2755" spans="1:8" x14ac:dyDescent="0.3">
      <c r="A2755" t="s">
        <v>383</v>
      </c>
      <c r="B2755">
        <f>IFERROR(INDEX(MASTER_REGISTER!C:C,MATCH(C2755,MASTER_REGISTER!E:E,0)),"")</f>
        <v>12</v>
      </c>
      <c r="C2755" t="s">
        <v>300</v>
      </c>
      <c r="D2755" t="str">
        <f>IFERROR(INDEX(MASTER_REGISTER!F:F,MATCH(C2755,MASTER_REGISTER!E:E,0)),"")</f>
        <v>Neo Ramushu</v>
      </c>
      <c r="E2755" t="s">
        <v>337</v>
      </c>
      <c r="F2755" t="s">
        <v>338</v>
      </c>
      <c r="G2755" t="s">
        <v>339</v>
      </c>
    </row>
    <row r="2756" spans="1:8" x14ac:dyDescent="0.3">
      <c r="A2756" t="s">
        <v>383</v>
      </c>
      <c r="B2756">
        <f>IFERROR(INDEX(MASTER_REGISTER!C:C,MATCH(C2756,MASTER_REGISTER!E:E,0)),"")</f>
        <v>12</v>
      </c>
      <c r="C2756" t="s">
        <v>304</v>
      </c>
      <c r="D2756" t="str">
        <f>IFERROR(INDEX(MASTER_REGISTER!F:F,MATCH(C2756,MASTER_REGISTER!E:E,0)),"")</f>
        <v>Karabo Baloyi</v>
      </c>
      <c r="E2756" t="s">
        <v>337</v>
      </c>
      <c r="F2756" t="s">
        <v>338</v>
      </c>
      <c r="G2756" t="s">
        <v>339</v>
      </c>
    </row>
    <row r="2757" spans="1:8" x14ac:dyDescent="0.3">
      <c r="A2757" t="s">
        <v>383</v>
      </c>
      <c r="B2757">
        <f>IFERROR(INDEX(MASTER_REGISTER!C:C,MATCH(C2757,MASTER_REGISTER!E:E,0)),"")</f>
        <v>12</v>
      </c>
      <c r="C2757" t="s">
        <v>308</v>
      </c>
      <c r="D2757" t="str">
        <f>IFERROR(INDEX(MASTER_REGISTER!F:F,MATCH(C2757,MASTER_REGISTER!E:E,0)),"")</f>
        <v>Tshepo Mokgadi</v>
      </c>
      <c r="E2757" t="s">
        <v>337</v>
      </c>
      <c r="F2757" t="s">
        <v>338</v>
      </c>
      <c r="G2757" t="s">
        <v>339</v>
      </c>
    </row>
    <row r="2758" spans="1:8" x14ac:dyDescent="0.3">
      <c r="A2758" t="s">
        <v>383</v>
      </c>
      <c r="B2758">
        <f>IFERROR(INDEX(MASTER_REGISTER!C:C,MATCH(C2758,MASTER_REGISTER!E:E,0)),"")</f>
        <v>12</v>
      </c>
      <c r="C2758" t="s">
        <v>311</v>
      </c>
      <c r="D2758" t="str">
        <f>IFERROR(INDEX(MASTER_REGISTER!F:F,MATCH(C2758,MASTER_REGISTER!E:E,0)),"")</f>
        <v>Sifiso Mavuso</v>
      </c>
      <c r="E2758" t="s">
        <v>337</v>
      </c>
      <c r="F2758" t="s">
        <v>338</v>
      </c>
      <c r="G2758" t="s">
        <v>339</v>
      </c>
    </row>
    <row r="2759" spans="1:8" x14ac:dyDescent="0.3">
      <c r="A2759" t="s">
        <v>383</v>
      </c>
      <c r="B2759">
        <f>IFERROR(INDEX(MASTER_REGISTER!C:C,MATCH(C2759,MASTER_REGISTER!E:E,0)),"")</f>
        <v>12</v>
      </c>
      <c r="C2759" t="s">
        <v>315</v>
      </c>
      <c r="D2759" t="str">
        <f>IFERROR(INDEX(MASTER_REGISTER!F:F,MATCH(C2759,MASTER_REGISTER!E:E,0)),"")</f>
        <v>Refilwe Sithole</v>
      </c>
      <c r="E2759" t="s">
        <v>335</v>
      </c>
      <c r="H2759" t="s">
        <v>340</v>
      </c>
    </row>
    <row r="2760" spans="1:8" x14ac:dyDescent="0.3">
      <c r="A2760" t="s">
        <v>383</v>
      </c>
      <c r="B2760">
        <f>IFERROR(INDEX(MASTER_REGISTER!C:C,MATCH(C2760,MASTER_REGISTER!E:E,0)),"")</f>
        <v>12</v>
      </c>
      <c r="C2760" t="s">
        <v>319</v>
      </c>
      <c r="D2760" t="str">
        <f>IFERROR(INDEX(MASTER_REGISTER!F:F,MATCH(C2760,MASTER_REGISTER!E:E,0)),"")</f>
        <v>Lerato Sithole</v>
      </c>
      <c r="E2760" t="s">
        <v>337</v>
      </c>
      <c r="F2760" t="s">
        <v>338</v>
      </c>
      <c r="G2760" t="s">
        <v>339</v>
      </c>
    </row>
    <row r="2761" spans="1:8" x14ac:dyDescent="0.3">
      <c r="A2761" t="s">
        <v>383</v>
      </c>
      <c r="B2761">
        <f>IFERROR(INDEX(MASTER_REGISTER!C:C,MATCH(C2761,MASTER_REGISTER!E:E,0)),"")</f>
        <v>12</v>
      </c>
      <c r="C2761" t="s">
        <v>323</v>
      </c>
      <c r="D2761" t="str">
        <f>IFERROR(INDEX(MASTER_REGISTER!F:F,MATCH(C2761,MASTER_REGISTER!E:E,0)),"")</f>
        <v>Sibusiso Ngobeni</v>
      </c>
      <c r="E2761" t="s">
        <v>337</v>
      </c>
      <c r="F2761" t="s">
        <v>338</v>
      </c>
      <c r="G2761" t="s">
        <v>339</v>
      </c>
    </row>
    <row r="2762" spans="1:8" x14ac:dyDescent="0.3">
      <c r="A2762" t="s">
        <v>384</v>
      </c>
      <c r="B2762">
        <f>IFERROR(INDEX(MASTER_REGISTER!C:C,MATCH(C2762,MASTER_REGISTER!E:E,0)),"")</f>
        <v>8</v>
      </c>
      <c r="C2762" t="s">
        <v>50</v>
      </c>
      <c r="D2762" t="str">
        <f>IFERROR(INDEX(MASTER_REGISTER!F:F,MATCH(C2762,MASTER_REGISTER!E:E,0)),"")</f>
        <v>Lerato Nkosi</v>
      </c>
      <c r="E2762" t="s">
        <v>337</v>
      </c>
      <c r="F2762" t="s">
        <v>338</v>
      </c>
      <c r="G2762" t="s">
        <v>339</v>
      </c>
    </row>
    <row r="2763" spans="1:8" x14ac:dyDescent="0.3">
      <c r="A2763" t="s">
        <v>384</v>
      </c>
      <c r="B2763">
        <f>IFERROR(INDEX(MASTER_REGISTER!C:C,MATCH(C2763,MASTER_REGISTER!E:E,0)),"")</f>
        <v>8</v>
      </c>
      <c r="C2763" t="s">
        <v>58</v>
      </c>
      <c r="D2763" t="str">
        <f>IFERROR(INDEX(MASTER_REGISTER!F:F,MATCH(C2763,MASTER_REGISTER!E:E,0)),"")</f>
        <v>Karabo Maseko</v>
      </c>
      <c r="E2763" t="s">
        <v>337</v>
      </c>
      <c r="F2763" t="s">
        <v>338</v>
      </c>
      <c r="G2763" t="s">
        <v>339</v>
      </c>
    </row>
    <row r="2764" spans="1:8" x14ac:dyDescent="0.3">
      <c r="A2764" t="s">
        <v>384</v>
      </c>
      <c r="B2764">
        <f>IFERROR(INDEX(MASTER_REGISTER!C:C,MATCH(C2764,MASTER_REGISTER!E:E,0)),"")</f>
        <v>8</v>
      </c>
      <c r="C2764" t="s">
        <v>64</v>
      </c>
      <c r="D2764" t="str">
        <f>IFERROR(INDEX(MASTER_REGISTER!F:F,MATCH(C2764,MASTER_REGISTER!E:E,0)),"")</f>
        <v>Sifiso Sithole</v>
      </c>
      <c r="E2764" t="s">
        <v>337</v>
      </c>
      <c r="F2764" t="s">
        <v>338</v>
      </c>
      <c r="G2764" t="s">
        <v>339</v>
      </c>
    </row>
    <row r="2765" spans="1:8" x14ac:dyDescent="0.3">
      <c r="A2765" t="s">
        <v>384</v>
      </c>
      <c r="B2765">
        <f>IFERROR(INDEX(MASTER_REGISTER!C:C,MATCH(C2765,MASTER_REGISTER!E:E,0)),"")</f>
        <v>8</v>
      </c>
      <c r="C2765" t="s">
        <v>70</v>
      </c>
      <c r="D2765" t="str">
        <f>IFERROR(INDEX(MASTER_REGISTER!F:F,MATCH(C2765,MASTER_REGISTER!E:E,0)),"")</f>
        <v>Tshepo Ndlovu</v>
      </c>
      <c r="E2765" t="s">
        <v>337</v>
      </c>
      <c r="F2765" t="s">
        <v>338</v>
      </c>
      <c r="G2765" t="s">
        <v>339</v>
      </c>
    </row>
    <row r="2766" spans="1:8" x14ac:dyDescent="0.3">
      <c r="A2766" t="s">
        <v>384</v>
      </c>
      <c r="B2766">
        <f>IFERROR(INDEX(MASTER_REGISTER!C:C,MATCH(C2766,MASTER_REGISTER!E:E,0)),"")</f>
        <v>8</v>
      </c>
      <c r="C2766" t="s">
        <v>76</v>
      </c>
      <c r="D2766" t="str">
        <f>IFERROR(INDEX(MASTER_REGISTER!F:F,MATCH(C2766,MASTER_REGISTER!E:E,0)),"")</f>
        <v>Lwazi Mthembu</v>
      </c>
      <c r="E2766" t="s">
        <v>335</v>
      </c>
      <c r="H2766" t="s">
        <v>336</v>
      </c>
    </row>
    <row r="2767" spans="1:8" x14ac:dyDescent="0.3">
      <c r="A2767" t="s">
        <v>384</v>
      </c>
      <c r="B2767">
        <f>IFERROR(INDEX(MASTER_REGISTER!C:C,MATCH(C2767,MASTER_REGISTER!E:E,0)),"")</f>
        <v>8</v>
      </c>
      <c r="C2767" t="s">
        <v>82</v>
      </c>
      <c r="D2767" t="str">
        <f>IFERROR(INDEX(MASTER_REGISTER!F:F,MATCH(C2767,MASTER_REGISTER!E:E,0)),"")</f>
        <v>Karabo Ngobeni</v>
      </c>
      <c r="E2767" t="s">
        <v>337</v>
      </c>
      <c r="F2767" t="s">
        <v>338</v>
      </c>
      <c r="G2767" t="s">
        <v>339</v>
      </c>
    </row>
    <row r="2768" spans="1:8" x14ac:dyDescent="0.3">
      <c r="A2768" t="s">
        <v>384</v>
      </c>
      <c r="B2768">
        <f>IFERROR(INDEX(MASTER_REGISTER!C:C,MATCH(C2768,MASTER_REGISTER!E:E,0)),"")</f>
        <v>8</v>
      </c>
      <c r="C2768" t="s">
        <v>88</v>
      </c>
      <c r="D2768" t="str">
        <f>IFERROR(INDEX(MASTER_REGISTER!F:F,MATCH(C2768,MASTER_REGISTER!E:E,0)),"")</f>
        <v>Mpho Sithole</v>
      </c>
      <c r="E2768" t="s">
        <v>337</v>
      </c>
      <c r="F2768" t="s">
        <v>338</v>
      </c>
      <c r="G2768" t="s">
        <v>339</v>
      </c>
    </row>
    <row r="2769" spans="1:8" x14ac:dyDescent="0.3">
      <c r="A2769" t="s">
        <v>384</v>
      </c>
      <c r="B2769">
        <f>IFERROR(INDEX(MASTER_REGISTER!C:C,MATCH(C2769,MASTER_REGISTER!E:E,0)),"")</f>
        <v>8</v>
      </c>
      <c r="C2769" t="s">
        <v>94</v>
      </c>
      <c r="D2769" t="str">
        <f>IFERROR(INDEX(MASTER_REGISTER!F:F,MATCH(C2769,MASTER_REGISTER!E:E,0)),"")</f>
        <v>Tshepo Ramushu</v>
      </c>
      <c r="E2769" t="s">
        <v>337</v>
      </c>
      <c r="F2769" t="s">
        <v>338</v>
      </c>
      <c r="G2769" t="s">
        <v>339</v>
      </c>
    </row>
    <row r="2770" spans="1:8" x14ac:dyDescent="0.3">
      <c r="A2770" t="s">
        <v>384</v>
      </c>
      <c r="B2770">
        <f>IFERROR(INDEX(MASTER_REGISTER!C:C,MATCH(C2770,MASTER_REGISTER!E:E,0)),"")</f>
        <v>8</v>
      </c>
      <c r="C2770" t="s">
        <v>100</v>
      </c>
      <c r="D2770" t="str">
        <f>IFERROR(INDEX(MASTER_REGISTER!F:F,MATCH(C2770,MASTER_REGISTER!E:E,0)),"")</f>
        <v>Lerato Kekana</v>
      </c>
      <c r="E2770" t="s">
        <v>337</v>
      </c>
      <c r="F2770" t="s">
        <v>338</v>
      </c>
      <c r="G2770" t="s">
        <v>339</v>
      </c>
    </row>
    <row r="2771" spans="1:8" x14ac:dyDescent="0.3">
      <c r="A2771" t="s">
        <v>384</v>
      </c>
      <c r="B2771">
        <f>IFERROR(INDEX(MASTER_REGISTER!C:C,MATCH(C2771,MASTER_REGISTER!E:E,0)),"")</f>
        <v>8</v>
      </c>
      <c r="C2771" t="s">
        <v>106</v>
      </c>
      <c r="D2771" t="str">
        <f>IFERROR(INDEX(MASTER_REGISTER!F:F,MATCH(C2771,MASTER_REGISTER!E:E,0)),"")</f>
        <v>Neo Ngobeni</v>
      </c>
      <c r="E2771" t="s">
        <v>337</v>
      </c>
      <c r="F2771" t="s">
        <v>338</v>
      </c>
      <c r="G2771" t="s">
        <v>339</v>
      </c>
    </row>
    <row r="2772" spans="1:8" x14ac:dyDescent="0.3">
      <c r="A2772" t="s">
        <v>384</v>
      </c>
      <c r="B2772">
        <f>IFERROR(INDEX(MASTER_REGISTER!C:C,MATCH(C2772,MASTER_REGISTER!E:E,0)),"")</f>
        <v>8</v>
      </c>
      <c r="C2772" t="s">
        <v>112</v>
      </c>
      <c r="D2772" t="str">
        <f>IFERROR(INDEX(MASTER_REGISTER!F:F,MATCH(C2772,MASTER_REGISTER!E:E,0)),"")</f>
        <v>Thabo Mokgadi</v>
      </c>
      <c r="E2772" t="s">
        <v>337</v>
      </c>
      <c r="F2772" t="s">
        <v>338</v>
      </c>
      <c r="G2772" t="s">
        <v>339</v>
      </c>
    </row>
    <row r="2773" spans="1:8" x14ac:dyDescent="0.3">
      <c r="A2773" t="s">
        <v>384</v>
      </c>
      <c r="B2773">
        <f>IFERROR(INDEX(MASTER_REGISTER!C:C,MATCH(C2773,MASTER_REGISTER!E:E,0)),"")</f>
        <v>8</v>
      </c>
      <c r="C2773" t="s">
        <v>118</v>
      </c>
      <c r="D2773" t="str">
        <f>IFERROR(INDEX(MASTER_REGISTER!F:F,MATCH(C2773,MASTER_REGISTER!E:E,0)),"")</f>
        <v>Sifiso Mthembu</v>
      </c>
      <c r="E2773" t="s">
        <v>337</v>
      </c>
      <c r="F2773" t="s">
        <v>338</v>
      </c>
      <c r="G2773" t="s">
        <v>339</v>
      </c>
    </row>
    <row r="2774" spans="1:8" x14ac:dyDescent="0.3">
      <c r="A2774" t="s">
        <v>384</v>
      </c>
      <c r="B2774">
        <f>IFERROR(INDEX(MASTER_REGISTER!C:C,MATCH(C2774,MASTER_REGISTER!E:E,0)),"")</f>
        <v>9</v>
      </c>
      <c r="C2774" t="s">
        <v>123</v>
      </c>
      <c r="D2774" t="str">
        <f>IFERROR(INDEX(MASTER_REGISTER!F:F,MATCH(C2774,MASTER_REGISTER!E:E,0)),"")</f>
        <v>Karabo Phiri</v>
      </c>
      <c r="E2774" t="s">
        <v>337</v>
      </c>
      <c r="F2774" t="s">
        <v>338</v>
      </c>
      <c r="G2774" t="s">
        <v>339</v>
      </c>
    </row>
    <row r="2775" spans="1:8" x14ac:dyDescent="0.3">
      <c r="A2775" t="s">
        <v>384</v>
      </c>
      <c r="B2775">
        <f>IFERROR(INDEX(MASTER_REGISTER!C:C,MATCH(C2775,MASTER_REGISTER!E:E,0)),"")</f>
        <v>9</v>
      </c>
      <c r="C2775" t="s">
        <v>128</v>
      </c>
      <c r="D2775" t="str">
        <f>IFERROR(INDEX(MASTER_REGISTER!F:F,MATCH(C2775,MASTER_REGISTER!E:E,0)),"")</f>
        <v>Lerato Mahlangu</v>
      </c>
      <c r="E2775" t="s">
        <v>335</v>
      </c>
      <c r="H2775" t="s">
        <v>342</v>
      </c>
    </row>
    <row r="2776" spans="1:8" x14ac:dyDescent="0.3">
      <c r="A2776" t="s">
        <v>384</v>
      </c>
      <c r="B2776">
        <f>IFERROR(INDEX(MASTER_REGISTER!C:C,MATCH(C2776,MASTER_REGISTER!E:E,0)),"")</f>
        <v>9</v>
      </c>
      <c r="C2776" t="s">
        <v>133</v>
      </c>
      <c r="D2776" t="str">
        <f>IFERROR(INDEX(MASTER_REGISTER!F:F,MATCH(C2776,MASTER_REGISTER!E:E,0)),"")</f>
        <v>Mpho Kekana</v>
      </c>
      <c r="E2776" t="s">
        <v>337</v>
      </c>
      <c r="F2776" t="s">
        <v>338</v>
      </c>
      <c r="G2776" t="s">
        <v>339</v>
      </c>
    </row>
    <row r="2777" spans="1:8" x14ac:dyDescent="0.3">
      <c r="A2777" t="s">
        <v>384</v>
      </c>
      <c r="B2777">
        <f>IFERROR(INDEX(MASTER_REGISTER!C:C,MATCH(C2777,MASTER_REGISTER!E:E,0)),"")</f>
        <v>9</v>
      </c>
      <c r="C2777" t="s">
        <v>138</v>
      </c>
      <c r="D2777" t="str">
        <f>IFERROR(INDEX(MASTER_REGISTER!F:F,MATCH(C2777,MASTER_REGISTER!E:E,0)),"")</f>
        <v>Thabo Molefe</v>
      </c>
      <c r="E2777" t="s">
        <v>337</v>
      </c>
      <c r="F2777" t="s">
        <v>338</v>
      </c>
      <c r="G2777" t="s">
        <v>339</v>
      </c>
    </row>
    <row r="2778" spans="1:8" x14ac:dyDescent="0.3">
      <c r="A2778" t="s">
        <v>384</v>
      </c>
      <c r="B2778">
        <f>IFERROR(INDEX(MASTER_REGISTER!C:C,MATCH(C2778,MASTER_REGISTER!E:E,0)),"")</f>
        <v>9</v>
      </c>
      <c r="C2778" t="s">
        <v>143</v>
      </c>
      <c r="D2778" t="str">
        <f>IFERROR(INDEX(MASTER_REGISTER!F:F,MATCH(C2778,MASTER_REGISTER!E:E,0)),"")</f>
        <v>Mpho Ngobeni</v>
      </c>
      <c r="E2778" t="s">
        <v>337</v>
      </c>
      <c r="F2778" t="s">
        <v>338</v>
      </c>
      <c r="G2778" t="s">
        <v>339</v>
      </c>
    </row>
    <row r="2779" spans="1:8" x14ac:dyDescent="0.3">
      <c r="A2779" t="s">
        <v>384</v>
      </c>
      <c r="B2779">
        <f>IFERROR(INDEX(MASTER_REGISTER!C:C,MATCH(C2779,MASTER_REGISTER!E:E,0)),"")</f>
        <v>9</v>
      </c>
      <c r="C2779" t="s">
        <v>148</v>
      </c>
      <c r="D2779" t="str">
        <f>IFERROR(INDEX(MASTER_REGISTER!F:F,MATCH(C2779,MASTER_REGISTER!E:E,0)),"")</f>
        <v>Siyanda Mhlongo</v>
      </c>
      <c r="E2779" t="s">
        <v>337</v>
      </c>
      <c r="F2779" t="s">
        <v>338</v>
      </c>
      <c r="G2779" t="s">
        <v>339</v>
      </c>
    </row>
    <row r="2780" spans="1:8" x14ac:dyDescent="0.3">
      <c r="A2780" t="s">
        <v>384</v>
      </c>
      <c r="B2780">
        <f>IFERROR(INDEX(MASTER_REGISTER!C:C,MATCH(C2780,MASTER_REGISTER!E:E,0)),"")</f>
        <v>9</v>
      </c>
      <c r="C2780" t="s">
        <v>153</v>
      </c>
      <c r="D2780" t="str">
        <f>IFERROR(INDEX(MASTER_REGISTER!F:F,MATCH(C2780,MASTER_REGISTER!E:E,0)),"")</f>
        <v>Siyanda Mahlangu</v>
      </c>
      <c r="E2780" t="s">
        <v>337</v>
      </c>
      <c r="F2780" t="s">
        <v>338</v>
      </c>
      <c r="G2780" t="s">
        <v>339</v>
      </c>
    </row>
    <row r="2781" spans="1:8" x14ac:dyDescent="0.3">
      <c r="A2781" t="s">
        <v>384</v>
      </c>
      <c r="B2781">
        <f>IFERROR(INDEX(MASTER_REGISTER!C:C,MATCH(C2781,MASTER_REGISTER!E:E,0)),"")</f>
        <v>9</v>
      </c>
      <c r="C2781" t="s">
        <v>158</v>
      </c>
      <c r="D2781" t="str">
        <f>IFERROR(INDEX(MASTER_REGISTER!F:F,MATCH(C2781,MASTER_REGISTER!E:E,0)),"")</f>
        <v>Sifiso Ramushu</v>
      </c>
      <c r="E2781" t="s">
        <v>337</v>
      </c>
      <c r="F2781" t="s">
        <v>338</v>
      </c>
      <c r="G2781" t="s">
        <v>339</v>
      </c>
    </row>
    <row r="2782" spans="1:8" x14ac:dyDescent="0.3">
      <c r="A2782" t="s">
        <v>384</v>
      </c>
      <c r="B2782">
        <f>IFERROR(INDEX(MASTER_REGISTER!C:C,MATCH(C2782,MASTER_REGISTER!E:E,0)),"")</f>
        <v>9</v>
      </c>
      <c r="C2782" t="s">
        <v>163</v>
      </c>
      <c r="D2782" t="str">
        <f>IFERROR(INDEX(MASTER_REGISTER!F:F,MATCH(C2782,MASTER_REGISTER!E:E,0)),"")</f>
        <v>Nandi Ngobeni</v>
      </c>
      <c r="E2782" t="s">
        <v>337</v>
      </c>
      <c r="F2782" t="s">
        <v>338</v>
      </c>
      <c r="G2782" t="s">
        <v>339</v>
      </c>
    </row>
    <row r="2783" spans="1:8" x14ac:dyDescent="0.3">
      <c r="A2783" t="s">
        <v>384</v>
      </c>
      <c r="B2783">
        <f>IFERROR(INDEX(MASTER_REGISTER!C:C,MATCH(C2783,MASTER_REGISTER!E:E,0)),"")</f>
        <v>9</v>
      </c>
      <c r="C2783" t="s">
        <v>168</v>
      </c>
      <c r="D2783" t="str">
        <f>IFERROR(INDEX(MASTER_REGISTER!F:F,MATCH(C2783,MASTER_REGISTER!E:E,0)),"")</f>
        <v>Karabo Mokgadi</v>
      </c>
      <c r="E2783" t="s">
        <v>337</v>
      </c>
      <c r="F2783" t="s">
        <v>338</v>
      </c>
      <c r="G2783" t="s">
        <v>339</v>
      </c>
    </row>
    <row r="2784" spans="1:8" x14ac:dyDescent="0.3">
      <c r="A2784" t="s">
        <v>384</v>
      </c>
      <c r="B2784">
        <f>IFERROR(INDEX(MASTER_REGISTER!C:C,MATCH(C2784,MASTER_REGISTER!E:E,0)),"")</f>
        <v>9</v>
      </c>
      <c r="C2784" t="s">
        <v>173</v>
      </c>
      <c r="D2784" t="str">
        <f>IFERROR(INDEX(MASTER_REGISTER!F:F,MATCH(C2784,MASTER_REGISTER!E:E,0)),"")</f>
        <v>Sifiso Mahlangu</v>
      </c>
      <c r="E2784" t="s">
        <v>337</v>
      </c>
      <c r="F2784" t="s">
        <v>338</v>
      </c>
      <c r="G2784" t="s">
        <v>339</v>
      </c>
    </row>
    <row r="2785" spans="1:7" x14ac:dyDescent="0.3">
      <c r="A2785" t="s">
        <v>384</v>
      </c>
      <c r="B2785">
        <f>IFERROR(INDEX(MASTER_REGISTER!C:C,MATCH(C2785,MASTER_REGISTER!E:E,0)),"")</f>
        <v>9</v>
      </c>
      <c r="C2785" t="s">
        <v>178</v>
      </c>
      <c r="D2785" t="str">
        <f>IFERROR(INDEX(MASTER_REGISTER!F:F,MATCH(C2785,MASTER_REGISTER!E:E,0)),"")</f>
        <v>Kgothatso Radebe</v>
      </c>
      <c r="E2785" t="s">
        <v>337</v>
      </c>
      <c r="F2785" t="s">
        <v>338</v>
      </c>
      <c r="G2785" t="s">
        <v>339</v>
      </c>
    </row>
    <row r="2786" spans="1:7" x14ac:dyDescent="0.3">
      <c r="A2786" t="s">
        <v>384</v>
      </c>
      <c r="B2786">
        <f>IFERROR(INDEX(MASTER_REGISTER!C:C,MATCH(C2786,MASTER_REGISTER!E:E,0)),"")</f>
        <v>10</v>
      </c>
      <c r="C2786" t="s">
        <v>183</v>
      </c>
      <c r="D2786" t="str">
        <f>IFERROR(INDEX(MASTER_REGISTER!F:F,MATCH(C2786,MASTER_REGISTER!E:E,0)),"")</f>
        <v>Lerato Maseko</v>
      </c>
      <c r="E2786" t="s">
        <v>337</v>
      </c>
      <c r="F2786" t="s">
        <v>338</v>
      </c>
      <c r="G2786" t="s">
        <v>339</v>
      </c>
    </row>
    <row r="2787" spans="1:7" x14ac:dyDescent="0.3">
      <c r="A2787" t="s">
        <v>384</v>
      </c>
      <c r="B2787">
        <f>IFERROR(INDEX(MASTER_REGISTER!C:C,MATCH(C2787,MASTER_REGISTER!E:E,0)),"")</f>
        <v>10</v>
      </c>
      <c r="C2787" t="s">
        <v>188</v>
      </c>
      <c r="D2787" t="str">
        <f>IFERROR(INDEX(MASTER_REGISTER!F:F,MATCH(C2787,MASTER_REGISTER!E:E,0)),"")</f>
        <v>Sibusiso Molefe</v>
      </c>
      <c r="E2787" t="s">
        <v>337</v>
      </c>
      <c r="F2787" t="s">
        <v>338</v>
      </c>
      <c r="G2787" t="s">
        <v>339</v>
      </c>
    </row>
    <row r="2788" spans="1:7" x14ac:dyDescent="0.3">
      <c r="A2788" t="s">
        <v>384</v>
      </c>
      <c r="B2788">
        <f>IFERROR(INDEX(MASTER_REGISTER!C:C,MATCH(C2788,MASTER_REGISTER!E:E,0)),"")</f>
        <v>10</v>
      </c>
      <c r="C2788" t="s">
        <v>193</v>
      </c>
      <c r="D2788" t="str">
        <f>IFERROR(INDEX(MASTER_REGISTER!F:F,MATCH(C2788,MASTER_REGISTER!E:E,0)),"")</f>
        <v>Nandi Molefe</v>
      </c>
      <c r="E2788" t="s">
        <v>337</v>
      </c>
      <c r="F2788" t="s">
        <v>338</v>
      </c>
      <c r="G2788" t="s">
        <v>339</v>
      </c>
    </row>
    <row r="2789" spans="1:7" x14ac:dyDescent="0.3">
      <c r="A2789" t="s">
        <v>384</v>
      </c>
      <c r="B2789">
        <f>IFERROR(INDEX(MASTER_REGISTER!C:C,MATCH(C2789,MASTER_REGISTER!E:E,0)),"")</f>
        <v>10</v>
      </c>
      <c r="C2789" t="s">
        <v>198</v>
      </c>
      <c r="D2789" t="str">
        <f>IFERROR(INDEX(MASTER_REGISTER!F:F,MATCH(C2789,MASTER_REGISTER!E:E,0)),"")</f>
        <v>Kgothatso Baloyi</v>
      </c>
      <c r="E2789" t="s">
        <v>337</v>
      </c>
      <c r="F2789" t="s">
        <v>338</v>
      </c>
      <c r="G2789" t="s">
        <v>339</v>
      </c>
    </row>
    <row r="2790" spans="1:7" x14ac:dyDescent="0.3">
      <c r="A2790" t="s">
        <v>384</v>
      </c>
      <c r="B2790">
        <f>IFERROR(INDEX(MASTER_REGISTER!C:C,MATCH(C2790,MASTER_REGISTER!E:E,0)),"")</f>
        <v>10</v>
      </c>
      <c r="C2790" t="s">
        <v>202</v>
      </c>
      <c r="D2790" t="str">
        <f>IFERROR(INDEX(MASTER_REGISTER!F:F,MATCH(C2790,MASTER_REGISTER!E:E,0)),"")</f>
        <v>Ayanda Mokoena</v>
      </c>
      <c r="E2790" t="s">
        <v>337</v>
      </c>
      <c r="F2790" t="s">
        <v>338</v>
      </c>
      <c r="G2790" t="s">
        <v>339</v>
      </c>
    </row>
    <row r="2791" spans="1:7" x14ac:dyDescent="0.3">
      <c r="A2791" t="s">
        <v>384</v>
      </c>
      <c r="B2791">
        <f>IFERROR(INDEX(MASTER_REGISTER!C:C,MATCH(C2791,MASTER_REGISTER!E:E,0)),"")</f>
        <v>10</v>
      </c>
      <c r="C2791" t="s">
        <v>206</v>
      </c>
      <c r="D2791" t="str">
        <f>IFERROR(INDEX(MASTER_REGISTER!F:F,MATCH(C2791,MASTER_REGISTER!E:E,0)),"")</f>
        <v>Lwazi Baloyi</v>
      </c>
      <c r="E2791" t="s">
        <v>337</v>
      </c>
      <c r="F2791" t="s">
        <v>338</v>
      </c>
      <c r="G2791" t="s">
        <v>339</v>
      </c>
    </row>
    <row r="2792" spans="1:7" x14ac:dyDescent="0.3">
      <c r="A2792" t="s">
        <v>384</v>
      </c>
      <c r="B2792">
        <f>IFERROR(INDEX(MASTER_REGISTER!C:C,MATCH(C2792,MASTER_REGISTER!E:E,0)),"")</f>
        <v>10</v>
      </c>
      <c r="C2792" t="s">
        <v>210</v>
      </c>
      <c r="D2792" t="str">
        <f>IFERROR(INDEX(MASTER_REGISTER!F:F,MATCH(C2792,MASTER_REGISTER!E:E,0)),"")</f>
        <v>Siyanda Mokoena</v>
      </c>
      <c r="E2792" t="s">
        <v>337</v>
      </c>
      <c r="F2792" t="s">
        <v>338</v>
      </c>
      <c r="G2792" t="s">
        <v>339</v>
      </c>
    </row>
    <row r="2793" spans="1:7" x14ac:dyDescent="0.3">
      <c r="A2793" t="s">
        <v>384</v>
      </c>
      <c r="B2793">
        <f>IFERROR(INDEX(MASTER_REGISTER!C:C,MATCH(C2793,MASTER_REGISTER!E:E,0)),"")</f>
        <v>10</v>
      </c>
      <c r="C2793" t="s">
        <v>214</v>
      </c>
      <c r="D2793" t="str">
        <f>IFERROR(INDEX(MASTER_REGISTER!F:F,MATCH(C2793,MASTER_REGISTER!E:E,0)),"")</f>
        <v>Mpho Ngobeni</v>
      </c>
      <c r="E2793" t="s">
        <v>337</v>
      </c>
      <c r="F2793" t="s">
        <v>338</v>
      </c>
      <c r="G2793" t="s">
        <v>339</v>
      </c>
    </row>
    <row r="2794" spans="1:7" x14ac:dyDescent="0.3">
      <c r="A2794" t="s">
        <v>384</v>
      </c>
      <c r="B2794">
        <f>IFERROR(INDEX(MASTER_REGISTER!C:C,MATCH(C2794,MASTER_REGISTER!E:E,0)),"")</f>
        <v>10</v>
      </c>
      <c r="C2794" t="s">
        <v>217</v>
      </c>
      <c r="D2794" t="str">
        <f>IFERROR(INDEX(MASTER_REGISTER!F:F,MATCH(C2794,MASTER_REGISTER!E:E,0)),"")</f>
        <v>Naledi Makhubela</v>
      </c>
      <c r="E2794" t="s">
        <v>337</v>
      </c>
      <c r="F2794" t="s">
        <v>338</v>
      </c>
      <c r="G2794" t="s">
        <v>339</v>
      </c>
    </row>
    <row r="2795" spans="1:7" x14ac:dyDescent="0.3">
      <c r="A2795" t="s">
        <v>384</v>
      </c>
      <c r="B2795">
        <f>IFERROR(INDEX(MASTER_REGISTER!C:C,MATCH(C2795,MASTER_REGISTER!E:E,0)),"")</f>
        <v>10</v>
      </c>
      <c r="C2795" t="s">
        <v>221</v>
      </c>
      <c r="D2795" t="str">
        <f>IFERROR(INDEX(MASTER_REGISTER!F:F,MATCH(C2795,MASTER_REGISTER!E:E,0)),"")</f>
        <v>Kgothatso Mokoena</v>
      </c>
      <c r="E2795" t="s">
        <v>337</v>
      </c>
      <c r="F2795" t="s">
        <v>338</v>
      </c>
      <c r="G2795" t="s">
        <v>339</v>
      </c>
    </row>
    <row r="2796" spans="1:7" x14ac:dyDescent="0.3">
      <c r="A2796" t="s">
        <v>384</v>
      </c>
      <c r="B2796">
        <f>IFERROR(INDEX(MASTER_REGISTER!C:C,MATCH(C2796,MASTER_REGISTER!E:E,0)),"")</f>
        <v>10</v>
      </c>
      <c r="C2796" t="s">
        <v>225</v>
      </c>
      <c r="D2796" t="str">
        <f>IFERROR(INDEX(MASTER_REGISTER!F:F,MATCH(C2796,MASTER_REGISTER!E:E,0)),"")</f>
        <v>Bongani Makhubela</v>
      </c>
      <c r="E2796" t="s">
        <v>337</v>
      </c>
      <c r="F2796" t="s">
        <v>338</v>
      </c>
      <c r="G2796" t="s">
        <v>339</v>
      </c>
    </row>
    <row r="2797" spans="1:7" x14ac:dyDescent="0.3">
      <c r="A2797" t="s">
        <v>384</v>
      </c>
      <c r="B2797">
        <f>IFERROR(INDEX(MASTER_REGISTER!C:C,MATCH(C2797,MASTER_REGISTER!E:E,0)),"")</f>
        <v>10</v>
      </c>
      <c r="C2797" t="s">
        <v>229</v>
      </c>
      <c r="D2797" t="str">
        <f>IFERROR(INDEX(MASTER_REGISTER!F:F,MATCH(C2797,MASTER_REGISTER!E:E,0)),"")</f>
        <v>Kagiso Kekana</v>
      </c>
      <c r="E2797" t="s">
        <v>337</v>
      </c>
      <c r="F2797" t="s">
        <v>338</v>
      </c>
      <c r="G2797" t="s">
        <v>339</v>
      </c>
    </row>
    <row r="2798" spans="1:7" x14ac:dyDescent="0.3">
      <c r="A2798" t="s">
        <v>384</v>
      </c>
      <c r="B2798">
        <f>IFERROR(INDEX(MASTER_REGISTER!C:C,MATCH(C2798,MASTER_REGISTER!E:E,0)),"")</f>
        <v>11</v>
      </c>
      <c r="C2798" t="s">
        <v>233</v>
      </c>
      <c r="D2798" t="str">
        <f>IFERROR(INDEX(MASTER_REGISTER!F:F,MATCH(C2798,MASTER_REGISTER!E:E,0)),"")</f>
        <v>Lwazi Makhubela</v>
      </c>
      <c r="E2798" t="s">
        <v>337</v>
      </c>
      <c r="F2798" t="s">
        <v>338</v>
      </c>
      <c r="G2798" t="s">
        <v>339</v>
      </c>
    </row>
    <row r="2799" spans="1:7" x14ac:dyDescent="0.3">
      <c r="A2799" t="s">
        <v>384</v>
      </c>
      <c r="B2799">
        <f>IFERROR(INDEX(MASTER_REGISTER!C:C,MATCH(C2799,MASTER_REGISTER!E:E,0)),"")</f>
        <v>11</v>
      </c>
      <c r="C2799" t="s">
        <v>237</v>
      </c>
      <c r="D2799" t="str">
        <f>IFERROR(INDEX(MASTER_REGISTER!F:F,MATCH(C2799,MASTER_REGISTER!E:E,0)),"")</f>
        <v>Lebogang Ramushu</v>
      </c>
      <c r="E2799" t="s">
        <v>337</v>
      </c>
      <c r="F2799" t="s">
        <v>338</v>
      </c>
      <c r="G2799" t="s">
        <v>339</v>
      </c>
    </row>
    <row r="2800" spans="1:7" x14ac:dyDescent="0.3">
      <c r="A2800" t="s">
        <v>384</v>
      </c>
      <c r="B2800">
        <f>IFERROR(INDEX(MASTER_REGISTER!C:C,MATCH(C2800,MASTER_REGISTER!E:E,0)),"")</f>
        <v>11</v>
      </c>
      <c r="C2800" t="s">
        <v>241</v>
      </c>
      <c r="D2800" t="str">
        <f>IFERROR(INDEX(MASTER_REGISTER!F:F,MATCH(C2800,MASTER_REGISTER!E:E,0)),"")</f>
        <v>Lerato Kekana</v>
      </c>
      <c r="E2800" t="s">
        <v>337</v>
      </c>
      <c r="F2800" t="s">
        <v>338</v>
      </c>
      <c r="G2800" t="s">
        <v>339</v>
      </c>
    </row>
    <row r="2801" spans="1:8" x14ac:dyDescent="0.3">
      <c r="A2801" t="s">
        <v>384</v>
      </c>
      <c r="B2801">
        <f>IFERROR(INDEX(MASTER_REGISTER!C:C,MATCH(C2801,MASTER_REGISTER!E:E,0)),"")</f>
        <v>11</v>
      </c>
      <c r="C2801" t="s">
        <v>244</v>
      </c>
      <c r="D2801" t="str">
        <f>IFERROR(INDEX(MASTER_REGISTER!F:F,MATCH(C2801,MASTER_REGISTER!E:E,0)),"")</f>
        <v>Bongani Ndlovu</v>
      </c>
      <c r="E2801" t="s">
        <v>337</v>
      </c>
      <c r="F2801" t="s">
        <v>338</v>
      </c>
      <c r="G2801" t="s">
        <v>339</v>
      </c>
    </row>
    <row r="2802" spans="1:8" x14ac:dyDescent="0.3">
      <c r="A2802" t="s">
        <v>384</v>
      </c>
      <c r="B2802">
        <f>IFERROR(INDEX(MASTER_REGISTER!C:C,MATCH(C2802,MASTER_REGISTER!E:E,0)),"")</f>
        <v>11</v>
      </c>
      <c r="C2802" t="s">
        <v>248</v>
      </c>
      <c r="D2802" t="str">
        <f>IFERROR(INDEX(MASTER_REGISTER!F:F,MATCH(C2802,MASTER_REGISTER!E:E,0)),"")</f>
        <v>Sifiso Dlamini</v>
      </c>
      <c r="E2802" t="s">
        <v>337</v>
      </c>
      <c r="F2802" t="s">
        <v>338</v>
      </c>
      <c r="G2802" t="s">
        <v>339</v>
      </c>
    </row>
    <row r="2803" spans="1:8" x14ac:dyDescent="0.3">
      <c r="A2803" t="s">
        <v>384</v>
      </c>
      <c r="B2803">
        <f>IFERROR(INDEX(MASTER_REGISTER!C:C,MATCH(C2803,MASTER_REGISTER!E:E,0)),"")</f>
        <v>11</v>
      </c>
      <c r="C2803" t="s">
        <v>252</v>
      </c>
      <c r="D2803" t="str">
        <f>IFERROR(INDEX(MASTER_REGISTER!F:F,MATCH(C2803,MASTER_REGISTER!E:E,0)),"")</f>
        <v>Refilwe Dlamini</v>
      </c>
      <c r="E2803" t="s">
        <v>337</v>
      </c>
      <c r="F2803" t="s">
        <v>338</v>
      </c>
      <c r="G2803" t="s">
        <v>339</v>
      </c>
    </row>
    <row r="2804" spans="1:8" x14ac:dyDescent="0.3">
      <c r="A2804" t="s">
        <v>384</v>
      </c>
      <c r="B2804">
        <f>IFERROR(INDEX(MASTER_REGISTER!C:C,MATCH(C2804,MASTER_REGISTER!E:E,0)),"")</f>
        <v>11</v>
      </c>
      <c r="C2804" t="s">
        <v>256</v>
      </c>
      <c r="D2804" t="str">
        <f>IFERROR(INDEX(MASTER_REGISTER!F:F,MATCH(C2804,MASTER_REGISTER!E:E,0)),"")</f>
        <v>Lwazi Maseko</v>
      </c>
      <c r="E2804" t="s">
        <v>335</v>
      </c>
      <c r="H2804" t="s">
        <v>342</v>
      </c>
    </row>
    <row r="2805" spans="1:8" x14ac:dyDescent="0.3">
      <c r="A2805" t="s">
        <v>384</v>
      </c>
      <c r="B2805">
        <f>IFERROR(INDEX(MASTER_REGISTER!C:C,MATCH(C2805,MASTER_REGISTER!E:E,0)),"")</f>
        <v>11</v>
      </c>
      <c r="C2805" t="s">
        <v>260</v>
      </c>
      <c r="D2805" t="str">
        <f>IFERROR(INDEX(MASTER_REGISTER!F:F,MATCH(C2805,MASTER_REGISTER!E:E,0)),"")</f>
        <v>Refilwe Mokgadi</v>
      </c>
      <c r="E2805" t="s">
        <v>337</v>
      </c>
      <c r="F2805" t="s">
        <v>338</v>
      </c>
      <c r="G2805" t="s">
        <v>339</v>
      </c>
    </row>
    <row r="2806" spans="1:8" x14ac:dyDescent="0.3">
      <c r="A2806" t="s">
        <v>384</v>
      </c>
      <c r="B2806">
        <f>IFERROR(INDEX(MASTER_REGISTER!C:C,MATCH(C2806,MASTER_REGISTER!E:E,0)),"")</f>
        <v>11</v>
      </c>
      <c r="C2806" t="s">
        <v>264</v>
      </c>
      <c r="D2806" t="str">
        <f>IFERROR(INDEX(MASTER_REGISTER!F:F,MATCH(C2806,MASTER_REGISTER!E:E,0)),"")</f>
        <v>Kgothatso Molefe</v>
      </c>
      <c r="E2806" t="s">
        <v>337</v>
      </c>
      <c r="F2806" t="s">
        <v>338</v>
      </c>
      <c r="G2806" t="s">
        <v>339</v>
      </c>
    </row>
    <row r="2807" spans="1:8" x14ac:dyDescent="0.3">
      <c r="A2807" t="s">
        <v>384</v>
      </c>
      <c r="B2807">
        <f>IFERROR(INDEX(MASTER_REGISTER!C:C,MATCH(C2807,MASTER_REGISTER!E:E,0)),"")</f>
        <v>11</v>
      </c>
      <c r="C2807" t="s">
        <v>268</v>
      </c>
      <c r="D2807" t="str">
        <f>IFERROR(INDEX(MASTER_REGISTER!F:F,MATCH(C2807,MASTER_REGISTER!E:E,0)),"")</f>
        <v>Tshepo Mokgadi</v>
      </c>
      <c r="E2807" t="s">
        <v>337</v>
      </c>
      <c r="F2807" t="s">
        <v>338</v>
      </c>
      <c r="G2807" t="s">
        <v>339</v>
      </c>
    </row>
    <row r="2808" spans="1:8" x14ac:dyDescent="0.3">
      <c r="A2808" t="s">
        <v>384</v>
      </c>
      <c r="B2808">
        <f>IFERROR(INDEX(MASTER_REGISTER!C:C,MATCH(C2808,MASTER_REGISTER!E:E,0)),"")</f>
        <v>11</v>
      </c>
      <c r="C2808" t="s">
        <v>272</v>
      </c>
      <c r="D2808" t="str">
        <f>IFERROR(INDEX(MASTER_REGISTER!F:F,MATCH(C2808,MASTER_REGISTER!E:E,0)),"")</f>
        <v>Tshepo Phiri</v>
      </c>
      <c r="E2808" t="s">
        <v>337</v>
      </c>
      <c r="F2808" t="s">
        <v>338</v>
      </c>
      <c r="G2808" t="s">
        <v>339</v>
      </c>
    </row>
    <row r="2809" spans="1:8" x14ac:dyDescent="0.3">
      <c r="A2809" t="s">
        <v>384</v>
      </c>
      <c r="B2809">
        <f>IFERROR(INDEX(MASTER_REGISTER!C:C,MATCH(C2809,MASTER_REGISTER!E:E,0)),"")</f>
        <v>11</v>
      </c>
      <c r="C2809" t="s">
        <v>276</v>
      </c>
      <c r="D2809" t="str">
        <f>IFERROR(INDEX(MASTER_REGISTER!F:F,MATCH(C2809,MASTER_REGISTER!E:E,0)),"")</f>
        <v>Zanele Ngobeni</v>
      </c>
      <c r="E2809" t="s">
        <v>337</v>
      </c>
      <c r="F2809" t="s">
        <v>338</v>
      </c>
      <c r="G2809" t="s">
        <v>339</v>
      </c>
    </row>
    <row r="2810" spans="1:8" x14ac:dyDescent="0.3">
      <c r="A2810" t="s">
        <v>384</v>
      </c>
      <c r="B2810">
        <f>IFERROR(INDEX(MASTER_REGISTER!C:C,MATCH(C2810,MASTER_REGISTER!E:E,0)),"")</f>
        <v>12</v>
      </c>
      <c r="C2810" t="s">
        <v>280</v>
      </c>
      <c r="D2810" t="str">
        <f>IFERROR(INDEX(MASTER_REGISTER!F:F,MATCH(C2810,MASTER_REGISTER!E:E,0)),"")</f>
        <v>Palesa Mokoena</v>
      </c>
      <c r="E2810" t="s">
        <v>337</v>
      </c>
      <c r="F2810" t="s">
        <v>338</v>
      </c>
      <c r="G2810" t="s">
        <v>339</v>
      </c>
    </row>
    <row r="2811" spans="1:8" x14ac:dyDescent="0.3">
      <c r="A2811" t="s">
        <v>384</v>
      </c>
      <c r="B2811">
        <f>IFERROR(INDEX(MASTER_REGISTER!C:C,MATCH(C2811,MASTER_REGISTER!E:E,0)),"")</f>
        <v>12</v>
      </c>
      <c r="C2811" t="s">
        <v>284</v>
      </c>
      <c r="D2811" t="str">
        <f>IFERROR(INDEX(MASTER_REGISTER!F:F,MATCH(C2811,MASTER_REGISTER!E:E,0)),"")</f>
        <v>Thabo Ramushu</v>
      </c>
      <c r="E2811" t="s">
        <v>337</v>
      </c>
      <c r="F2811" t="s">
        <v>338</v>
      </c>
      <c r="G2811" t="s">
        <v>339</v>
      </c>
    </row>
    <row r="2812" spans="1:8" x14ac:dyDescent="0.3">
      <c r="A2812" t="s">
        <v>384</v>
      </c>
      <c r="B2812">
        <f>IFERROR(INDEX(MASTER_REGISTER!C:C,MATCH(C2812,MASTER_REGISTER!E:E,0)),"")</f>
        <v>12</v>
      </c>
      <c r="C2812" t="s">
        <v>288</v>
      </c>
      <c r="D2812" t="str">
        <f>IFERROR(INDEX(MASTER_REGISTER!F:F,MATCH(C2812,MASTER_REGISTER!E:E,0)),"")</f>
        <v>Lwazi Ndlovu</v>
      </c>
      <c r="E2812" t="s">
        <v>337</v>
      </c>
      <c r="F2812" t="s">
        <v>338</v>
      </c>
      <c r="G2812" t="s">
        <v>339</v>
      </c>
    </row>
    <row r="2813" spans="1:8" x14ac:dyDescent="0.3">
      <c r="A2813" t="s">
        <v>384</v>
      </c>
      <c r="B2813">
        <f>IFERROR(INDEX(MASTER_REGISTER!C:C,MATCH(C2813,MASTER_REGISTER!E:E,0)),"")</f>
        <v>12</v>
      </c>
      <c r="C2813" t="s">
        <v>292</v>
      </c>
      <c r="D2813" t="str">
        <f>IFERROR(INDEX(MASTER_REGISTER!F:F,MATCH(C2813,MASTER_REGISTER!E:E,0)),"")</f>
        <v>Ayanda Dlamini</v>
      </c>
      <c r="E2813" t="s">
        <v>337</v>
      </c>
      <c r="F2813" t="s">
        <v>338</v>
      </c>
      <c r="G2813" t="s">
        <v>339</v>
      </c>
    </row>
    <row r="2814" spans="1:8" x14ac:dyDescent="0.3">
      <c r="A2814" t="s">
        <v>384</v>
      </c>
      <c r="B2814">
        <f>IFERROR(INDEX(MASTER_REGISTER!C:C,MATCH(C2814,MASTER_REGISTER!E:E,0)),"")</f>
        <v>12</v>
      </c>
      <c r="C2814" t="s">
        <v>296</v>
      </c>
      <c r="D2814" t="str">
        <f>IFERROR(INDEX(MASTER_REGISTER!F:F,MATCH(C2814,MASTER_REGISTER!E:E,0)),"")</f>
        <v>Neo Ndlovu</v>
      </c>
      <c r="E2814" t="s">
        <v>337</v>
      </c>
      <c r="F2814" t="s">
        <v>338</v>
      </c>
      <c r="G2814" t="s">
        <v>339</v>
      </c>
    </row>
    <row r="2815" spans="1:8" x14ac:dyDescent="0.3">
      <c r="A2815" t="s">
        <v>384</v>
      </c>
      <c r="B2815">
        <f>IFERROR(INDEX(MASTER_REGISTER!C:C,MATCH(C2815,MASTER_REGISTER!E:E,0)),"")</f>
        <v>12</v>
      </c>
      <c r="C2815" t="s">
        <v>300</v>
      </c>
      <c r="D2815" t="str">
        <f>IFERROR(INDEX(MASTER_REGISTER!F:F,MATCH(C2815,MASTER_REGISTER!E:E,0)),"")</f>
        <v>Neo Ramushu</v>
      </c>
      <c r="E2815" t="s">
        <v>337</v>
      </c>
      <c r="F2815" t="s">
        <v>338</v>
      </c>
      <c r="G2815" t="s">
        <v>339</v>
      </c>
    </row>
    <row r="2816" spans="1:8" x14ac:dyDescent="0.3">
      <c r="A2816" t="s">
        <v>384</v>
      </c>
      <c r="B2816">
        <f>IFERROR(INDEX(MASTER_REGISTER!C:C,MATCH(C2816,MASTER_REGISTER!E:E,0)),"")</f>
        <v>12</v>
      </c>
      <c r="C2816" t="s">
        <v>304</v>
      </c>
      <c r="D2816" t="str">
        <f>IFERROR(INDEX(MASTER_REGISTER!F:F,MATCH(C2816,MASTER_REGISTER!E:E,0)),"")</f>
        <v>Karabo Baloyi</v>
      </c>
      <c r="E2816" t="s">
        <v>337</v>
      </c>
      <c r="F2816" t="s">
        <v>338</v>
      </c>
      <c r="G2816" t="s">
        <v>339</v>
      </c>
    </row>
    <row r="2817" spans="1:8" x14ac:dyDescent="0.3">
      <c r="A2817" t="s">
        <v>384</v>
      </c>
      <c r="B2817">
        <f>IFERROR(INDEX(MASTER_REGISTER!C:C,MATCH(C2817,MASTER_REGISTER!E:E,0)),"")</f>
        <v>12</v>
      </c>
      <c r="C2817" t="s">
        <v>308</v>
      </c>
      <c r="D2817" t="str">
        <f>IFERROR(INDEX(MASTER_REGISTER!F:F,MATCH(C2817,MASTER_REGISTER!E:E,0)),"")</f>
        <v>Tshepo Mokgadi</v>
      </c>
      <c r="E2817" t="s">
        <v>335</v>
      </c>
      <c r="H2817" t="s">
        <v>336</v>
      </c>
    </row>
    <row r="2818" spans="1:8" x14ac:dyDescent="0.3">
      <c r="A2818" t="s">
        <v>384</v>
      </c>
      <c r="B2818">
        <f>IFERROR(INDEX(MASTER_REGISTER!C:C,MATCH(C2818,MASTER_REGISTER!E:E,0)),"")</f>
        <v>12</v>
      </c>
      <c r="C2818" t="s">
        <v>311</v>
      </c>
      <c r="D2818" t="str">
        <f>IFERROR(INDEX(MASTER_REGISTER!F:F,MATCH(C2818,MASTER_REGISTER!E:E,0)),"")</f>
        <v>Sifiso Mavuso</v>
      </c>
      <c r="E2818" t="s">
        <v>335</v>
      </c>
      <c r="H2818" t="s">
        <v>341</v>
      </c>
    </row>
    <row r="2819" spans="1:8" x14ac:dyDescent="0.3">
      <c r="A2819" t="s">
        <v>384</v>
      </c>
      <c r="B2819">
        <f>IFERROR(INDEX(MASTER_REGISTER!C:C,MATCH(C2819,MASTER_REGISTER!E:E,0)),"")</f>
        <v>12</v>
      </c>
      <c r="C2819" t="s">
        <v>315</v>
      </c>
      <c r="D2819" t="str">
        <f>IFERROR(INDEX(MASTER_REGISTER!F:F,MATCH(C2819,MASTER_REGISTER!E:E,0)),"")</f>
        <v>Refilwe Sithole</v>
      </c>
      <c r="E2819" t="s">
        <v>337</v>
      </c>
      <c r="F2819" t="s">
        <v>338</v>
      </c>
      <c r="G2819" t="s">
        <v>339</v>
      </c>
    </row>
    <row r="2820" spans="1:8" x14ac:dyDescent="0.3">
      <c r="A2820" t="s">
        <v>384</v>
      </c>
      <c r="B2820">
        <f>IFERROR(INDEX(MASTER_REGISTER!C:C,MATCH(C2820,MASTER_REGISTER!E:E,0)),"")</f>
        <v>12</v>
      </c>
      <c r="C2820" t="s">
        <v>319</v>
      </c>
      <c r="D2820" t="str">
        <f>IFERROR(INDEX(MASTER_REGISTER!F:F,MATCH(C2820,MASTER_REGISTER!E:E,0)),"")</f>
        <v>Lerato Sithole</v>
      </c>
      <c r="E2820" t="s">
        <v>337</v>
      </c>
      <c r="F2820" t="s">
        <v>338</v>
      </c>
      <c r="G2820" t="s">
        <v>339</v>
      </c>
    </row>
    <row r="2821" spans="1:8" x14ac:dyDescent="0.3">
      <c r="A2821" t="s">
        <v>384</v>
      </c>
      <c r="B2821">
        <f>IFERROR(INDEX(MASTER_REGISTER!C:C,MATCH(C2821,MASTER_REGISTER!E:E,0)),"")</f>
        <v>12</v>
      </c>
      <c r="C2821" t="s">
        <v>323</v>
      </c>
      <c r="D2821" t="str">
        <f>IFERROR(INDEX(MASTER_REGISTER!F:F,MATCH(C2821,MASTER_REGISTER!E:E,0)),"")</f>
        <v>Sibusiso Ngobeni</v>
      </c>
      <c r="E2821" t="s">
        <v>337</v>
      </c>
      <c r="F2821" t="s">
        <v>338</v>
      </c>
      <c r="G2821" t="s">
        <v>339</v>
      </c>
    </row>
    <row r="2822" spans="1:8" x14ac:dyDescent="0.3">
      <c r="A2822" t="s">
        <v>385</v>
      </c>
      <c r="B2822">
        <f>IFERROR(INDEX(MASTER_REGISTER!C:C,MATCH(C2822,MASTER_REGISTER!E:E,0)),"")</f>
        <v>8</v>
      </c>
      <c r="C2822" t="s">
        <v>50</v>
      </c>
      <c r="D2822" t="str">
        <f>IFERROR(INDEX(MASTER_REGISTER!F:F,MATCH(C2822,MASTER_REGISTER!E:E,0)),"")</f>
        <v>Lerato Nkosi</v>
      </c>
      <c r="E2822" t="s">
        <v>337</v>
      </c>
      <c r="F2822" t="s">
        <v>338</v>
      </c>
      <c r="G2822" t="s">
        <v>339</v>
      </c>
    </row>
    <row r="2823" spans="1:8" x14ac:dyDescent="0.3">
      <c r="A2823" t="s">
        <v>385</v>
      </c>
      <c r="B2823">
        <f>IFERROR(INDEX(MASTER_REGISTER!C:C,MATCH(C2823,MASTER_REGISTER!E:E,0)),"")</f>
        <v>8</v>
      </c>
      <c r="C2823" t="s">
        <v>58</v>
      </c>
      <c r="D2823" t="str">
        <f>IFERROR(INDEX(MASTER_REGISTER!F:F,MATCH(C2823,MASTER_REGISTER!E:E,0)),"")</f>
        <v>Karabo Maseko</v>
      </c>
      <c r="E2823" t="s">
        <v>335</v>
      </c>
      <c r="H2823" t="s">
        <v>340</v>
      </c>
    </row>
    <row r="2824" spans="1:8" x14ac:dyDescent="0.3">
      <c r="A2824" t="s">
        <v>385</v>
      </c>
      <c r="B2824">
        <f>IFERROR(INDEX(MASTER_REGISTER!C:C,MATCH(C2824,MASTER_REGISTER!E:E,0)),"")</f>
        <v>8</v>
      </c>
      <c r="C2824" t="s">
        <v>64</v>
      </c>
      <c r="D2824" t="str">
        <f>IFERROR(INDEX(MASTER_REGISTER!F:F,MATCH(C2824,MASTER_REGISTER!E:E,0)),"")</f>
        <v>Sifiso Sithole</v>
      </c>
      <c r="E2824" t="s">
        <v>337</v>
      </c>
      <c r="F2824" t="s">
        <v>338</v>
      </c>
      <c r="G2824" t="s">
        <v>339</v>
      </c>
    </row>
    <row r="2825" spans="1:8" x14ac:dyDescent="0.3">
      <c r="A2825" t="s">
        <v>385</v>
      </c>
      <c r="B2825">
        <f>IFERROR(INDEX(MASTER_REGISTER!C:C,MATCH(C2825,MASTER_REGISTER!E:E,0)),"")</f>
        <v>8</v>
      </c>
      <c r="C2825" t="s">
        <v>70</v>
      </c>
      <c r="D2825" t="str">
        <f>IFERROR(INDEX(MASTER_REGISTER!F:F,MATCH(C2825,MASTER_REGISTER!E:E,0)),"")</f>
        <v>Tshepo Ndlovu</v>
      </c>
      <c r="E2825" t="s">
        <v>337</v>
      </c>
      <c r="F2825" t="s">
        <v>338</v>
      </c>
      <c r="G2825" t="s">
        <v>339</v>
      </c>
    </row>
    <row r="2826" spans="1:8" x14ac:dyDescent="0.3">
      <c r="A2826" t="s">
        <v>385</v>
      </c>
      <c r="B2826">
        <f>IFERROR(INDEX(MASTER_REGISTER!C:C,MATCH(C2826,MASTER_REGISTER!E:E,0)),"")</f>
        <v>8</v>
      </c>
      <c r="C2826" t="s">
        <v>76</v>
      </c>
      <c r="D2826" t="str">
        <f>IFERROR(INDEX(MASTER_REGISTER!F:F,MATCH(C2826,MASTER_REGISTER!E:E,0)),"")</f>
        <v>Lwazi Mthembu</v>
      </c>
      <c r="E2826" t="s">
        <v>337</v>
      </c>
      <c r="F2826" t="s">
        <v>338</v>
      </c>
      <c r="G2826" t="s">
        <v>339</v>
      </c>
    </row>
    <row r="2827" spans="1:8" x14ac:dyDescent="0.3">
      <c r="A2827" t="s">
        <v>385</v>
      </c>
      <c r="B2827">
        <f>IFERROR(INDEX(MASTER_REGISTER!C:C,MATCH(C2827,MASTER_REGISTER!E:E,0)),"")</f>
        <v>8</v>
      </c>
      <c r="C2827" t="s">
        <v>82</v>
      </c>
      <c r="D2827" t="str">
        <f>IFERROR(INDEX(MASTER_REGISTER!F:F,MATCH(C2827,MASTER_REGISTER!E:E,0)),"")</f>
        <v>Karabo Ngobeni</v>
      </c>
      <c r="E2827" t="s">
        <v>337</v>
      </c>
      <c r="F2827" t="s">
        <v>338</v>
      </c>
      <c r="G2827" t="s">
        <v>339</v>
      </c>
    </row>
    <row r="2828" spans="1:8" x14ac:dyDescent="0.3">
      <c r="A2828" t="s">
        <v>385</v>
      </c>
      <c r="B2828">
        <f>IFERROR(INDEX(MASTER_REGISTER!C:C,MATCH(C2828,MASTER_REGISTER!E:E,0)),"")</f>
        <v>8</v>
      </c>
      <c r="C2828" t="s">
        <v>88</v>
      </c>
      <c r="D2828" t="str">
        <f>IFERROR(INDEX(MASTER_REGISTER!F:F,MATCH(C2828,MASTER_REGISTER!E:E,0)),"")</f>
        <v>Mpho Sithole</v>
      </c>
      <c r="E2828" t="s">
        <v>337</v>
      </c>
      <c r="F2828" t="s">
        <v>338</v>
      </c>
      <c r="G2828" t="s">
        <v>339</v>
      </c>
    </row>
    <row r="2829" spans="1:8" x14ac:dyDescent="0.3">
      <c r="A2829" t="s">
        <v>385</v>
      </c>
      <c r="B2829">
        <f>IFERROR(INDEX(MASTER_REGISTER!C:C,MATCH(C2829,MASTER_REGISTER!E:E,0)),"")</f>
        <v>8</v>
      </c>
      <c r="C2829" t="s">
        <v>94</v>
      </c>
      <c r="D2829" t="str">
        <f>IFERROR(INDEX(MASTER_REGISTER!F:F,MATCH(C2829,MASTER_REGISTER!E:E,0)),"")</f>
        <v>Tshepo Ramushu</v>
      </c>
      <c r="E2829" t="s">
        <v>337</v>
      </c>
      <c r="F2829" t="s">
        <v>338</v>
      </c>
      <c r="G2829" t="s">
        <v>339</v>
      </c>
    </row>
    <row r="2830" spans="1:8" x14ac:dyDescent="0.3">
      <c r="A2830" t="s">
        <v>385</v>
      </c>
      <c r="B2830">
        <f>IFERROR(INDEX(MASTER_REGISTER!C:C,MATCH(C2830,MASTER_REGISTER!E:E,0)),"")</f>
        <v>8</v>
      </c>
      <c r="C2830" t="s">
        <v>100</v>
      </c>
      <c r="D2830" t="str">
        <f>IFERROR(INDEX(MASTER_REGISTER!F:F,MATCH(C2830,MASTER_REGISTER!E:E,0)),"")</f>
        <v>Lerato Kekana</v>
      </c>
      <c r="E2830" t="s">
        <v>337</v>
      </c>
      <c r="F2830" t="s">
        <v>338</v>
      </c>
      <c r="G2830" t="s">
        <v>339</v>
      </c>
    </row>
    <row r="2831" spans="1:8" x14ac:dyDescent="0.3">
      <c r="A2831" t="s">
        <v>385</v>
      </c>
      <c r="B2831">
        <f>IFERROR(INDEX(MASTER_REGISTER!C:C,MATCH(C2831,MASTER_REGISTER!E:E,0)),"")</f>
        <v>8</v>
      </c>
      <c r="C2831" t="s">
        <v>106</v>
      </c>
      <c r="D2831" t="str">
        <f>IFERROR(INDEX(MASTER_REGISTER!F:F,MATCH(C2831,MASTER_REGISTER!E:E,0)),"")</f>
        <v>Neo Ngobeni</v>
      </c>
      <c r="E2831" t="s">
        <v>337</v>
      </c>
      <c r="F2831" t="s">
        <v>338</v>
      </c>
      <c r="G2831" t="s">
        <v>339</v>
      </c>
    </row>
    <row r="2832" spans="1:8" x14ac:dyDescent="0.3">
      <c r="A2832" t="s">
        <v>385</v>
      </c>
      <c r="B2832">
        <f>IFERROR(INDEX(MASTER_REGISTER!C:C,MATCH(C2832,MASTER_REGISTER!E:E,0)),"")</f>
        <v>8</v>
      </c>
      <c r="C2832" t="s">
        <v>112</v>
      </c>
      <c r="D2832" t="str">
        <f>IFERROR(INDEX(MASTER_REGISTER!F:F,MATCH(C2832,MASTER_REGISTER!E:E,0)),"")</f>
        <v>Thabo Mokgadi</v>
      </c>
      <c r="E2832" t="s">
        <v>337</v>
      </c>
      <c r="F2832" t="s">
        <v>338</v>
      </c>
      <c r="G2832" t="s">
        <v>339</v>
      </c>
    </row>
    <row r="2833" spans="1:8" x14ac:dyDescent="0.3">
      <c r="A2833" t="s">
        <v>385</v>
      </c>
      <c r="B2833">
        <f>IFERROR(INDEX(MASTER_REGISTER!C:C,MATCH(C2833,MASTER_REGISTER!E:E,0)),"")</f>
        <v>8</v>
      </c>
      <c r="C2833" t="s">
        <v>118</v>
      </c>
      <c r="D2833" t="str">
        <f>IFERROR(INDEX(MASTER_REGISTER!F:F,MATCH(C2833,MASTER_REGISTER!E:E,0)),"")</f>
        <v>Sifiso Mthembu</v>
      </c>
      <c r="E2833" t="s">
        <v>337</v>
      </c>
      <c r="F2833" t="s">
        <v>338</v>
      </c>
      <c r="G2833" t="s">
        <v>339</v>
      </c>
    </row>
    <row r="2834" spans="1:8" x14ac:dyDescent="0.3">
      <c r="A2834" t="s">
        <v>385</v>
      </c>
      <c r="B2834">
        <f>IFERROR(INDEX(MASTER_REGISTER!C:C,MATCH(C2834,MASTER_REGISTER!E:E,0)),"")</f>
        <v>9</v>
      </c>
      <c r="C2834" t="s">
        <v>123</v>
      </c>
      <c r="D2834" t="str">
        <f>IFERROR(INDEX(MASTER_REGISTER!F:F,MATCH(C2834,MASTER_REGISTER!E:E,0)),"")</f>
        <v>Karabo Phiri</v>
      </c>
      <c r="E2834" t="s">
        <v>337</v>
      </c>
      <c r="F2834" t="s">
        <v>338</v>
      </c>
      <c r="G2834" t="s">
        <v>339</v>
      </c>
    </row>
    <row r="2835" spans="1:8" x14ac:dyDescent="0.3">
      <c r="A2835" t="s">
        <v>385</v>
      </c>
      <c r="B2835">
        <f>IFERROR(INDEX(MASTER_REGISTER!C:C,MATCH(C2835,MASTER_REGISTER!E:E,0)),"")</f>
        <v>9</v>
      </c>
      <c r="C2835" t="s">
        <v>128</v>
      </c>
      <c r="D2835" t="str">
        <f>IFERROR(INDEX(MASTER_REGISTER!F:F,MATCH(C2835,MASTER_REGISTER!E:E,0)),"")</f>
        <v>Lerato Mahlangu</v>
      </c>
      <c r="E2835" t="s">
        <v>337</v>
      </c>
      <c r="F2835" t="s">
        <v>338</v>
      </c>
      <c r="G2835" t="s">
        <v>339</v>
      </c>
    </row>
    <row r="2836" spans="1:8" x14ac:dyDescent="0.3">
      <c r="A2836" t="s">
        <v>385</v>
      </c>
      <c r="B2836">
        <f>IFERROR(INDEX(MASTER_REGISTER!C:C,MATCH(C2836,MASTER_REGISTER!E:E,0)),"")</f>
        <v>9</v>
      </c>
      <c r="C2836" t="s">
        <v>133</v>
      </c>
      <c r="D2836" t="str">
        <f>IFERROR(INDEX(MASTER_REGISTER!F:F,MATCH(C2836,MASTER_REGISTER!E:E,0)),"")</f>
        <v>Mpho Kekana</v>
      </c>
      <c r="E2836" t="s">
        <v>337</v>
      </c>
      <c r="F2836" t="s">
        <v>338</v>
      </c>
      <c r="G2836" t="s">
        <v>339</v>
      </c>
    </row>
    <row r="2837" spans="1:8" x14ac:dyDescent="0.3">
      <c r="A2837" t="s">
        <v>385</v>
      </c>
      <c r="B2837">
        <f>IFERROR(INDEX(MASTER_REGISTER!C:C,MATCH(C2837,MASTER_REGISTER!E:E,0)),"")</f>
        <v>9</v>
      </c>
      <c r="C2837" t="s">
        <v>138</v>
      </c>
      <c r="D2837" t="str">
        <f>IFERROR(INDEX(MASTER_REGISTER!F:F,MATCH(C2837,MASTER_REGISTER!E:E,0)),"")</f>
        <v>Thabo Molefe</v>
      </c>
      <c r="E2837" t="s">
        <v>337</v>
      </c>
      <c r="F2837" t="s">
        <v>338</v>
      </c>
      <c r="G2837" t="s">
        <v>339</v>
      </c>
    </row>
    <row r="2838" spans="1:8" x14ac:dyDescent="0.3">
      <c r="A2838" t="s">
        <v>385</v>
      </c>
      <c r="B2838">
        <f>IFERROR(INDEX(MASTER_REGISTER!C:C,MATCH(C2838,MASTER_REGISTER!E:E,0)),"")</f>
        <v>9</v>
      </c>
      <c r="C2838" t="s">
        <v>143</v>
      </c>
      <c r="D2838" t="str">
        <f>IFERROR(INDEX(MASTER_REGISTER!F:F,MATCH(C2838,MASTER_REGISTER!E:E,0)),"")</f>
        <v>Mpho Ngobeni</v>
      </c>
      <c r="E2838" t="s">
        <v>337</v>
      </c>
      <c r="F2838" t="s">
        <v>338</v>
      </c>
      <c r="G2838" t="s">
        <v>339</v>
      </c>
    </row>
    <row r="2839" spans="1:8" x14ac:dyDescent="0.3">
      <c r="A2839" t="s">
        <v>385</v>
      </c>
      <c r="B2839">
        <f>IFERROR(INDEX(MASTER_REGISTER!C:C,MATCH(C2839,MASTER_REGISTER!E:E,0)),"")</f>
        <v>9</v>
      </c>
      <c r="C2839" t="s">
        <v>148</v>
      </c>
      <c r="D2839" t="str">
        <f>IFERROR(INDEX(MASTER_REGISTER!F:F,MATCH(C2839,MASTER_REGISTER!E:E,0)),"")</f>
        <v>Siyanda Mhlongo</v>
      </c>
      <c r="E2839" t="s">
        <v>335</v>
      </c>
      <c r="H2839" t="s">
        <v>336</v>
      </c>
    </row>
    <row r="2840" spans="1:8" x14ac:dyDescent="0.3">
      <c r="A2840" t="s">
        <v>385</v>
      </c>
      <c r="B2840">
        <f>IFERROR(INDEX(MASTER_REGISTER!C:C,MATCH(C2840,MASTER_REGISTER!E:E,0)),"")</f>
        <v>9</v>
      </c>
      <c r="C2840" t="s">
        <v>153</v>
      </c>
      <c r="D2840" t="str">
        <f>IFERROR(INDEX(MASTER_REGISTER!F:F,MATCH(C2840,MASTER_REGISTER!E:E,0)),"")</f>
        <v>Siyanda Mahlangu</v>
      </c>
      <c r="E2840" t="s">
        <v>337</v>
      </c>
      <c r="F2840" t="s">
        <v>338</v>
      </c>
      <c r="G2840" t="s">
        <v>339</v>
      </c>
    </row>
    <row r="2841" spans="1:8" x14ac:dyDescent="0.3">
      <c r="A2841" t="s">
        <v>385</v>
      </c>
      <c r="B2841">
        <f>IFERROR(INDEX(MASTER_REGISTER!C:C,MATCH(C2841,MASTER_REGISTER!E:E,0)),"")</f>
        <v>9</v>
      </c>
      <c r="C2841" t="s">
        <v>158</v>
      </c>
      <c r="D2841" t="str">
        <f>IFERROR(INDEX(MASTER_REGISTER!F:F,MATCH(C2841,MASTER_REGISTER!E:E,0)),"")</f>
        <v>Sifiso Ramushu</v>
      </c>
      <c r="E2841" t="s">
        <v>337</v>
      </c>
      <c r="F2841" t="s">
        <v>338</v>
      </c>
      <c r="G2841" t="s">
        <v>339</v>
      </c>
    </row>
    <row r="2842" spans="1:8" x14ac:dyDescent="0.3">
      <c r="A2842" t="s">
        <v>385</v>
      </c>
      <c r="B2842">
        <f>IFERROR(INDEX(MASTER_REGISTER!C:C,MATCH(C2842,MASTER_REGISTER!E:E,0)),"")</f>
        <v>9</v>
      </c>
      <c r="C2842" t="s">
        <v>163</v>
      </c>
      <c r="D2842" t="str">
        <f>IFERROR(INDEX(MASTER_REGISTER!F:F,MATCH(C2842,MASTER_REGISTER!E:E,0)),"")</f>
        <v>Nandi Ngobeni</v>
      </c>
      <c r="E2842" t="s">
        <v>337</v>
      </c>
      <c r="F2842" t="s">
        <v>338</v>
      </c>
      <c r="G2842" t="s">
        <v>339</v>
      </c>
    </row>
    <row r="2843" spans="1:8" x14ac:dyDescent="0.3">
      <c r="A2843" t="s">
        <v>385</v>
      </c>
      <c r="B2843">
        <f>IFERROR(INDEX(MASTER_REGISTER!C:C,MATCH(C2843,MASTER_REGISTER!E:E,0)),"")</f>
        <v>9</v>
      </c>
      <c r="C2843" t="s">
        <v>168</v>
      </c>
      <c r="D2843" t="str">
        <f>IFERROR(INDEX(MASTER_REGISTER!F:F,MATCH(C2843,MASTER_REGISTER!E:E,0)),"")</f>
        <v>Karabo Mokgadi</v>
      </c>
      <c r="E2843" t="s">
        <v>337</v>
      </c>
      <c r="F2843" t="s">
        <v>338</v>
      </c>
      <c r="G2843" t="s">
        <v>339</v>
      </c>
    </row>
    <row r="2844" spans="1:8" x14ac:dyDescent="0.3">
      <c r="A2844" t="s">
        <v>385</v>
      </c>
      <c r="B2844">
        <f>IFERROR(INDEX(MASTER_REGISTER!C:C,MATCH(C2844,MASTER_REGISTER!E:E,0)),"")</f>
        <v>9</v>
      </c>
      <c r="C2844" t="s">
        <v>173</v>
      </c>
      <c r="D2844" t="str">
        <f>IFERROR(INDEX(MASTER_REGISTER!F:F,MATCH(C2844,MASTER_REGISTER!E:E,0)),"")</f>
        <v>Sifiso Mahlangu</v>
      </c>
      <c r="E2844" t="s">
        <v>337</v>
      </c>
      <c r="F2844" t="s">
        <v>338</v>
      </c>
      <c r="G2844" t="s">
        <v>339</v>
      </c>
    </row>
    <row r="2845" spans="1:8" x14ac:dyDescent="0.3">
      <c r="A2845" t="s">
        <v>385</v>
      </c>
      <c r="B2845">
        <f>IFERROR(INDEX(MASTER_REGISTER!C:C,MATCH(C2845,MASTER_REGISTER!E:E,0)),"")</f>
        <v>9</v>
      </c>
      <c r="C2845" t="s">
        <v>178</v>
      </c>
      <c r="D2845" t="str">
        <f>IFERROR(INDEX(MASTER_REGISTER!F:F,MATCH(C2845,MASTER_REGISTER!E:E,0)),"")</f>
        <v>Kgothatso Radebe</v>
      </c>
      <c r="E2845" t="s">
        <v>337</v>
      </c>
      <c r="F2845" t="s">
        <v>338</v>
      </c>
      <c r="G2845" t="s">
        <v>339</v>
      </c>
    </row>
    <row r="2846" spans="1:8" x14ac:dyDescent="0.3">
      <c r="A2846" t="s">
        <v>385</v>
      </c>
      <c r="B2846">
        <f>IFERROR(INDEX(MASTER_REGISTER!C:C,MATCH(C2846,MASTER_REGISTER!E:E,0)),"")</f>
        <v>10</v>
      </c>
      <c r="C2846" t="s">
        <v>183</v>
      </c>
      <c r="D2846" t="str">
        <f>IFERROR(INDEX(MASTER_REGISTER!F:F,MATCH(C2846,MASTER_REGISTER!E:E,0)),"")</f>
        <v>Lerato Maseko</v>
      </c>
      <c r="E2846" t="s">
        <v>337</v>
      </c>
      <c r="F2846" t="s">
        <v>338</v>
      </c>
      <c r="G2846" t="s">
        <v>339</v>
      </c>
    </row>
    <row r="2847" spans="1:8" x14ac:dyDescent="0.3">
      <c r="A2847" t="s">
        <v>385</v>
      </c>
      <c r="B2847">
        <f>IFERROR(INDEX(MASTER_REGISTER!C:C,MATCH(C2847,MASTER_REGISTER!E:E,0)),"")</f>
        <v>10</v>
      </c>
      <c r="C2847" t="s">
        <v>188</v>
      </c>
      <c r="D2847" t="str">
        <f>IFERROR(INDEX(MASTER_REGISTER!F:F,MATCH(C2847,MASTER_REGISTER!E:E,0)),"")</f>
        <v>Sibusiso Molefe</v>
      </c>
      <c r="E2847" t="s">
        <v>337</v>
      </c>
      <c r="F2847" t="s">
        <v>338</v>
      </c>
      <c r="G2847" t="s">
        <v>339</v>
      </c>
    </row>
    <row r="2848" spans="1:8" x14ac:dyDescent="0.3">
      <c r="A2848" t="s">
        <v>385</v>
      </c>
      <c r="B2848">
        <f>IFERROR(INDEX(MASTER_REGISTER!C:C,MATCH(C2848,MASTER_REGISTER!E:E,0)),"")</f>
        <v>10</v>
      </c>
      <c r="C2848" t="s">
        <v>193</v>
      </c>
      <c r="D2848" t="str">
        <f>IFERROR(INDEX(MASTER_REGISTER!F:F,MATCH(C2848,MASTER_REGISTER!E:E,0)),"")</f>
        <v>Nandi Molefe</v>
      </c>
      <c r="E2848" t="s">
        <v>337</v>
      </c>
      <c r="F2848" t="s">
        <v>338</v>
      </c>
      <c r="G2848" t="s">
        <v>339</v>
      </c>
    </row>
    <row r="2849" spans="1:8" x14ac:dyDescent="0.3">
      <c r="A2849" t="s">
        <v>385</v>
      </c>
      <c r="B2849">
        <f>IFERROR(INDEX(MASTER_REGISTER!C:C,MATCH(C2849,MASTER_REGISTER!E:E,0)),"")</f>
        <v>10</v>
      </c>
      <c r="C2849" t="s">
        <v>198</v>
      </c>
      <c r="D2849" t="str">
        <f>IFERROR(INDEX(MASTER_REGISTER!F:F,MATCH(C2849,MASTER_REGISTER!E:E,0)),"")</f>
        <v>Kgothatso Baloyi</v>
      </c>
      <c r="E2849" t="s">
        <v>337</v>
      </c>
      <c r="F2849" t="s">
        <v>338</v>
      </c>
      <c r="G2849" t="s">
        <v>339</v>
      </c>
    </row>
    <row r="2850" spans="1:8" x14ac:dyDescent="0.3">
      <c r="A2850" t="s">
        <v>385</v>
      </c>
      <c r="B2850">
        <f>IFERROR(INDEX(MASTER_REGISTER!C:C,MATCH(C2850,MASTER_REGISTER!E:E,0)),"")</f>
        <v>10</v>
      </c>
      <c r="C2850" t="s">
        <v>202</v>
      </c>
      <c r="D2850" t="str">
        <f>IFERROR(INDEX(MASTER_REGISTER!F:F,MATCH(C2850,MASTER_REGISTER!E:E,0)),"")</f>
        <v>Ayanda Mokoena</v>
      </c>
      <c r="E2850" t="s">
        <v>337</v>
      </c>
      <c r="F2850" t="s">
        <v>338</v>
      </c>
      <c r="G2850" t="s">
        <v>339</v>
      </c>
    </row>
    <row r="2851" spans="1:8" x14ac:dyDescent="0.3">
      <c r="A2851" t="s">
        <v>385</v>
      </c>
      <c r="B2851">
        <f>IFERROR(INDEX(MASTER_REGISTER!C:C,MATCH(C2851,MASTER_REGISTER!E:E,0)),"")</f>
        <v>10</v>
      </c>
      <c r="C2851" t="s">
        <v>206</v>
      </c>
      <c r="D2851" t="str">
        <f>IFERROR(INDEX(MASTER_REGISTER!F:F,MATCH(C2851,MASTER_REGISTER!E:E,0)),"")</f>
        <v>Lwazi Baloyi</v>
      </c>
      <c r="E2851" t="s">
        <v>337</v>
      </c>
      <c r="F2851" t="s">
        <v>338</v>
      </c>
      <c r="G2851" t="s">
        <v>339</v>
      </c>
    </row>
    <row r="2852" spans="1:8" x14ac:dyDescent="0.3">
      <c r="A2852" t="s">
        <v>385</v>
      </c>
      <c r="B2852">
        <f>IFERROR(INDEX(MASTER_REGISTER!C:C,MATCH(C2852,MASTER_REGISTER!E:E,0)),"")</f>
        <v>10</v>
      </c>
      <c r="C2852" t="s">
        <v>210</v>
      </c>
      <c r="D2852" t="str">
        <f>IFERROR(INDEX(MASTER_REGISTER!F:F,MATCH(C2852,MASTER_REGISTER!E:E,0)),"")</f>
        <v>Siyanda Mokoena</v>
      </c>
      <c r="E2852" t="s">
        <v>337</v>
      </c>
      <c r="F2852" t="s">
        <v>338</v>
      </c>
      <c r="G2852" t="s">
        <v>339</v>
      </c>
    </row>
    <row r="2853" spans="1:8" x14ac:dyDescent="0.3">
      <c r="A2853" t="s">
        <v>385</v>
      </c>
      <c r="B2853">
        <f>IFERROR(INDEX(MASTER_REGISTER!C:C,MATCH(C2853,MASTER_REGISTER!E:E,0)),"")</f>
        <v>10</v>
      </c>
      <c r="C2853" t="s">
        <v>214</v>
      </c>
      <c r="D2853" t="str">
        <f>IFERROR(INDEX(MASTER_REGISTER!F:F,MATCH(C2853,MASTER_REGISTER!E:E,0)),"")</f>
        <v>Mpho Ngobeni</v>
      </c>
      <c r="E2853" t="s">
        <v>335</v>
      </c>
      <c r="H2853" t="s">
        <v>340</v>
      </c>
    </row>
    <row r="2854" spans="1:8" x14ac:dyDescent="0.3">
      <c r="A2854" t="s">
        <v>385</v>
      </c>
      <c r="B2854">
        <f>IFERROR(INDEX(MASTER_REGISTER!C:C,MATCH(C2854,MASTER_REGISTER!E:E,0)),"")</f>
        <v>10</v>
      </c>
      <c r="C2854" t="s">
        <v>217</v>
      </c>
      <c r="D2854" t="str">
        <f>IFERROR(INDEX(MASTER_REGISTER!F:F,MATCH(C2854,MASTER_REGISTER!E:E,0)),"")</f>
        <v>Naledi Makhubela</v>
      </c>
      <c r="E2854" t="s">
        <v>337</v>
      </c>
      <c r="F2854" t="s">
        <v>338</v>
      </c>
      <c r="G2854" t="s">
        <v>339</v>
      </c>
    </row>
    <row r="2855" spans="1:8" x14ac:dyDescent="0.3">
      <c r="A2855" t="s">
        <v>385</v>
      </c>
      <c r="B2855">
        <f>IFERROR(INDEX(MASTER_REGISTER!C:C,MATCH(C2855,MASTER_REGISTER!E:E,0)),"")</f>
        <v>10</v>
      </c>
      <c r="C2855" t="s">
        <v>221</v>
      </c>
      <c r="D2855" t="str">
        <f>IFERROR(INDEX(MASTER_REGISTER!F:F,MATCH(C2855,MASTER_REGISTER!E:E,0)),"")</f>
        <v>Kgothatso Mokoena</v>
      </c>
      <c r="E2855" t="s">
        <v>335</v>
      </c>
      <c r="H2855" t="s">
        <v>340</v>
      </c>
    </row>
    <row r="2856" spans="1:8" x14ac:dyDescent="0.3">
      <c r="A2856" t="s">
        <v>385</v>
      </c>
      <c r="B2856">
        <f>IFERROR(INDEX(MASTER_REGISTER!C:C,MATCH(C2856,MASTER_REGISTER!E:E,0)),"")</f>
        <v>10</v>
      </c>
      <c r="C2856" t="s">
        <v>225</v>
      </c>
      <c r="D2856" t="str">
        <f>IFERROR(INDEX(MASTER_REGISTER!F:F,MATCH(C2856,MASTER_REGISTER!E:E,0)),"")</f>
        <v>Bongani Makhubela</v>
      </c>
      <c r="E2856" t="s">
        <v>337</v>
      </c>
      <c r="F2856" t="s">
        <v>338</v>
      </c>
      <c r="G2856" t="s">
        <v>339</v>
      </c>
    </row>
    <row r="2857" spans="1:8" x14ac:dyDescent="0.3">
      <c r="A2857" t="s">
        <v>385</v>
      </c>
      <c r="B2857">
        <f>IFERROR(INDEX(MASTER_REGISTER!C:C,MATCH(C2857,MASTER_REGISTER!E:E,0)),"")</f>
        <v>10</v>
      </c>
      <c r="C2857" t="s">
        <v>229</v>
      </c>
      <c r="D2857" t="str">
        <f>IFERROR(INDEX(MASTER_REGISTER!F:F,MATCH(C2857,MASTER_REGISTER!E:E,0)),"")</f>
        <v>Kagiso Kekana</v>
      </c>
      <c r="E2857" t="s">
        <v>337</v>
      </c>
      <c r="F2857" t="s">
        <v>338</v>
      </c>
      <c r="G2857" t="s">
        <v>339</v>
      </c>
    </row>
    <row r="2858" spans="1:8" x14ac:dyDescent="0.3">
      <c r="A2858" t="s">
        <v>385</v>
      </c>
      <c r="B2858">
        <f>IFERROR(INDEX(MASTER_REGISTER!C:C,MATCH(C2858,MASTER_REGISTER!E:E,0)),"")</f>
        <v>11</v>
      </c>
      <c r="C2858" t="s">
        <v>233</v>
      </c>
      <c r="D2858" t="str">
        <f>IFERROR(INDEX(MASTER_REGISTER!F:F,MATCH(C2858,MASTER_REGISTER!E:E,0)),"")</f>
        <v>Lwazi Makhubela</v>
      </c>
      <c r="E2858" t="s">
        <v>337</v>
      </c>
      <c r="F2858" t="s">
        <v>338</v>
      </c>
      <c r="G2858" t="s">
        <v>339</v>
      </c>
    </row>
    <row r="2859" spans="1:8" x14ac:dyDescent="0.3">
      <c r="A2859" t="s">
        <v>385</v>
      </c>
      <c r="B2859">
        <f>IFERROR(INDEX(MASTER_REGISTER!C:C,MATCH(C2859,MASTER_REGISTER!E:E,0)),"")</f>
        <v>11</v>
      </c>
      <c r="C2859" t="s">
        <v>237</v>
      </c>
      <c r="D2859" t="str">
        <f>IFERROR(INDEX(MASTER_REGISTER!F:F,MATCH(C2859,MASTER_REGISTER!E:E,0)),"")</f>
        <v>Lebogang Ramushu</v>
      </c>
      <c r="E2859" t="s">
        <v>337</v>
      </c>
      <c r="F2859" t="s">
        <v>338</v>
      </c>
      <c r="G2859" t="s">
        <v>339</v>
      </c>
    </row>
    <row r="2860" spans="1:8" x14ac:dyDescent="0.3">
      <c r="A2860" t="s">
        <v>385</v>
      </c>
      <c r="B2860">
        <f>IFERROR(INDEX(MASTER_REGISTER!C:C,MATCH(C2860,MASTER_REGISTER!E:E,0)),"")</f>
        <v>11</v>
      </c>
      <c r="C2860" t="s">
        <v>241</v>
      </c>
      <c r="D2860" t="str">
        <f>IFERROR(INDEX(MASTER_REGISTER!F:F,MATCH(C2860,MASTER_REGISTER!E:E,0)),"")</f>
        <v>Lerato Kekana</v>
      </c>
      <c r="E2860" t="s">
        <v>337</v>
      </c>
      <c r="F2860" t="s">
        <v>338</v>
      </c>
      <c r="G2860" t="s">
        <v>339</v>
      </c>
    </row>
    <row r="2861" spans="1:8" x14ac:dyDescent="0.3">
      <c r="A2861" t="s">
        <v>385</v>
      </c>
      <c r="B2861">
        <f>IFERROR(INDEX(MASTER_REGISTER!C:C,MATCH(C2861,MASTER_REGISTER!E:E,0)),"")</f>
        <v>11</v>
      </c>
      <c r="C2861" t="s">
        <v>244</v>
      </c>
      <c r="D2861" t="str">
        <f>IFERROR(INDEX(MASTER_REGISTER!F:F,MATCH(C2861,MASTER_REGISTER!E:E,0)),"")</f>
        <v>Bongani Ndlovu</v>
      </c>
      <c r="E2861" t="s">
        <v>337</v>
      </c>
      <c r="F2861" t="s">
        <v>338</v>
      </c>
      <c r="G2861" t="s">
        <v>339</v>
      </c>
    </row>
    <row r="2862" spans="1:8" x14ac:dyDescent="0.3">
      <c r="A2862" t="s">
        <v>385</v>
      </c>
      <c r="B2862">
        <f>IFERROR(INDEX(MASTER_REGISTER!C:C,MATCH(C2862,MASTER_REGISTER!E:E,0)),"")</f>
        <v>11</v>
      </c>
      <c r="C2862" t="s">
        <v>248</v>
      </c>
      <c r="D2862" t="str">
        <f>IFERROR(INDEX(MASTER_REGISTER!F:F,MATCH(C2862,MASTER_REGISTER!E:E,0)),"")</f>
        <v>Sifiso Dlamini</v>
      </c>
      <c r="E2862" t="s">
        <v>337</v>
      </c>
      <c r="F2862" t="s">
        <v>338</v>
      </c>
      <c r="G2862" t="s">
        <v>339</v>
      </c>
    </row>
    <row r="2863" spans="1:8" x14ac:dyDescent="0.3">
      <c r="A2863" t="s">
        <v>385</v>
      </c>
      <c r="B2863">
        <f>IFERROR(INDEX(MASTER_REGISTER!C:C,MATCH(C2863,MASTER_REGISTER!E:E,0)),"")</f>
        <v>11</v>
      </c>
      <c r="C2863" t="s">
        <v>252</v>
      </c>
      <c r="D2863" t="str">
        <f>IFERROR(INDEX(MASTER_REGISTER!F:F,MATCH(C2863,MASTER_REGISTER!E:E,0)),"")</f>
        <v>Refilwe Dlamini</v>
      </c>
      <c r="E2863" t="s">
        <v>337</v>
      </c>
      <c r="F2863" t="s">
        <v>338</v>
      </c>
      <c r="G2863" t="s">
        <v>339</v>
      </c>
    </row>
    <row r="2864" spans="1:8" x14ac:dyDescent="0.3">
      <c r="A2864" t="s">
        <v>385</v>
      </c>
      <c r="B2864">
        <f>IFERROR(INDEX(MASTER_REGISTER!C:C,MATCH(C2864,MASTER_REGISTER!E:E,0)),"")</f>
        <v>11</v>
      </c>
      <c r="C2864" t="s">
        <v>256</v>
      </c>
      <c r="D2864" t="str">
        <f>IFERROR(INDEX(MASTER_REGISTER!F:F,MATCH(C2864,MASTER_REGISTER!E:E,0)),"")</f>
        <v>Lwazi Maseko</v>
      </c>
      <c r="E2864" t="s">
        <v>337</v>
      </c>
      <c r="F2864" t="s">
        <v>338</v>
      </c>
      <c r="G2864" t="s">
        <v>339</v>
      </c>
    </row>
    <row r="2865" spans="1:8" x14ac:dyDescent="0.3">
      <c r="A2865" t="s">
        <v>385</v>
      </c>
      <c r="B2865">
        <f>IFERROR(INDEX(MASTER_REGISTER!C:C,MATCH(C2865,MASTER_REGISTER!E:E,0)),"")</f>
        <v>11</v>
      </c>
      <c r="C2865" t="s">
        <v>260</v>
      </c>
      <c r="D2865" t="str">
        <f>IFERROR(INDEX(MASTER_REGISTER!F:F,MATCH(C2865,MASTER_REGISTER!E:E,0)),"")</f>
        <v>Refilwe Mokgadi</v>
      </c>
      <c r="E2865" t="s">
        <v>337</v>
      </c>
      <c r="F2865" t="s">
        <v>338</v>
      </c>
      <c r="G2865" t="s">
        <v>339</v>
      </c>
    </row>
    <row r="2866" spans="1:8" x14ac:dyDescent="0.3">
      <c r="A2866" t="s">
        <v>385</v>
      </c>
      <c r="B2866">
        <f>IFERROR(INDEX(MASTER_REGISTER!C:C,MATCH(C2866,MASTER_REGISTER!E:E,0)),"")</f>
        <v>11</v>
      </c>
      <c r="C2866" t="s">
        <v>264</v>
      </c>
      <c r="D2866" t="str">
        <f>IFERROR(INDEX(MASTER_REGISTER!F:F,MATCH(C2866,MASTER_REGISTER!E:E,0)),"")</f>
        <v>Kgothatso Molefe</v>
      </c>
      <c r="E2866" t="s">
        <v>337</v>
      </c>
      <c r="F2866" t="s">
        <v>338</v>
      </c>
      <c r="G2866" t="s">
        <v>339</v>
      </c>
    </row>
    <row r="2867" spans="1:8" x14ac:dyDescent="0.3">
      <c r="A2867" t="s">
        <v>385</v>
      </c>
      <c r="B2867">
        <f>IFERROR(INDEX(MASTER_REGISTER!C:C,MATCH(C2867,MASTER_REGISTER!E:E,0)),"")</f>
        <v>11</v>
      </c>
      <c r="C2867" t="s">
        <v>268</v>
      </c>
      <c r="D2867" t="str">
        <f>IFERROR(INDEX(MASTER_REGISTER!F:F,MATCH(C2867,MASTER_REGISTER!E:E,0)),"")</f>
        <v>Tshepo Mokgadi</v>
      </c>
      <c r="E2867" t="s">
        <v>335</v>
      </c>
      <c r="H2867" t="s">
        <v>341</v>
      </c>
    </row>
    <row r="2868" spans="1:8" x14ac:dyDescent="0.3">
      <c r="A2868" t="s">
        <v>385</v>
      </c>
      <c r="B2868">
        <f>IFERROR(INDEX(MASTER_REGISTER!C:C,MATCH(C2868,MASTER_REGISTER!E:E,0)),"")</f>
        <v>11</v>
      </c>
      <c r="C2868" t="s">
        <v>272</v>
      </c>
      <c r="D2868" t="str">
        <f>IFERROR(INDEX(MASTER_REGISTER!F:F,MATCH(C2868,MASTER_REGISTER!E:E,0)),"")</f>
        <v>Tshepo Phiri</v>
      </c>
      <c r="E2868" t="s">
        <v>337</v>
      </c>
      <c r="F2868" t="s">
        <v>338</v>
      </c>
      <c r="G2868" t="s">
        <v>339</v>
      </c>
    </row>
    <row r="2869" spans="1:8" x14ac:dyDescent="0.3">
      <c r="A2869" t="s">
        <v>385</v>
      </c>
      <c r="B2869">
        <f>IFERROR(INDEX(MASTER_REGISTER!C:C,MATCH(C2869,MASTER_REGISTER!E:E,0)),"")</f>
        <v>11</v>
      </c>
      <c r="C2869" t="s">
        <v>276</v>
      </c>
      <c r="D2869" t="str">
        <f>IFERROR(INDEX(MASTER_REGISTER!F:F,MATCH(C2869,MASTER_REGISTER!E:E,0)),"")</f>
        <v>Zanele Ngobeni</v>
      </c>
      <c r="E2869" t="s">
        <v>335</v>
      </c>
      <c r="H2869" t="s">
        <v>341</v>
      </c>
    </row>
    <row r="2870" spans="1:8" x14ac:dyDescent="0.3">
      <c r="A2870" t="s">
        <v>385</v>
      </c>
      <c r="B2870">
        <f>IFERROR(INDEX(MASTER_REGISTER!C:C,MATCH(C2870,MASTER_REGISTER!E:E,0)),"")</f>
        <v>12</v>
      </c>
      <c r="C2870" t="s">
        <v>280</v>
      </c>
      <c r="D2870" t="str">
        <f>IFERROR(INDEX(MASTER_REGISTER!F:F,MATCH(C2870,MASTER_REGISTER!E:E,0)),"")</f>
        <v>Palesa Mokoena</v>
      </c>
      <c r="E2870" t="s">
        <v>337</v>
      </c>
      <c r="F2870" t="s">
        <v>338</v>
      </c>
      <c r="G2870" t="s">
        <v>339</v>
      </c>
    </row>
    <row r="2871" spans="1:8" x14ac:dyDescent="0.3">
      <c r="A2871" t="s">
        <v>385</v>
      </c>
      <c r="B2871">
        <f>IFERROR(INDEX(MASTER_REGISTER!C:C,MATCH(C2871,MASTER_REGISTER!E:E,0)),"")</f>
        <v>12</v>
      </c>
      <c r="C2871" t="s">
        <v>284</v>
      </c>
      <c r="D2871" t="str">
        <f>IFERROR(INDEX(MASTER_REGISTER!F:F,MATCH(C2871,MASTER_REGISTER!E:E,0)),"")</f>
        <v>Thabo Ramushu</v>
      </c>
      <c r="E2871" t="s">
        <v>335</v>
      </c>
      <c r="H2871" t="s">
        <v>340</v>
      </c>
    </row>
    <row r="2872" spans="1:8" x14ac:dyDescent="0.3">
      <c r="A2872" t="s">
        <v>385</v>
      </c>
      <c r="B2872">
        <f>IFERROR(INDEX(MASTER_REGISTER!C:C,MATCH(C2872,MASTER_REGISTER!E:E,0)),"")</f>
        <v>12</v>
      </c>
      <c r="C2872" t="s">
        <v>288</v>
      </c>
      <c r="D2872" t="str">
        <f>IFERROR(INDEX(MASTER_REGISTER!F:F,MATCH(C2872,MASTER_REGISTER!E:E,0)),"")</f>
        <v>Lwazi Ndlovu</v>
      </c>
      <c r="E2872" t="s">
        <v>337</v>
      </c>
      <c r="F2872" t="s">
        <v>338</v>
      </c>
      <c r="G2872" t="s">
        <v>339</v>
      </c>
    </row>
    <row r="2873" spans="1:8" x14ac:dyDescent="0.3">
      <c r="A2873" t="s">
        <v>385</v>
      </c>
      <c r="B2873">
        <f>IFERROR(INDEX(MASTER_REGISTER!C:C,MATCH(C2873,MASTER_REGISTER!E:E,0)),"")</f>
        <v>12</v>
      </c>
      <c r="C2873" t="s">
        <v>292</v>
      </c>
      <c r="D2873" t="str">
        <f>IFERROR(INDEX(MASTER_REGISTER!F:F,MATCH(C2873,MASTER_REGISTER!E:E,0)),"")</f>
        <v>Ayanda Dlamini</v>
      </c>
      <c r="E2873" t="s">
        <v>335</v>
      </c>
      <c r="H2873" t="s">
        <v>342</v>
      </c>
    </row>
    <row r="2874" spans="1:8" x14ac:dyDescent="0.3">
      <c r="A2874" t="s">
        <v>385</v>
      </c>
      <c r="B2874">
        <f>IFERROR(INDEX(MASTER_REGISTER!C:C,MATCH(C2874,MASTER_REGISTER!E:E,0)),"")</f>
        <v>12</v>
      </c>
      <c r="C2874" t="s">
        <v>296</v>
      </c>
      <c r="D2874" t="str">
        <f>IFERROR(INDEX(MASTER_REGISTER!F:F,MATCH(C2874,MASTER_REGISTER!E:E,0)),"")</f>
        <v>Neo Ndlovu</v>
      </c>
      <c r="E2874" t="s">
        <v>337</v>
      </c>
      <c r="F2874" t="s">
        <v>338</v>
      </c>
      <c r="G2874" t="s">
        <v>339</v>
      </c>
    </row>
    <row r="2875" spans="1:8" x14ac:dyDescent="0.3">
      <c r="A2875" t="s">
        <v>385</v>
      </c>
      <c r="B2875">
        <f>IFERROR(INDEX(MASTER_REGISTER!C:C,MATCH(C2875,MASTER_REGISTER!E:E,0)),"")</f>
        <v>12</v>
      </c>
      <c r="C2875" t="s">
        <v>300</v>
      </c>
      <c r="D2875" t="str">
        <f>IFERROR(INDEX(MASTER_REGISTER!F:F,MATCH(C2875,MASTER_REGISTER!E:E,0)),"")</f>
        <v>Neo Ramushu</v>
      </c>
      <c r="E2875" t="s">
        <v>337</v>
      </c>
      <c r="F2875" t="s">
        <v>338</v>
      </c>
      <c r="G2875" t="s">
        <v>339</v>
      </c>
    </row>
    <row r="2876" spans="1:8" x14ac:dyDescent="0.3">
      <c r="A2876" t="s">
        <v>385</v>
      </c>
      <c r="B2876">
        <f>IFERROR(INDEX(MASTER_REGISTER!C:C,MATCH(C2876,MASTER_REGISTER!E:E,0)),"")</f>
        <v>12</v>
      </c>
      <c r="C2876" t="s">
        <v>304</v>
      </c>
      <c r="D2876" t="str">
        <f>IFERROR(INDEX(MASTER_REGISTER!F:F,MATCH(C2876,MASTER_REGISTER!E:E,0)),"")</f>
        <v>Karabo Baloyi</v>
      </c>
      <c r="E2876" t="s">
        <v>337</v>
      </c>
      <c r="F2876" t="s">
        <v>338</v>
      </c>
      <c r="G2876" t="s">
        <v>339</v>
      </c>
    </row>
    <row r="2877" spans="1:8" x14ac:dyDescent="0.3">
      <c r="A2877" t="s">
        <v>385</v>
      </c>
      <c r="B2877">
        <f>IFERROR(INDEX(MASTER_REGISTER!C:C,MATCH(C2877,MASTER_REGISTER!E:E,0)),"")</f>
        <v>12</v>
      </c>
      <c r="C2877" t="s">
        <v>308</v>
      </c>
      <c r="D2877" t="str">
        <f>IFERROR(INDEX(MASTER_REGISTER!F:F,MATCH(C2877,MASTER_REGISTER!E:E,0)),"")</f>
        <v>Tshepo Mokgadi</v>
      </c>
      <c r="E2877" t="s">
        <v>337</v>
      </c>
      <c r="F2877" t="s">
        <v>338</v>
      </c>
      <c r="G2877" t="s">
        <v>339</v>
      </c>
    </row>
    <row r="2878" spans="1:8" x14ac:dyDescent="0.3">
      <c r="A2878" t="s">
        <v>385</v>
      </c>
      <c r="B2878">
        <f>IFERROR(INDEX(MASTER_REGISTER!C:C,MATCH(C2878,MASTER_REGISTER!E:E,0)),"")</f>
        <v>12</v>
      </c>
      <c r="C2878" t="s">
        <v>311</v>
      </c>
      <c r="D2878" t="str">
        <f>IFERROR(INDEX(MASTER_REGISTER!F:F,MATCH(C2878,MASTER_REGISTER!E:E,0)),"")</f>
        <v>Sifiso Mavuso</v>
      </c>
      <c r="E2878" t="s">
        <v>337</v>
      </c>
      <c r="F2878" t="s">
        <v>338</v>
      </c>
      <c r="G2878" t="s">
        <v>339</v>
      </c>
    </row>
    <row r="2879" spans="1:8" x14ac:dyDescent="0.3">
      <c r="A2879" t="s">
        <v>385</v>
      </c>
      <c r="B2879">
        <f>IFERROR(INDEX(MASTER_REGISTER!C:C,MATCH(C2879,MASTER_REGISTER!E:E,0)),"")</f>
        <v>12</v>
      </c>
      <c r="C2879" t="s">
        <v>315</v>
      </c>
      <c r="D2879" t="str">
        <f>IFERROR(INDEX(MASTER_REGISTER!F:F,MATCH(C2879,MASTER_REGISTER!E:E,0)),"")</f>
        <v>Refilwe Sithole</v>
      </c>
      <c r="E2879" t="s">
        <v>337</v>
      </c>
      <c r="F2879" t="s">
        <v>338</v>
      </c>
      <c r="G2879" t="s">
        <v>339</v>
      </c>
    </row>
    <row r="2880" spans="1:8" x14ac:dyDescent="0.3">
      <c r="A2880" t="s">
        <v>385</v>
      </c>
      <c r="B2880">
        <f>IFERROR(INDEX(MASTER_REGISTER!C:C,MATCH(C2880,MASTER_REGISTER!E:E,0)),"")</f>
        <v>12</v>
      </c>
      <c r="C2880" t="s">
        <v>319</v>
      </c>
      <c r="D2880" t="str">
        <f>IFERROR(INDEX(MASTER_REGISTER!F:F,MATCH(C2880,MASTER_REGISTER!E:E,0)),"")</f>
        <v>Lerato Sithole</v>
      </c>
      <c r="E2880" t="s">
        <v>337</v>
      </c>
      <c r="F2880" t="s">
        <v>338</v>
      </c>
      <c r="G2880" t="s">
        <v>339</v>
      </c>
    </row>
    <row r="2881" spans="1:8" x14ac:dyDescent="0.3">
      <c r="A2881" t="s">
        <v>385</v>
      </c>
      <c r="B2881">
        <f>IFERROR(INDEX(MASTER_REGISTER!C:C,MATCH(C2881,MASTER_REGISTER!E:E,0)),"")</f>
        <v>12</v>
      </c>
      <c r="C2881" t="s">
        <v>323</v>
      </c>
      <c r="D2881" t="str">
        <f>IFERROR(INDEX(MASTER_REGISTER!F:F,MATCH(C2881,MASTER_REGISTER!E:E,0)),"")</f>
        <v>Sibusiso Ngobeni</v>
      </c>
      <c r="E2881" t="s">
        <v>335</v>
      </c>
      <c r="H2881" t="s">
        <v>342</v>
      </c>
    </row>
  </sheetData>
  <dataValidations count="1">
    <dataValidation type="list" sqref="E2:E5000" xr:uid="{00000000-0002-0000-0500-000000000000}">
      <formula1>"Present,Absent"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8" customWidth="1"/>
    <col min="3" max="3" width="10" customWidth="1"/>
    <col min="4" max="4" width="18" customWidth="1"/>
    <col min="5" max="6" width="12" customWidth="1"/>
    <col min="7" max="7" width="14" customWidth="1"/>
    <col min="8" max="8" width="18" customWidth="1"/>
  </cols>
  <sheetData>
    <row r="1" spans="1:8" x14ac:dyDescent="0.3">
      <c r="A1" s="3" t="s">
        <v>24</v>
      </c>
      <c r="B1" s="3" t="s">
        <v>386</v>
      </c>
      <c r="C1" s="3" t="s">
        <v>26</v>
      </c>
      <c r="D1" s="3" t="s">
        <v>387</v>
      </c>
      <c r="E1" s="3" t="s">
        <v>388</v>
      </c>
      <c r="F1" s="3" t="s">
        <v>389</v>
      </c>
      <c r="G1" s="3" t="s">
        <v>390</v>
      </c>
      <c r="H1" s="3" t="s">
        <v>391</v>
      </c>
    </row>
    <row r="2" spans="1:8" x14ac:dyDescent="0.3">
      <c r="A2" t="str">
        <f>IF(MASTER_REGISTER!E2="","",MASTER_REGISTER!E2)</f>
        <v>MSH202608001</v>
      </c>
      <c r="B2" t="str">
        <f>IF(A2="","",MASTER_REGISTER!F2)</f>
        <v>Lerato Nkosi</v>
      </c>
      <c r="C2">
        <f>IF(A2="","",MASTER_REGISTER!C2)</f>
        <v>8</v>
      </c>
      <c r="D2">
        <f>IF(A2="","",COUNTIF(ATTENDANCE_DAILY!C:C,A2))</f>
        <v>48</v>
      </c>
      <c r="E2">
        <f>IF(A2="","",COUNTIFS(ATTENDANCE_DAILY!C:C,A2,ATTENDANCE_DAILY!E:E,"Present"))</f>
        <v>39</v>
      </c>
      <c r="F2">
        <f>IF(A2="","",COUNTIFS(ATTENDANCE_DAILY!C:C,A2,ATTENDANCE_DAILY!E:E,"Absent"))</f>
        <v>9</v>
      </c>
      <c r="G2" s="5">
        <f t="shared" ref="G2:G65" si="0">IF(D2=0,"",E2/D2)</f>
        <v>0.8125</v>
      </c>
      <c r="H2" s="4" t="str">
        <f t="shared" ref="H2:H65" si="1">IF(G2="","",IF(G2&lt;0.75,"Low Attendance","OK"))</f>
        <v>OK</v>
      </c>
    </row>
    <row r="3" spans="1:8" x14ac:dyDescent="0.3">
      <c r="A3" t="str">
        <f>IF(MASTER_REGISTER!E3="","",MASTER_REGISTER!E3)</f>
        <v>MSH202608002</v>
      </c>
      <c r="B3" t="str">
        <f>IF(A3="","",MASTER_REGISTER!F3)</f>
        <v>Karabo Maseko</v>
      </c>
      <c r="C3">
        <f>IF(A3="","",MASTER_REGISTER!C3)</f>
        <v>8</v>
      </c>
      <c r="D3">
        <f>IF(A3="","",COUNTIF(ATTENDANCE_DAILY!C:C,A3))</f>
        <v>48</v>
      </c>
      <c r="E3">
        <f>IF(A3="","",COUNTIFS(ATTENDANCE_DAILY!C:C,A3,ATTENDANCE_DAILY!E:E,"Present"))</f>
        <v>40</v>
      </c>
      <c r="F3">
        <f>IF(A3="","",COUNTIFS(ATTENDANCE_DAILY!C:C,A3,ATTENDANCE_DAILY!E:E,"Absent"))</f>
        <v>8</v>
      </c>
      <c r="G3" s="5">
        <f t="shared" si="0"/>
        <v>0.83333333333333337</v>
      </c>
      <c r="H3" s="4" t="str">
        <f t="shared" si="1"/>
        <v>OK</v>
      </c>
    </row>
    <row r="4" spans="1:8" x14ac:dyDescent="0.3">
      <c r="A4" t="str">
        <f>IF(MASTER_REGISTER!E4="","",MASTER_REGISTER!E4)</f>
        <v>MSH202608003</v>
      </c>
      <c r="B4" t="str">
        <f>IF(A4="","",MASTER_REGISTER!F4)</f>
        <v>Sifiso Sithole</v>
      </c>
      <c r="C4">
        <f>IF(A4="","",MASTER_REGISTER!C4)</f>
        <v>8</v>
      </c>
      <c r="D4">
        <f>IF(A4="","",COUNTIF(ATTENDANCE_DAILY!C:C,A4))</f>
        <v>48</v>
      </c>
      <c r="E4">
        <f>IF(A4="","",COUNTIFS(ATTENDANCE_DAILY!C:C,A4,ATTENDANCE_DAILY!E:E,"Present"))</f>
        <v>44</v>
      </c>
      <c r="F4">
        <f>IF(A4="","",COUNTIFS(ATTENDANCE_DAILY!C:C,A4,ATTENDANCE_DAILY!E:E,"Absent"))</f>
        <v>4</v>
      </c>
      <c r="G4" s="5">
        <f t="shared" si="0"/>
        <v>0.91666666666666663</v>
      </c>
      <c r="H4" s="4" t="str">
        <f t="shared" si="1"/>
        <v>OK</v>
      </c>
    </row>
    <row r="5" spans="1:8" x14ac:dyDescent="0.3">
      <c r="A5" t="str">
        <f>IF(MASTER_REGISTER!E5="","",MASTER_REGISTER!E5)</f>
        <v>MSH202608004</v>
      </c>
      <c r="B5" t="str">
        <f>IF(A5="","",MASTER_REGISTER!F5)</f>
        <v>Tshepo Ndlovu</v>
      </c>
      <c r="C5">
        <f>IF(A5="","",MASTER_REGISTER!C5)</f>
        <v>8</v>
      </c>
      <c r="D5">
        <f>IF(A5="","",COUNTIF(ATTENDANCE_DAILY!C:C,A5))</f>
        <v>48</v>
      </c>
      <c r="E5">
        <f>IF(A5="","",COUNTIFS(ATTENDANCE_DAILY!C:C,A5,ATTENDANCE_DAILY!E:E,"Present"))</f>
        <v>45</v>
      </c>
      <c r="F5">
        <f>IF(A5="","",COUNTIFS(ATTENDANCE_DAILY!C:C,A5,ATTENDANCE_DAILY!E:E,"Absent"))</f>
        <v>3</v>
      </c>
      <c r="G5" s="5">
        <f t="shared" si="0"/>
        <v>0.9375</v>
      </c>
      <c r="H5" s="4" t="str">
        <f t="shared" si="1"/>
        <v>OK</v>
      </c>
    </row>
    <row r="6" spans="1:8" x14ac:dyDescent="0.3">
      <c r="A6" t="str">
        <f>IF(MASTER_REGISTER!E6="","",MASTER_REGISTER!E6)</f>
        <v>MSH202608005</v>
      </c>
      <c r="B6" t="str">
        <f>IF(A6="","",MASTER_REGISTER!F6)</f>
        <v>Lwazi Mthembu</v>
      </c>
      <c r="C6">
        <f>IF(A6="","",MASTER_REGISTER!C6)</f>
        <v>8</v>
      </c>
      <c r="D6">
        <f>IF(A6="","",COUNTIF(ATTENDANCE_DAILY!C:C,A6))</f>
        <v>48</v>
      </c>
      <c r="E6">
        <f>IF(A6="","",COUNTIFS(ATTENDANCE_DAILY!C:C,A6,ATTENDANCE_DAILY!E:E,"Present"))</f>
        <v>41</v>
      </c>
      <c r="F6">
        <f>IF(A6="","",COUNTIFS(ATTENDANCE_DAILY!C:C,A6,ATTENDANCE_DAILY!E:E,"Absent"))</f>
        <v>7</v>
      </c>
      <c r="G6" s="5">
        <f t="shared" si="0"/>
        <v>0.85416666666666663</v>
      </c>
      <c r="H6" s="4" t="str">
        <f t="shared" si="1"/>
        <v>OK</v>
      </c>
    </row>
    <row r="7" spans="1:8" x14ac:dyDescent="0.3">
      <c r="A7" t="str">
        <f>IF(MASTER_REGISTER!E7="","",MASTER_REGISTER!E7)</f>
        <v>MSH202608006</v>
      </c>
      <c r="B7" t="str">
        <f>IF(A7="","",MASTER_REGISTER!F7)</f>
        <v>Karabo Ngobeni</v>
      </c>
      <c r="C7">
        <f>IF(A7="","",MASTER_REGISTER!C7)</f>
        <v>8</v>
      </c>
      <c r="D7">
        <f>IF(A7="","",COUNTIF(ATTENDANCE_DAILY!C:C,A7))</f>
        <v>48</v>
      </c>
      <c r="E7">
        <f>IF(A7="","",COUNTIFS(ATTENDANCE_DAILY!C:C,A7,ATTENDANCE_DAILY!E:E,"Present"))</f>
        <v>42</v>
      </c>
      <c r="F7">
        <f>IF(A7="","",COUNTIFS(ATTENDANCE_DAILY!C:C,A7,ATTENDANCE_DAILY!E:E,"Absent"))</f>
        <v>6</v>
      </c>
      <c r="G7" s="5">
        <f t="shared" si="0"/>
        <v>0.875</v>
      </c>
      <c r="H7" s="4" t="str">
        <f t="shared" si="1"/>
        <v>OK</v>
      </c>
    </row>
    <row r="8" spans="1:8" x14ac:dyDescent="0.3">
      <c r="A8" t="str">
        <f>IF(MASTER_REGISTER!E8="","",MASTER_REGISTER!E8)</f>
        <v>MSH202608007</v>
      </c>
      <c r="B8" t="str">
        <f>IF(A8="","",MASTER_REGISTER!F8)</f>
        <v>Mpho Sithole</v>
      </c>
      <c r="C8">
        <f>IF(A8="","",MASTER_REGISTER!C8)</f>
        <v>8</v>
      </c>
      <c r="D8">
        <f>IF(A8="","",COUNTIF(ATTENDANCE_DAILY!C:C,A8))</f>
        <v>48</v>
      </c>
      <c r="E8">
        <f>IF(A8="","",COUNTIFS(ATTENDANCE_DAILY!C:C,A8,ATTENDANCE_DAILY!E:E,"Present"))</f>
        <v>44</v>
      </c>
      <c r="F8">
        <f>IF(A8="","",COUNTIFS(ATTENDANCE_DAILY!C:C,A8,ATTENDANCE_DAILY!E:E,"Absent"))</f>
        <v>4</v>
      </c>
      <c r="G8" s="5">
        <f t="shared" si="0"/>
        <v>0.91666666666666663</v>
      </c>
      <c r="H8" s="4" t="str">
        <f t="shared" si="1"/>
        <v>OK</v>
      </c>
    </row>
    <row r="9" spans="1:8" x14ac:dyDescent="0.3">
      <c r="A9" t="str">
        <f>IF(MASTER_REGISTER!E9="","",MASTER_REGISTER!E9)</f>
        <v>MSH202608008</v>
      </c>
      <c r="B9" t="str">
        <f>IF(A9="","",MASTER_REGISTER!F9)</f>
        <v>Tshepo Ramushu</v>
      </c>
      <c r="C9">
        <f>IF(A9="","",MASTER_REGISTER!C9)</f>
        <v>8</v>
      </c>
      <c r="D9">
        <f>IF(A9="","",COUNTIF(ATTENDANCE_DAILY!C:C,A9))</f>
        <v>48</v>
      </c>
      <c r="E9">
        <f>IF(A9="","",COUNTIFS(ATTENDANCE_DAILY!C:C,A9,ATTENDANCE_DAILY!E:E,"Present"))</f>
        <v>42</v>
      </c>
      <c r="F9">
        <f>IF(A9="","",COUNTIFS(ATTENDANCE_DAILY!C:C,A9,ATTENDANCE_DAILY!E:E,"Absent"))</f>
        <v>6</v>
      </c>
      <c r="G9" s="5">
        <f t="shared" si="0"/>
        <v>0.875</v>
      </c>
      <c r="H9" s="4" t="str">
        <f t="shared" si="1"/>
        <v>OK</v>
      </c>
    </row>
    <row r="10" spans="1:8" x14ac:dyDescent="0.3">
      <c r="A10" t="str">
        <f>IF(MASTER_REGISTER!E10="","",MASTER_REGISTER!E10)</f>
        <v>MSH202608009</v>
      </c>
      <c r="B10" t="str">
        <f>IF(A10="","",MASTER_REGISTER!F10)</f>
        <v>Lerato Kekana</v>
      </c>
      <c r="C10">
        <f>IF(A10="","",MASTER_REGISTER!C10)</f>
        <v>8</v>
      </c>
      <c r="D10">
        <f>IF(A10="","",COUNTIF(ATTENDANCE_DAILY!C:C,A10))</f>
        <v>48</v>
      </c>
      <c r="E10">
        <f>IF(A10="","",COUNTIFS(ATTENDANCE_DAILY!C:C,A10,ATTENDANCE_DAILY!E:E,"Present"))</f>
        <v>46</v>
      </c>
      <c r="F10">
        <f>IF(A10="","",COUNTIFS(ATTENDANCE_DAILY!C:C,A10,ATTENDANCE_DAILY!E:E,"Absent"))</f>
        <v>2</v>
      </c>
      <c r="G10" s="5">
        <f t="shared" si="0"/>
        <v>0.95833333333333337</v>
      </c>
      <c r="H10" s="4" t="str">
        <f t="shared" si="1"/>
        <v>OK</v>
      </c>
    </row>
    <row r="11" spans="1:8" x14ac:dyDescent="0.3">
      <c r="A11" t="str">
        <f>IF(MASTER_REGISTER!E11="","",MASTER_REGISTER!E11)</f>
        <v>MSH202608010</v>
      </c>
      <c r="B11" t="str">
        <f>IF(A11="","",MASTER_REGISTER!F11)</f>
        <v>Neo Ngobeni</v>
      </c>
      <c r="C11">
        <f>IF(A11="","",MASTER_REGISTER!C11)</f>
        <v>8</v>
      </c>
      <c r="D11">
        <f>IF(A11="","",COUNTIF(ATTENDANCE_DAILY!C:C,A11))</f>
        <v>48</v>
      </c>
      <c r="E11">
        <f>IF(A11="","",COUNTIFS(ATTENDANCE_DAILY!C:C,A11,ATTENDANCE_DAILY!E:E,"Present"))</f>
        <v>44</v>
      </c>
      <c r="F11">
        <f>IF(A11="","",COUNTIFS(ATTENDANCE_DAILY!C:C,A11,ATTENDANCE_DAILY!E:E,"Absent"))</f>
        <v>4</v>
      </c>
      <c r="G11" s="5">
        <f t="shared" si="0"/>
        <v>0.91666666666666663</v>
      </c>
      <c r="H11" s="4" t="str">
        <f t="shared" si="1"/>
        <v>OK</v>
      </c>
    </row>
    <row r="12" spans="1:8" x14ac:dyDescent="0.3">
      <c r="A12" t="str">
        <f>IF(MASTER_REGISTER!E12="","",MASTER_REGISTER!E12)</f>
        <v>MSH202608011</v>
      </c>
      <c r="B12" t="str">
        <f>IF(A12="","",MASTER_REGISTER!F12)</f>
        <v>Thabo Mokgadi</v>
      </c>
      <c r="C12">
        <f>IF(A12="","",MASTER_REGISTER!C12)</f>
        <v>8</v>
      </c>
      <c r="D12">
        <f>IF(A12="","",COUNTIF(ATTENDANCE_DAILY!C:C,A12))</f>
        <v>48</v>
      </c>
      <c r="E12">
        <f>IF(A12="","",COUNTIFS(ATTENDANCE_DAILY!C:C,A12,ATTENDANCE_DAILY!E:E,"Present"))</f>
        <v>42</v>
      </c>
      <c r="F12">
        <f>IF(A12="","",COUNTIFS(ATTENDANCE_DAILY!C:C,A12,ATTENDANCE_DAILY!E:E,"Absent"))</f>
        <v>6</v>
      </c>
      <c r="G12" s="5">
        <f t="shared" si="0"/>
        <v>0.875</v>
      </c>
      <c r="H12" s="4" t="str">
        <f t="shared" si="1"/>
        <v>OK</v>
      </c>
    </row>
    <row r="13" spans="1:8" x14ac:dyDescent="0.3">
      <c r="A13" t="str">
        <f>IF(MASTER_REGISTER!E13="","",MASTER_REGISTER!E13)</f>
        <v>MSH202608012</v>
      </c>
      <c r="B13" t="str">
        <f>IF(A13="","",MASTER_REGISTER!F13)</f>
        <v>Sifiso Mthembu</v>
      </c>
      <c r="C13">
        <f>IF(A13="","",MASTER_REGISTER!C13)</f>
        <v>8</v>
      </c>
      <c r="D13">
        <f>IF(A13="","",COUNTIF(ATTENDANCE_DAILY!C:C,A13))</f>
        <v>48</v>
      </c>
      <c r="E13">
        <f>IF(A13="","",COUNTIFS(ATTENDANCE_DAILY!C:C,A13,ATTENDANCE_DAILY!E:E,"Present"))</f>
        <v>42</v>
      </c>
      <c r="F13">
        <f>IF(A13="","",COUNTIFS(ATTENDANCE_DAILY!C:C,A13,ATTENDANCE_DAILY!E:E,"Absent"))</f>
        <v>6</v>
      </c>
      <c r="G13" s="5">
        <f t="shared" si="0"/>
        <v>0.875</v>
      </c>
      <c r="H13" s="4" t="str">
        <f t="shared" si="1"/>
        <v>OK</v>
      </c>
    </row>
    <row r="14" spans="1:8" x14ac:dyDescent="0.3">
      <c r="A14" t="str">
        <f>IF(MASTER_REGISTER!E14="","",MASTER_REGISTER!E14)</f>
        <v>MSH202609001</v>
      </c>
      <c r="B14" t="str">
        <f>IF(A14="","",MASTER_REGISTER!F14)</f>
        <v>Karabo Phiri</v>
      </c>
      <c r="C14">
        <f>IF(A14="","",MASTER_REGISTER!C14)</f>
        <v>9</v>
      </c>
      <c r="D14">
        <f>IF(A14="","",COUNTIF(ATTENDANCE_DAILY!C:C,A14))</f>
        <v>48</v>
      </c>
      <c r="E14">
        <f>IF(A14="","",COUNTIFS(ATTENDANCE_DAILY!C:C,A14,ATTENDANCE_DAILY!E:E,"Present"))</f>
        <v>39</v>
      </c>
      <c r="F14">
        <f>IF(A14="","",COUNTIFS(ATTENDANCE_DAILY!C:C,A14,ATTENDANCE_DAILY!E:E,"Absent"))</f>
        <v>9</v>
      </c>
      <c r="G14" s="5">
        <f t="shared" si="0"/>
        <v>0.8125</v>
      </c>
      <c r="H14" s="4" t="str">
        <f t="shared" si="1"/>
        <v>OK</v>
      </c>
    </row>
    <row r="15" spans="1:8" x14ac:dyDescent="0.3">
      <c r="A15" t="str">
        <f>IF(MASTER_REGISTER!E15="","",MASTER_REGISTER!E15)</f>
        <v>MSH202609002</v>
      </c>
      <c r="B15" t="str">
        <f>IF(A15="","",MASTER_REGISTER!F15)</f>
        <v>Lerato Mahlangu</v>
      </c>
      <c r="C15">
        <f>IF(A15="","",MASTER_REGISTER!C15)</f>
        <v>9</v>
      </c>
      <c r="D15">
        <f>IF(A15="","",COUNTIF(ATTENDANCE_DAILY!C:C,A15))</f>
        <v>48</v>
      </c>
      <c r="E15">
        <f>IF(A15="","",COUNTIFS(ATTENDANCE_DAILY!C:C,A15,ATTENDANCE_DAILY!E:E,"Present"))</f>
        <v>41</v>
      </c>
      <c r="F15">
        <f>IF(A15="","",COUNTIFS(ATTENDANCE_DAILY!C:C,A15,ATTENDANCE_DAILY!E:E,"Absent"))</f>
        <v>7</v>
      </c>
      <c r="G15" s="5">
        <f t="shared" si="0"/>
        <v>0.85416666666666663</v>
      </c>
      <c r="H15" s="4" t="str">
        <f t="shared" si="1"/>
        <v>OK</v>
      </c>
    </row>
    <row r="16" spans="1:8" x14ac:dyDescent="0.3">
      <c r="A16" t="str">
        <f>IF(MASTER_REGISTER!E16="","",MASTER_REGISTER!E16)</f>
        <v>MSH202609003</v>
      </c>
      <c r="B16" t="str">
        <f>IF(A16="","",MASTER_REGISTER!F16)</f>
        <v>Mpho Kekana</v>
      </c>
      <c r="C16">
        <f>IF(A16="","",MASTER_REGISTER!C16)</f>
        <v>9</v>
      </c>
      <c r="D16">
        <f>IF(A16="","",COUNTIF(ATTENDANCE_DAILY!C:C,A16))</f>
        <v>48</v>
      </c>
      <c r="E16">
        <f>IF(A16="","",COUNTIFS(ATTENDANCE_DAILY!C:C,A16,ATTENDANCE_DAILY!E:E,"Present"))</f>
        <v>39</v>
      </c>
      <c r="F16">
        <f>IF(A16="","",COUNTIFS(ATTENDANCE_DAILY!C:C,A16,ATTENDANCE_DAILY!E:E,"Absent"))</f>
        <v>9</v>
      </c>
      <c r="G16" s="5">
        <f t="shared" si="0"/>
        <v>0.8125</v>
      </c>
      <c r="H16" s="4" t="str">
        <f t="shared" si="1"/>
        <v>OK</v>
      </c>
    </row>
    <row r="17" spans="1:8" x14ac:dyDescent="0.3">
      <c r="A17" t="str">
        <f>IF(MASTER_REGISTER!E17="","",MASTER_REGISTER!E17)</f>
        <v>MSH202609004</v>
      </c>
      <c r="B17" t="str">
        <f>IF(A17="","",MASTER_REGISTER!F17)</f>
        <v>Thabo Molefe</v>
      </c>
      <c r="C17">
        <f>IF(A17="","",MASTER_REGISTER!C17)</f>
        <v>9</v>
      </c>
      <c r="D17">
        <f>IF(A17="","",COUNTIF(ATTENDANCE_DAILY!C:C,A17))</f>
        <v>48</v>
      </c>
      <c r="E17">
        <f>IF(A17="","",COUNTIFS(ATTENDANCE_DAILY!C:C,A17,ATTENDANCE_DAILY!E:E,"Present"))</f>
        <v>43</v>
      </c>
      <c r="F17">
        <f>IF(A17="","",COUNTIFS(ATTENDANCE_DAILY!C:C,A17,ATTENDANCE_DAILY!E:E,"Absent"))</f>
        <v>5</v>
      </c>
      <c r="G17" s="5">
        <f t="shared" si="0"/>
        <v>0.89583333333333337</v>
      </c>
      <c r="H17" s="4" t="str">
        <f t="shared" si="1"/>
        <v>OK</v>
      </c>
    </row>
    <row r="18" spans="1:8" x14ac:dyDescent="0.3">
      <c r="A18" t="str">
        <f>IF(MASTER_REGISTER!E18="","",MASTER_REGISTER!E18)</f>
        <v>MSH202609005</v>
      </c>
      <c r="B18" t="str">
        <f>IF(A18="","",MASTER_REGISTER!F18)</f>
        <v>Mpho Ngobeni</v>
      </c>
      <c r="C18">
        <f>IF(A18="","",MASTER_REGISTER!C18)</f>
        <v>9</v>
      </c>
      <c r="D18">
        <f>IF(A18="","",COUNTIF(ATTENDANCE_DAILY!C:C,A18))</f>
        <v>48</v>
      </c>
      <c r="E18">
        <f>IF(A18="","",COUNTIFS(ATTENDANCE_DAILY!C:C,A18,ATTENDANCE_DAILY!E:E,"Present"))</f>
        <v>45</v>
      </c>
      <c r="F18">
        <f>IF(A18="","",COUNTIFS(ATTENDANCE_DAILY!C:C,A18,ATTENDANCE_DAILY!E:E,"Absent"))</f>
        <v>3</v>
      </c>
      <c r="G18" s="5">
        <f t="shared" si="0"/>
        <v>0.9375</v>
      </c>
      <c r="H18" s="4" t="str">
        <f t="shared" si="1"/>
        <v>OK</v>
      </c>
    </row>
    <row r="19" spans="1:8" x14ac:dyDescent="0.3">
      <c r="A19" t="str">
        <f>IF(MASTER_REGISTER!E19="","",MASTER_REGISTER!E19)</f>
        <v>MSH202609006</v>
      </c>
      <c r="B19" t="str">
        <f>IF(A19="","",MASTER_REGISTER!F19)</f>
        <v>Siyanda Mhlongo</v>
      </c>
      <c r="C19">
        <f>IF(A19="","",MASTER_REGISTER!C19)</f>
        <v>9</v>
      </c>
      <c r="D19">
        <f>IF(A19="","",COUNTIF(ATTENDANCE_DAILY!C:C,A19))</f>
        <v>48</v>
      </c>
      <c r="E19">
        <f>IF(A19="","",COUNTIFS(ATTENDANCE_DAILY!C:C,A19,ATTENDANCE_DAILY!E:E,"Present"))</f>
        <v>42</v>
      </c>
      <c r="F19">
        <f>IF(A19="","",COUNTIFS(ATTENDANCE_DAILY!C:C,A19,ATTENDANCE_DAILY!E:E,"Absent"))</f>
        <v>6</v>
      </c>
      <c r="G19" s="5">
        <f t="shared" si="0"/>
        <v>0.875</v>
      </c>
      <c r="H19" s="4" t="str">
        <f t="shared" si="1"/>
        <v>OK</v>
      </c>
    </row>
    <row r="20" spans="1:8" x14ac:dyDescent="0.3">
      <c r="A20" t="str">
        <f>IF(MASTER_REGISTER!E20="","",MASTER_REGISTER!E20)</f>
        <v>MSH202609007</v>
      </c>
      <c r="B20" t="str">
        <f>IF(A20="","",MASTER_REGISTER!F20)</f>
        <v>Siyanda Mahlangu</v>
      </c>
      <c r="C20">
        <f>IF(A20="","",MASTER_REGISTER!C20)</f>
        <v>9</v>
      </c>
      <c r="D20">
        <f>IF(A20="","",COUNTIF(ATTENDANCE_DAILY!C:C,A20))</f>
        <v>48</v>
      </c>
      <c r="E20">
        <f>IF(A20="","",COUNTIFS(ATTENDANCE_DAILY!C:C,A20,ATTENDANCE_DAILY!E:E,"Present"))</f>
        <v>42</v>
      </c>
      <c r="F20">
        <f>IF(A20="","",COUNTIFS(ATTENDANCE_DAILY!C:C,A20,ATTENDANCE_DAILY!E:E,"Absent"))</f>
        <v>6</v>
      </c>
      <c r="G20" s="5">
        <f t="shared" si="0"/>
        <v>0.875</v>
      </c>
      <c r="H20" s="4" t="str">
        <f t="shared" si="1"/>
        <v>OK</v>
      </c>
    </row>
    <row r="21" spans="1:8" x14ac:dyDescent="0.3">
      <c r="A21" t="str">
        <f>IF(MASTER_REGISTER!E21="","",MASTER_REGISTER!E21)</f>
        <v>MSH202609008</v>
      </c>
      <c r="B21" t="str">
        <f>IF(A21="","",MASTER_REGISTER!F21)</f>
        <v>Sifiso Ramushu</v>
      </c>
      <c r="C21">
        <f>IF(A21="","",MASTER_REGISTER!C21)</f>
        <v>9</v>
      </c>
      <c r="D21">
        <f>IF(A21="","",COUNTIF(ATTENDANCE_DAILY!C:C,A21))</f>
        <v>48</v>
      </c>
      <c r="E21">
        <f>IF(A21="","",COUNTIFS(ATTENDANCE_DAILY!C:C,A21,ATTENDANCE_DAILY!E:E,"Present"))</f>
        <v>44</v>
      </c>
      <c r="F21">
        <f>IF(A21="","",COUNTIFS(ATTENDANCE_DAILY!C:C,A21,ATTENDANCE_DAILY!E:E,"Absent"))</f>
        <v>4</v>
      </c>
      <c r="G21" s="5">
        <f t="shared" si="0"/>
        <v>0.91666666666666663</v>
      </c>
      <c r="H21" s="4" t="str">
        <f t="shared" si="1"/>
        <v>OK</v>
      </c>
    </row>
    <row r="22" spans="1:8" x14ac:dyDescent="0.3">
      <c r="A22" t="str">
        <f>IF(MASTER_REGISTER!E22="","",MASTER_REGISTER!E22)</f>
        <v>MSH202609009</v>
      </c>
      <c r="B22" t="str">
        <f>IF(A22="","",MASTER_REGISTER!F22)</f>
        <v>Nandi Ngobeni</v>
      </c>
      <c r="C22">
        <f>IF(A22="","",MASTER_REGISTER!C22)</f>
        <v>9</v>
      </c>
      <c r="D22">
        <f>IF(A22="","",COUNTIF(ATTENDANCE_DAILY!C:C,A22))</f>
        <v>48</v>
      </c>
      <c r="E22">
        <f>IF(A22="","",COUNTIFS(ATTENDANCE_DAILY!C:C,A22,ATTENDANCE_DAILY!E:E,"Present"))</f>
        <v>39</v>
      </c>
      <c r="F22">
        <f>IF(A22="","",COUNTIFS(ATTENDANCE_DAILY!C:C,A22,ATTENDANCE_DAILY!E:E,"Absent"))</f>
        <v>9</v>
      </c>
      <c r="G22" s="5">
        <f t="shared" si="0"/>
        <v>0.8125</v>
      </c>
      <c r="H22" s="4" t="str">
        <f t="shared" si="1"/>
        <v>OK</v>
      </c>
    </row>
    <row r="23" spans="1:8" x14ac:dyDescent="0.3">
      <c r="A23" t="str">
        <f>IF(MASTER_REGISTER!E23="","",MASTER_REGISTER!E23)</f>
        <v>MSH202609010</v>
      </c>
      <c r="B23" t="str">
        <f>IF(A23="","",MASTER_REGISTER!F23)</f>
        <v>Karabo Mokgadi</v>
      </c>
      <c r="C23">
        <f>IF(A23="","",MASTER_REGISTER!C23)</f>
        <v>9</v>
      </c>
      <c r="D23">
        <f>IF(A23="","",COUNTIF(ATTENDANCE_DAILY!C:C,A23))</f>
        <v>48</v>
      </c>
      <c r="E23">
        <f>IF(A23="","",COUNTIFS(ATTENDANCE_DAILY!C:C,A23,ATTENDANCE_DAILY!E:E,"Present"))</f>
        <v>44</v>
      </c>
      <c r="F23">
        <f>IF(A23="","",COUNTIFS(ATTENDANCE_DAILY!C:C,A23,ATTENDANCE_DAILY!E:E,"Absent"))</f>
        <v>4</v>
      </c>
      <c r="G23" s="5">
        <f t="shared" si="0"/>
        <v>0.91666666666666663</v>
      </c>
      <c r="H23" s="4" t="str">
        <f t="shared" si="1"/>
        <v>OK</v>
      </c>
    </row>
    <row r="24" spans="1:8" x14ac:dyDescent="0.3">
      <c r="A24" t="str">
        <f>IF(MASTER_REGISTER!E24="","",MASTER_REGISTER!E24)</f>
        <v>MSH202609011</v>
      </c>
      <c r="B24" t="str">
        <f>IF(A24="","",MASTER_REGISTER!F24)</f>
        <v>Sifiso Mahlangu</v>
      </c>
      <c r="C24">
        <f>IF(A24="","",MASTER_REGISTER!C24)</f>
        <v>9</v>
      </c>
      <c r="D24">
        <f>IF(A24="","",COUNTIF(ATTENDANCE_DAILY!C:C,A24))</f>
        <v>48</v>
      </c>
      <c r="E24">
        <f>IF(A24="","",COUNTIFS(ATTENDANCE_DAILY!C:C,A24,ATTENDANCE_DAILY!E:E,"Present"))</f>
        <v>43</v>
      </c>
      <c r="F24">
        <f>IF(A24="","",COUNTIFS(ATTENDANCE_DAILY!C:C,A24,ATTENDANCE_DAILY!E:E,"Absent"))</f>
        <v>5</v>
      </c>
      <c r="G24" s="5">
        <f t="shared" si="0"/>
        <v>0.89583333333333337</v>
      </c>
      <c r="H24" s="4" t="str">
        <f t="shared" si="1"/>
        <v>OK</v>
      </c>
    </row>
    <row r="25" spans="1:8" x14ac:dyDescent="0.3">
      <c r="A25" t="str">
        <f>IF(MASTER_REGISTER!E25="","",MASTER_REGISTER!E25)</f>
        <v>MSH202609012</v>
      </c>
      <c r="B25" t="str">
        <f>IF(A25="","",MASTER_REGISTER!F25)</f>
        <v>Kgothatso Radebe</v>
      </c>
      <c r="C25">
        <f>IF(A25="","",MASTER_REGISTER!C25)</f>
        <v>9</v>
      </c>
      <c r="D25">
        <f>IF(A25="","",COUNTIF(ATTENDANCE_DAILY!C:C,A25))</f>
        <v>48</v>
      </c>
      <c r="E25">
        <f>IF(A25="","",COUNTIFS(ATTENDANCE_DAILY!C:C,A25,ATTENDANCE_DAILY!E:E,"Present"))</f>
        <v>41</v>
      </c>
      <c r="F25">
        <f>IF(A25="","",COUNTIFS(ATTENDANCE_DAILY!C:C,A25,ATTENDANCE_DAILY!E:E,"Absent"))</f>
        <v>7</v>
      </c>
      <c r="G25" s="5">
        <f t="shared" si="0"/>
        <v>0.85416666666666663</v>
      </c>
      <c r="H25" s="4" t="str">
        <f t="shared" si="1"/>
        <v>OK</v>
      </c>
    </row>
    <row r="26" spans="1:8" x14ac:dyDescent="0.3">
      <c r="A26" t="str">
        <f>IF(MASTER_REGISTER!E26="","",MASTER_REGISTER!E26)</f>
        <v>MSH202610001</v>
      </c>
      <c r="B26" t="str">
        <f>IF(A26="","",MASTER_REGISTER!F26)</f>
        <v>Lerato Maseko</v>
      </c>
      <c r="C26">
        <f>IF(A26="","",MASTER_REGISTER!C26)</f>
        <v>10</v>
      </c>
      <c r="D26">
        <f>IF(A26="","",COUNTIF(ATTENDANCE_DAILY!C:C,A26))</f>
        <v>48</v>
      </c>
      <c r="E26">
        <f>IF(A26="","",COUNTIFS(ATTENDANCE_DAILY!C:C,A26,ATTENDANCE_DAILY!E:E,"Present"))</f>
        <v>38</v>
      </c>
      <c r="F26">
        <f>IF(A26="","",COUNTIFS(ATTENDANCE_DAILY!C:C,A26,ATTENDANCE_DAILY!E:E,"Absent"))</f>
        <v>10</v>
      </c>
      <c r="G26" s="5">
        <f t="shared" si="0"/>
        <v>0.79166666666666663</v>
      </c>
      <c r="H26" s="4" t="str">
        <f t="shared" si="1"/>
        <v>OK</v>
      </c>
    </row>
    <row r="27" spans="1:8" x14ac:dyDescent="0.3">
      <c r="A27" t="str">
        <f>IF(MASTER_REGISTER!E27="","",MASTER_REGISTER!E27)</f>
        <v>MSH202610002</v>
      </c>
      <c r="B27" t="str">
        <f>IF(A27="","",MASTER_REGISTER!F27)</f>
        <v>Sibusiso Molefe</v>
      </c>
      <c r="C27">
        <f>IF(A27="","",MASTER_REGISTER!C27)</f>
        <v>10</v>
      </c>
      <c r="D27">
        <f>IF(A27="","",COUNTIF(ATTENDANCE_DAILY!C:C,A27))</f>
        <v>48</v>
      </c>
      <c r="E27">
        <f>IF(A27="","",COUNTIFS(ATTENDANCE_DAILY!C:C,A27,ATTENDANCE_DAILY!E:E,"Present"))</f>
        <v>43</v>
      </c>
      <c r="F27">
        <f>IF(A27="","",COUNTIFS(ATTENDANCE_DAILY!C:C,A27,ATTENDANCE_DAILY!E:E,"Absent"))</f>
        <v>5</v>
      </c>
      <c r="G27" s="5">
        <f t="shared" si="0"/>
        <v>0.89583333333333337</v>
      </c>
      <c r="H27" s="4" t="str">
        <f t="shared" si="1"/>
        <v>OK</v>
      </c>
    </row>
    <row r="28" spans="1:8" x14ac:dyDescent="0.3">
      <c r="A28" t="str">
        <f>IF(MASTER_REGISTER!E28="","",MASTER_REGISTER!E28)</f>
        <v>MSH202610003</v>
      </c>
      <c r="B28" t="str">
        <f>IF(A28="","",MASTER_REGISTER!F28)</f>
        <v>Nandi Molefe</v>
      </c>
      <c r="C28">
        <f>IF(A28="","",MASTER_REGISTER!C28)</f>
        <v>10</v>
      </c>
      <c r="D28">
        <f>IF(A28="","",COUNTIF(ATTENDANCE_DAILY!C:C,A28))</f>
        <v>48</v>
      </c>
      <c r="E28">
        <f>IF(A28="","",COUNTIFS(ATTENDANCE_DAILY!C:C,A28,ATTENDANCE_DAILY!E:E,"Present"))</f>
        <v>44</v>
      </c>
      <c r="F28">
        <f>IF(A28="","",COUNTIFS(ATTENDANCE_DAILY!C:C,A28,ATTENDANCE_DAILY!E:E,"Absent"))</f>
        <v>4</v>
      </c>
      <c r="G28" s="5">
        <f t="shared" si="0"/>
        <v>0.91666666666666663</v>
      </c>
      <c r="H28" s="4" t="str">
        <f t="shared" si="1"/>
        <v>OK</v>
      </c>
    </row>
    <row r="29" spans="1:8" x14ac:dyDescent="0.3">
      <c r="A29" t="str">
        <f>IF(MASTER_REGISTER!E29="","",MASTER_REGISTER!E29)</f>
        <v>MSH202610004</v>
      </c>
      <c r="B29" t="str">
        <f>IF(A29="","",MASTER_REGISTER!F29)</f>
        <v>Kgothatso Baloyi</v>
      </c>
      <c r="C29">
        <f>IF(A29="","",MASTER_REGISTER!C29)</f>
        <v>10</v>
      </c>
      <c r="D29">
        <f>IF(A29="","",COUNTIF(ATTENDANCE_DAILY!C:C,A29))</f>
        <v>48</v>
      </c>
      <c r="E29">
        <f>IF(A29="","",COUNTIFS(ATTENDANCE_DAILY!C:C,A29,ATTENDANCE_DAILY!E:E,"Present"))</f>
        <v>42</v>
      </c>
      <c r="F29">
        <f>IF(A29="","",COUNTIFS(ATTENDANCE_DAILY!C:C,A29,ATTENDANCE_DAILY!E:E,"Absent"))</f>
        <v>6</v>
      </c>
      <c r="G29" s="5">
        <f t="shared" si="0"/>
        <v>0.875</v>
      </c>
      <c r="H29" s="4" t="str">
        <f t="shared" si="1"/>
        <v>OK</v>
      </c>
    </row>
    <row r="30" spans="1:8" x14ac:dyDescent="0.3">
      <c r="A30" t="str">
        <f>IF(MASTER_REGISTER!E30="","",MASTER_REGISTER!E30)</f>
        <v>MSH202610005</v>
      </c>
      <c r="B30" t="str">
        <f>IF(A30="","",MASTER_REGISTER!F30)</f>
        <v>Ayanda Mokoena</v>
      </c>
      <c r="C30">
        <f>IF(A30="","",MASTER_REGISTER!C30)</f>
        <v>10</v>
      </c>
      <c r="D30">
        <f>IF(A30="","",COUNTIF(ATTENDANCE_DAILY!C:C,A30))</f>
        <v>48</v>
      </c>
      <c r="E30">
        <f>IF(A30="","",COUNTIFS(ATTENDANCE_DAILY!C:C,A30,ATTENDANCE_DAILY!E:E,"Present"))</f>
        <v>40</v>
      </c>
      <c r="F30">
        <f>IF(A30="","",COUNTIFS(ATTENDANCE_DAILY!C:C,A30,ATTENDANCE_DAILY!E:E,"Absent"))</f>
        <v>8</v>
      </c>
      <c r="G30" s="5">
        <f t="shared" si="0"/>
        <v>0.83333333333333337</v>
      </c>
      <c r="H30" s="4" t="str">
        <f t="shared" si="1"/>
        <v>OK</v>
      </c>
    </row>
    <row r="31" spans="1:8" x14ac:dyDescent="0.3">
      <c r="A31" t="str">
        <f>IF(MASTER_REGISTER!E31="","",MASTER_REGISTER!E31)</f>
        <v>MSH202610006</v>
      </c>
      <c r="B31" t="str">
        <f>IF(A31="","",MASTER_REGISTER!F31)</f>
        <v>Lwazi Baloyi</v>
      </c>
      <c r="C31">
        <f>IF(A31="","",MASTER_REGISTER!C31)</f>
        <v>10</v>
      </c>
      <c r="D31">
        <f>IF(A31="","",COUNTIF(ATTENDANCE_DAILY!C:C,A31))</f>
        <v>48</v>
      </c>
      <c r="E31">
        <f>IF(A31="","",COUNTIFS(ATTENDANCE_DAILY!C:C,A31,ATTENDANCE_DAILY!E:E,"Present"))</f>
        <v>42</v>
      </c>
      <c r="F31">
        <f>IF(A31="","",COUNTIFS(ATTENDANCE_DAILY!C:C,A31,ATTENDANCE_DAILY!E:E,"Absent"))</f>
        <v>6</v>
      </c>
      <c r="G31" s="5">
        <f t="shared" si="0"/>
        <v>0.875</v>
      </c>
      <c r="H31" s="4" t="str">
        <f t="shared" si="1"/>
        <v>OK</v>
      </c>
    </row>
    <row r="32" spans="1:8" x14ac:dyDescent="0.3">
      <c r="A32" t="str">
        <f>IF(MASTER_REGISTER!E32="","",MASTER_REGISTER!E32)</f>
        <v>MSH202610007</v>
      </c>
      <c r="B32" t="str">
        <f>IF(A32="","",MASTER_REGISTER!F32)</f>
        <v>Siyanda Mokoena</v>
      </c>
      <c r="C32">
        <f>IF(A32="","",MASTER_REGISTER!C32)</f>
        <v>10</v>
      </c>
      <c r="D32">
        <f>IF(A32="","",COUNTIF(ATTENDANCE_DAILY!C:C,A32))</f>
        <v>48</v>
      </c>
      <c r="E32">
        <f>IF(A32="","",COUNTIFS(ATTENDANCE_DAILY!C:C,A32,ATTENDANCE_DAILY!E:E,"Present"))</f>
        <v>43</v>
      </c>
      <c r="F32">
        <f>IF(A32="","",COUNTIFS(ATTENDANCE_DAILY!C:C,A32,ATTENDANCE_DAILY!E:E,"Absent"))</f>
        <v>5</v>
      </c>
      <c r="G32" s="5">
        <f t="shared" si="0"/>
        <v>0.89583333333333337</v>
      </c>
      <c r="H32" s="4" t="str">
        <f t="shared" si="1"/>
        <v>OK</v>
      </c>
    </row>
    <row r="33" spans="1:8" x14ac:dyDescent="0.3">
      <c r="A33" t="str">
        <f>IF(MASTER_REGISTER!E33="","",MASTER_REGISTER!E33)</f>
        <v>MSH202610008</v>
      </c>
      <c r="B33" t="str">
        <f>IF(A33="","",MASTER_REGISTER!F33)</f>
        <v>Mpho Ngobeni</v>
      </c>
      <c r="C33">
        <f>IF(A33="","",MASTER_REGISTER!C33)</f>
        <v>10</v>
      </c>
      <c r="D33">
        <f>IF(A33="","",COUNTIF(ATTENDANCE_DAILY!C:C,A33))</f>
        <v>48</v>
      </c>
      <c r="E33">
        <f>IF(A33="","",COUNTIFS(ATTENDANCE_DAILY!C:C,A33,ATTENDANCE_DAILY!E:E,"Present"))</f>
        <v>41</v>
      </c>
      <c r="F33">
        <f>IF(A33="","",COUNTIFS(ATTENDANCE_DAILY!C:C,A33,ATTENDANCE_DAILY!E:E,"Absent"))</f>
        <v>7</v>
      </c>
      <c r="G33" s="5">
        <f t="shared" si="0"/>
        <v>0.85416666666666663</v>
      </c>
      <c r="H33" s="4" t="str">
        <f t="shared" si="1"/>
        <v>OK</v>
      </c>
    </row>
    <row r="34" spans="1:8" x14ac:dyDescent="0.3">
      <c r="A34" t="str">
        <f>IF(MASTER_REGISTER!E34="","",MASTER_REGISTER!E34)</f>
        <v>MSH202610009</v>
      </c>
      <c r="B34" t="str">
        <f>IF(A34="","",MASTER_REGISTER!F34)</f>
        <v>Naledi Makhubela</v>
      </c>
      <c r="C34">
        <f>IF(A34="","",MASTER_REGISTER!C34)</f>
        <v>10</v>
      </c>
      <c r="D34">
        <f>IF(A34="","",COUNTIF(ATTENDANCE_DAILY!C:C,A34))</f>
        <v>48</v>
      </c>
      <c r="E34">
        <f>IF(A34="","",COUNTIFS(ATTENDANCE_DAILY!C:C,A34,ATTENDANCE_DAILY!E:E,"Present"))</f>
        <v>40</v>
      </c>
      <c r="F34">
        <f>IF(A34="","",COUNTIFS(ATTENDANCE_DAILY!C:C,A34,ATTENDANCE_DAILY!E:E,"Absent"))</f>
        <v>8</v>
      </c>
      <c r="G34" s="5">
        <f t="shared" si="0"/>
        <v>0.83333333333333337</v>
      </c>
      <c r="H34" s="4" t="str">
        <f t="shared" si="1"/>
        <v>OK</v>
      </c>
    </row>
    <row r="35" spans="1:8" x14ac:dyDescent="0.3">
      <c r="A35" t="str">
        <f>IF(MASTER_REGISTER!E35="","",MASTER_REGISTER!E35)</f>
        <v>MSH202610010</v>
      </c>
      <c r="B35" t="str">
        <f>IF(A35="","",MASTER_REGISTER!F35)</f>
        <v>Kgothatso Mokoena</v>
      </c>
      <c r="C35">
        <f>IF(A35="","",MASTER_REGISTER!C35)</f>
        <v>10</v>
      </c>
      <c r="D35">
        <f>IF(A35="","",COUNTIF(ATTENDANCE_DAILY!C:C,A35))</f>
        <v>48</v>
      </c>
      <c r="E35">
        <f>IF(A35="","",COUNTIFS(ATTENDANCE_DAILY!C:C,A35,ATTENDANCE_DAILY!E:E,"Present"))</f>
        <v>42</v>
      </c>
      <c r="F35">
        <f>IF(A35="","",COUNTIFS(ATTENDANCE_DAILY!C:C,A35,ATTENDANCE_DAILY!E:E,"Absent"))</f>
        <v>6</v>
      </c>
      <c r="G35" s="5">
        <f t="shared" si="0"/>
        <v>0.875</v>
      </c>
      <c r="H35" s="4" t="str">
        <f t="shared" si="1"/>
        <v>OK</v>
      </c>
    </row>
    <row r="36" spans="1:8" x14ac:dyDescent="0.3">
      <c r="A36" t="str">
        <f>IF(MASTER_REGISTER!E36="","",MASTER_REGISTER!E36)</f>
        <v>MSH202610011</v>
      </c>
      <c r="B36" t="str">
        <f>IF(A36="","",MASTER_REGISTER!F36)</f>
        <v>Bongani Makhubela</v>
      </c>
      <c r="C36">
        <f>IF(A36="","",MASTER_REGISTER!C36)</f>
        <v>10</v>
      </c>
      <c r="D36">
        <f>IF(A36="","",COUNTIF(ATTENDANCE_DAILY!C:C,A36))</f>
        <v>48</v>
      </c>
      <c r="E36">
        <f>IF(A36="","",COUNTIFS(ATTENDANCE_DAILY!C:C,A36,ATTENDANCE_DAILY!E:E,"Present"))</f>
        <v>42</v>
      </c>
      <c r="F36">
        <f>IF(A36="","",COUNTIFS(ATTENDANCE_DAILY!C:C,A36,ATTENDANCE_DAILY!E:E,"Absent"))</f>
        <v>6</v>
      </c>
      <c r="G36" s="5">
        <f t="shared" si="0"/>
        <v>0.875</v>
      </c>
      <c r="H36" s="4" t="str">
        <f t="shared" si="1"/>
        <v>OK</v>
      </c>
    </row>
    <row r="37" spans="1:8" x14ac:dyDescent="0.3">
      <c r="A37" t="str">
        <f>IF(MASTER_REGISTER!E37="","",MASTER_REGISTER!E37)</f>
        <v>MSH202610012</v>
      </c>
      <c r="B37" t="str">
        <f>IF(A37="","",MASTER_REGISTER!F37)</f>
        <v>Kagiso Kekana</v>
      </c>
      <c r="C37">
        <f>IF(A37="","",MASTER_REGISTER!C37)</f>
        <v>10</v>
      </c>
      <c r="D37">
        <f>IF(A37="","",COUNTIF(ATTENDANCE_DAILY!C:C,A37))</f>
        <v>48</v>
      </c>
      <c r="E37">
        <f>IF(A37="","",COUNTIFS(ATTENDANCE_DAILY!C:C,A37,ATTENDANCE_DAILY!E:E,"Present"))</f>
        <v>42</v>
      </c>
      <c r="F37">
        <f>IF(A37="","",COUNTIFS(ATTENDANCE_DAILY!C:C,A37,ATTENDANCE_DAILY!E:E,"Absent"))</f>
        <v>6</v>
      </c>
      <c r="G37" s="5">
        <f t="shared" si="0"/>
        <v>0.875</v>
      </c>
      <c r="H37" s="4" t="str">
        <f t="shared" si="1"/>
        <v>OK</v>
      </c>
    </row>
    <row r="38" spans="1:8" x14ac:dyDescent="0.3">
      <c r="A38" t="str">
        <f>IF(MASTER_REGISTER!E38="","",MASTER_REGISTER!E38)</f>
        <v>MSH202611001</v>
      </c>
      <c r="B38" t="str">
        <f>IF(A38="","",MASTER_REGISTER!F38)</f>
        <v>Lwazi Makhubela</v>
      </c>
      <c r="C38">
        <f>IF(A38="","",MASTER_REGISTER!C38)</f>
        <v>11</v>
      </c>
      <c r="D38">
        <f>IF(A38="","",COUNTIF(ATTENDANCE_DAILY!C:C,A38))</f>
        <v>48</v>
      </c>
      <c r="E38">
        <f>IF(A38="","",COUNTIFS(ATTENDANCE_DAILY!C:C,A38,ATTENDANCE_DAILY!E:E,"Present"))</f>
        <v>45</v>
      </c>
      <c r="F38">
        <f>IF(A38="","",COUNTIFS(ATTENDANCE_DAILY!C:C,A38,ATTENDANCE_DAILY!E:E,"Absent"))</f>
        <v>3</v>
      </c>
      <c r="G38" s="5">
        <f t="shared" si="0"/>
        <v>0.9375</v>
      </c>
      <c r="H38" s="4" t="str">
        <f t="shared" si="1"/>
        <v>OK</v>
      </c>
    </row>
    <row r="39" spans="1:8" x14ac:dyDescent="0.3">
      <c r="A39" t="str">
        <f>IF(MASTER_REGISTER!E39="","",MASTER_REGISTER!E39)</f>
        <v>MSH202611002</v>
      </c>
      <c r="B39" t="str">
        <f>IF(A39="","",MASTER_REGISTER!F39)</f>
        <v>Lebogang Ramushu</v>
      </c>
      <c r="C39">
        <f>IF(A39="","",MASTER_REGISTER!C39)</f>
        <v>11</v>
      </c>
      <c r="D39">
        <f>IF(A39="","",COUNTIF(ATTENDANCE_DAILY!C:C,A39))</f>
        <v>48</v>
      </c>
      <c r="E39">
        <f>IF(A39="","",COUNTIFS(ATTENDANCE_DAILY!C:C,A39,ATTENDANCE_DAILY!E:E,"Present"))</f>
        <v>41</v>
      </c>
      <c r="F39">
        <f>IF(A39="","",COUNTIFS(ATTENDANCE_DAILY!C:C,A39,ATTENDANCE_DAILY!E:E,"Absent"))</f>
        <v>7</v>
      </c>
      <c r="G39" s="5">
        <f t="shared" si="0"/>
        <v>0.85416666666666663</v>
      </c>
      <c r="H39" s="4" t="str">
        <f t="shared" si="1"/>
        <v>OK</v>
      </c>
    </row>
    <row r="40" spans="1:8" x14ac:dyDescent="0.3">
      <c r="A40" t="str">
        <f>IF(MASTER_REGISTER!E40="","",MASTER_REGISTER!E40)</f>
        <v>MSH202611003</v>
      </c>
      <c r="B40" t="str">
        <f>IF(A40="","",MASTER_REGISTER!F40)</f>
        <v>Lerato Kekana</v>
      </c>
      <c r="C40">
        <f>IF(A40="","",MASTER_REGISTER!C40)</f>
        <v>11</v>
      </c>
      <c r="D40">
        <f>IF(A40="","",COUNTIF(ATTENDANCE_DAILY!C:C,A40))</f>
        <v>48</v>
      </c>
      <c r="E40">
        <f>IF(A40="","",COUNTIFS(ATTENDANCE_DAILY!C:C,A40,ATTENDANCE_DAILY!E:E,"Present"))</f>
        <v>44</v>
      </c>
      <c r="F40">
        <f>IF(A40="","",COUNTIFS(ATTENDANCE_DAILY!C:C,A40,ATTENDANCE_DAILY!E:E,"Absent"))</f>
        <v>4</v>
      </c>
      <c r="G40" s="5">
        <f t="shared" si="0"/>
        <v>0.91666666666666663</v>
      </c>
      <c r="H40" s="4" t="str">
        <f t="shared" si="1"/>
        <v>OK</v>
      </c>
    </row>
    <row r="41" spans="1:8" x14ac:dyDescent="0.3">
      <c r="A41" t="str">
        <f>IF(MASTER_REGISTER!E41="","",MASTER_REGISTER!E41)</f>
        <v>MSH202611004</v>
      </c>
      <c r="B41" t="str">
        <f>IF(A41="","",MASTER_REGISTER!F41)</f>
        <v>Bongani Ndlovu</v>
      </c>
      <c r="C41">
        <f>IF(A41="","",MASTER_REGISTER!C41)</f>
        <v>11</v>
      </c>
      <c r="D41">
        <f>IF(A41="","",COUNTIF(ATTENDANCE_DAILY!C:C,A41))</f>
        <v>48</v>
      </c>
      <c r="E41">
        <f>IF(A41="","",COUNTIFS(ATTENDANCE_DAILY!C:C,A41,ATTENDANCE_DAILY!E:E,"Present"))</f>
        <v>43</v>
      </c>
      <c r="F41">
        <f>IF(A41="","",COUNTIFS(ATTENDANCE_DAILY!C:C,A41,ATTENDANCE_DAILY!E:E,"Absent"))</f>
        <v>5</v>
      </c>
      <c r="G41" s="5">
        <f t="shared" si="0"/>
        <v>0.89583333333333337</v>
      </c>
      <c r="H41" s="4" t="str">
        <f t="shared" si="1"/>
        <v>OK</v>
      </c>
    </row>
    <row r="42" spans="1:8" x14ac:dyDescent="0.3">
      <c r="A42" t="str">
        <f>IF(MASTER_REGISTER!E42="","",MASTER_REGISTER!E42)</f>
        <v>MSH202611005</v>
      </c>
      <c r="B42" t="str">
        <f>IF(A42="","",MASTER_REGISTER!F42)</f>
        <v>Sifiso Dlamini</v>
      </c>
      <c r="C42">
        <f>IF(A42="","",MASTER_REGISTER!C42)</f>
        <v>11</v>
      </c>
      <c r="D42">
        <f>IF(A42="","",COUNTIF(ATTENDANCE_DAILY!C:C,A42))</f>
        <v>48</v>
      </c>
      <c r="E42">
        <f>IF(A42="","",COUNTIFS(ATTENDANCE_DAILY!C:C,A42,ATTENDANCE_DAILY!E:E,"Present"))</f>
        <v>44</v>
      </c>
      <c r="F42">
        <f>IF(A42="","",COUNTIFS(ATTENDANCE_DAILY!C:C,A42,ATTENDANCE_DAILY!E:E,"Absent"))</f>
        <v>4</v>
      </c>
      <c r="G42" s="5">
        <f t="shared" si="0"/>
        <v>0.91666666666666663</v>
      </c>
      <c r="H42" s="4" t="str">
        <f t="shared" si="1"/>
        <v>OK</v>
      </c>
    </row>
    <row r="43" spans="1:8" x14ac:dyDescent="0.3">
      <c r="A43" t="str">
        <f>IF(MASTER_REGISTER!E43="","",MASTER_REGISTER!E43)</f>
        <v>MSH202611006</v>
      </c>
      <c r="B43" t="str">
        <f>IF(A43="","",MASTER_REGISTER!F43)</f>
        <v>Refilwe Dlamini</v>
      </c>
      <c r="C43">
        <f>IF(A43="","",MASTER_REGISTER!C43)</f>
        <v>11</v>
      </c>
      <c r="D43">
        <f>IF(A43="","",COUNTIF(ATTENDANCE_DAILY!C:C,A43))</f>
        <v>48</v>
      </c>
      <c r="E43">
        <f>IF(A43="","",COUNTIFS(ATTENDANCE_DAILY!C:C,A43,ATTENDANCE_DAILY!E:E,"Present"))</f>
        <v>42</v>
      </c>
      <c r="F43">
        <f>IF(A43="","",COUNTIFS(ATTENDANCE_DAILY!C:C,A43,ATTENDANCE_DAILY!E:E,"Absent"))</f>
        <v>6</v>
      </c>
      <c r="G43" s="5">
        <f t="shared" si="0"/>
        <v>0.875</v>
      </c>
      <c r="H43" s="4" t="str">
        <f t="shared" si="1"/>
        <v>OK</v>
      </c>
    </row>
    <row r="44" spans="1:8" x14ac:dyDescent="0.3">
      <c r="A44" t="str">
        <f>IF(MASTER_REGISTER!E44="","",MASTER_REGISTER!E44)</f>
        <v>MSH202611007</v>
      </c>
      <c r="B44" t="str">
        <f>IF(A44="","",MASTER_REGISTER!F44)</f>
        <v>Lwazi Maseko</v>
      </c>
      <c r="C44">
        <f>IF(A44="","",MASTER_REGISTER!C44)</f>
        <v>11</v>
      </c>
      <c r="D44">
        <f>IF(A44="","",COUNTIF(ATTENDANCE_DAILY!C:C,A44))</f>
        <v>48</v>
      </c>
      <c r="E44">
        <f>IF(A44="","",COUNTIFS(ATTENDANCE_DAILY!C:C,A44,ATTENDANCE_DAILY!E:E,"Present"))</f>
        <v>40</v>
      </c>
      <c r="F44">
        <f>IF(A44="","",COUNTIFS(ATTENDANCE_DAILY!C:C,A44,ATTENDANCE_DAILY!E:E,"Absent"))</f>
        <v>8</v>
      </c>
      <c r="G44" s="5">
        <f t="shared" si="0"/>
        <v>0.83333333333333337</v>
      </c>
      <c r="H44" s="4" t="str">
        <f t="shared" si="1"/>
        <v>OK</v>
      </c>
    </row>
    <row r="45" spans="1:8" x14ac:dyDescent="0.3">
      <c r="A45" t="str">
        <f>IF(MASTER_REGISTER!E45="","",MASTER_REGISTER!E45)</f>
        <v>MSH202611008</v>
      </c>
      <c r="B45" t="str">
        <f>IF(A45="","",MASTER_REGISTER!F45)</f>
        <v>Refilwe Mokgadi</v>
      </c>
      <c r="C45">
        <f>IF(A45="","",MASTER_REGISTER!C45)</f>
        <v>11</v>
      </c>
      <c r="D45">
        <f>IF(A45="","",COUNTIF(ATTENDANCE_DAILY!C:C,A45))</f>
        <v>48</v>
      </c>
      <c r="E45">
        <f>IF(A45="","",COUNTIFS(ATTENDANCE_DAILY!C:C,A45,ATTENDANCE_DAILY!E:E,"Present"))</f>
        <v>42</v>
      </c>
      <c r="F45">
        <f>IF(A45="","",COUNTIFS(ATTENDANCE_DAILY!C:C,A45,ATTENDANCE_DAILY!E:E,"Absent"))</f>
        <v>6</v>
      </c>
      <c r="G45" s="5">
        <f t="shared" si="0"/>
        <v>0.875</v>
      </c>
      <c r="H45" s="4" t="str">
        <f t="shared" si="1"/>
        <v>OK</v>
      </c>
    </row>
    <row r="46" spans="1:8" x14ac:dyDescent="0.3">
      <c r="A46" t="str">
        <f>IF(MASTER_REGISTER!E46="","",MASTER_REGISTER!E46)</f>
        <v>MSH202611009</v>
      </c>
      <c r="B46" t="str">
        <f>IF(A46="","",MASTER_REGISTER!F46)</f>
        <v>Kgothatso Molefe</v>
      </c>
      <c r="C46">
        <f>IF(A46="","",MASTER_REGISTER!C46)</f>
        <v>11</v>
      </c>
      <c r="D46">
        <f>IF(A46="","",COUNTIF(ATTENDANCE_DAILY!C:C,A46))</f>
        <v>48</v>
      </c>
      <c r="E46">
        <f>IF(A46="","",COUNTIFS(ATTENDANCE_DAILY!C:C,A46,ATTENDANCE_DAILY!E:E,"Present"))</f>
        <v>40</v>
      </c>
      <c r="F46">
        <f>IF(A46="","",COUNTIFS(ATTENDANCE_DAILY!C:C,A46,ATTENDANCE_DAILY!E:E,"Absent"))</f>
        <v>8</v>
      </c>
      <c r="G46" s="5">
        <f t="shared" si="0"/>
        <v>0.83333333333333337</v>
      </c>
      <c r="H46" s="4" t="str">
        <f t="shared" si="1"/>
        <v>OK</v>
      </c>
    </row>
    <row r="47" spans="1:8" x14ac:dyDescent="0.3">
      <c r="A47" t="str">
        <f>IF(MASTER_REGISTER!E47="","",MASTER_REGISTER!E47)</f>
        <v>MSH202611010</v>
      </c>
      <c r="B47" t="str">
        <f>IF(A47="","",MASTER_REGISTER!F47)</f>
        <v>Tshepo Mokgadi</v>
      </c>
      <c r="C47">
        <f>IF(A47="","",MASTER_REGISTER!C47)</f>
        <v>11</v>
      </c>
      <c r="D47">
        <f>IF(A47="","",COUNTIF(ATTENDANCE_DAILY!C:C,A47))</f>
        <v>48</v>
      </c>
      <c r="E47">
        <f>IF(A47="","",COUNTIFS(ATTENDANCE_DAILY!C:C,A47,ATTENDANCE_DAILY!E:E,"Present"))</f>
        <v>40</v>
      </c>
      <c r="F47">
        <f>IF(A47="","",COUNTIFS(ATTENDANCE_DAILY!C:C,A47,ATTENDANCE_DAILY!E:E,"Absent"))</f>
        <v>8</v>
      </c>
      <c r="G47" s="5">
        <f t="shared" si="0"/>
        <v>0.83333333333333337</v>
      </c>
      <c r="H47" s="4" t="str">
        <f t="shared" si="1"/>
        <v>OK</v>
      </c>
    </row>
    <row r="48" spans="1:8" x14ac:dyDescent="0.3">
      <c r="A48" t="str">
        <f>IF(MASTER_REGISTER!E48="","",MASTER_REGISTER!E48)</f>
        <v>MSH202611011</v>
      </c>
      <c r="B48" t="str">
        <f>IF(A48="","",MASTER_REGISTER!F48)</f>
        <v>Tshepo Phiri</v>
      </c>
      <c r="C48">
        <f>IF(A48="","",MASTER_REGISTER!C48)</f>
        <v>11</v>
      </c>
      <c r="D48">
        <f>IF(A48="","",COUNTIF(ATTENDANCE_DAILY!C:C,A48))</f>
        <v>48</v>
      </c>
      <c r="E48">
        <f>IF(A48="","",COUNTIFS(ATTENDANCE_DAILY!C:C,A48,ATTENDANCE_DAILY!E:E,"Present"))</f>
        <v>41</v>
      </c>
      <c r="F48">
        <f>IF(A48="","",COUNTIFS(ATTENDANCE_DAILY!C:C,A48,ATTENDANCE_DAILY!E:E,"Absent"))</f>
        <v>7</v>
      </c>
      <c r="G48" s="5">
        <f t="shared" si="0"/>
        <v>0.85416666666666663</v>
      </c>
      <c r="H48" s="4" t="str">
        <f t="shared" si="1"/>
        <v>OK</v>
      </c>
    </row>
    <row r="49" spans="1:8" x14ac:dyDescent="0.3">
      <c r="A49" t="str">
        <f>IF(MASTER_REGISTER!E49="","",MASTER_REGISTER!E49)</f>
        <v>MSH202611012</v>
      </c>
      <c r="B49" t="str">
        <f>IF(A49="","",MASTER_REGISTER!F49)</f>
        <v>Zanele Ngobeni</v>
      </c>
      <c r="C49">
        <f>IF(A49="","",MASTER_REGISTER!C49)</f>
        <v>11</v>
      </c>
      <c r="D49">
        <f>IF(A49="","",COUNTIF(ATTENDANCE_DAILY!C:C,A49))</f>
        <v>48</v>
      </c>
      <c r="E49">
        <f>IF(A49="","",COUNTIFS(ATTENDANCE_DAILY!C:C,A49,ATTENDANCE_DAILY!E:E,"Present"))</f>
        <v>45</v>
      </c>
      <c r="F49">
        <f>IF(A49="","",COUNTIFS(ATTENDANCE_DAILY!C:C,A49,ATTENDANCE_DAILY!E:E,"Absent"))</f>
        <v>3</v>
      </c>
      <c r="G49" s="5">
        <f t="shared" si="0"/>
        <v>0.9375</v>
      </c>
      <c r="H49" s="4" t="str">
        <f t="shared" si="1"/>
        <v>OK</v>
      </c>
    </row>
    <row r="50" spans="1:8" x14ac:dyDescent="0.3">
      <c r="A50" t="str">
        <f>IF(MASTER_REGISTER!E50="","",MASTER_REGISTER!E50)</f>
        <v>MSH202612001</v>
      </c>
      <c r="B50" t="str">
        <f>IF(A50="","",MASTER_REGISTER!F50)</f>
        <v>Palesa Mokoena</v>
      </c>
      <c r="C50">
        <f>IF(A50="","",MASTER_REGISTER!C50)</f>
        <v>12</v>
      </c>
      <c r="D50">
        <f>IF(A50="","",COUNTIF(ATTENDANCE_DAILY!C:C,A50))</f>
        <v>48</v>
      </c>
      <c r="E50">
        <f>IF(A50="","",COUNTIFS(ATTENDANCE_DAILY!C:C,A50,ATTENDANCE_DAILY!E:E,"Present"))</f>
        <v>40</v>
      </c>
      <c r="F50">
        <f>IF(A50="","",COUNTIFS(ATTENDANCE_DAILY!C:C,A50,ATTENDANCE_DAILY!E:E,"Absent"))</f>
        <v>8</v>
      </c>
      <c r="G50" s="5">
        <f t="shared" si="0"/>
        <v>0.83333333333333337</v>
      </c>
      <c r="H50" s="4" t="str">
        <f t="shared" si="1"/>
        <v>OK</v>
      </c>
    </row>
    <row r="51" spans="1:8" x14ac:dyDescent="0.3">
      <c r="A51" t="str">
        <f>IF(MASTER_REGISTER!E51="","",MASTER_REGISTER!E51)</f>
        <v>MSH202612002</v>
      </c>
      <c r="B51" t="str">
        <f>IF(A51="","",MASTER_REGISTER!F51)</f>
        <v>Thabo Ramushu</v>
      </c>
      <c r="C51">
        <f>IF(A51="","",MASTER_REGISTER!C51)</f>
        <v>12</v>
      </c>
      <c r="D51">
        <f>IF(A51="","",COUNTIF(ATTENDANCE_DAILY!C:C,A51))</f>
        <v>48</v>
      </c>
      <c r="E51">
        <f>IF(A51="","",COUNTIFS(ATTENDANCE_DAILY!C:C,A51,ATTENDANCE_DAILY!E:E,"Present"))</f>
        <v>42</v>
      </c>
      <c r="F51">
        <f>IF(A51="","",COUNTIFS(ATTENDANCE_DAILY!C:C,A51,ATTENDANCE_DAILY!E:E,"Absent"))</f>
        <v>6</v>
      </c>
      <c r="G51" s="5">
        <f t="shared" si="0"/>
        <v>0.875</v>
      </c>
      <c r="H51" s="4" t="str">
        <f t="shared" si="1"/>
        <v>OK</v>
      </c>
    </row>
    <row r="52" spans="1:8" x14ac:dyDescent="0.3">
      <c r="A52" t="str">
        <f>IF(MASTER_REGISTER!E52="","",MASTER_REGISTER!E52)</f>
        <v>MSH202612003</v>
      </c>
      <c r="B52" t="str">
        <f>IF(A52="","",MASTER_REGISTER!F52)</f>
        <v>Lwazi Ndlovu</v>
      </c>
      <c r="C52">
        <f>IF(A52="","",MASTER_REGISTER!C52)</f>
        <v>12</v>
      </c>
      <c r="D52">
        <f>IF(A52="","",COUNTIF(ATTENDANCE_DAILY!C:C,A52))</f>
        <v>48</v>
      </c>
      <c r="E52">
        <f>IF(A52="","",COUNTIFS(ATTENDANCE_DAILY!C:C,A52,ATTENDANCE_DAILY!E:E,"Present"))</f>
        <v>40</v>
      </c>
      <c r="F52">
        <f>IF(A52="","",COUNTIFS(ATTENDANCE_DAILY!C:C,A52,ATTENDANCE_DAILY!E:E,"Absent"))</f>
        <v>8</v>
      </c>
      <c r="G52" s="5">
        <f t="shared" si="0"/>
        <v>0.83333333333333337</v>
      </c>
      <c r="H52" s="4" t="str">
        <f t="shared" si="1"/>
        <v>OK</v>
      </c>
    </row>
    <row r="53" spans="1:8" x14ac:dyDescent="0.3">
      <c r="A53" t="str">
        <f>IF(MASTER_REGISTER!E53="","",MASTER_REGISTER!E53)</f>
        <v>MSH202612004</v>
      </c>
      <c r="B53" t="str">
        <f>IF(A53="","",MASTER_REGISTER!F53)</f>
        <v>Ayanda Dlamini</v>
      </c>
      <c r="C53">
        <f>IF(A53="","",MASTER_REGISTER!C53)</f>
        <v>12</v>
      </c>
      <c r="D53">
        <f>IF(A53="","",COUNTIF(ATTENDANCE_DAILY!C:C,A53))</f>
        <v>48</v>
      </c>
      <c r="E53">
        <f>IF(A53="","",COUNTIFS(ATTENDANCE_DAILY!C:C,A53,ATTENDANCE_DAILY!E:E,"Present"))</f>
        <v>38</v>
      </c>
      <c r="F53">
        <f>IF(A53="","",COUNTIFS(ATTENDANCE_DAILY!C:C,A53,ATTENDANCE_DAILY!E:E,"Absent"))</f>
        <v>10</v>
      </c>
      <c r="G53" s="5">
        <f t="shared" si="0"/>
        <v>0.79166666666666663</v>
      </c>
      <c r="H53" s="4" t="str">
        <f t="shared" si="1"/>
        <v>OK</v>
      </c>
    </row>
    <row r="54" spans="1:8" x14ac:dyDescent="0.3">
      <c r="A54" t="str">
        <f>IF(MASTER_REGISTER!E54="","",MASTER_REGISTER!E54)</f>
        <v>MSH202612005</v>
      </c>
      <c r="B54" t="str">
        <f>IF(A54="","",MASTER_REGISTER!F54)</f>
        <v>Neo Ndlovu</v>
      </c>
      <c r="C54">
        <f>IF(A54="","",MASTER_REGISTER!C54)</f>
        <v>12</v>
      </c>
      <c r="D54">
        <f>IF(A54="","",COUNTIF(ATTENDANCE_DAILY!C:C,A54))</f>
        <v>48</v>
      </c>
      <c r="E54">
        <f>IF(A54="","",COUNTIFS(ATTENDANCE_DAILY!C:C,A54,ATTENDANCE_DAILY!E:E,"Present"))</f>
        <v>43</v>
      </c>
      <c r="F54">
        <f>IF(A54="","",COUNTIFS(ATTENDANCE_DAILY!C:C,A54,ATTENDANCE_DAILY!E:E,"Absent"))</f>
        <v>5</v>
      </c>
      <c r="G54" s="5">
        <f t="shared" si="0"/>
        <v>0.89583333333333337</v>
      </c>
      <c r="H54" s="4" t="str">
        <f t="shared" si="1"/>
        <v>OK</v>
      </c>
    </row>
    <row r="55" spans="1:8" x14ac:dyDescent="0.3">
      <c r="A55" t="str">
        <f>IF(MASTER_REGISTER!E55="","",MASTER_REGISTER!E55)</f>
        <v>MSH202612006</v>
      </c>
      <c r="B55" t="str">
        <f>IF(A55="","",MASTER_REGISTER!F55)</f>
        <v>Neo Ramushu</v>
      </c>
      <c r="C55">
        <f>IF(A55="","",MASTER_REGISTER!C55)</f>
        <v>12</v>
      </c>
      <c r="D55">
        <f>IF(A55="","",COUNTIF(ATTENDANCE_DAILY!C:C,A55))</f>
        <v>48</v>
      </c>
      <c r="E55">
        <f>IF(A55="","",COUNTIFS(ATTENDANCE_DAILY!C:C,A55,ATTENDANCE_DAILY!E:E,"Present"))</f>
        <v>44</v>
      </c>
      <c r="F55">
        <f>IF(A55="","",COUNTIFS(ATTENDANCE_DAILY!C:C,A55,ATTENDANCE_DAILY!E:E,"Absent"))</f>
        <v>4</v>
      </c>
      <c r="G55" s="5">
        <f t="shared" si="0"/>
        <v>0.91666666666666663</v>
      </c>
      <c r="H55" s="4" t="str">
        <f t="shared" si="1"/>
        <v>OK</v>
      </c>
    </row>
    <row r="56" spans="1:8" x14ac:dyDescent="0.3">
      <c r="A56" t="str">
        <f>IF(MASTER_REGISTER!E56="","",MASTER_REGISTER!E56)</f>
        <v>MSH202612007</v>
      </c>
      <c r="B56" t="str">
        <f>IF(A56="","",MASTER_REGISTER!F56)</f>
        <v>Karabo Baloyi</v>
      </c>
      <c r="C56">
        <f>IF(A56="","",MASTER_REGISTER!C56)</f>
        <v>12</v>
      </c>
      <c r="D56">
        <f>IF(A56="","",COUNTIF(ATTENDANCE_DAILY!C:C,A56))</f>
        <v>48</v>
      </c>
      <c r="E56">
        <f>IF(A56="","",COUNTIFS(ATTENDANCE_DAILY!C:C,A56,ATTENDANCE_DAILY!E:E,"Present"))</f>
        <v>41</v>
      </c>
      <c r="F56">
        <f>IF(A56="","",COUNTIFS(ATTENDANCE_DAILY!C:C,A56,ATTENDANCE_DAILY!E:E,"Absent"))</f>
        <v>7</v>
      </c>
      <c r="G56" s="5">
        <f t="shared" si="0"/>
        <v>0.85416666666666663</v>
      </c>
      <c r="H56" s="4" t="str">
        <f t="shared" si="1"/>
        <v>OK</v>
      </c>
    </row>
    <row r="57" spans="1:8" x14ac:dyDescent="0.3">
      <c r="A57" t="str">
        <f>IF(MASTER_REGISTER!E57="","",MASTER_REGISTER!E57)</f>
        <v>MSH202612008</v>
      </c>
      <c r="B57" t="str">
        <f>IF(A57="","",MASTER_REGISTER!F57)</f>
        <v>Tshepo Mokgadi</v>
      </c>
      <c r="C57">
        <f>IF(A57="","",MASTER_REGISTER!C57)</f>
        <v>12</v>
      </c>
      <c r="D57">
        <f>IF(A57="","",COUNTIF(ATTENDANCE_DAILY!C:C,A57))</f>
        <v>48</v>
      </c>
      <c r="E57">
        <f>IF(A57="","",COUNTIFS(ATTENDANCE_DAILY!C:C,A57,ATTENDANCE_DAILY!E:E,"Present"))</f>
        <v>40</v>
      </c>
      <c r="F57">
        <f>IF(A57="","",COUNTIFS(ATTENDANCE_DAILY!C:C,A57,ATTENDANCE_DAILY!E:E,"Absent"))</f>
        <v>8</v>
      </c>
      <c r="G57" s="5">
        <f t="shared" si="0"/>
        <v>0.83333333333333337</v>
      </c>
      <c r="H57" s="4" t="str">
        <f t="shared" si="1"/>
        <v>OK</v>
      </c>
    </row>
    <row r="58" spans="1:8" x14ac:dyDescent="0.3">
      <c r="A58" t="str">
        <f>IF(MASTER_REGISTER!E58="","",MASTER_REGISTER!E58)</f>
        <v>MSH202612009</v>
      </c>
      <c r="B58" t="str">
        <f>IF(A58="","",MASTER_REGISTER!F58)</f>
        <v>Sifiso Mavuso</v>
      </c>
      <c r="C58">
        <f>IF(A58="","",MASTER_REGISTER!C58)</f>
        <v>12</v>
      </c>
      <c r="D58">
        <f>IF(A58="","",COUNTIF(ATTENDANCE_DAILY!C:C,A58))</f>
        <v>48</v>
      </c>
      <c r="E58">
        <f>IF(A58="","",COUNTIFS(ATTENDANCE_DAILY!C:C,A58,ATTENDANCE_DAILY!E:E,"Present"))</f>
        <v>39</v>
      </c>
      <c r="F58">
        <f>IF(A58="","",COUNTIFS(ATTENDANCE_DAILY!C:C,A58,ATTENDANCE_DAILY!E:E,"Absent"))</f>
        <v>9</v>
      </c>
      <c r="G58" s="5">
        <f t="shared" si="0"/>
        <v>0.8125</v>
      </c>
      <c r="H58" s="4" t="str">
        <f t="shared" si="1"/>
        <v>OK</v>
      </c>
    </row>
    <row r="59" spans="1:8" x14ac:dyDescent="0.3">
      <c r="A59" t="str">
        <f>IF(MASTER_REGISTER!E59="","",MASTER_REGISTER!E59)</f>
        <v>MSH202612010</v>
      </c>
      <c r="B59" t="str">
        <f>IF(A59="","",MASTER_REGISTER!F59)</f>
        <v>Refilwe Sithole</v>
      </c>
      <c r="C59">
        <f>IF(A59="","",MASTER_REGISTER!C59)</f>
        <v>12</v>
      </c>
      <c r="D59">
        <f>IF(A59="","",COUNTIF(ATTENDANCE_DAILY!C:C,A59))</f>
        <v>48</v>
      </c>
      <c r="E59">
        <f>IF(A59="","",COUNTIFS(ATTENDANCE_DAILY!C:C,A59,ATTENDANCE_DAILY!E:E,"Present"))</f>
        <v>41</v>
      </c>
      <c r="F59">
        <f>IF(A59="","",COUNTIFS(ATTENDANCE_DAILY!C:C,A59,ATTENDANCE_DAILY!E:E,"Absent"))</f>
        <v>7</v>
      </c>
      <c r="G59" s="5">
        <f t="shared" si="0"/>
        <v>0.85416666666666663</v>
      </c>
      <c r="H59" s="4" t="str">
        <f t="shared" si="1"/>
        <v>OK</v>
      </c>
    </row>
    <row r="60" spans="1:8" x14ac:dyDescent="0.3">
      <c r="A60" t="str">
        <f>IF(MASTER_REGISTER!E60="","",MASTER_REGISTER!E60)</f>
        <v>MSH202612011</v>
      </c>
      <c r="B60" t="str">
        <f>IF(A60="","",MASTER_REGISTER!F60)</f>
        <v>Lerato Sithole</v>
      </c>
      <c r="C60">
        <f>IF(A60="","",MASTER_REGISTER!C60)</f>
        <v>12</v>
      </c>
      <c r="D60">
        <f>IF(A60="","",COUNTIF(ATTENDANCE_DAILY!C:C,A60))</f>
        <v>48</v>
      </c>
      <c r="E60">
        <f>IF(A60="","",COUNTIFS(ATTENDANCE_DAILY!C:C,A60,ATTENDANCE_DAILY!E:E,"Present"))</f>
        <v>39</v>
      </c>
      <c r="F60">
        <f>IF(A60="","",COUNTIFS(ATTENDANCE_DAILY!C:C,A60,ATTENDANCE_DAILY!E:E,"Absent"))</f>
        <v>9</v>
      </c>
      <c r="G60" s="5">
        <f t="shared" si="0"/>
        <v>0.8125</v>
      </c>
      <c r="H60" s="4" t="str">
        <f t="shared" si="1"/>
        <v>OK</v>
      </c>
    </row>
    <row r="61" spans="1:8" x14ac:dyDescent="0.3">
      <c r="A61" t="str">
        <f>IF(MASTER_REGISTER!E61="","",MASTER_REGISTER!E61)</f>
        <v>MSH202612012</v>
      </c>
      <c r="B61" t="str">
        <f>IF(A61="","",MASTER_REGISTER!F61)</f>
        <v>Sibusiso Ngobeni</v>
      </c>
      <c r="C61">
        <f>IF(A61="","",MASTER_REGISTER!C61)</f>
        <v>12</v>
      </c>
      <c r="D61">
        <f>IF(A61="","",COUNTIF(ATTENDANCE_DAILY!C:C,A61))</f>
        <v>48</v>
      </c>
      <c r="E61">
        <f>IF(A61="","",COUNTIFS(ATTENDANCE_DAILY!C:C,A61,ATTENDANCE_DAILY!E:E,"Present"))</f>
        <v>45</v>
      </c>
      <c r="F61">
        <f>IF(A61="","",COUNTIFS(ATTENDANCE_DAILY!C:C,A61,ATTENDANCE_DAILY!E:E,"Absent"))</f>
        <v>3</v>
      </c>
      <c r="G61" s="5">
        <f t="shared" si="0"/>
        <v>0.9375</v>
      </c>
      <c r="H61" s="4" t="str">
        <f t="shared" si="1"/>
        <v>OK</v>
      </c>
    </row>
    <row r="62" spans="1:8" x14ac:dyDescent="0.3">
      <c r="A62" t="str">
        <f>IF(MASTER_REGISTER!E62="","",MASTER_REGISTER!E62)</f>
        <v/>
      </c>
      <c r="B62" t="str">
        <f>IF(A62="","",MASTER_REGISTER!F62)</f>
        <v/>
      </c>
      <c r="C62" t="str">
        <f>IF(A62="","",MASTER_REGISTER!C62)</f>
        <v/>
      </c>
      <c r="D62" t="str">
        <f>IF(A62="","",COUNTIF(ATTENDANCE_DAILY!C:C,A62))</f>
        <v/>
      </c>
      <c r="E62" t="str">
        <f>IF(A62="","",COUNTIFS(ATTENDANCE_DAILY!C:C,A62,ATTENDANCE_DAILY!E:E,"Present"))</f>
        <v/>
      </c>
      <c r="F62" t="str">
        <f>IF(A62="","",COUNTIFS(ATTENDANCE_DAILY!C:C,A62,ATTENDANCE_DAILY!E:E,"Absent"))</f>
        <v/>
      </c>
      <c r="G62" s="5" t="e">
        <f t="shared" si="0"/>
        <v>#VALUE!</v>
      </c>
      <c r="H62" s="4" t="e">
        <f t="shared" si="1"/>
        <v>#VALUE!</v>
      </c>
    </row>
    <row r="63" spans="1:8" x14ac:dyDescent="0.3">
      <c r="A63" t="str">
        <f>IF(MASTER_REGISTER!E63="","",MASTER_REGISTER!E63)</f>
        <v/>
      </c>
      <c r="B63" t="str">
        <f>IF(A63="","",MASTER_REGISTER!F63)</f>
        <v/>
      </c>
      <c r="C63" t="str">
        <f>IF(A63="","",MASTER_REGISTER!C63)</f>
        <v/>
      </c>
      <c r="D63" t="str">
        <f>IF(A63="","",COUNTIF(ATTENDANCE_DAILY!C:C,A63))</f>
        <v/>
      </c>
      <c r="E63" t="str">
        <f>IF(A63="","",COUNTIFS(ATTENDANCE_DAILY!C:C,A63,ATTENDANCE_DAILY!E:E,"Present"))</f>
        <v/>
      </c>
      <c r="F63" t="str">
        <f>IF(A63="","",COUNTIFS(ATTENDANCE_DAILY!C:C,A63,ATTENDANCE_DAILY!E:E,"Absent"))</f>
        <v/>
      </c>
      <c r="G63" s="5" t="e">
        <f t="shared" si="0"/>
        <v>#VALUE!</v>
      </c>
      <c r="H63" s="4" t="e">
        <f t="shared" si="1"/>
        <v>#VALUE!</v>
      </c>
    </row>
    <row r="64" spans="1:8" x14ac:dyDescent="0.3">
      <c r="A64" t="str">
        <f>IF(MASTER_REGISTER!E64="","",MASTER_REGISTER!E64)</f>
        <v/>
      </c>
      <c r="B64" t="str">
        <f>IF(A64="","",MASTER_REGISTER!F64)</f>
        <v/>
      </c>
      <c r="C64" t="str">
        <f>IF(A64="","",MASTER_REGISTER!C64)</f>
        <v/>
      </c>
      <c r="D64" t="str">
        <f>IF(A64="","",COUNTIF(ATTENDANCE_DAILY!C:C,A64))</f>
        <v/>
      </c>
      <c r="E64" t="str">
        <f>IF(A64="","",COUNTIFS(ATTENDANCE_DAILY!C:C,A64,ATTENDANCE_DAILY!E:E,"Present"))</f>
        <v/>
      </c>
      <c r="F64" t="str">
        <f>IF(A64="","",COUNTIFS(ATTENDANCE_DAILY!C:C,A64,ATTENDANCE_DAILY!E:E,"Absent"))</f>
        <v/>
      </c>
      <c r="G64" s="5" t="e">
        <f t="shared" si="0"/>
        <v>#VALUE!</v>
      </c>
      <c r="H64" s="4" t="e">
        <f t="shared" si="1"/>
        <v>#VALUE!</v>
      </c>
    </row>
    <row r="65" spans="1:8" x14ac:dyDescent="0.3">
      <c r="A65" t="str">
        <f>IF(MASTER_REGISTER!E65="","",MASTER_REGISTER!E65)</f>
        <v/>
      </c>
      <c r="B65" t="str">
        <f>IF(A65="","",MASTER_REGISTER!F65)</f>
        <v/>
      </c>
      <c r="C65" t="str">
        <f>IF(A65="","",MASTER_REGISTER!C65)</f>
        <v/>
      </c>
      <c r="D65" t="str">
        <f>IF(A65="","",COUNTIF(ATTENDANCE_DAILY!C:C,A65))</f>
        <v/>
      </c>
      <c r="E65" t="str">
        <f>IF(A65="","",COUNTIFS(ATTENDANCE_DAILY!C:C,A65,ATTENDANCE_DAILY!E:E,"Present"))</f>
        <v/>
      </c>
      <c r="F65" t="str">
        <f>IF(A65="","",COUNTIFS(ATTENDANCE_DAILY!C:C,A65,ATTENDANCE_DAILY!E:E,"Absent"))</f>
        <v/>
      </c>
      <c r="G65" s="5" t="e">
        <f t="shared" si="0"/>
        <v>#VALUE!</v>
      </c>
      <c r="H65" s="4" t="e">
        <f t="shared" si="1"/>
        <v>#VALUE!</v>
      </c>
    </row>
    <row r="66" spans="1:8" x14ac:dyDescent="0.3">
      <c r="A66" t="str">
        <f>IF(MASTER_REGISTER!E66="","",MASTER_REGISTER!E66)</f>
        <v/>
      </c>
      <c r="B66" t="str">
        <f>IF(A66="","",MASTER_REGISTER!F66)</f>
        <v/>
      </c>
      <c r="C66" t="str">
        <f>IF(A66="","",MASTER_REGISTER!C66)</f>
        <v/>
      </c>
      <c r="D66" t="str">
        <f>IF(A66="","",COUNTIF(ATTENDANCE_DAILY!C:C,A66))</f>
        <v/>
      </c>
      <c r="E66" t="str">
        <f>IF(A66="","",COUNTIFS(ATTENDANCE_DAILY!C:C,A66,ATTENDANCE_DAILY!E:E,"Present"))</f>
        <v/>
      </c>
      <c r="F66" t="str">
        <f>IF(A66="","",COUNTIFS(ATTENDANCE_DAILY!C:C,A66,ATTENDANCE_DAILY!E:E,"Absent"))</f>
        <v/>
      </c>
      <c r="G66" s="5" t="e">
        <f t="shared" ref="G66:G129" si="2">IF(D66=0,"",E66/D66)</f>
        <v>#VALUE!</v>
      </c>
      <c r="H66" s="4" t="e">
        <f t="shared" ref="H66:H129" si="3">IF(G66="","",IF(G66&lt;0.75,"Low Attendance","OK"))</f>
        <v>#VALUE!</v>
      </c>
    </row>
    <row r="67" spans="1:8" x14ac:dyDescent="0.3">
      <c r="A67" t="str">
        <f>IF(MASTER_REGISTER!E67="","",MASTER_REGISTER!E67)</f>
        <v/>
      </c>
      <c r="B67" t="str">
        <f>IF(A67="","",MASTER_REGISTER!F67)</f>
        <v/>
      </c>
      <c r="C67" t="str">
        <f>IF(A67="","",MASTER_REGISTER!C67)</f>
        <v/>
      </c>
      <c r="D67" t="str">
        <f>IF(A67="","",COUNTIF(ATTENDANCE_DAILY!C:C,A67))</f>
        <v/>
      </c>
      <c r="E67" t="str">
        <f>IF(A67="","",COUNTIFS(ATTENDANCE_DAILY!C:C,A67,ATTENDANCE_DAILY!E:E,"Present"))</f>
        <v/>
      </c>
      <c r="F67" t="str">
        <f>IF(A67="","",COUNTIFS(ATTENDANCE_DAILY!C:C,A67,ATTENDANCE_DAILY!E:E,"Absent"))</f>
        <v/>
      </c>
      <c r="G67" s="5" t="e">
        <f t="shared" si="2"/>
        <v>#VALUE!</v>
      </c>
      <c r="H67" s="4" t="e">
        <f t="shared" si="3"/>
        <v>#VALUE!</v>
      </c>
    </row>
    <row r="68" spans="1:8" x14ac:dyDescent="0.3">
      <c r="A68" t="str">
        <f>IF(MASTER_REGISTER!E68="","",MASTER_REGISTER!E68)</f>
        <v/>
      </c>
      <c r="B68" t="str">
        <f>IF(A68="","",MASTER_REGISTER!F68)</f>
        <v/>
      </c>
      <c r="C68" t="str">
        <f>IF(A68="","",MASTER_REGISTER!C68)</f>
        <v/>
      </c>
      <c r="D68" t="str">
        <f>IF(A68="","",COUNTIF(ATTENDANCE_DAILY!C:C,A68))</f>
        <v/>
      </c>
      <c r="E68" t="str">
        <f>IF(A68="","",COUNTIFS(ATTENDANCE_DAILY!C:C,A68,ATTENDANCE_DAILY!E:E,"Present"))</f>
        <v/>
      </c>
      <c r="F68" t="str">
        <f>IF(A68="","",COUNTIFS(ATTENDANCE_DAILY!C:C,A68,ATTENDANCE_DAILY!E:E,"Absent"))</f>
        <v/>
      </c>
      <c r="G68" s="5" t="e">
        <f t="shared" si="2"/>
        <v>#VALUE!</v>
      </c>
      <c r="H68" s="4" t="e">
        <f t="shared" si="3"/>
        <v>#VALUE!</v>
      </c>
    </row>
    <row r="69" spans="1:8" x14ac:dyDescent="0.3">
      <c r="A69" t="str">
        <f>IF(MASTER_REGISTER!E69="","",MASTER_REGISTER!E69)</f>
        <v/>
      </c>
      <c r="B69" t="str">
        <f>IF(A69="","",MASTER_REGISTER!F69)</f>
        <v/>
      </c>
      <c r="C69" t="str">
        <f>IF(A69="","",MASTER_REGISTER!C69)</f>
        <v/>
      </c>
      <c r="D69" t="str">
        <f>IF(A69="","",COUNTIF(ATTENDANCE_DAILY!C:C,A69))</f>
        <v/>
      </c>
      <c r="E69" t="str">
        <f>IF(A69="","",COUNTIFS(ATTENDANCE_DAILY!C:C,A69,ATTENDANCE_DAILY!E:E,"Present"))</f>
        <v/>
      </c>
      <c r="F69" t="str">
        <f>IF(A69="","",COUNTIFS(ATTENDANCE_DAILY!C:C,A69,ATTENDANCE_DAILY!E:E,"Absent"))</f>
        <v/>
      </c>
      <c r="G69" s="5" t="e">
        <f t="shared" si="2"/>
        <v>#VALUE!</v>
      </c>
      <c r="H69" s="4" t="e">
        <f t="shared" si="3"/>
        <v>#VALUE!</v>
      </c>
    </row>
    <row r="70" spans="1:8" x14ac:dyDescent="0.3">
      <c r="A70" t="str">
        <f>IF(MASTER_REGISTER!E70="","",MASTER_REGISTER!E70)</f>
        <v/>
      </c>
      <c r="B70" t="str">
        <f>IF(A70="","",MASTER_REGISTER!F70)</f>
        <v/>
      </c>
      <c r="C70" t="str">
        <f>IF(A70="","",MASTER_REGISTER!C70)</f>
        <v/>
      </c>
      <c r="D70" t="str">
        <f>IF(A70="","",COUNTIF(ATTENDANCE_DAILY!C:C,A70))</f>
        <v/>
      </c>
      <c r="E70" t="str">
        <f>IF(A70="","",COUNTIFS(ATTENDANCE_DAILY!C:C,A70,ATTENDANCE_DAILY!E:E,"Present"))</f>
        <v/>
      </c>
      <c r="F70" t="str">
        <f>IF(A70="","",COUNTIFS(ATTENDANCE_DAILY!C:C,A70,ATTENDANCE_DAILY!E:E,"Absent"))</f>
        <v/>
      </c>
      <c r="G70" s="5" t="e">
        <f t="shared" si="2"/>
        <v>#VALUE!</v>
      </c>
      <c r="H70" s="4" t="e">
        <f t="shared" si="3"/>
        <v>#VALUE!</v>
      </c>
    </row>
    <row r="71" spans="1:8" x14ac:dyDescent="0.3">
      <c r="A71" t="str">
        <f>IF(MASTER_REGISTER!E71="","",MASTER_REGISTER!E71)</f>
        <v/>
      </c>
      <c r="B71" t="str">
        <f>IF(A71="","",MASTER_REGISTER!F71)</f>
        <v/>
      </c>
      <c r="C71" t="str">
        <f>IF(A71="","",MASTER_REGISTER!C71)</f>
        <v/>
      </c>
      <c r="D71" t="str">
        <f>IF(A71="","",COUNTIF(ATTENDANCE_DAILY!C:C,A71))</f>
        <v/>
      </c>
      <c r="E71" t="str">
        <f>IF(A71="","",COUNTIFS(ATTENDANCE_DAILY!C:C,A71,ATTENDANCE_DAILY!E:E,"Present"))</f>
        <v/>
      </c>
      <c r="F71" t="str">
        <f>IF(A71="","",COUNTIFS(ATTENDANCE_DAILY!C:C,A71,ATTENDANCE_DAILY!E:E,"Absent"))</f>
        <v/>
      </c>
      <c r="G71" s="5" t="e">
        <f t="shared" si="2"/>
        <v>#VALUE!</v>
      </c>
      <c r="H71" s="4" t="e">
        <f t="shared" si="3"/>
        <v>#VALUE!</v>
      </c>
    </row>
    <row r="72" spans="1:8" x14ac:dyDescent="0.3">
      <c r="A72" t="str">
        <f>IF(MASTER_REGISTER!E72="","",MASTER_REGISTER!E72)</f>
        <v/>
      </c>
      <c r="B72" t="str">
        <f>IF(A72="","",MASTER_REGISTER!F72)</f>
        <v/>
      </c>
      <c r="C72" t="str">
        <f>IF(A72="","",MASTER_REGISTER!C72)</f>
        <v/>
      </c>
      <c r="D72" t="str">
        <f>IF(A72="","",COUNTIF(ATTENDANCE_DAILY!C:C,A72))</f>
        <v/>
      </c>
      <c r="E72" t="str">
        <f>IF(A72="","",COUNTIFS(ATTENDANCE_DAILY!C:C,A72,ATTENDANCE_DAILY!E:E,"Present"))</f>
        <v/>
      </c>
      <c r="F72" t="str">
        <f>IF(A72="","",COUNTIFS(ATTENDANCE_DAILY!C:C,A72,ATTENDANCE_DAILY!E:E,"Absent"))</f>
        <v/>
      </c>
      <c r="G72" s="5" t="e">
        <f t="shared" si="2"/>
        <v>#VALUE!</v>
      </c>
      <c r="H72" s="4" t="e">
        <f t="shared" si="3"/>
        <v>#VALUE!</v>
      </c>
    </row>
    <row r="73" spans="1:8" x14ac:dyDescent="0.3">
      <c r="A73" t="str">
        <f>IF(MASTER_REGISTER!E73="","",MASTER_REGISTER!E73)</f>
        <v/>
      </c>
      <c r="B73" t="str">
        <f>IF(A73="","",MASTER_REGISTER!F73)</f>
        <v/>
      </c>
      <c r="C73" t="str">
        <f>IF(A73="","",MASTER_REGISTER!C73)</f>
        <v/>
      </c>
      <c r="D73" t="str">
        <f>IF(A73="","",COUNTIF(ATTENDANCE_DAILY!C:C,A73))</f>
        <v/>
      </c>
      <c r="E73" t="str">
        <f>IF(A73="","",COUNTIFS(ATTENDANCE_DAILY!C:C,A73,ATTENDANCE_DAILY!E:E,"Present"))</f>
        <v/>
      </c>
      <c r="F73" t="str">
        <f>IF(A73="","",COUNTIFS(ATTENDANCE_DAILY!C:C,A73,ATTENDANCE_DAILY!E:E,"Absent"))</f>
        <v/>
      </c>
      <c r="G73" s="5" t="e">
        <f t="shared" si="2"/>
        <v>#VALUE!</v>
      </c>
      <c r="H73" s="4" t="e">
        <f t="shared" si="3"/>
        <v>#VALUE!</v>
      </c>
    </row>
    <row r="74" spans="1:8" x14ac:dyDescent="0.3">
      <c r="A74" t="str">
        <f>IF(MASTER_REGISTER!E74="","",MASTER_REGISTER!E74)</f>
        <v/>
      </c>
      <c r="B74" t="str">
        <f>IF(A74="","",MASTER_REGISTER!F74)</f>
        <v/>
      </c>
      <c r="C74" t="str">
        <f>IF(A74="","",MASTER_REGISTER!C74)</f>
        <v/>
      </c>
      <c r="D74" t="str">
        <f>IF(A74="","",COUNTIF(ATTENDANCE_DAILY!C:C,A74))</f>
        <v/>
      </c>
      <c r="E74" t="str">
        <f>IF(A74="","",COUNTIFS(ATTENDANCE_DAILY!C:C,A74,ATTENDANCE_DAILY!E:E,"Present"))</f>
        <v/>
      </c>
      <c r="F74" t="str">
        <f>IF(A74="","",COUNTIFS(ATTENDANCE_DAILY!C:C,A74,ATTENDANCE_DAILY!E:E,"Absent"))</f>
        <v/>
      </c>
      <c r="G74" s="5" t="e">
        <f t="shared" si="2"/>
        <v>#VALUE!</v>
      </c>
      <c r="H74" s="4" t="e">
        <f t="shared" si="3"/>
        <v>#VALUE!</v>
      </c>
    </row>
    <row r="75" spans="1:8" x14ac:dyDescent="0.3">
      <c r="A75" t="str">
        <f>IF(MASTER_REGISTER!E75="","",MASTER_REGISTER!E75)</f>
        <v/>
      </c>
      <c r="B75" t="str">
        <f>IF(A75="","",MASTER_REGISTER!F75)</f>
        <v/>
      </c>
      <c r="C75" t="str">
        <f>IF(A75="","",MASTER_REGISTER!C75)</f>
        <v/>
      </c>
      <c r="D75" t="str">
        <f>IF(A75="","",COUNTIF(ATTENDANCE_DAILY!C:C,A75))</f>
        <v/>
      </c>
      <c r="E75" t="str">
        <f>IF(A75="","",COUNTIFS(ATTENDANCE_DAILY!C:C,A75,ATTENDANCE_DAILY!E:E,"Present"))</f>
        <v/>
      </c>
      <c r="F75" t="str">
        <f>IF(A75="","",COUNTIFS(ATTENDANCE_DAILY!C:C,A75,ATTENDANCE_DAILY!E:E,"Absent"))</f>
        <v/>
      </c>
      <c r="G75" s="5" t="e">
        <f t="shared" si="2"/>
        <v>#VALUE!</v>
      </c>
      <c r="H75" s="4" t="e">
        <f t="shared" si="3"/>
        <v>#VALUE!</v>
      </c>
    </row>
    <row r="76" spans="1:8" x14ac:dyDescent="0.3">
      <c r="A76" t="str">
        <f>IF(MASTER_REGISTER!E76="","",MASTER_REGISTER!E76)</f>
        <v/>
      </c>
      <c r="B76" t="str">
        <f>IF(A76="","",MASTER_REGISTER!F76)</f>
        <v/>
      </c>
      <c r="C76" t="str">
        <f>IF(A76="","",MASTER_REGISTER!C76)</f>
        <v/>
      </c>
      <c r="D76" t="str">
        <f>IF(A76="","",COUNTIF(ATTENDANCE_DAILY!C:C,A76))</f>
        <v/>
      </c>
      <c r="E76" t="str">
        <f>IF(A76="","",COUNTIFS(ATTENDANCE_DAILY!C:C,A76,ATTENDANCE_DAILY!E:E,"Present"))</f>
        <v/>
      </c>
      <c r="F76" t="str">
        <f>IF(A76="","",COUNTIFS(ATTENDANCE_DAILY!C:C,A76,ATTENDANCE_DAILY!E:E,"Absent"))</f>
        <v/>
      </c>
      <c r="G76" s="5" t="e">
        <f t="shared" si="2"/>
        <v>#VALUE!</v>
      </c>
      <c r="H76" s="4" t="e">
        <f t="shared" si="3"/>
        <v>#VALUE!</v>
      </c>
    </row>
    <row r="77" spans="1:8" x14ac:dyDescent="0.3">
      <c r="A77" t="str">
        <f>IF(MASTER_REGISTER!E77="","",MASTER_REGISTER!E77)</f>
        <v/>
      </c>
      <c r="B77" t="str">
        <f>IF(A77="","",MASTER_REGISTER!F77)</f>
        <v/>
      </c>
      <c r="C77" t="str">
        <f>IF(A77="","",MASTER_REGISTER!C77)</f>
        <v/>
      </c>
      <c r="D77" t="str">
        <f>IF(A77="","",COUNTIF(ATTENDANCE_DAILY!C:C,A77))</f>
        <v/>
      </c>
      <c r="E77" t="str">
        <f>IF(A77="","",COUNTIFS(ATTENDANCE_DAILY!C:C,A77,ATTENDANCE_DAILY!E:E,"Present"))</f>
        <v/>
      </c>
      <c r="F77" t="str">
        <f>IF(A77="","",COUNTIFS(ATTENDANCE_DAILY!C:C,A77,ATTENDANCE_DAILY!E:E,"Absent"))</f>
        <v/>
      </c>
      <c r="G77" s="5" t="e">
        <f t="shared" si="2"/>
        <v>#VALUE!</v>
      </c>
      <c r="H77" s="4" t="e">
        <f t="shared" si="3"/>
        <v>#VALUE!</v>
      </c>
    </row>
    <row r="78" spans="1:8" x14ac:dyDescent="0.3">
      <c r="A78" t="str">
        <f>IF(MASTER_REGISTER!E78="","",MASTER_REGISTER!E78)</f>
        <v/>
      </c>
      <c r="B78" t="str">
        <f>IF(A78="","",MASTER_REGISTER!F78)</f>
        <v/>
      </c>
      <c r="C78" t="str">
        <f>IF(A78="","",MASTER_REGISTER!C78)</f>
        <v/>
      </c>
      <c r="D78" t="str">
        <f>IF(A78="","",COUNTIF(ATTENDANCE_DAILY!C:C,A78))</f>
        <v/>
      </c>
      <c r="E78" t="str">
        <f>IF(A78="","",COUNTIFS(ATTENDANCE_DAILY!C:C,A78,ATTENDANCE_DAILY!E:E,"Present"))</f>
        <v/>
      </c>
      <c r="F78" t="str">
        <f>IF(A78="","",COUNTIFS(ATTENDANCE_DAILY!C:C,A78,ATTENDANCE_DAILY!E:E,"Absent"))</f>
        <v/>
      </c>
      <c r="G78" s="5" t="e">
        <f t="shared" si="2"/>
        <v>#VALUE!</v>
      </c>
      <c r="H78" s="4" t="e">
        <f t="shared" si="3"/>
        <v>#VALUE!</v>
      </c>
    </row>
    <row r="79" spans="1:8" x14ac:dyDescent="0.3">
      <c r="A79" t="str">
        <f>IF(MASTER_REGISTER!E79="","",MASTER_REGISTER!E79)</f>
        <v/>
      </c>
      <c r="B79" t="str">
        <f>IF(A79="","",MASTER_REGISTER!F79)</f>
        <v/>
      </c>
      <c r="C79" t="str">
        <f>IF(A79="","",MASTER_REGISTER!C79)</f>
        <v/>
      </c>
      <c r="D79" t="str">
        <f>IF(A79="","",COUNTIF(ATTENDANCE_DAILY!C:C,A79))</f>
        <v/>
      </c>
      <c r="E79" t="str">
        <f>IF(A79="","",COUNTIFS(ATTENDANCE_DAILY!C:C,A79,ATTENDANCE_DAILY!E:E,"Present"))</f>
        <v/>
      </c>
      <c r="F79" t="str">
        <f>IF(A79="","",COUNTIFS(ATTENDANCE_DAILY!C:C,A79,ATTENDANCE_DAILY!E:E,"Absent"))</f>
        <v/>
      </c>
      <c r="G79" s="5" t="e">
        <f t="shared" si="2"/>
        <v>#VALUE!</v>
      </c>
      <c r="H79" s="4" t="e">
        <f t="shared" si="3"/>
        <v>#VALUE!</v>
      </c>
    </row>
    <row r="80" spans="1:8" x14ac:dyDescent="0.3">
      <c r="A80" t="str">
        <f>IF(MASTER_REGISTER!E80="","",MASTER_REGISTER!E80)</f>
        <v/>
      </c>
      <c r="B80" t="str">
        <f>IF(A80="","",MASTER_REGISTER!F80)</f>
        <v/>
      </c>
      <c r="C80" t="str">
        <f>IF(A80="","",MASTER_REGISTER!C80)</f>
        <v/>
      </c>
      <c r="D80" t="str">
        <f>IF(A80="","",COUNTIF(ATTENDANCE_DAILY!C:C,A80))</f>
        <v/>
      </c>
      <c r="E80" t="str">
        <f>IF(A80="","",COUNTIFS(ATTENDANCE_DAILY!C:C,A80,ATTENDANCE_DAILY!E:E,"Present"))</f>
        <v/>
      </c>
      <c r="F80" t="str">
        <f>IF(A80="","",COUNTIFS(ATTENDANCE_DAILY!C:C,A80,ATTENDANCE_DAILY!E:E,"Absent"))</f>
        <v/>
      </c>
      <c r="G80" s="5" t="e">
        <f t="shared" si="2"/>
        <v>#VALUE!</v>
      </c>
      <c r="H80" s="4" t="e">
        <f t="shared" si="3"/>
        <v>#VALUE!</v>
      </c>
    </row>
    <row r="81" spans="1:8" x14ac:dyDescent="0.3">
      <c r="A81" t="str">
        <f>IF(MASTER_REGISTER!E81="","",MASTER_REGISTER!E81)</f>
        <v/>
      </c>
      <c r="B81" t="str">
        <f>IF(A81="","",MASTER_REGISTER!F81)</f>
        <v/>
      </c>
      <c r="C81" t="str">
        <f>IF(A81="","",MASTER_REGISTER!C81)</f>
        <v/>
      </c>
      <c r="D81" t="str">
        <f>IF(A81="","",COUNTIF(ATTENDANCE_DAILY!C:C,A81))</f>
        <v/>
      </c>
      <c r="E81" t="str">
        <f>IF(A81="","",COUNTIFS(ATTENDANCE_DAILY!C:C,A81,ATTENDANCE_DAILY!E:E,"Present"))</f>
        <v/>
      </c>
      <c r="F81" t="str">
        <f>IF(A81="","",COUNTIFS(ATTENDANCE_DAILY!C:C,A81,ATTENDANCE_DAILY!E:E,"Absent"))</f>
        <v/>
      </c>
      <c r="G81" s="5" t="e">
        <f t="shared" si="2"/>
        <v>#VALUE!</v>
      </c>
      <c r="H81" s="4" t="e">
        <f t="shared" si="3"/>
        <v>#VALUE!</v>
      </c>
    </row>
    <row r="82" spans="1:8" x14ac:dyDescent="0.3">
      <c r="A82" t="str">
        <f>IF(MASTER_REGISTER!E82="","",MASTER_REGISTER!E82)</f>
        <v/>
      </c>
      <c r="B82" t="str">
        <f>IF(A82="","",MASTER_REGISTER!F82)</f>
        <v/>
      </c>
      <c r="C82" t="str">
        <f>IF(A82="","",MASTER_REGISTER!C82)</f>
        <v/>
      </c>
      <c r="D82" t="str">
        <f>IF(A82="","",COUNTIF(ATTENDANCE_DAILY!C:C,A82))</f>
        <v/>
      </c>
      <c r="E82" t="str">
        <f>IF(A82="","",COUNTIFS(ATTENDANCE_DAILY!C:C,A82,ATTENDANCE_DAILY!E:E,"Present"))</f>
        <v/>
      </c>
      <c r="F82" t="str">
        <f>IF(A82="","",COUNTIFS(ATTENDANCE_DAILY!C:C,A82,ATTENDANCE_DAILY!E:E,"Absent"))</f>
        <v/>
      </c>
      <c r="G82" s="5" t="e">
        <f t="shared" si="2"/>
        <v>#VALUE!</v>
      </c>
      <c r="H82" s="4" t="e">
        <f t="shared" si="3"/>
        <v>#VALUE!</v>
      </c>
    </row>
    <row r="83" spans="1:8" x14ac:dyDescent="0.3">
      <c r="A83" t="str">
        <f>IF(MASTER_REGISTER!E83="","",MASTER_REGISTER!E83)</f>
        <v/>
      </c>
      <c r="B83" t="str">
        <f>IF(A83="","",MASTER_REGISTER!F83)</f>
        <v/>
      </c>
      <c r="C83" t="str">
        <f>IF(A83="","",MASTER_REGISTER!C83)</f>
        <v/>
      </c>
      <c r="D83" t="str">
        <f>IF(A83="","",COUNTIF(ATTENDANCE_DAILY!C:C,A83))</f>
        <v/>
      </c>
      <c r="E83" t="str">
        <f>IF(A83="","",COUNTIFS(ATTENDANCE_DAILY!C:C,A83,ATTENDANCE_DAILY!E:E,"Present"))</f>
        <v/>
      </c>
      <c r="F83" t="str">
        <f>IF(A83="","",COUNTIFS(ATTENDANCE_DAILY!C:C,A83,ATTENDANCE_DAILY!E:E,"Absent"))</f>
        <v/>
      </c>
      <c r="G83" s="5" t="e">
        <f t="shared" si="2"/>
        <v>#VALUE!</v>
      </c>
      <c r="H83" s="4" t="e">
        <f t="shared" si="3"/>
        <v>#VALUE!</v>
      </c>
    </row>
    <row r="84" spans="1:8" x14ac:dyDescent="0.3">
      <c r="A84" t="str">
        <f>IF(MASTER_REGISTER!E84="","",MASTER_REGISTER!E84)</f>
        <v/>
      </c>
      <c r="B84" t="str">
        <f>IF(A84="","",MASTER_REGISTER!F84)</f>
        <v/>
      </c>
      <c r="C84" t="str">
        <f>IF(A84="","",MASTER_REGISTER!C84)</f>
        <v/>
      </c>
      <c r="D84" t="str">
        <f>IF(A84="","",COUNTIF(ATTENDANCE_DAILY!C:C,A84))</f>
        <v/>
      </c>
      <c r="E84" t="str">
        <f>IF(A84="","",COUNTIFS(ATTENDANCE_DAILY!C:C,A84,ATTENDANCE_DAILY!E:E,"Present"))</f>
        <v/>
      </c>
      <c r="F84" t="str">
        <f>IF(A84="","",COUNTIFS(ATTENDANCE_DAILY!C:C,A84,ATTENDANCE_DAILY!E:E,"Absent"))</f>
        <v/>
      </c>
      <c r="G84" s="5" t="e">
        <f t="shared" si="2"/>
        <v>#VALUE!</v>
      </c>
      <c r="H84" s="4" t="e">
        <f t="shared" si="3"/>
        <v>#VALUE!</v>
      </c>
    </row>
    <row r="85" spans="1:8" x14ac:dyDescent="0.3">
      <c r="A85" t="str">
        <f>IF(MASTER_REGISTER!E85="","",MASTER_REGISTER!E85)</f>
        <v/>
      </c>
      <c r="B85" t="str">
        <f>IF(A85="","",MASTER_REGISTER!F85)</f>
        <v/>
      </c>
      <c r="C85" t="str">
        <f>IF(A85="","",MASTER_REGISTER!C85)</f>
        <v/>
      </c>
      <c r="D85" t="str">
        <f>IF(A85="","",COUNTIF(ATTENDANCE_DAILY!C:C,A85))</f>
        <v/>
      </c>
      <c r="E85" t="str">
        <f>IF(A85="","",COUNTIFS(ATTENDANCE_DAILY!C:C,A85,ATTENDANCE_DAILY!E:E,"Present"))</f>
        <v/>
      </c>
      <c r="F85" t="str">
        <f>IF(A85="","",COUNTIFS(ATTENDANCE_DAILY!C:C,A85,ATTENDANCE_DAILY!E:E,"Absent"))</f>
        <v/>
      </c>
      <c r="G85" s="5" t="e">
        <f t="shared" si="2"/>
        <v>#VALUE!</v>
      </c>
      <c r="H85" s="4" t="e">
        <f t="shared" si="3"/>
        <v>#VALUE!</v>
      </c>
    </row>
    <row r="86" spans="1:8" x14ac:dyDescent="0.3">
      <c r="A86" t="str">
        <f>IF(MASTER_REGISTER!E86="","",MASTER_REGISTER!E86)</f>
        <v/>
      </c>
      <c r="B86" t="str">
        <f>IF(A86="","",MASTER_REGISTER!F86)</f>
        <v/>
      </c>
      <c r="C86" t="str">
        <f>IF(A86="","",MASTER_REGISTER!C86)</f>
        <v/>
      </c>
      <c r="D86" t="str">
        <f>IF(A86="","",COUNTIF(ATTENDANCE_DAILY!C:C,A86))</f>
        <v/>
      </c>
      <c r="E86" t="str">
        <f>IF(A86="","",COUNTIFS(ATTENDANCE_DAILY!C:C,A86,ATTENDANCE_DAILY!E:E,"Present"))</f>
        <v/>
      </c>
      <c r="F86" t="str">
        <f>IF(A86="","",COUNTIFS(ATTENDANCE_DAILY!C:C,A86,ATTENDANCE_DAILY!E:E,"Absent"))</f>
        <v/>
      </c>
      <c r="G86" s="5" t="e">
        <f t="shared" si="2"/>
        <v>#VALUE!</v>
      </c>
      <c r="H86" s="4" t="e">
        <f t="shared" si="3"/>
        <v>#VALUE!</v>
      </c>
    </row>
    <row r="87" spans="1:8" x14ac:dyDescent="0.3">
      <c r="A87" t="str">
        <f>IF(MASTER_REGISTER!E87="","",MASTER_REGISTER!E87)</f>
        <v/>
      </c>
      <c r="B87" t="str">
        <f>IF(A87="","",MASTER_REGISTER!F87)</f>
        <v/>
      </c>
      <c r="C87" t="str">
        <f>IF(A87="","",MASTER_REGISTER!C87)</f>
        <v/>
      </c>
      <c r="D87" t="str">
        <f>IF(A87="","",COUNTIF(ATTENDANCE_DAILY!C:C,A87))</f>
        <v/>
      </c>
      <c r="E87" t="str">
        <f>IF(A87="","",COUNTIFS(ATTENDANCE_DAILY!C:C,A87,ATTENDANCE_DAILY!E:E,"Present"))</f>
        <v/>
      </c>
      <c r="F87" t="str">
        <f>IF(A87="","",COUNTIFS(ATTENDANCE_DAILY!C:C,A87,ATTENDANCE_DAILY!E:E,"Absent"))</f>
        <v/>
      </c>
      <c r="G87" s="5" t="e">
        <f t="shared" si="2"/>
        <v>#VALUE!</v>
      </c>
      <c r="H87" s="4" t="e">
        <f t="shared" si="3"/>
        <v>#VALUE!</v>
      </c>
    </row>
    <row r="88" spans="1:8" x14ac:dyDescent="0.3">
      <c r="A88" t="str">
        <f>IF(MASTER_REGISTER!E88="","",MASTER_REGISTER!E88)</f>
        <v/>
      </c>
      <c r="B88" t="str">
        <f>IF(A88="","",MASTER_REGISTER!F88)</f>
        <v/>
      </c>
      <c r="C88" t="str">
        <f>IF(A88="","",MASTER_REGISTER!C88)</f>
        <v/>
      </c>
      <c r="D88" t="str">
        <f>IF(A88="","",COUNTIF(ATTENDANCE_DAILY!C:C,A88))</f>
        <v/>
      </c>
      <c r="E88" t="str">
        <f>IF(A88="","",COUNTIFS(ATTENDANCE_DAILY!C:C,A88,ATTENDANCE_DAILY!E:E,"Present"))</f>
        <v/>
      </c>
      <c r="F88" t="str">
        <f>IF(A88="","",COUNTIFS(ATTENDANCE_DAILY!C:C,A88,ATTENDANCE_DAILY!E:E,"Absent"))</f>
        <v/>
      </c>
      <c r="G88" s="5" t="e">
        <f t="shared" si="2"/>
        <v>#VALUE!</v>
      </c>
      <c r="H88" s="4" t="e">
        <f t="shared" si="3"/>
        <v>#VALUE!</v>
      </c>
    </row>
    <row r="89" spans="1:8" x14ac:dyDescent="0.3">
      <c r="A89" t="str">
        <f>IF(MASTER_REGISTER!E89="","",MASTER_REGISTER!E89)</f>
        <v/>
      </c>
      <c r="B89" t="str">
        <f>IF(A89="","",MASTER_REGISTER!F89)</f>
        <v/>
      </c>
      <c r="C89" t="str">
        <f>IF(A89="","",MASTER_REGISTER!C89)</f>
        <v/>
      </c>
      <c r="D89" t="str">
        <f>IF(A89="","",COUNTIF(ATTENDANCE_DAILY!C:C,A89))</f>
        <v/>
      </c>
      <c r="E89" t="str">
        <f>IF(A89="","",COUNTIFS(ATTENDANCE_DAILY!C:C,A89,ATTENDANCE_DAILY!E:E,"Present"))</f>
        <v/>
      </c>
      <c r="F89" t="str">
        <f>IF(A89="","",COUNTIFS(ATTENDANCE_DAILY!C:C,A89,ATTENDANCE_DAILY!E:E,"Absent"))</f>
        <v/>
      </c>
      <c r="G89" s="5" t="e">
        <f t="shared" si="2"/>
        <v>#VALUE!</v>
      </c>
      <c r="H89" s="4" t="e">
        <f t="shared" si="3"/>
        <v>#VALUE!</v>
      </c>
    </row>
    <row r="90" spans="1:8" x14ac:dyDescent="0.3">
      <c r="A90" t="str">
        <f>IF(MASTER_REGISTER!E90="","",MASTER_REGISTER!E90)</f>
        <v/>
      </c>
      <c r="B90" t="str">
        <f>IF(A90="","",MASTER_REGISTER!F90)</f>
        <v/>
      </c>
      <c r="C90" t="str">
        <f>IF(A90="","",MASTER_REGISTER!C90)</f>
        <v/>
      </c>
      <c r="D90" t="str">
        <f>IF(A90="","",COUNTIF(ATTENDANCE_DAILY!C:C,A90))</f>
        <v/>
      </c>
      <c r="E90" t="str">
        <f>IF(A90="","",COUNTIFS(ATTENDANCE_DAILY!C:C,A90,ATTENDANCE_DAILY!E:E,"Present"))</f>
        <v/>
      </c>
      <c r="F90" t="str">
        <f>IF(A90="","",COUNTIFS(ATTENDANCE_DAILY!C:C,A90,ATTENDANCE_DAILY!E:E,"Absent"))</f>
        <v/>
      </c>
      <c r="G90" s="5" t="e">
        <f t="shared" si="2"/>
        <v>#VALUE!</v>
      </c>
      <c r="H90" s="4" t="e">
        <f t="shared" si="3"/>
        <v>#VALUE!</v>
      </c>
    </row>
    <row r="91" spans="1:8" x14ac:dyDescent="0.3">
      <c r="A91" t="str">
        <f>IF(MASTER_REGISTER!E91="","",MASTER_REGISTER!E91)</f>
        <v/>
      </c>
      <c r="B91" t="str">
        <f>IF(A91="","",MASTER_REGISTER!F91)</f>
        <v/>
      </c>
      <c r="C91" t="str">
        <f>IF(A91="","",MASTER_REGISTER!C91)</f>
        <v/>
      </c>
      <c r="D91" t="str">
        <f>IF(A91="","",COUNTIF(ATTENDANCE_DAILY!C:C,A91))</f>
        <v/>
      </c>
      <c r="E91" t="str">
        <f>IF(A91="","",COUNTIFS(ATTENDANCE_DAILY!C:C,A91,ATTENDANCE_DAILY!E:E,"Present"))</f>
        <v/>
      </c>
      <c r="F91" t="str">
        <f>IF(A91="","",COUNTIFS(ATTENDANCE_DAILY!C:C,A91,ATTENDANCE_DAILY!E:E,"Absent"))</f>
        <v/>
      </c>
      <c r="G91" s="5" t="e">
        <f t="shared" si="2"/>
        <v>#VALUE!</v>
      </c>
      <c r="H91" s="4" t="e">
        <f t="shared" si="3"/>
        <v>#VALUE!</v>
      </c>
    </row>
    <row r="92" spans="1:8" x14ac:dyDescent="0.3">
      <c r="A92" t="str">
        <f>IF(MASTER_REGISTER!E92="","",MASTER_REGISTER!E92)</f>
        <v/>
      </c>
      <c r="B92" t="str">
        <f>IF(A92="","",MASTER_REGISTER!F92)</f>
        <v/>
      </c>
      <c r="C92" t="str">
        <f>IF(A92="","",MASTER_REGISTER!C92)</f>
        <v/>
      </c>
      <c r="D92" t="str">
        <f>IF(A92="","",COUNTIF(ATTENDANCE_DAILY!C:C,A92))</f>
        <v/>
      </c>
      <c r="E92" t="str">
        <f>IF(A92="","",COUNTIFS(ATTENDANCE_DAILY!C:C,A92,ATTENDANCE_DAILY!E:E,"Present"))</f>
        <v/>
      </c>
      <c r="F92" t="str">
        <f>IF(A92="","",COUNTIFS(ATTENDANCE_DAILY!C:C,A92,ATTENDANCE_DAILY!E:E,"Absent"))</f>
        <v/>
      </c>
      <c r="G92" s="5" t="e">
        <f t="shared" si="2"/>
        <v>#VALUE!</v>
      </c>
      <c r="H92" s="4" t="e">
        <f t="shared" si="3"/>
        <v>#VALUE!</v>
      </c>
    </row>
    <row r="93" spans="1:8" x14ac:dyDescent="0.3">
      <c r="A93" t="str">
        <f>IF(MASTER_REGISTER!E93="","",MASTER_REGISTER!E93)</f>
        <v/>
      </c>
      <c r="B93" t="str">
        <f>IF(A93="","",MASTER_REGISTER!F93)</f>
        <v/>
      </c>
      <c r="C93" t="str">
        <f>IF(A93="","",MASTER_REGISTER!C93)</f>
        <v/>
      </c>
      <c r="D93" t="str">
        <f>IF(A93="","",COUNTIF(ATTENDANCE_DAILY!C:C,A93))</f>
        <v/>
      </c>
      <c r="E93" t="str">
        <f>IF(A93="","",COUNTIFS(ATTENDANCE_DAILY!C:C,A93,ATTENDANCE_DAILY!E:E,"Present"))</f>
        <v/>
      </c>
      <c r="F93" t="str">
        <f>IF(A93="","",COUNTIFS(ATTENDANCE_DAILY!C:C,A93,ATTENDANCE_DAILY!E:E,"Absent"))</f>
        <v/>
      </c>
      <c r="G93" s="5" t="e">
        <f t="shared" si="2"/>
        <v>#VALUE!</v>
      </c>
      <c r="H93" s="4" t="e">
        <f t="shared" si="3"/>
        <v>#VALUE!</v>
      </c>
    </row>
    <row r="94" spans="1:8" x14ac:dyDescent="0.3">
      <c r="A94" t="str">
        <f>IF(MASTER_REGISTER!E94="","",MASTER_REGISTER!E94)</f>
        <v/>
      </c>
      <c r="B94" t="str">
        <f>IF(A94="","",MASTER_REGISTER!F94)</f>
        <v/>
      </c>
      <c r="C94" t="str">
        <f>IF(A94="","",MASTER_REGISTER!C94)</f>
        <v/>
      </c>
      <c r="D94" t="str">
        <f>IF(A94="","",COUNTIF(ATTENDANCE_DAILY!C:C,A94))</f>
        <v/>
      </c>
      <c r="E94" t="str">
        <f>IF(A94="","",COUNTIFS(ATTENDANCE_DAILY!C:C,A94,ATTENDANCE_DAILY!E:E,"Present"))</f>
        <v/>
      </c>
      <c r="F94" t="str">
        <f>IF(A94="","",COUNTIFS(ATTENDANCE_DAILY!C:C,A94,ATTENDANCE_DAILY!E:E,"Absent"))</f>
        <v/>
      </c>
      <c r="G94" s="5" t="e">
        <f t="shared" si="2"/>
        <v>#VALUE!</v>
      </c>
      <c r="H94" s="4" t="e">
        <f t="shared" si="3"/>
        <v>#VALUE!</v>
      </c>
    </row>
    <row r="95" spans="1:8" x14ac:dyDescent="0.3">
      <c r="A95" t="str">
        <f>IF(MASTER_REGISTER!E95="","",MASTER_REGISTER!E95)</f>
        <v/>
      </c>
      <c r="B95" t="str">
        <f>IF(A95="","",MASTER_REGISTER!F95)</f>
        <v/>
      </c>
      <c r="C95" t="str">
        <f>IF(A95="","",MASTER_REGISTER!C95)</f>
        <v/>
      </c>
      <c r="D95" t="str">
        <f>IF(A95="","",COUNTIF(ATTENDANCE_DAILY!C:C,A95))</f>
        <v/>
      </c>
      <c r="E95" t="str">
        <f>IF(A95="","",COUNTIFS(ATTENDANCE_DAILY!C:C,A95,ATTENDANCE_DAILY!E:E,"Present"))</f>
        <v/>
      </c>
      <c r="F95" t="str">
        <f>IF(A95="","",COUNTIFS(ATTENDANCE_DAILY!C:C,A95,ATTENDANCE_DAILY!E:E,"Absent"))</f>
        <v/>
      </c>
      <c r="G95" s="5" t="e">
        <f t="shared" si="2"/>
        <v>#VALUE!</v>
      </c>
      <c r="H95" s="4" t="e">
        <f t="shared" si="3"/>
        <v>#VALUE!</v>
      </c>
    </row>
    <row r="96" spans="1:8" x14ac:dyDescent="0.3">
      <c r="A96" t="str">
        <f>IF(MASTER_REGISTER!E96="","",MASTER_REGISTER!E96)</f>
        <v/>
      </c>
      <c r="B96" t="str">
        <f>IF(A96="","",MASTER_REGISTER!F96)</f>
        <v/>
      </c>
      <c r="C96" t="str">
        <f>IF(A96="","",MASTER_REGISTER!C96)</f>
        <v/>
      </c>
      <c r="D96" t="str">
        <f>IF(A96="","",COUNTIF(ATTENDANCE_DAILY!C:C,A96))</f>
        <v/>
      </c>
      <c r="E96" t="str">
        <f>IF(A96="","",COUNTIFS(ATTENDANCE_DAILY!C:C,A96,ATTENDANCE_DAILY!E:E,"Present"))</f>
        <v/>
      </c>
      <c r="F96" t="str">
        <f>IF(A96="","",COUNTIFS(ATTENDANCE_DAILY!C:C,A96,ATTENDANCE_DAILY!E:E,"Absent"))</f>
        <v/>
      </c>
      <c r="G96" s="5" t="e">
        <f t="shared" si="2"/>
        <v>#VALUE!</v>
      </c>
      <c r="H96" s="4" t="e">
        <f t="shared" si="3"/>
        <v>#VALUE!</v>
      </c>
    </row>
    <row r="97" spans="1:8" x14ac:dyDescent="0.3">
      <c r="A97" t="str">
        <f>IF(MASTER_REGISTER!E97="","",MASTER_REGISTER!E97)</f>
        <v/>
      </c>
      <c r="B97" t="str">
        <f>IF(A97="","",MASTER_REGISTER!F97)</f>
        <v/>
      </c>
      <c r="C97" t="str">
        <f>IF(A97="","",MASTER_REGISTER!C97)</f>
        <v/>
      </c>
      <c r="D97" t="str">
        <f>IF(A97="","",COUNTIF(ATTENDANCE_DAILY!C:C,A97))</f>
        <v/>
      </c>
      <c r="E97" t="str">
        <f>IF(A97="","",COUNTIFS(ATTENDANCE_DAILY!C:C,A97,ATTENDANCE_DAILY!E:E,"Present"))</f>
        <v/>
      </c>
      <c r="F97" t="str">
        <f>IF(A97="","",COUNTIFS(ATTENDANCE_DAILY!C:C,A97,ATTENDANCE_DAILY!E:E,"Absent"))</f>
        <v/>
      </c>
      <c r="G97" s="5" t="e">
        <f t="shared" si="2"/>
        <v>#VALUE!</v>
      </c>
      <c r="H97" s="4" t="e">
        <f t="shared" si="3"/>
        <v>#VALUE!</v>
      </c>
    </row>
    <row r="98" spans="1:8" x14ac:dyDescent="0.3">
      <c r="A98" t="str">
        <f>IF(MASTER_REGISTER!E98="","",MASTER_REGISTER!E98)</f>
        <v/>
      </c>
      <c r="B98" t="str">
        <f>IF(A98="","",MASTER_REGISTER!F98)</f>
        <v/>
      </c>
      <c r="C98" t="str">
        <f>IF(A98="","",MASTER_REGISTER!C98)</f>
        <v/>
      </c>
      <c r="D98" t="str">
        <f>IF(A98="","",COUNTIF(ATTENDANCE_DAILY!C:C,A98))</f>
        <v/>
      </c>
      <c r="E98" t="str">
        <f>IF(A98="","",COUNTIFS(ATTENDANCE_DAILY!C:C,A98,ATTENDANCE_DAILY!E:E,"Present"))</f>
        <v/>
      </c>
      <c r="F98" t="str">
        <f>IF(A98="","",COUNTIFS(ATTENDANCE_DAILY!C:C,A98,ATTENDANCE_DAILY!E:E,"Absent"))</f>
        <v/>
      </c>
      <c r="G98" s="5" t="e">
        <f t="shared" si="2"/>
        <v>#VALUE!</v>
      </c>
      <c r="H98" s="4" t="e">
        <f t="shared" si="3"/>
        <v>#VALUE!</v>
      </c>
    </row>
    <row r="99" spans="1:8" x14ac:dyDescent="0.3">
      <c r="A99" t="str">
        <f>IF(MASTER_REGISTER!E99="","",MASTER_REGISTER!E99)</f>
        <v/>
      </c>
      <c r="B99" t="str">
        <f>IF(A99="","",MASTER_REGISTER!F99)</f>
        <v/>
      </c>
      <c r="C99" t="str">
        <f>IF(A99="","",MASTER_REGISTER!C99)</f>
        <v/>
      </c>
      <c r="D99" t="str">
        <f>IF(A99="","",COUNTIF(ATTENDANCE_DAILY!C:C,A99))</f>
        <v/>
      </c>
      <c r="E99" t="str">
        <f>IF(A99="","",COUNTIFS(ATTENDANCE_DAILY!C:C,A99,ATTENDANCE_DAILY!E:E,"Present"))</f>
        <v/>
      </c>
      <c r="F99" t="str">
        <f>IF(A99="","",COUNTIFS(ATTENDANCE_DAILY!C:C,A99,ATTENDANCE_DAILY!E:E,"Absent"))</f>
        <v/>
      </c>
      <c r="G99" s="5" t="e">
        <f t="shared" si="2"/>
        <v>#VALUE!</v>
      </c>
      <c r="H99" s="4" t="e">
        <f t="shared" si="3"/>
        <v>#VALUE!</v>
      </c>
    </row>
    <row r="100" spans="1:8" x14ac:dyDescent="0.3">
      <c r="A100" t="str">
        <f>IF(MASTER_REGISTER!E100="","",MASTER_REGISTER!E100)</f>
        <v/>
      </c>
      <c r="B100" t="str">
        <f>IF(A100="","",MASTER_REGISTER!F100)</f>
        <v/>
      </c>
      <c r="C100" t="str">
        <f>IF(A100="","",MASTER_REGISTER!C100)</f>
        <v/>
      </c>
      <c r="D100" t="str">
        <f>IF(A100="","",COUNTIF(ATTENDANCE_DAILY!C:C,A100))</f>
        <v/>
      </c>
      <c r="E100" t="str">
        <f>IF(A100="","",COUNTIFS(ATTENDANCE_DAILY!C:C,A100,ATTENDANCE_DAILY!E:E,"Present"))</f>
        <v/>
      </c>
      <c r="F100" t="str">
        <f>IF(A100="","",COUNTIFS(ATTENDANCE_DAILY!C:C,A100,ATTENDANCE_DAILY!E:E,"Absent"))</f>
        <v/>
      </c>
      <c r="G100" s="5" t="e">
        <f t="shared" si="2"/>
        <v>#VALUE!</v>
      </c>
      <c r="H100" s="4" t="e">
        <f t="shared" si="3"/>
        <v>#VALUE!</v>
      </c>
    </row>
    <row r="101" spans="1:8" x14ac:dyDescent="0.3">
      <c r="A101" t="str">
        <f>IF(MASTER_REGISTER!E101="","",MASTER_REGISTER!E101)</f>
        <v/>
      </c>
      <c r="B101" t="str">
        <f>IF(A101="","",MASTER_REGISTER!F101)</f>
        <v/>
      </c>
      <c r="C101" t="str">
        <f>IF(A101="","",MASTER_REGISTER!C101)</f>
        <v/>
      </c>
      <c r="D101" t="str">
        <f>IF(A101="","",COUNTIF(ATTENDANCE_DAILY!C:C,A101))</f>
        <v/>
      </c>
      <c r="E101" t="str">
        <f>IF(A101="","",COUNTIFS(ATTENDANCE_DAILY!C:C,A101,ATTENDANCE_DAILY!E:E,"Present"))</f>
        <v/>
      </c>
      <c r="F101" t="str">
        <f>IF(A101="","",COUNTIFS(ATTENDANCE_DAILY!C:C,A101,ATTENDANCE_DAILY!E:E,"Absent"))</f>
        <v/>
      </c>
      <c r="G101" s="5" t="e">
        <f t="shared" si="2"/>
        <v>#VALUE!</v>
      </c>
      <c r="H101" s="4" t="e">
        <f t="shared" si="3"/>
        <v>#VALUE!</v>
      </c>
    </row>
    <row r="102" spans="1:8" x14ac:dyDescent="0.3">
      <c r="A102" t="str">
        <f>IF(MASTER_REGISTER!E102="","",MASTER_REGISTER!E102)</f>
        <v/>
      </c>
      <c r="B102" t="str">
        <f>IF(A102="","",MASTER_REGISTER!F102)</f>
        <v/>
      </c>
      <c r="C102" t="str">
        <f>IF(A102="","",MASTER_REGISTER!C102)</f>
        <v/>
      </c>
      <c r="D102" t="str">
        <f>IF(A102="","",COUNTIF(ATTENDANCE_DAILY!C:C,A102))</f>
        <v/>
      </c>
      <c r="E102" t="str">
        <f>IF(A102="","",COUNTIFS(ATTENDANCE_DAILY!C:C,A102,ATTENDANCE_DAILY!E:E,"Present"))</f>
        <v/>
      </c>
      <c r="F102" t="str">
        <f>IF(A102="","",COUNTIFS(ATTENDANCE_DAILY!C:C,A102,ATTENDANCE_DAILY!E:E,"Absent"))</f>
        <v/>
      </c>
      <c r="G102" s="5" t="e">
        <f t="shared" si="2"/>
        <v>#VALUE!</v>
      </c>
      <c r="H102" s="4" t="e">
        <f t="shared" si="3"/>
        <v>#VALUE!</v>
      </c>
    </row>
    <row r="103" spans="1:8" x14ac:dyDescent="0.3">
      <c r="A103" t="str">
        <f>IF(MASTER_REGISTER!E103="","",MASTER_REGISTER!E103)</f>
        <v/>
      </c>
      <c r="B103" t="str">
        <f>IF(A103="","",MASTER_REGISTER!F103)</f>
        <v/>
      </c>
      <c r="C103" t="str">
        <f>IF(A103="","",MASTER_REGISTER!C103)</f>
        <v/>
      </c>
      <c r="D103" t="str">
        <f>IF(A103="","",COUNTIF(ATTENDANCE_DAILY!C:C,A103))</f>
        <v/>
      </c>
      <c r="E103" t="str">
        <f>IF(A103="","",COUNTIFS(ATTENDANCE_DAILY!C:C,A103,ATTENDANCE_DAILY!E:E,"Present"))</f>
        <v/>
      </c>
      <c r="F103" t="str">
        <f>IF(A103="","",COUNTIFS(ATTENDANCE_DAILY!C:C,A103,ATTENDANCE_DAILY!E:E,"Absent"))</f>
        <v/>
      </c>
      <c r="G103" s="5" t="e">
        <f t="shared" si="2"/>
        <v>#VALUE!</v>
      </c>
      <c r="H103" s="4" t="e">
        <f t="shared" si="3"/>
        <v>#VALUE!</v>
      </c>
    </row>
    <row r="104" spans="1:8" x14ac:dyDescent="0.3">
      <c r="A104" t="str">
        <f>IF(MASTER_REGISTER!E104="","",MASTER_REGISTER!E104)</f>
        <v/>
      </c>
      <c r="B104" t="str">
        <f>IF(A104="","",MASTER_REGISTER!F104)</f>
        <v/>
      </c>
      <c r="C104" t="str">
        <f>IF(A104="","",MASTER_REGISTER!C104)</f>
        <v/>
      </c>
      <c r="D104" t="str">
        <f>IF(A104="","",COUNTIF(ATTENDANCE_DAILY!C:C,A104))</f>
        <v/>
      </c>
      <c r="E104" t="str">
        <f>IF(A104="","",COUNTIFS(ATTENDANCE_DAILY!C:C,A104,ATTENDANCE_DAILY!E:E,"Present"))</f>
        <v/>
      </c>
      <c r="F104" t="str">
        <f>IF(A104="","",COUNTIFS(ATTENDANCE_DAILY!C:C,A104,ATTENDANCE_DAILY!E:E,"Absent"))</f>
        <v/>
      </c>
      <c r="G104" s="5" t="e">
        <f t="shared" si="2"/>
        <v>#VALUE!</v>
      </c>
      <c r="H104" s="4" t="e">
        <f t="shared" si="3"/>
        <v>#VALUE!</v>
      </c>
    </row>
    <row r="105" spans="1:8" x14ac:dyDescent="0.3">
      <c r="A105" t="str">
        <f>IF(MASTER_REGISTER!E105="","",MASTER_REGISTER!E105)</f>
        <v/>
      </c>
      <c r="B105" t="str">
        <f>IF(A105="","",MASTER_REGISTER!F105)</f>
        <v/>
      </c>
      <c r="C105" t="str">
        <f>IF(A105="","",MASTER_REGISTER!C105)</f>
        <v/>
      </c>
      <c r="D105" t="str">
        <f>IF(A105="","",COUNTIF(ATTENDANCE_DAILY!C:C,A105))</f>
        <v/>
      </c>
      <c r="E105" t="str">
        <f>IF(A105="","",COUNTIFS(ATTENDANCE_DAILY!C:C,A105,ATTENDANCE_DAILY!E:E,"Present"))</f>
        <v/>
      </c>
      <c r="F105" t="str">
        <f>IF(A105="","",COUNTIFS(ATTENDANCE_DAILY!C:C,A105,ATTENDANCE_DAILY!E:E,"Absent"))</f>
        <v/>
      </c>
      <c r="G105" s="5" t="e">
        <f t="shared" si="2"/>
        <v>#VALUE!</v>
      </c>
      <c r="H105" s="4" t="e">
        <f t="shared" si="3"/>
        <v>#VALUE!</v>
      </c>
    </row>
    <row r="106" spans="1:8" x14ac:dyDescent="0.3">
      <c r="A106" t="str">
        <f>IF(MASTER_REGISTER!E106="","",MASTER_REGISTER!E106)</f>
        <v/>
      </c>
      <c r="B106" t="str">
        <f>IF(A106="","",MASTER_REGISTER!F106)</f>
        <v/>
      </c>
      <c r="C106" t="str">
        <f>IF(A106="","",MASTER_REGISTER!C106)</f>
        <v/>
      </c>
      <c r="D106" t="str">
        <f>IF(A106="","",COUNTIF(ATTENDANCE_DAILY!C:C,A106))</f>
        <v/>
      </c>
      <c r="E106" t="str">
        <f>IF(A106="","",COUNTIFS(ATTENDANCE_DAILY!C:C,A106,ATTENDANCE_DAILY!E:E,"Present"))</f>
        <v/>
      </c>
      <c r="F106" t="str">
        <f>IF(A106="","",COUNTIFS(ATTENDANCE_DAILY!C:C,A106,ATTENDANCE_DAILY!E:E,"Absent"))</f>
        <v/>
      </c>
      <c r="G106" s="5" t="e">
        <f t="shared" si="2"/>
        <v>#VALUE!</v>
      </c>
      <c r="H106" s="4" t="e">
        <f t="shared" si="3"/>
        <v>#VALUE!</v>
      </c>
    </row>
    <row r="107" spans="1:8" x14ac:dyDescent="0.3">
      <c r="A107" t="str">
        <f>IF(MASTER_REGISTER!E107="","",MASTER_REGISTER!E107)</f>
        <v/>
      </c>
      <c r="B107" t="str">
        <f>IF(A107="","",MASTER_REGISTER!F107)</f>
        <v/>
      </c>
      <c r="C107" t="str">
        <f>IF(A107="","",MASTER_REGISTER!C107)</f>
        <v/>
      </c>
      <c r="D107" t="str">
        <f>IF(A107="","",COUNTIF(ATTENDANCE_DAILY!C:C,A107))</f>
        <v/>
      </c>
      <c r="E107" t="str">
        <f>IF(A107="","",COUNTIFS(ATTENDANCE_DAILY!C:C,A107,ATTENDANCE_DAILY!E:E,"Present"))</f>
        <v/>
      </c>
      <c r="F107" t="str">
        <f>IF(A107="","",COUNTIFS(ATTENDANCE_DAILY!C:C,A107,ATTENDANCE_DAILY!E:E,"Absent"))</f>
        <v/>
      </c>
      <c r="G107" s="5" t="e">
        <f t="shared" si="2"/>
        <v>#VALUE!</v>
      </c>
      <c r="H107" s="4" t="e">
        <f t="shared" si="3"/>
        <v>#VALUE!</v>
      </c>
    </row>
    <row r="108" spans="1:8" x14ac:dyDescent="0.3">
      <c r="A108" t="str">
        <f>IF(MASTER_REGISTER!E108="","",MASTER_REGISTER!E108)</f>
        <v/>
      </c>
      <c r="B108" t="str">
        <f>IF(A108="","",MASTER_REGISTER!F108)</f>
        <v/>
      </c>
      <c r="C108" t="str">
        <f>IF(A108="","",MASTER_REGISTER!C108)</f>
        <v/>
      </c>
      <c r="D108" t="str">
        <f>IF(A108="","",COUNTIF(ATTENDANCE_DAILY!C:C,A108))</f>
        <v/>
      </c>
      <c r="E108" t="str">
        <f>IF(A108="","",COUNTIFS(ATTENDANCE_DAILY!C:C,A108,ATTENDANCE_DAILY!E:E,"Present"))</f>
        <v/>
      </c>
      <c r="F108" t="str">
        <f>IF(A108="","",COUNTIFS(ATTENDANCE_DAILY!C:C,A108,ATTENDANCE_DAILY!E:E,"Absent"))</f>
        <v/>
      </c>
      <c r="G108" s="5" t="e">
        <f t="shared" si="2"/>
        <v>#VALUE!</v>
      </c>
      <c r="H108" s="4" t="e">
        <f t="shared" si="3"/>
        <v>#VALUE!</v>
      </c>
    </row>
    <row r="109" spans="1:8" x14ac:dyDescent="0.3">
      <c r="A109" t="str">
        <f>IF(MASTER_REGISTER!E109="","",MASTER_REGISTER!E109)</f>
        <v/>
      </c>
      <c r="B109" t="str">
        <f>IF(A109="","",MASTER_REGISTER!F109)</f>
        <v/>
      </c>
      <c r="C109" t="str">
        <f>IF(A109="","",MASTER_REGISTER!C109)</f>
        <v/>
      </c>
      <c r="D109" t="str">
        <f>IF(A109="","",COUNTIF(ATTENDANCE_DAILY!C:C,A109))</f>
        <v/>
      </c>
      <c r="E109" t="str">
        <f>IF(A109="","",COUNTIFS(ATTENDANCE_DAILY!C:C,A109,ATTENDANCE_DAILY!E:E,"Present"))</f>
        <v/>
      </c>
      <c r="F109" t="str">
        <f>IF(A109="","",COUNTIFS(ATTENDANCE_DAILY!C:C,A109,ATTENDANCE_DAILY!E:E,"Absent"))</f>
        <v/>
      </c>
      <c r="G109" s="5" t="e">
        <f t="shared" si="2"/>
        <v>#VALUE!</v>
      </c>
      <c r="H109" s="4" t="e">
        <f t="shared" si="3"/>
        <v>#VALUE!</v>
      </c>
    </row>
    <row r="110" spans="1:8" x14ac:dyDescent="0.3">
      <c r="A110" t="str">
        <f>IF(MASTER_REGISTER!E110="","",MASTER_REGISTER!E110)</f>
        <v/>
      </c>
      <c r="B110" t="str">
        <f>IF(A110="","",MASTER_REGISTER!F110)</f>
        <v/>
      </c>
      <c r="C110" t="str">
        <f>IF(A110="","",MASTER_REGISTER!C110)</f>
        <v/>
      </c>
      <c r="D110" t="str">
        <f>IF(A110="","",COUNTIF(ATTENDANCE_DAILY!C:C,A110))</f>
        <v/>
      </c>
      <c r="E110" t="str">
        <f>IF(A110="","",COUNTIFS(ATTENDANCE_DAILY!C:C,A110,ATTENDANCE_DAILY!E:E,"Present"))</f>
        <v/>
      </c>
      <c r="F110" t="str">
        <f>IF(A110="","",COUNTIFS(ATTENDANCE_DAILY!C:C,A110,ATTENDANCE_DAILY!E:E,"Absent"))</f>
        <v/>
      </c>
      <c r="G110" s="5" t="e">
        <f t="shared" si="2"/>
        <v>#VALUE!</v>
      </c>
      <c r="H110" s="4" t="e">
        <f t="shared" si="3"/>
        <v>#VALUE!</v>
      </c>
    </row>
    <row r="111" spans="1:8" x14ac:dyDescent="0.3">
      <c r="A111" t="str">
        <f>IF(MASTER_REGISTER!E111="","",MASTER_REGISTER!E111)</f>
        <v/>
      </c>
      <c r="B111" t="str">
        <f>IF(A111="","",MASTER_REGISTER!F111)</f>
        <v/>
      </c>
      <c r="C111" t="str">
        <f>IF(A111="","",MASTER_REGISTER!C111)</f>
        <v/>
      </c>
      <c r="D111" t="str">
        <f>IF(A111="","",COUNTIF(ATTENDANCE_DAILY!C:C,A111))</f>
        <v/>
      </c>
      <c r="E111" t="str">
        <f>IF(A111="","",COUNTIFS(ATTENDANCE_DAILY!C:C,A111,ATTENDANCE_DAILY!E:E,"Present"))</f>
        <v/>
      </c>
      <c r="F111" t="str">
        <f>IF(A111="","",COUNTIFS(ATTENDANCE_DAILY!C:C,A111,ATTENDANCE_DAILY!E:E,"Absent"))</f>
        <v/>
      </c>
      <c r="G111" s="5" t="e">
        <f t="shared" si="2"/>
        <v>#VALUE!</v>
      </c>
      <c r="H111" s="4" t="e">
        <f t="shared" si="3"/>
        <v>#VALUE!</v>
      </c>
    </row>
    <row r="112" spans="1:8" x14ac:dyDescent="0.3">
      <c r="A112" t="str">
        <f>IF(MASTER_REGISTER!E112="","",MASTER_REGISTER!E112)</f>
        <v/>
      </c>
      <c r="B112" t="str">
        <f>IF(A112="","",MASTER_REGISTER!F112)</f>
        <v/>
      </c>
      <c r="C112" t="str">
        <f>IF(A112="","",MASTER_REGISTER!C112)</f>
        <v/>
      </c>
      <c r="D112" t="str">
        <f>IF(A112="","",COUNTIF(ATTENDANCE_DAILY!C:C,A112))</f>
        <v/>
      </c>
      <c r="E112" t="str">
        <f>IF(A112="","",COUNTIFS(ATTENDANCE_DAILY!C:C,A112,ATTENDANCE_DAILY!E:E,"Present"))</f>
        <v/>
      </c>
      <c r="F112" t="str">
        <f>IF(A112="","",COUNTIFS(ATTENDANCE_DAILY!C:C,A112,ATTENDANCE_DAILY!E:E,"Absent"))</f>
        <v/>
      </c>
      <c r="G112" s="5" t="e">
        <f t="shared" si="2"/>
        <v>#VALUE!</v>
      </c>
      <c r="H112" s="4" t="e">
        <f t="shared" si="3"/>
        <v>#VALUE!</v>
      </c>
    </row>
    <row r="113" spans="1:8" x14ac:dyDescent="0.3">
      <c r="A113" t="str">
        <f>IF(MASTER_REGISTER!E113="","",MASTER_REGISTER!E113)</f>
        <v/>
      </c>
      <c r="B113" t="str">
        <f>IF(A113="","",MASTER_REGISTER!F113)</f>
        <v/>
      </c>
      <c r="C113" t="str">
        <f>IF(A113="","",MASTER_REGISTER!C113)</f>
        <v/>
      </c>
      <c r="D113" t="str">
        <f>IF(A113="","",COUNTIF(ATTENDANCE_DAILY!C:C,A113))</f>
        <v/>
      </c>
      <c r="E113" t="str">
        <f>IF(A113="","",COUNTIFS(ATTENDANCE_DAILY!C:C,A113,ATTENDANCE_DAILY!E:E,"Present"))</f>
        <v/>
      </c>
      <c r="F113" t="str">
        <f>IF(A113="","",COUNTIFS(ATTENDANCE_DAILY!C:C,A113,ATTENDANCE_DAILY!E:E,"Absent"))</f>
        <v/>
      </c>
      <c r="G113" s="5" t="e">
        <f t="shared" si="2"/>
        <v>#VALUE!</v>
      </c>
      <c r="H113" s="4" t="e">
        <f t="shared" si="3"/>
        <v>#VALUE!</v>
      </c>
    </row>
    <row r="114" spans="1:8" x14ac:dyDescent="0.3">
      <c r="A114" t="str">
        <f>IF(MASTER_REGISTER!E114="","",MASTER_REGISTER!E114)</f>
        <v/>
      </c>
      <c r="B114" t="str">
        <f>IF(A114="","",MASTER_REGISTER!F114)</f>
        <v/>
      </c>
      <c r="C114" t="str">
        <f>IF(A114="","",MASTER_REGISTER!C114)</f>
        <v/>
      </c>
      <c r="D114" t="str">
        <f>IF(A114="","",COUNTIF(ATTENDANCE_DAILY!C:C,A114))</f>
        <v/>
      </c>
      <c r="E114" t="str">
        <f>IF(A114="","",COUNTIFS(ATTENDANCE_DAILY!C:C,A114,ATTENDANCE_DAILY!E:E,"Present"))</f>
        <v/>
      </c>
      <c r="F114" t="str">
        <f>IF(A114="","",COUNTIFS(ATTENDANCE_DAILY!C:C,A114,ATTENDANCE_DAILY!E:E,"Absent"))</f>
        <v/>
      </c>
      <c r="G114" s="5" t="e">
        <f t="shared" si="2"/>
        <v>#VALUE!</v>
      </c>
      <c r="H114" s="4" t="e">
        <f t="shared" si="3"/>
        <v>#VALUE!</v>
      </c>
    </row>
    <row r="115" spans="1:8" x14ac:dyDescent="0.3">
      <c r="A115" t="str">
        <f>IF(MASTER_REGISTER!E115="","",MASTER_REGISTER!E115)</f>
        <v/>
      </c>
      <c r="B115" t="str">
        <f>IF(A115="","",MASTER_REGISTER!F115)</f>
        <v/>
      </c>
      <c r="C115" t="str">
        <f>IF(A115="","",MASTER_REGISTER!C115)</f>
        <v/>
      </c>
      <c r="D115" t="str">
        <f>IF(A115="","",COUNTIF(ATTENDANCE_DAILY!C:C,A115))</f>
        <v/>
      </c>
      <c r="E115" t="str">
        <f>IF(A115="","",COUNTIFS(ATTENDANCE_DAILY!C:C,A115,ATTENDANCE_DAILY!E:E,"Present"))</f>
        <v/>
      </c>
      <c r="F115" t="str">
        <f>IF(A115="","",COUNTIFS(ATTENDANCE_DAILY!C:C,A115,ATTENDANCE_DAILY!E:E,"Absent"))</f>
        <v/>
      </c>
      <c r="G115" s="5" t="e">
        <f t="shared" si="2"/>
        <v>#VALUE!</v>
      </c>
      <c r="H115" s="4" t="e">
        <f t="shared" si="3"/>
        <v>#VALUE!</v>
      </c>
    </row>
    <row r="116" spans="1:8" x14ac:dyDescent="0.3">
      <c r="A116" t="str">
        <f>IF(MASTER_REGISTER!E116="","",MASTER_REGISTER!E116)</f>
        <v/>
      </c>
      <c r="B116" t="str">
        <f>IF(A116="","",MASTER_REGISTER!F116)</f>
        <v/>
      </c>
      <c r="C116" t="str">
        <f>IF(A116="","",MASTER_REGISTER!C116)</f>
        <v/>
      </c>
      <c r="D116" t="str">
        <f>IF(A116="","",COUNTIF(ATTENDANCE_DAILY!C:C,A116))</f>
        <v/>
      </c>
      <c r="E116" t="str">
        <f>IF(A116="","",COUNTIFS(ATTENDANCE_DAILY!C:C,A116,ATTENDANCE_DAILY!E:E,"Present"))</f>
        <v/>
      </c>
      <c r="F116" t="str">
        <f>IF(A116="","",COUNTIFS(ATTENDANCE_DAILY!C:C,A116,ATTENDANCE_DAILY!E:E,"Absent"))</f>
        <v/>
      </c>
      <c r="G116" s="5" t="e">
        <f t="shared" si="2"/>
        <v>#VALUE!</v>
      </c>
      <c r="H116" s="4" t="e">
        <f t="shared" si="3"/>
        <v>#VALUE!</v>
      </c>
    </row>
    <row r="117" spans="1:8" x14ac:dyDescent="0.3">
      <c r="A117" t="str">
        <f>IF(MASTER_REGISTER!E117="","",MASTER_REGISTER!E117)</f>
        <v/>
      </c>
      <c r="B117" t="str">
        <f>IF(A117="","",MASTER_REGISTER!F117)</f>
        <v/>
      </c>
      <c r="C117" t="str">
        <f>IF(A117="","",MASTER_REGISTER!C117)</f>
        <v/>
      </c>
      <c r="D117" t="str">
        <f>IF(A117="","",COUNTIF(ATTENDANCE_DAILY!C:C,A117))</f>
        <v/>
      </c>
      <c r="E117" t="str">
        <f>IF(A117="","",COUNTIFS(ATTENDANCE_DAILY!C:C,A117,ATTENDANCE_DAILY!E:E,"Present"))</f>
        <v/>
      </c>
      <c r="F117" t="str">
        <f>IF(A117="","",COUNTIFS(ATTENDANCE_DAILY!C:C,A117,ATTENDANCE_DAILY!E:E,"Absent"))</f>
        <v/>
      </c>
      <c r="G117" s="5" t="e">
        <f t="shared" si="2"/>
        <v>#VALUE!</v>
      </c>
      <c r="H117" s="4" t="e">
        <f t="shared" si="3"/>
        <v>#VALUE!</v>
      </c>
    </row>
    <row r="118" spans="1:8" x14ac:dyDescent="0.3">
      <c r="A118" t="str">
        <f>IF(MASTER_REGISTER!E118="","",MASTER_REGISTER!E118)</f>
        <v/>
      </c>
      <c r="B118" t="str">
        <f>IF(A118="","",MASTER_REGISTER!F118)</f>
        <v/>
      </c>
      <c r="C118" t="str">
        <f>IF(A118="","",MASTER_REGISTER!C118)</f>
        <v/>
      </c>
      <c r="D118" t="str">
        <f>IF(A118="","",COUNTIF(ATTENDANCE_DAILY!C:C,A118))</f>
        <v/>
      </c>
      <c r="E118" t="str">
        <f>IF(A118="","",COUNTIFS(ATTENDANCE_DAILY!C:C,A118,ATTENDANCE_DAILY!E:E,"Present"))</f>
        <v/>
      </c>
      <c r="F118" t="str">
        <f>IF(A118="","",COUNTIFS(ATTENDANCE_DAILY!C:C,A118,ATTENDANCE_DAILY!E:E,"Absent"))</f>
        <v/>
      </c>
      <c r="G118" s="5" t="e">
        <f t="shared" si="2"/>
        <v>#VALUE!</v>
      </c>
      <c r="H118" s="4" t="e">
        <f t="shared" si="3"/>
        <v>#VALUE!</v>
      </c>
    </row>
    <row r="119" spans="1:8" x14ac:dyDescent="0.3">
      <c r="A119" t="str">
        <f>IF(MASTER_REGISTER!E119="","",MASTER_REGISTER!E119)</f>
        <v/>
      </c>
      <c r="B119" t="str">
        <f>IF(A119="","",MASTER_REGISTER!F119)</f>
        <v/>
      </c>
      <c r="C119" t="str">
        <f>IF(A119="","",MASTER_REGISTER!C119)</f>
        <v/>
      </c>
      <c r="D119" t="str">
        <f>IF(A119="","",COUNTIF(ATTENDANCE_DAILY!C:C,A119))</f>
        <v/>
      </c>
      <c r="E119" t="str">
        <f>IF(A119="","",COUNTIFS(ATTENDANCE_DAILY!C:C,A119,ATTENDANCE_DAILY!E:E,"Present"))</f>
        <v/>
      </c>
      <c r="F119" t="str">
        <f>IF(A119="","",COUNTIFS(ATTENDANCE_DAILY!C:C,A119,ATTENDANCE_DAILY!E:E,"Absent"))</f>
        <v/>
      </c>
      <c r="G119" s="5" t="e">
        <f t="shared" si="2"/>
        <v>#VALUE!</v>
      </c>
      <c r="H119" s="4" t="e">
        <f t="shared" si="3"/>
        <v>#VALUE!</v>
      </c>
    </row>
    <row r="120" spans="1:8" x14ac:dyDescent="0.3">
      <c r="A120" t="str">
        <f>IF(MASTER_REGISTER!E120="","",MASTER_REGISTER!E120)</f>
        <v/>
      </c>
      <c r="B120" t="str">
        <f>IF(A120="","",MASTER_REGISTER!F120)</f>
        <v/>
      </c>
      <c r="C120" t="str">
        <f>IF(A120="","",MASTER_REGISTER!C120)</f>
        <v/>
      </c>
      <c r="D120" t="str">
        <f>IF(A120="","",COUNTIF(ATTENDANCE_DAILY!C:C,A120))</f>
        <v/>
      </c>
      <c r="E120" t="str">
        <f>IF(A120="","",COUNTIFS(ATTENDANCE_DAILY!C:C,A120,ATTENDANCE_DAILY!E:E,"Present"))</f>
        <v/>
      </c>
      <c r="F120" t="str">
        <f>IF(A120="","",COUNTIFS(ATTENDANCE_DAILY!C:C,A120,ATTENDANCE_DAILY!E:E,"Absent"))</f>
        <v/>
      </c>
      <c r="G120" s="5" t="e">
        <f t="shared" si="2"/>
        <v>#VALUE!</v>
      </c>
      <c r="H120" s="4" t="e">
        <f t="shared" si="3"/>
        <v>#VALUE!</v>
      </c>
    </row>
    <row r="121" spans="1:8" x14ac:dyDescent="0.3">
      <c r="A121" t="str">
        <f>IF(MASTER_REGISTER!E121="","",MASTER_REGISTER!E121)</f>
        <v/>
      </c>
      <c r="B121" t="str">
        <f>IF(A121="","",MASTER_REGISTER!F121)</f>
        <v/>
      </c>
      <c r="C121" t="str">
        <f>IF(A121="","",MASTER_REGISTER!C121)</f>
        <v/>
      </c>
      <c r="D121" t="str">
        <f>IF(A121="","",COUNTIF(ATTENDANCE_DAILY!C:C,A121))</f>
        <v/>
      </c>
      <c r="E121" t="str">
        <f>IF(A121="","",COUNTIFS(ATTENDANCE_DAILY!C:C,A121,ATTENDANCE_DAILY!E:E,"Present"))</f>
        <v/>
      </c>
      <c r="F121" t="str">
        <f>IF(A121="","",COUNTIFS(ATTENDANCE_DAILY!C:C,A121,ATTENDANCE_DAILY!E:E,"Absent"))</f>
        <v/>
      </c>
      <c r="G121" s="5" t="e">
        <f t="shared" si="2"/>
        <v>#VALUE!</v>
      </c>
      <c r="H121" s="4" t="e">
        <f t="shared" si="3"/>
        <v>#VALUE!</v>
      </c>
    </row>
    <row r="122" spans="1:8" x14ac:dyDescent="0.3">
      <c r="A122" t="str">
        <f>IF(MASTER_REGISTER!E122="","",MASTER_REGISTER!E122)</f>
        <v/>
      </c>
      <c r="B122" t="str">
        <f>IF(A122="","",MASTER_REGISTER!F122)</f>
        <v/>
      </c>
      <c r="C122" t="str">
        <f>IF(A122="","",MASTER_REGISTER!C122)</f>
        <v/>
      </c>
      <c r="D122" t="str">
        <f>IF(A122="","",COUNTIF(ATTENDANCE_DAILY!C:C,A122))</f>
        <v/>
      </c>
      <c r="E122" t="str">
        <f>IF(A122="","",COUNTIFS(ATTENDANCE_DAILY!C:C,A122,ATTENDANCE_DAILY!E:E,"Present"))</f>
        <v/>
      </c>
      <c r="F122" t="str">
        <f>IF(A122="","",COUNTIFS(ATTENDANCE_DAILY!C:C,A122,ATTENDANCE_DAILY!E:E,"Absent"))</f>
        <v/>
      </c>
      <c r="G122" s="5" t="e">
        <f t="shared" si="2"/>
        <v>#VALUE!</v>
      </c>
      <c r="H122" s="4" t="e">
        <f t="shared" si="3"/>
        <v>#VALUE!</v>
      </c>
    </row>
    <row r="123" spans="1:8" x14ac:dyDescent="0.3">
      <c r="A123" t="str">
        <f>IF(MASTER_REGISTER!E123="","",MASTER_REGISTER!E123)</f>
        <v/>
      </c>
      <c r="B123" t="str">
        <f>IF(A123="","",MASTER_REGISTER!F123)</f>
        <v/>
      </c>
      <c r="C123" t="str">
        <f>IF(A123="","",MASTER_REGISTER!C123)</f>
        <v/>
      </c>
      <c r="D123" t="str">
        <f>IF(A123="","",COUNTIF(ATTENDANCE_DAILY!C:C,A123))</f>
        <v/>
      </c>
      <c r="E123" t="str">
        <f>IF(A123="","",COUNTIFS(ATTENDANCE_DAILY!C:C,A123,ATTENDANCE_DAILY!E:E,"Present"))</f>
        <v/>
      </c>
      <c r="F123" t="str">
        <f>IF(A123="","",COUNTIFS(ATTENDANCE_DAILY!C:C,A123,ATTENDANCE_DAILY!E:E,"Absent"))</f>
        <v/>
      </c>
      <c r="G123" s="5" t="e">
        <f t="shared" si="2"/>
        <v>#VALUE!</v>
      </c>
      <c r="H123" s="4" t="e">
        <f t="shared" si="3"/>
        <v>#VALUE!</v>
      </c>
    </row>
    <row r="124" spans="1:8" x14ac:dyDescent="0.3">
      <c r="A124" t="str">
        <f>IF(MASTER_REGISTER!E124="","",MASTER_REGISTER!E124)</f>
        <v/>
      </c>
      <c r="B124" t="str">
        <f>IF(A124="","",MASTER_REGISTER!F124)</f>
        <v/>
      </c>
      <c r="C124" t="str">
        <f>IF(A124="","",MASTER_REGISTER!C124)</f>
        <v/>
      </c>
      <c r="D124" t="str">
        <f>IF(A124="","",COUNTIF(ATTENDANCE_DAILY!C:C,A124))</f>
        <v/>
      </c>
      <c r="E124" t="str">
        <f>IF(A124="","",COUNTIFS(ATTENDANCE_DAILY!C:C,A124,ATTENDANCE_DAILY!E:E,"Present"))</f>
        <v/>
      </c>
      <c r="F124" t="str">
        <f>IF(A124="","",COUNTIFS(ATTENDANCE_DAILY!C:C,A124,ATTENDANCE_DAILY!E:E,"Absent"))</f>
        <v/>
      </c>
      <c r="G124" s="5" t="e">
        <f t="shared" si="2"/>
        <v>#VALUE!</v>
      </c>
      <c r="H124" s="4" t="e">
        <f t="shared" si="3"/>
        <v>#VALUE!</v>
      </c>
    </row>
    <row r="125" spans="1:8" x14ac:dyDescent="0.3">
      <c r="A125" t="str">
        <f>IF(MASTER_REGISTER!E125="","",MASTER_REGISTER!E125)</f>
        <v/>
      </c>
      <c r="B125" t="str">
        <f>IF(A125="","",MASTER_REGISTER!F125)</f>
        <v/>
      </c>
      <c r="C125" t="str">
        <f>IF(A125="","",MASTER_REGISTER!C125)</f>
        <v/>
      </c>
      <c r="D125" t="str">
        <f>IF(A125="","",COUNTIF(ATTENDANCE_DAILY!C:C,A125))</f>
        <v/>
      </c>
      <c r="E125" t="str">
        <f>IF(A125="","",COUNTIFS(ATTENDANCE_DAILY!C:C,A125,ATTENDANCE_DAILY!E:E,"Present"))</f>
        <v/>
      </c>
      <c r="F125" t="str">
        <f>IF(A125="","",COUNTIFS(ATTENDANCE_DAILY!C:C,A125,ATTENDANCE_DAILY!E:E,"Absent"))</f>
        <v/>
      </c>
      <c r="G125" s="5" t="e">
        <f t="shared" si="2"/>
        <v>#VALUE!</v>
      </c>
      <c r="H125" s="4" t="e">
        <f t="shared" si="3"/>
        <v>#VALUE!</v>
      </c>
    </row>
    <row r="126" spans="1:8" x14ac:dyDescent="0.3">
      <c r="A126" t="str">
        <f>IF(MASTER_REGISTER!E126="","",MASTER_REGISTER!E126)</f>
        <v/>
      </c>
      <c r="B126" t="str">
        <f>IF(A126="","",MASTER_REGISTER!F126)</f>
        <v/>
      </c>
      <c r="C126" t="str">
        <f>IF(A126="","",MASTER_REGISTER!C126)</f>
        <v/>
      </c>
      <c r="D126" t="str">
        <f>IF(A126="","",COUNTIF(ATTENDANCE_DAILY!C:C,A126))</f>
        <v/>
      </c>
      <c r="E126" t="str">
        <f>IF(A126="","",COUNTIFS(ATTENDANCE_DAILY!C:C,A126,ATTENDANCE_DAILY!E:E,"Present"))</f>
        <v/>
      </c>
      <c r="F126" t="str">
        <f>IF(A126="","",COUNTIFS(ATTENDANCE_DAILY!C:C,A126,ATTENDANCE_DAILY!E:E,"Absent"))</f>
        <v/>
      </c>
      <c r="G126" s="5" t="e">
        <f t="shared" si="2"/>
        <v>#VALUE!</v>
      </c>
      <c r="H126" s="4" t="e">
        <f t="shared" si="3"/>
        <v>#VALUE!</v>
      </c>
    </row>
    <row r="127" spans="1:8" x14ac:dyDescent="0.3">
      <c r="A127" t="str">
        <f>IF(MASTER_REGISTER!E127="","",MASTER_REGISTER!E127)</f>
        <v/>
      </c>
      <c r="B127" t="str">
        <f>IF(A127="","",MASTER_REGISTER!F127)</f>
        <v/>
      </c>
      <c r="C127" t="str">
        <f>IF(A127="","",MASTER_REGISTER!C127)</f>
        <v/>
      </c>
      <c r="D127" t="str">
        <f>IF(A127="","",COUNTIF(ATTENDANCE_DAILY!C:C,A127))</f>
        <v/>
      </c>
      <c r="E127" t="str">
        <f>IF(A127="","",COUNTIFS(ATTENDANCE_DAILY!C:C,A127,ATTENDANCE_DAILY!E:E,"Present"))</f>
        <v/>
      </c>
      <c r="F127" t="str">
        <f>IF(A127="","",COUNTIFS(ATTENDANCE_DAILY!C:C,A127,ATTENDANCE_DAILY!E:E,"Absent"))</f>
        <v/>
      </c>
      <c r="G127" s="5" t="e">
        <f t="shared" si="2"/>
        <v>#VALUE!</v>
      </c>
      <c r="H127" s="4" t="e">
        <f t="shared" si="3"/>
        <v>#VALUE!</v>
      </c>
    </row>
    <row r="128" spans="1:8" x14ac:dyDescent="0.3">
      <c r="A128" t="str">
        <f>IF(MASTER_REGISTER!E128="","",MASTER_REGISTER!E128)</f>
        <v/>
      </c>
      <c r="B128" t="str">
        <f>IF(A128="","",MASTER_REGISTER!F128)</f>
        <v/>
      </c>
      <c r="C128" t="str">
        <f>IF(A128="","",MASTER_REGISTER!C128)</f>
        <v/>
      </c>
      <c r="D128" t="str">
        <f>IF(A128="","",COUNTIF(ATTENDANCE_DAILY!C:C,A128))</f>
        <v/>
      </c>
      <c r="E128" t="str">
        <f>IF(A128="","",COUNTIFS(ATTENDANCE_DAILY!C:C,A128,ATTENDANCE_DAILY!E:E,"Present"))</f>
        <v/>
      </c>
      <c r="F128" t="str">
        <f>IF(A128="","",COUNTIFS(ATTENDANCE_DAILY!C:C,A128,ATTENDANCE_DAILY!E:E,"Absent"))</f>
        <v/>
      </c>
      <c r="G128" s="5" t="e">
        <f t="shared" si="2"/>
        <v>#VALUE!</v>
      </c>
      <c r="H128" s="4" t="e">
        <f t="shared" si="3"/>
        <v>#VALUE!</v>
      </c>
    </row>
    <row r="129" spans="1:8" x14ac:dyDescent="0.3">
      <c r="A129" t="str">
        <f>IF(MASTER_REGISTER!E129="","",MASTER_REGISTER!E129)</f>
        <v/>
      </c>
      <c r="B129" t="str">
        <f>IF(A129="","",MASTER_REGISTER!F129)</f>
        <v/>
      </c>
      <c r="C129" t="str">
        <f>IF(A129="","",MASTER_REGISTER!C129)</f>
        <v/>
      </c>
      <c r="D129" t="str">
        <f>IF(A129="","",COUNTIF(ATTENDANCE_DAILY!C:C,A129))</f>
        <v/>
      </c>
      <c r="E129" t="str">
        <f>IF(A129="","",COUNTIFS(ATTENDANCE_DAILY!C:C,A129,ATTENDANCE_DAILY!E:E,"Present"))</f>
        <v/>
      </c>
      <c r="F129" t="str">
        <f>IF(A129="","",COUNTIFS(ATTENDANCE_DAILY!C:C,A129,ATTENDANCE_DAILY!E:E,"Absent"))</f>
        <v/>
      </c>
      <c r="G129" s="5" t="e">
        <f t="shared" si="2"/>
        <v>#VALUE!</v>
      </c>
      <c r="H129" s="4" t="e">
        <f t="shared" si="3"/>
        <v>#VALUE!</v>
      </c>
    </row>
    <row r="130" spans="1:8" x14ac:dyDescent="0.3">
      <c r="A130" t="str">
        <f>IF(MASTER_REGISTER!E130="","",MASTER_REGISTER!E130)</f>
        <v/>
      </c>
      <c r="B130" t="str">
        <f>IF(A130="","",MASTER_REGISTER!F130)</f>
        <v/>
      </c>
      <c r="C130" t="str">
        <f>IF(A130="","",MASTER_REGISTER!C130)</f>
        <v/>
      </c>
      <c r="D130" t="str">
        <f>IF(A130="","",COUNTIF(ATTENDANCE_DAILY!C:C,A130))</f>
        <v/>
      </c>
      <c r="E130" t="str">
        <f>IF(A130="","",COUNTIFS(ATTENDANCE_DAILY!C:C,A130,ATTENDANCE_DAILY!E:E,"Present"))</f>
        <v/>
      </c>
      <c r="F130" t="str">
        <f>IF(A130="","",COUNTIFS(ATTENDANCE_DAILY!C:C,A130,ATTENDANCE_DAILY!E:E,"Absent"))</f>
        <v/>
      </c>
      <c r="G130" s="5" t="e">
        <f t="shared" ref="G130:G193" si="4">IF(D130=0,"",E130/D130)</f>
        <v>#VALUE!</v>
      </c>
      <c r="H130" s="4" t="e">
        <f t="shared" ref="H130:H193" si="5">IF(G130="","",IF(G130&lt;0.75,"Low Attendance","OK"))</f>
        <v>#VALUE!</v>
      </c>
    </row>
    <row r="131" spans="1:8" x14ac:dyDescent="0.3">
      <c r="A131" t="str">
        <f>IF(MASTER_REGISTER!E131="","",MASTER_REGISTER!E131)</f>
        <v/>
      </c>
      <c r="B131" t="str">
        <f>IF(A131="","",MASTER_REGISTER!F131)</f>
        <v/>
      </c>
      <c r="C131" t="str">
        <f>IF(A131="","",MASTER_REGISTER!C131)</f>
        <v/>
      </c>
      <c r="D131" t="str">
        <f>IF(A131="","",COUNTIF(ATTENDANCE_DAILY!C:C,A131))</f>
        <v/>
      </c>
      <c r="E131" t="str">
        <f>IF(A131="","",COUNTIFS(ATTENDANCE_DAILY!C:C,A131,ATTENDANCE_DAILY!E:E,"Present"))</f>
        <v/>
      </c>
      <c r="F131" t="str">
        <f>IF(A131="","",COUNTIFS(ATTENDANCE_DAILY!C:C,A131,ATTENDANCE_DAILY!E:E,"Absent"))</f>
        <v/>
      </c>
      <c r="G131" s="5" t="e">
        <f t="shared" si="4"/>
        <v>#VALUE!</v>
      </c>
      <c r="H131" s="4" t="e">
        <f t="shared" si="5"/>
        <v>#VALUE!</v>
      </c>
    </row>
    <row r="132" spans="1:8" x14ac:dyDescent="0.3">
      <c r="A132" t="str">
        <f>IF(MASTER_REGISTER!E132="","",MASTER_REGISTER!E132)</f>
        <v/>
      </c>
      <c r="B132" t="str">
        <f>IF(A132="","",MASTER_REGISTER!F132)</f>
        <v/>
      </c>
      <c r="C132" t="str">
        <f>IF(A132="","",MASTER_REGISTER!C132)</f>
        <v/>
      </c>
      <c r="D132" t="str">
        <f>IF(A132="","",COUNTIF(ATTENDANCE_DAILY!C:C,A132))</f>
        <v/>
      </c>
      <c r="E132" t="str">
        <f>IF(A132="","",COUNTIFS(ATTENDANCE_DAILY!C:C,A132,ATTENDANCE_DAILY!E:E,"Present"))</f>
        <v/>
      </c>
      <c r="F132" t="str">
        <f>IF(A132="","",COUNTIFS(ATTENDANCE_DAILY!C:C,A132,ATTENDANCE_DAILY!E:E,"Absent"))</f>
        <v/>
      </c>
      <c r="G132" s="5" t="e">
        <f t="shared" si="4"/>
        <v>#VALUE!</v>
      </c>
      <c r="H132" s="4" t="e">
        <f t="shared" si="5"/>
        <v>#VALUE!</v>
      </c>
    </row>
    <row r="133" spans="1:8" x14ac:dyDescent="0.3">
      <c r="A133" t="str">
        <f>IF(MASTER_REGISTER!E133="","",MASTER_REGISTER!E133)</f>
        <v/>
      </c>
      <c r="B133" t="str">
        <f>IF(A133="","",MASTER_REGISTER!F133)</f>
        <v/>
      </c>
      <c r="C133" t="str">
        <f>IF(A133="","",MASTER_REGISTER!C133)</f>
        <v/>
      </c>
      <c r="D133" t="str">
        <f>IF(A133="","",COUNTIF(ATTENDANCE_DAILY!C:C,A133))</f>
        <v/>
      </c>
      <c r="E133" t="str">
        <f>IF(A133="","",COUNTIFS(ATTENDANCE_DAILY!C:C,A133,ATTENDANCE_DAILY!E:E,"Present"))</f>
        <v/>
      </c>
      <c r="F133" t="str">
        <f>IF(A133="","",COUNTIFS(ATTENDANCE_DAILY!C:C,A133,ATTENDANCE_DAILY!E:E,"Absent"))</f>
        <v/>
      </c>
      <c r="G133" s="5" t="e">
        <f t="shared" si="4"/>
        <v>#VALUE!</v>
      </c>
      <c r="H133" s="4" t="e">
        <f t="shared" si="5"/>
        <v>#VALUE!</v>
      </c>
    </row>
    <row r="134" spans="1:8" x14ac:dyDescent="0.3">
      <c r="A134" t="str">
        <f>IF(MASTER_REGISTER!E134="","",MASTER_REGISTER!E134)</f>
        <v/>
      </c>
      <c r="B134" t="str">
        <f>IF(A134="","",MASTER_REGISTER!F134)</f>
        <v/>
      </c>
      <c r="C134" t="str">
        <f>IF(A134="","",MASTER_REGISTER!C134)</f>
        <v/>
      </c>
      <c r="D134" t="str">
        <f>IF(A134="","",COUNTIF(ATTENDANCE_DAILY!C:C,A134))</f>
        <v/>
      </c>
      <c r="E134" t="str">
        <f>IF(A134="","",COUNTIFS(ATTENDANCE_DAILY!C:C,A134,ATTENDANCE_DAILY!E:E,"Present"))</f>
        <v/>
      </c>
      <c r="F134" t="str">
        <f>IF(A134="","",COUNTIFS(ATTENDANCE_DAILY!C:C,A134,ATTENDANCE_DAILY!E:E,"Absent"))</f>
        <v/>
      </c>
      <c r="G134" s="5" t="e">
        <f t="shared" si="4"/>
        <v>#VALUE!</v>
      </c>
      <c r="H134" s="4" t="e">
        <f t="shared" si="5"/>
        <v>#VALUE!</v>
      </c>
    </row>
    <row r="135" spans="1:8" x14ac:dyDescent="0.3">
      <c r="A135" t="str">
        <f>IF(MASTER_REGISTER!E135="","",MASTER_REGISTER!E135)</f>
        <v/>
      </c>
      <c r="B135" t="str">
        <f>IF(A135="","",MASTER_REGISTER!F135)</f>
        <v/>
      </c>
      <c r="C135" t="str">
        <f>IF(A135="","",MASTER_REGISTER!C135)</f>
        <v/>
      </c>
      <c r="D135" t="str">
        <f>IF(A135="","",COUNTIF(ATTENDANCE_DAILY!C:C,A135))</f>
        <v/>
      </c>
      <c r="E135" t="str">
        <f>IF(A135="","",COUNTIFS(ATTENDANCE_DAILY!C:C,A135,ATTENDANCE_DAILY!E:E,"Present"))</f>
        <v/>
      </c>
      <c r="F135" t="str">
        <f>IF(A135="","",COUNTIFS(ATTENDANCE_DAILY!C:C,A135,ATTENDANCE_DAILY!E:E,"Absent"))</f>
        <v/>
      </c>
      <c r="G135" s="5" t="e">
        <f t="shared" si="4"/>
        <v>#VALUE!</v>
      </c>
      <c r="H135" s="4" t="e">
        <f t="shared" si="5"/>
        <v>#VALUE!</v>
      </c>
    </row>
    <row r="136" spans="1:8" x14ac:dyDescent="0.3">
      <c r="A136" t="str">
        <f>IF(MASTER_REGISTER!E136="","",MASTER_REGISTER!E136)</f>
        <v/>
      </c>
      <c r="B136" t="str">
        <f>IF(A136="","",MASTER_REGISTER!F136)</f>
        <v/>
      </c>
      <c r="C136" t="str">
        <f>IF(A136="","",MASTER_REGISTER!C136)</f>
        <v/>
      </c>
      <c r="D136" t="str">
        <f>IF(A136="","",COUNTIF(ATTENDANCE_DAILY!C:C,A136))</f>
        <v/>
      </c>
      <c r="E136" t="str">
        <f>IF(A136="","",COUNTIFS(ATTENDANCE_DAILY!C:C,A136,ATTENDANCE_DAILY!E:E,"Present"))</f>
        <v/>
      </c>
      <c r="F136" t="str">
        <f>IF(A136="","",COUNTIFS(ATTENDANCE_DAILY!C:C,A136,ATTENDANCE_DAILY!E:E,"Absent"))</f>
        <v/>
      </c>
      <c r="G136" s="5" t="e">
        <f t="shared" si="4"/>
        <v>#VALUE!</v>
      </c>
      <c r="H136" s="4" t="e">
        <f t="shared" si="5"/>
        <v>#VALUE!</v>
      </c>
    </row>
    <row r="137" spans="1:8" x14ac:dyDescent="0.3">
      <c r="A137" t="str">
        <f>IF(MASTER_REGISTER!E137="","",MASTER_REGISTER!E137)</f>
        <v/>
      </c>
      <c r="B137" t="str">
        <f>IF(A137="","",MASTER_REGISTER!F137)</f>
        <v/>
      </c>
      <c r="C137" t="str">
        <f>IF(A137="","",MASTER_REGISTER!C137)</f>
        <v/>
      </c>
      <c r="D137" t="str">
        <f>IF(A137="","",COUNTIF(ATTENDANCE_DAILY!C:C,A137))</f>
        <v/>
      </c>
      <c r="E137" t="str">
        <f>IF(A137="","",COUNTIFS(ATTENDANCE_DAILY!C:C,A137,ATTENDANCE_DAILY!E:E,"Present"))</f>
        <v/>
      </c>
      <c r="F137" t="str">
        <f>IF(A137="","",COUNTIFS(ATTENDANCE_DAILY!C:C,A137,ATTENDANCE_DAILY!E:E,"Absent"))</f>
        <v/>
      </c>
      <c r="G137" s="5" t="e">
        <f t="shared" si="4"/>
        <v>#VALUE!</v>
      </c>
      <c r="H137" s="4" t="e">
        <f t="shared" si="5"/>
        <v>#VALUE!</v>
      </c>
    </row>
    <row r="138" spans="1:8" x14ac:dyDescent="0.3">
      <c r="A138" t="str">
        <f>IF(MASTER_REGISTER!E138="","",MASTER_REGISTER!E138)</f>
        <v/>
      </c>
      <c r="B138" t="str">
        <f>IF(A138="","",MASTER_REGISTER!F138)</f>
        <v/>
      </c>
      <c r="C138" t="str">
        <f>IF(A138="","",MASTER_REGISTER!C138)</f>
        <v/>
      </c>
      <c r="D138" t="str">
        <f>IF(A138="","",COUNTIF(ATTENDANCE_DAILY!C:C,A138))</f>
        <v/>
      </c>
      <c r="E138" t="str">
        <f>IF(A138="","",COUNTIFS(ATTENDANCE_DAILY!C:C,A138,ATTENDANCE_DAILY!E:E,"Present"))</f>
        <v/>
      </c>
      <c r="F138" t="str">
        <f>IF(A138="","",COUNTIFS(ATTENDANCE_DAILY!C:C,A138,ATTENDANCE_DAILY!E:E,"Absent"))</f>
        <v/>
      </c>
      <c r="G138" s="5" t="e">
        <f t="shared" si="4"/>
        <v>#VALUE!</v>
      </c>
      <c r="H138" s="4" t="e">
        <f t="shared" si="5"/>
        <v>#VALUE!</v>
      </c>
    </row>
    <row r="139" spans="1:8" x14ac:dyDescent="0.3">
      <c r="A139" t="str">
        <f>IF(MASTER_REGISTER!E139="","",MASTER_REGISTER!E139)</f>
        <v/>
      </c>
      <c r="B139" t="str">
        <f>IF(A139="","",MASTER_REGISTER!F139)</f>
        <v/>
      </c>
      <c r="C139" t="str">
        <f>IF(A139="","",MASTER_REGISTER!C139)</f>
        <v/>
      </c>
      <c r="D139" t="str">
        <f>IF(A139="","",COUNTIF(ATTENDANCE_DAILY!C:C,A139))</f>
        <v/>
      </c>
      <c r="E139" t="str">
        <f>IF(A139="","",COUNTIFS(ATTENDANCE_DAILY!C:C,A139,ATTENDANCE_DAILY!E:E,"Present"))</f>
        <v/>
      </c>
      <c r="F139" t="str">
        <f>IF(A139="","",COUNTIFS(ATTENDANCE_DAILY!C:C,A139,ATTENDANCE_DAILY!E:E,"Absent"))</f>
        <v/>
      </c>
      <c r="G139" s="5" t="e">
        <f t="shared" si="4"/>
        <v>#VALUE!</v>
      </c>
      <c r="H139" s="4" t="e">
        <f t="shared" si="5"/>
        <v>#VALUE!</v>
      </c>
    </row>
    <row r="140" spans="1:8" x14ac:dyDescent="0.3">
      <c r="A140" t="str">
        <f>IF(MASTER_REGISTER!E140="","",MASTER_REGISTER!E140)</f>
        <v/>
      </c>
      <c r="B140" t="str">
        <f>IF(A140="","",MASTER_REGISTER!F140)</f>
        <v/>
      </c>
      <c r="C140" t="str">
        <f>IF(A140="","",MASTER_REGISTER!C140)</f>
        <v/>
      </c>
      <c r="D140" t="str">
        <f>IF(A140="","",COUNTIF(ATTENDANCE_DAILY!C:C,A140))</f>
        <v/>
      </c>
      <c r="E140" t="str">
        <f>IF(A140="","",COUNTIFS(ATTENDANCE_DAILY!C:C,A140,ATTENDANCE_DAILY!E:E,"Present"))</f>
        <v/>
      </c>
      <c r="F140" t="str">
        <f>IF(A140="","",COUNTIFS(ATTENDANCE_DAILY!C:C,A140,ATTENDANCE_DAILY!E:E,"Absent"))</f>
        <v/>
      </c>
      <c r="G140" s="5" t="e">
        <f t="shared" si="4"/>
        <v>#VALUE!</v>
      </c>
      <c r="H140" s="4" t="e">
        <f t="shared" si="5"/>
        <v>#VALUE!</v>
      </c>
    </row>
    <row r="141" spans="1:8" x14ac:dyDescent="0.3">
      <c r="A141" t="str">
        <f>IF(MASTER_REGISTER!E141="","",MASTER_REGISTER!E141)</f>
        <v/>
      </c>
      <c r="B141" t="str">
        <f>IF(A141="","",MASTER_REGISTER!F141)</f>
        <v/>
      </c>
      <c r="C141" t="str">
        <f>IF(A141="","",MASTER_REGISTER!C141)</f>
        <v/>
      </c>
      <c r="D141" t="str">
        <f>IF(A141="","",COUNTIF(ATTENDANCE_DAILY!C:C,A141))</f>
        <v/>
      </c>
      <c r="E141" t="str">
        <f>IF(A141="","",COUNTIFS(ATTENDANCE_DAILY!C:C,A141,ATTENDANCE_DAILY!E:E,"Present"))</f>
        <v/>
      </c>
      <c r="F141" t="str">
        <f>IF(A141="","",COUNTIFS(ATTENDANCE_DAILY!C:C,A141,ATTENDANCE_DAILY!E:E,"Absent"))</f>
        <v/>
      </c>
      <c r="G141" s="5" t="e">
        <f t="shared" si="4"/>
        <v>#VALUE!</v>
      </c>
      <c r="H141" s="4" t="e">
        <f t="shared" si="5"/>
        <v>#VALUE!</v>
      </c>
    </row>
    <row r="142" spans="1:8" x14ac:dyDescent="0.3">
      <c r="A142" t="str">
        <f>IF(MASTER_REGISTER!E142="","",MASTER_REGISTER!E142)</f>
        <v/>
      </c>
      <c r="B142" t="str">
        <f>IF(A142="","",MASTER_REGISTER!F142)</f>
        <v/>
      </c>
      <c r="C142" t="str">
        <f>IF(A142="","",MASTER_REGISTER!C142)</f>
        <v/>
      </c>
      <c r="D142" t="str">
        <f>IF(A142="","",COUNTIF(ATTENDANCE_DAILY!C:C,A142))</f>
        <v/>
      </c>
      <c r="E142" t="str">
        <f>IF(A142="","",COUNTIFS(ATTENDANCE_DAILY!C:C,A142,ATTENDANCE_DAILY!E:E,"Present"))</f>
        <v/>
      </c>
      <c r="F142" t="str">
        <f>IF(A142="","",COUNTIFS(ATTENDANCE_DAILY!C:C,A142,ATTENDANCE_DAILY!E:E,"Absent"))</f>
        <v/>
      </c>
      <c r="G142" s="5" t="e">
        <f t="shared" si="4"/>
        <v>#VALUE!</v>
      </c>
      <c r="H142" s="4" t="e">
        <f t="shared" si="5"/>
        <v>#VALUE!</v>
      </c>
    </row>
    <row r="143" spans="1:8" x14ac:dyDescent="0.3">
      <c r="A143" t="str">
        <f>IF(MASTER_REGISTER!E143="","",MASTER_REGISTER!E143)</f>
        <v/>
      </c>
      <c r="B143" t="str">
        <f>IF(A143="","",MASTER_REGISTER!F143)</f>
        <v/>
      </c>
      <c r="C143" t="str">
        <f>IF(A143="","",MASTER_REGISTER!C143)</f>
        <v/>
      </c>
      <c r="D143" t="str">
        <f>IF(A143="","",COUNTIF(ATTENDANCE_DAILY!C:C,A143))</f>
        <v/>
      </c>
      <c r="E143" t="str">
        <f>IF(A143="","",COUNTIFS(ATTENDANCE_DAILY!C:C,A143,ATTENDANCE_DAILY!E:E,"Present"))</f>
        <v/>
      </c>
      <c r="F143" t="str">
        <f>IF(A143="","",COUNTIFS(ATTENDANCE_DAILY!C:C,A143,ATTENDANCE_DAILY!E:E,"Absent"))</f>
        <v/>
      </c>
      <c r="G143" s="5" t="e">
        <f t="shared" si="4"/>
        <v>#VALUE!</v>
      </c>
      <c r="H143" s="4" t="e">
        <f t="shared" si="5"/>
        <v>#VALUE!</v>
      </c>
    </row>
    <row r="144" spans="1:8" x14ac:dyDescent="0.3">
      <c r="A144" t="str">
        <f>IF(MASTER_REGISTER!E144="","",MASTER_REGISTER!E144)</f>
        <v/>
      </c>
      <c r="B144" t="str">
        <f>IF(A144="","",MASTER_REGISTER!F144)</f>
        <v/>
      </c>
      <c r="C144" t="str">
        <f>IF(A144="","",MASTER_REGISTER!C144)</f>
        <v/>
      </c>
      <c r="D144" t="str">
        <f>IF(A144="","",COUNTIF(ATTENDANCE_DAILY!C:C,A144))</f>
        <v/>
      </c>
      <c r="E144" t="str">
        <f>IF(A144="","",COUNTIFS(ATTENDANCE_DAILY!C:C,A144,ATTENDANCE_DAILY!E:E,"Present"))</f>
        <v/>
      </c>
      <c r="F144" t="str">
        <f>IF(A144="","",COUNTIFS(ATTENDANCE_DAILY!C:C,A144,ATTENDANCE_DAILY!E:E,"Absent"))</f>
        <v/>
      </c>
      <c r="G144" s="5" t="e">
        <f t="shared" si="4"/>
        <v>#VALUE!</v>
      </c>
      <c r="H144" s="4" t="e">
        <f t="shared" si="5"/>
        <v>#VALUE!</v>
      </c>
    </row>
    <row r="145" spans="1:8" x14ac:dyDescent="0.3">
      <c r="A145" t="str">
        <f>IF(MASTER_REGISTER!E145="","",MASTER_REGISTER!E145)</f>
        <v/>
      </c>
      <c r="B145" t="str">
        <f>IF(A145="","",MASTER_REGISTER!F145)</f>
        <v/>
      </c>
      <c r="C145" t="str">
        <f>IF(A145="","",MASTER_REGISTER!C145)</f>
        <v/>
      </c>
      <c r="D145" t="str">
        <f>IF(A145="","",COUNTIF(ATTENDANCE_DAILY!C:C,A145))</f>
        <v/>
      </c>
      <c r="E145" t="str">
        <f>IF(A145="","",COUNTIFS(ATTENDANCE_DAILY!C:C,A145,ATTENDANCE_DAILY!E:E,"Present"))</f>
        <v/>
      </c>
      <c r="F145" t="str">
        <f>IF(A145="","",COUNTIFS(ATTENDANCE_DAILY!C:C,A145,ATTENDANCE_DAILY!E:E,"Absent"))</f>
        <v/>
      </c>
      <c r="G145" s="5" t="e">
        <f t="shared" si="4"/>
        <v>#VALUE!</v>
      </c>
      <c r="H145" s="4" t="e">
        <f t="shared" si="5"/>
        <v>#VALUE!</v>
      </c>
    </row>
    <row r="146" spans="1:8" x14ac:dyDescent="0.3">
      <c r="A146" t="str">
        <f>IF(MASTER_REGISTER!E146="","",MASTER_REGISTER!E146)</f>
        <v/>
      </c>
      <c r="B146" t="str">
        <f>IF(A146="","",MASTER_REGISTER!F146)</f>
        <v/>
      </c>
      <c r="C146" t="str">
        <f>IF(A146="","",MASTER_REGISTER!C146)</f>
        <v/>
      </c>
      <c r="D146" t="str">
        <f>IF(A146="","",COUNTIF(ATTENDANCE_DAILY!C:C,A146))</f>
        <v/>
      </c>
      <c r="E146" t="str">
        <f>IF(A146="","",COUNTIFS(ATTENDANCE_DAILY!C:C,A146,ATTENDANCE_DAILY!E:E,"Present"))</f>
        <v/>
      </c>
      <c r="F146" t="str">
        <f>IF(A146="","",COUNTIFS(ATTENDANCE_DAILY!C:C,A146,ATTENDANCE_DAILY!E:E,"Absent"))</f>
        <v/>
      </c>
      <c r="G146" s="5" t="e">
        <f t="shared" si="4"/>
        <v>#VALUE!</v>
      </c>
      <c r="H146" s="4" t="e">
        <f t="shared" si="5"/>
        <v>#VALUE!</v>
      </c>
    </row>
    <row r="147" spans="1:8" x14ac:dyDescent="0.3">
      <c r="A147" t="str">
        <f>IF(MASTER_REGISTER!E147="","",MASTER_REGISTER!E147)</f>
        <v/>
      </c>
      <c r="B147" t="str">
        <f>IF(A147="","",MASTER_REGISTER!F147)</f>
        <v/>
      </c>
      <c r="C147" t="str">
        <f>IF(A147="","",MASTER_REGISTER!C147)</f>
        <v/>
      </c>
      <c r="D147" t="str">
        <f>IF(A147="","",COUNTIF(ATTENDANCE_DAILY!C:C,A147))</f>
        <v/>
      </c>
      <c r="E147" t="str">
        <f>IF(A147="","",COUNTIFS(ATTENDANCE_DAILY!C:C,A147,ATTENDANCE_DAILY!E:E,"Present"))</f>
        <v/>
      </c>
      <c r="F147" t="str">
        <f>IF(A147="","",COUNTIFS(ATTENDANCE_DAILY!C:C,A147,ATTENDANCE_DAILY!E:E,"Absent"))</f>
        <v/>
      </c>
      <c r="G147" s="5" t="e">
        <f t="shared" si="4"/>
        <v>#VALUE!</v>
      </c>
      <c r="H147" s="4" t="e">
        <f t="shared" si="5"/>
        <v>#VALUE!</v>
      </c>
    </row>
    <row r="148" spans="1:8" x14ac:dyDescent="0.3">
      <c r="A148" t="str">
        <f>IF(MASTER_REGISTER!E148="","",MASTER_REGISTER!E148)</f>
        <v/>
      </c>
      <c r="B148" t="str">
        <f>IF(A148="","",MASTER_REGISTER!F148)</f>
        <v/>
      </c>
      <c r="C148" t="str">
        <f>IF(A148="","",MASTER_REGISTER!C148)</f>
        <v/>
      </c>
      <c r="D148" t="str">
        <f>IF(A148="","",COUNTIF(ATTENDANCE_DAILY!C:C,A148))</f>
        <v/>
      </c>
      <c r="E148" t="str">
        <f>IF(A148="","",COUNTIFS(ATTENDANCE_DAILY!C:C,A148,ATTENDANCE_DAILY!E:E,"Present"))</f>
        <v/>
      </c>
      <c r="F148" t="str">
        <f>IF(A148="","",COUNTIFS(ATTENDANCE_DAILY!C:C,A148,ATTENDANCE_DAILY!E:E,"Absent"))</f>
        <v/>
      </c>
      <c r="G148" s="5" t="e">
        <f t="shared" si="4"/>
        <v>#VALUE!</v>
      </c>
      <c r="H148" s="4" t="e">
        <f t="shared" si="5"/>
        <v>#VALUE!</v>
      </c>
    </row>
    <row r="149" spans="1:8" x14ac:dyDescent="0.3">
      <c r="A149" t="str">
        <f>IF(MASTER_REGISTER!E149="","",MASTER_REGISTER!E149)</f>
        <v/>
      </c>
      <c r="B149" t="str">
        <f>IF(A149="","",MASTER_REGISTER!F149)</f>
        <v/>
      </c>
      <c r="C149" t="str">
        <f>IF(A149="","",MASTER_REGISTER!C149)</f>
        <v/>
      </c>
      <c r="D149" t="str">
        <f>IF(A149="","",COUNTIF(ATTENDANCE_DAILY!C:C,A149))</f>
        <v/>
      </c>
      <c r="E149" t="str">
        <f>IF(A149="","",COUNTIFS(ATTENDANCE_DAILY!C:C,A149,ATTENDANCE_DAILY!E:E,"Present"))</f>
        <v/>
      </c>
      <c r="F149" t="str">
        <f>IF(A149="","",COUNTIFS(ATTENDANCE_DAILY!C:C,A149,ATTENDANCE_DAILY!E:E,"Absent"))</f>
        <v/>
      </c>
      <c r="G149" s="5" t="e">
        <f t="shared" si="4"/>
        <v>#VALUE!</v>
      </c>
      <c r="H149" s="4" t="e">
        <f t="shared" si="5"/>
        <v>#VALUE!</v>
      </c>
    </row>
    <row r="150" spans="1:8" x14ac:dyDescent="0.3">
      <c r="A150" t="str">
        <f>IF(MASTER_REGISTER!E150="","",MASTER_REGISTER!E150)</f>
        <v/>
      </c>
      <c r="B150" t="str">
        <f>IF(A150="","",MASTER_REGISTER!F150)</f>
        <v/>
      </c>
      <c r="C150" t="str">
        <f>IF(A150="","",MASTER_REGISTER!C150)</f>
        <v/>
      </c>
      <c r="D150" t="str">
        <f>IF(A150="","",COUNTIF(ATTENDANCE_DAILY!C:C,A150))</f>
        <v/>
      </c>
      <c r="E150" t="str">
        <f>IF(A150="","",COUNTIFS(ATTENDANCE_DAILY!C:C,A150,ATTENDANCE_DAILY!E:E,"Present"))</f>
        <v/>
      </c>
      <c r="F150" t="str">
        <f>IF(A150="","",COUNTIFS(ATTENDANCE_DAILY!C:C,A150,ATTENDANCE_DAILY!E:E,"Absent"))</f>
        <v/>
      </c>
      <c r="G150" s="5" t="e">
        <f t="shared" si="4"/>
        <v>#VALUE!</v>
      </c>
      <c r="H150" s="4" t="e">
        <f t="shared" si="5"/>
        <v>#VALUE!</v>
      </c>
    </row>
    <row r="151" spans="1:8" x14ac:dyDescent="0.3">
      <c r="A151" t="str">
        <f>IF(MASTER_REGISTER!E151="","",MASTER_REGISTER!E151)</f>
        <v/>
      </c>
      <c r="B151" t="str">
        <f>IF(A151="","",MASTER_REGISTER!F151)</f>
        <v/>
      </c>
      <c r="C151" t="str">
        <f>IF(A151="","",MASTER_REGISTER!C151)</f>
        <v/>
      </c>
      <c r="D151" t="str">
        <f>IF(A151="","",COUNTIF(ATTENDANCE_DAILY!C:C,A151))</f>
        <v/>
      </c>
      <c r="E151" t="str">
        <f>IF(A151="","",COUNTIFS(ATTENDANCE_DAILY!C:C,A151,ATTENDANCE_DAILY!E:E,"Present"))</f>
        <v/>
      </c>
      <c r="F151" t="str">
        <f>IF(A151="","",COUNTIFS(ATTENDANCE_DAILY!C:C,A151,ATTENDANCE_DAILY!E:E,"Absent"))</f>
        <v/>
      </c>
      <c r="G151" s="5" t="e">
        <f t="shared" si="4"/>
        <v>#VALUE!</v>
      </c>
      <c r="H151" s="4" t="e">
        <f t="shared" si="5"/>
        <v>#VALUE!</v>
      </c>
    </row>
    <row r="152" spans="1:8" x14ac:dyDescent="0.3">
      <c r="A152" t="str">
        <f>IF(MASTER_REGISTER!E152="","",MASTER_REGISTER!E152)</f>
        <v/>
      </c>
      <c r="B152" t="str">
        <f>IF(A152="","",MASTER_REGISTER!F152)</f>
        <v/>
      </c>
      <c r="C152" t="str">
        <f>IF(A152="","",MASTER_REGISTER!C152)</f>
        <v/>
      </c>
      <c r="D152" t="str">
        <f>IF(A152="","",COUNTIF(ATTENDANCE_DAILY!C:C,A152))</f>
        <v/>
      </c>
      <c r="E152" t="str">
        <f>IF(A152="","",COUNTIFS(ATTENDANCE_DAILY!C:C,A152,ATTENDANCE_DAILY!E:E,"Present"))</f>
        <v/>
      </c>
      <c r="F152" t="str">
        <f>IF(A152="","",COUNTIFS(ATTENDANCE_DAILY!C:C,A152,ATTENDANCE_DAILY!E:E,"Absent"))</f>
        <v/>
      </c>
      <c r="G152" s="5" t="e">
        <f t="shared" si="4"/>
        <v>#VALUE!</v>
      </c>
      <c r="H152" s="4" t="e">
        <f t="shared" si="5"/>
        <v>#VALUE!</v>
      </c>
    </row>
    <row r="153" spans="1:8" x14ac:dyDescent="0.3">
      <c r="A153" t="str">
        <f>IF(MASTER_REGISTER!E153="","",MASTER_REGISTER!E153)</f>
        <v/>
      </c>
      <c r="B153" t="str">
        <f>IF(A153="","",MASTER_REGISTER!F153)</f>
        <v/>
      </c>
      <c r="C153" t="str">
        <f>IF(A153="","",MASTER_REGISTER!C153)</f>
        <v/>
      </c>
      <c r="D153" t="str">
        <f>IF(A153="","",COUNTIF(ATTENDANCE_DAILY!C:C,A153))</f>
        <v/>
      </c>
      <c r="E153" t="str">
        <f>IF(A153="","",COUNTIFS(ATTENDANCE_DAILY!C:C,A153,ATTENDANCE_DAILY!E:E,"Present"))</f>
        <v/>
      </c>
      <c r="F153" t="str">
        <f>IF(A153="","",COUNTIFS(ATTENDANCE_DAILY!C:C,A153,ATTENDANCE_DAILY!E:E,"Absent"))</f>
        <v/>
      </c>
      <c r="G153" s="5" t="e">
        <f t="shared" si="4"/>
        <v>#VALUE!</v>
      </c>
      <c r="H153" s="4" t="e">
        <f t="shared" si="5"/>
        <v>#VALUE!</v>
      </c>
    </row>
    <row r="154" spans="1:8" x14ac:dyDescent="0.3">
      <c r="A154" t="str">
        <f>IF(MASTER_REGISTER!E154="","",MASTER_REGISTER!E154)</f>
        <v/>
      </c>
      <c r="B154" t="str">
        <f>IF(A154="","",MASTER_REGISTER!F154)</f>
        <v/>
      </c>
      <c r="C154" t="str">
        <f>IF(A154="","",MASTER_REGISTER!C154)</f>
        <v/>
      </c>
      <c r="D154" t="str">
        <f>IF(A154="","",COUNTIF(ATTENDANCE_DAILY!C:C,A154))</f>
        <v/>
      </c>
      <c r="E154" t="str">
        <f>IF(A154="","",COUNTIFS(ATTENDANCE_DAILY!C:C,A154,ATTENDANCE_DAILY!E:E,"Present"))</f>
        <v/>
      </c>
      <c r="F154" t="str">
        <f>IF(A154="","",COUNTIFS(ATTENDANCE_DAILY!C:C,A154,ATTENDANCE_DAILY!E:E,"Absent"))</f>
        <v/>
      </c>
      <c r="G154" s="5" t="e">
        <f t="shared" si="4"/>
        <v>#VALUE!</v>
      </c>
      <c r="H154" s="4" t="e">
        <f t="shared" si="5"/>
        <v>#VALUE!</v>
      </c>
    </row>
    <row r="155" spans="1:8" x14ac:dyDescent="0.3">
      <c r="A155" t="str">
        <f>IF(MASTER_REGISTER!E155="","",MASTER_REGISTER!E155)</f>
        <v/>
      </c>
      <c r="B155" t="str">
        <f>IF(A155="","",MASTER_REGISTER!F155)</f>
        <v/>
      </c>
      <c r="C155" t="str">
        <f>IF(A155="","",MASTER_REGISTER!C155)</f>
        <v/>
      </c>
      <c r="D155" t="str">
        <f>IF(A155="","",COUNTIF(ATTENDANCE_DAILY!C:C,A155))</f>
        <v/>
      </c>
      <c r="E155" t="str">
        <f>IF(A155="","",COUNTIFS(ATTENDANCE_DAILY!C:C,A155,ATTENDANCE_DAILY!E:E,"Present"))</f>
        <v/>
      </c>
      <c r="F155" t="str">
        <f>IF(A155="","",COUNTIFS(ATTENDANCE_DAILY!C:C,A155,ATTENDANCE_DAILY!E:E,"Absent"))</f>
        <v/>
      </c>
      <c r="G155" s="5" t="e">
        <f t="shared" si="4"/>
        <v>#VALUE!</v>
      </c>
      <c r="H155" s="4" t="e">
        <f t="shared" si="5"/>
        <v>#VALUE!</v>
      </c>
    </row>
    <row r="156" spans="1:8" x14ac:dyDescent="0.3">
      <c r="A156" t="str">
        <f>IF(MASTER_REGISTER!E156="","",MASTER_REGISTER!E156)</f>
        <v/>
      </c>
      <c r="B156" t="str">
        <f>IF(A156="","",MASTER_REGISTER!F156)</f>
        <v/>
      </c>
      <c r="C156" t="str">
        <f>IF(A156="","",MASTER_REGISTER!C156)</f>
        <v/>
      </c>
      <c r="D156" t="str">
        <f>IF(A156="","",COUNTIF(ATTENDANCE_DAILY!C:C,A156))</f>
        <v/>
      </c>
      <c r="E156" t="str">
        <f>IF(A156="","",COUNTIFS(ATTENDANCE_DAILY!C:C,A156,ATTENDANCE_DAILY!E:E,"Present"))</f>
        <v/>
      </c>
      <c r="F156" t="str">
        <f>IF(A156="","",COUNTIFS(ATTENDANCE_DAILY!C:C,A156,ATTENDANCE_DAILY!E:E,"Absent"))</f>
        <v/>
      </c>
      <c r="G156" s="5" t="e">
        <f t="shared" si="4"/>
        <v>#VALUE!</v>
      </c>
      <c r="H156" s="4" t="e">
        <f t="shared" si="5"/>
        <v>#VALUE!</v>
      </c>
    </row>
    <row r="157" spans="1:8" x14ac:dyDescent="0.3">
      <c r="A157" t="str">
        <f>IF(MASTER_REGISTER!E157="","",MASTER_REGISTER!E157)</f>
        <v/>
      </c>
      <c r="B157" t="str">
        <f>IF(A157="","",MASTER_REGISTER!F157)</f>
        <v/>
      </c>
      <c r="C157" t="str">
        <f>IF(A157="","",MASTER_REGISTER!C157)</f>
        <v/>
      </c>
      <c r="D157" t="str">
        <f>IF(A157="","",COUNTIF(ATTENDANCE_DAILY!C:C,A157))</f>
        <v/>
      </c>
      <c r="E157" t="str">
        <f>IF(A157="","",COUNTIFS(ATTENDANCE_DAILY!C:C,A157,ATTENDANCE_DAILY!E:E,"Present"))</f>
        <v/>
      </c>
      <c r="F157" t="str">
        <f>IF(A157="","",COUNTIFS(ATTENDANCE_DAILY!C:C,A157,ATTENDANCE_DAILY!E:E,"Absent"))</f>
        <v/>
      </c>
      <c r="G157" s="5" t="e">
        <f t="shared" si="4"/>
        <v>#VALUE!</v>
      </c>
      <c r="H157" s="4" t="e">
        <f t="shared" si="5"/>
        <v>#VALUE!</v>
      </c>
    </row>
    <row r="158" spans="1:8" x14ac:dyDescent="0.3">
      <c r="A158" t="str">
        <f>IF(MASTER_REGISTER!E158="","",MASTER_REGISTER!E158)</f>
        <v/>
      </c>
      <c r="B158" t="str">
        <f>IF(A158="","",MASTER_REGISTER!F158)</f>
        <v/>
      </c>
      <c r="C158" t="str">
        <f>IF(A158="","",MASTER_REGISTER!C158)</f>
        <v/>
      </c>
      <c r="D158" t="str">
        <f>IF(A158="","",COUNTIF(ATTENDANCE_DAILY!C:C,A158))</f>
        <v/>
      </c>
      <c r="E158" t="str">
        <f>IF(A158="","",COUNTIFS(ATTENDANCE_DAILY!C:C,A158,ATTENDANCE_DAILY!E:E,"Present"))</f>
        <v/>
      </c>
      <c r="F158" t="str">
        <f>IF(A158="","",COUNTIFS(ATTENDANCE_DAILY!C:C,A158,ATTENDANCE_DAILY!E:E,"Absent"))</f>
        <v/>
      </c>
      <c r="G158" s="5" t="e">
        <f t="shared" si="4"/>
        <v>#VALUE!</v>
      </c>
      <c r="H158" s="4" t="e">
        <f t="shared" si="5"/>
        <v>#VALUE!</v>
      </c>
    </row>
    <row r="159" spans="1:8" x14ac:dyDescent="0.3">
      <c r="A159" t="str">
        <f>IF(MASTER_REGISTER!E159="","",MASTER_REGISTER!E159)</f>
        <v/>
      </c>
      <c r="B159" t="str">
        <f>IF(A159="","",MASTER_REGISTER!F159)</f>
        <v/>
      </c>
      <c r="C159" t="str">
        <f>IF(A159="","",MASTER_REGISTER!C159)</f>
        <v/>
      </c>
      <c r="D159" t="str">
        <f>IF(A159="","",COUNTIF(ATTENDANCE_DAILY!C:C,A159))</f>
        <v/>
      </c>
      <c r="E159" t="str">
        <f>IF(A159="","",COUNTIFS(ATTENDANCE_DAILY!C:C,A159,ATTENDANCE_DAILY!E:E,"Present"))</f>
        <v/>
      </c>
      <c r="F159" t="str">
        <f>IF(A159="","",COUNTIFS(ATTENDANCE_DAILY!C:C,A159,ATTENDANCE_DAILY!E:E,"Absent"))</f>
        <v/>
      </c>
      <c r="G159" s="5" t="e">
        <f t="shared" si="4"/>
        <v>#VALUE!</v>
      </c>
      <c r="H159" s="4" t="e">
        <f t="shared" si="5"/>
        <v>#VALUE!</v>
      </c>
    </row>
    <row r="160" spans="1:8" x14ac:dyDescent="0.3">
      <c r="A160" t="str">
        <f>IF(MASTER_REGISTER!E160="","",MASTER_REGISTER!E160)</f>
        <v/>
      </c>
      <c r="B160" t="str">
        <f>IF(A160="","",MASTER_REGISTER!F160)</f>
        <v/>
      </c>
      <c r="C160" t="str">
        <f>IF(A160="","",MASTER_REGISTER!C160)</f>
        <v/>
      </c>
      <c r="D160" t="str">
        <f>IF(A160="","",COUNTIF(ATTENDANCE_DAILY!C:C,A160))</f>
        <v/>
      </c>
      <c r="E160" t="str">
        <f>IF(A160="","",COUNTIFS(ATTENDANCE_DAILY!C:C,A160,ATTENDANCE_DAILY!E:E,"Present"))</f>
        <v/>
      </c>
      <c r="F160" t="str">
        <f>IF(A160="","",COUNTIFS(ATTENDANCE_DAILY!C:C,A160,ATTENDANCE_DAILY!E:E,"Absent"))</f>
        <v/>
      </c>
      <c r="G160" s="5" t="e">
        <f t="shared" si="4"/>
        <v>#VALUE!</v>
      </c>
      <c r="H160" s="4" t="e">
        <f t="shared" si="5"/>
        <v>#VALUE!</v>
      </c>
    </row>
    <row r="161" spans="1:8" x14ac:dyDescent="0.3">
      <c r="A161" t="str">
        <f>IF(MASTER_REGISTER!E161="","",MASTER_REGISTER!E161)</f>
        <v/>
      </c>
      <c r="B161" t="str">
        <f>IF(A161="","",MASTER_REGISTER!F161)</f>
        <v/>
      </c>
      <c r="C161" t="str">
        <f>IF(A161="","",MASTER_REGISTER!C161)</f>
        <v/>
      </c>
      <c r="D161" t="str">
        <f>IF(A161="","",COUNTIF(ATTENDANCE_DAILY!C:C,A161))</f>
        <v/>
      </c>
      <c r="E161" t="str">
        <f>IF(A161="","",COUNTIFS(ATTENDANCE_DAILY!C:C,A161,ATTENDANCE_DAILY!E:E,"Present"))</f>
        <v/>
      </c>
      <c r="F161" t="str">
        <f>IF(A161="","",COUNTIFS(ATTENDANCE_DAILY!C:C,A161,ATTENDANCE_DAILY!E:E,"Absent"))</f>
        <v/>
      </c>
      <c r="G161" s="5" t="e">
        <f t="shared" si="4"/>
        <v>#VALUE!</v>
      </c>
      <c r="H161" s="4" t="e">
        <f t="shared" si="5"/>
        <v>#VALUE!</v>
      </c>
    </row>
    <row r="162" spans="1:8" x14ac:dyDescent="0.3">
      <c r="A162" t="str">
        <f>IF(MASTER_REGISTER!E162="","",MASTER_REGISTER!E162)</f>
        <v/>
      </c>
      <c r="B162" t="str">
        <f>IF(A162="","",MASTER_REGISTER!F162)</f>
        <v/>
      </c>
      <c r="C162" t="str">
        <f>IF(A162="","",MASTER_REGISTER!C162)</f>
        <v/>
      </c>
      <c r="D162" t="str">
        <f>IF(A162="","",COUNTIF(ATTENDANCE_DAILY!C:C,A162))</f>
        <v/>
      </c>
      <c r="E162" t="str">
        <f>IF(A162="","",COUNTIFS(ATTENDANCE_DAILY!C:C,A162,ATTENDANCE_DAILY!E:E,"Present"))</f>
        <v/>
      </c>
      <c r="F162" t="str">
        <f>IF(A162="","",COUNTIFS(ATTENDANCE_DAILY!C:C,A162,ATTENDANCE_DAILY!E:E,"Absent"))</f>
        <v/>
      </c>
      <c r="G162" s="5" t="e">
        <f t="shared" si="4"/>
        <v>#VALUE!</v>
      </c>
      <c r="H162" s="4" t="e">
        <f t="shared" si="5"/>
        <v>#VALUE!</v>
      </c>
    </row>
    <row r="163" spans="1:8" x14ac:dyDescent="0.3">
      <c r="A163" t="str">
        <f>IF(MASTER_REGISTER!E163="","",MASTER_REGISTER!E163)</f>
        <v/>
      </c>
      <c r="B163" t="str">
        <f>IF(A163="","",MASTER_REGISTER!F163)</f>
        <v/>
      </c>
      <c r="C163" t="str">
        <f>IF(A163="","",MASTER_REGISTER!C163)</f>
        <v/>
      </c>
      <c r="D163" t="str">
        <f>IF(A163="","",COUNTIF(ATTENDANCE_DAILY!C:C,A163))</f>
        <v/>
      </c>
      <c r="E163" t="str">
        <f>IF(A163="","",COUNTIFS(ATTENDANCE_DAILY!C:C,A163,ATTENDANCE_DAILY!E:E,"Present"))</f>
        <v/>
      </c>
      <c r="F163" t="str">
        <f>IF(A163="","",COUNTIFS(ATTENDANCE_DAILY!C:C,A163,ATTENDANCE_DAILY!E:E,"Absent"))</f>
        <v/>
      </c>
      <c r="G163" s="5" t="e">
        <f t="shared" si="4"/>
        <v>#VALUE!</v>
      </c>
      <c r="H163" s="4" t="e">
        <f t="shared" si="5"/>
        <v>#VALUE!</v>
      </c>
    </row>
    <row r="164" spans="1:8" x14ac:dyDescent="0.3">
      <c r="A164" t="str">
        <f>IF(MASTER_REGISTER!E164="","",MASTER_REGISTER!E164)</f>
        <v/>
      </c>
      <c r="B164" t="str">
        <f>IF(A164="","",MASTER_REGISTER!F164)</f>
        <v/>
      </c>
      <c r="C164" t="str">
        <f>IF(A164="","",MASTER_REGISTER!C164)</f>
        <v/>
      </c>
      <c r="D164" t="str">
        <f>IF(A164="","",COUNTIF(ATTENDANCE_DAILY!C:C,A164))</f>
        <v/>
      </c>
      <c r="E164" t="str">
        <f>IF(A164="","",COUNTIFS(ATTENDANCE_DAILY!C:C,A164,ATTENDANCE_DAILY!E:E,"Present"))</f>
        <v/>
      </c>
      <c r="F164" t="str">
        <f>IF(A164="","",COUNTIFS(ATTENDANCE_DAILY!C:C,A164,ATTENDANCE_DAILY!E:E,"Absent"))</f>
        <v/>
      </c>
      <c r="G164" s="5" t="e">
        <f t="shared" si="4"/>
        <v>#VALUE!</v>
      </c>
      <c r="H164" s="4" t="e">
        <f t="shared" si="5"/>
        <v>#VALUE!</v>
      </c>
    </row>
    <row r="165" spans="1:8" x14ac:dyDescent="0.3">
      <c r="A165" t="str">
        <f>IF(MASTER_REGISTER!E165="","",MASTER_REGISTER!E165)</f>
        <v/>
      </c>
      <c r="B165" t="str">
        <f>IF(A165="","",MASTER_REGISTER!F165)</f>
        <v/>
      </c>
      <c r="C165" t="str">
        <f>IF(A165="","",MASTER_REGISTER!C165)</f>
        <v/>
      </c>
      <c r="D165" t="str">
        <f>IF(A165="","",COUNTIF(ATTENDANCE_DAILY!C:C,A165))</f>
        <v/>
      </c>
      <c r="E165" t="str">
        <f>IF(A165="","",COUNTIFS(ATTENDANCE_DAILY!C:C,A165,ATTENDANCE_DAILY!E:E,"Present"))</f>
        <v/>
      </c>
      <c r="F165" t="str">
        <f>IF(A165="","",COUNTIFS(ATTENDANCE_DAILY!C:C,A165,ATTENDANCE_DAILY!E:E,"Absent"))</f>
        <v/>
      </c>
      <c r="G165" s="5" t="e">
        <f t="shared" si="4"/>
        <v>#VALUE!</v>
      </c>
      <c r="H165" s="4" t="e">
        <f t="shared" si="5"/>
        <v>#VALUE!</v>
      </c>
    </row>
    <row r="166" spans="1:8" x14ac:dyDescent="0.3">
      <c r="A166" t="str">
        <f>IF(MASTER_REGISTER!E166="","",MASTER_REGISTER!E166)</f>
        <v/>
      </c>
      <c r="B166" t="str">
        <f>IF(A166="","",MASTER_REGISTER!F166)</f>
        <v/>
      </c>
      <c r="C166" t="str">
        <f>IF(A166="","",MASTER_REGISTER!C166)</f>
        <v/>
      </c>
      <c r="D166" t="str">
        <f>IF(A166="","",COUNTIF(ATTENDANCE_DAILY!C:C,A166))</f>
        <v/>
      </c>
      <c r="E166" t="str">
        <f>IF(A166="","",COUNTIFS(ATTENDANCE_DAILY!C:C,A166,ATTENDANCE_DAILY!E:E,"Present"))</f>
        <v/>
      </c>
      <c r="F166" t="str">
        <f>IF(A166="","",COUNTIFS(ATTENDANCE_DAILY!C:C,A166,ATTENDANCE_DAILY!E:E,"Absent"))</f>
        <v/>
      </c>
      <c r="G166" s="5" t="e">
        <f t="shared" si="4"/>
        <v>#VALUE!</v>
      </c>
      <c r="H166" s="4" t="e">
        <f t="shared" si="5"/>
        <v>#VALUE!</v>
      </c>
    </row>
    <row r="167" spans="1:8" x14ac:dyDescent="0.3">
      <c r="A167" t="str">
        <f>IF(MASTER_REGISTER!E167="","",MASTER_REGISTER!E167)</f>
        <v/>
      </c>
      <c r="B167" t="str">
        <f>IF(A167="","",MASTER_REGISTER!F167)</f>
        <v/>
      </c>
      <c r="C167" t="str">
        <f>IF(A167="","",MASTER_REGISTER!C167)</f>
        <v/>
      </c>
      <c r="D167" t="str">
        <f>IF(A167="","",COUNTIF(ATTENDANCE_DAILY!C:C,A167))</f>
        <v/>
      </c>
      <c r="E167" t="str">
        <f>IF(A167="","",COUNTIFS(ATTENDANCE_DAILY!C:C,A167,ATTENDANCE_DAILY!E:E,"Present"))</f>
        <v/>
      </c>
      <c r="F167" t="str">
        <f>IF(A167="","",COUNTIFS(ATTENDANCE_DAILY!C:C,A167,ATTENDANCE_DAILY!E:E,"Absent"))</f>
        <v/>
      </c>
      <c r="G167" s="5" t="e">
        <f t="shared" si="4"/>
        <v>#VALUE!</v>
      </c>
      <c r="H167" s="4" t="e">
        <f t="shared" si="5"/>
        <v>#VALUE!</v>
      </c>
    </row>
    <row r="168" spans="1:8" x14ac:dyDescent="0.3">
      <c r="A168" t="str">
        <f>IF(MASTER_REGISTER!E168="","",MASTER_REGISTER!E168)</f>
        <v/>
      </c>
      <c r="B168" t="str">
        <f>IF(A168="","",MASTER_REGISTER!F168)</f>
        <v/>
      </c>
      <c r="C168" t="str">
        <f>IF(A168="","",MASTER_REGISTER!C168)</f>
        <v/>
      </c>
      <c r="D168" t="str">
        <f>IF(A168="","",COUNTIF(ATTENDANCE_DAILY!C:C,A168))</f>
        <v/>
      </c>
      <c r="E168" t="str">
        <f>IF(A168="","",COUNTIFS(ATTENDANCE_DAILY!C:C,A168,ATTENDANCE_DAILY!E:E,"Present"))</f>
        <v/>
      </c>
      <c r="F168" t="str">
        <f>IF(A168="","",COUNTIFS(ATTENDANCE_DAILY!C:C,A168,ATTENDANCE_DAILY!E:E,"Absent"))</f>
        <v/>
      </c>
      <c r="G168" s="5" t="e">
        <f t="shared" si="4"/>
        <v>#VALUE!</v>
      </c>
      <c r="H168" s="4" t="e">
        <f t="shared" si="5"/>
        <v>#VALUE!</v>
      </c>
    </row>
    <row r="169" spans="1:8" x14ac:dyDescent="0.3">
      <c r="A169" t="str">
        <f>IF(MASTER_REGISTER!E169="","",MASTER_REGISTER!E169)</f>
        <v/>
      </c>
      <c r="B169" t="str">
        <f>IF(A169="","",MASTER_REGISTER!F169)</f>
        <v/>
      </c>
      <c r="C169" t="str">
        <f>IF(A169="","",MASTER_REGISTER!C169)</f>
        <v/>
      </c>
      <c r="D169" t="str">
        <f>IF(A169="","",COUNTIF(ATTENDANCE_DAILY!C:C,A169))</f>
        <v/>
      </c>
      <c r="E169" t="str">
        <f>IF(A169="","",COUNTIFS(ATTENDANCE_DAILY!C:C,A169,ATTENDANCE_DAILY!E:E,"Present"))</f>
        <v/>
      </c>
      <c r="F169" t="str">
        <f>IF(A169="","",COUNTIFS(ATTENDANCE_DAILY!C:C,A169,ATTENDANCE_DAILY!E:E,"Absent"))</f>
        <v/>
      </c>
      <c r="G169" s="5" t="e">
        <f t="shared" si="4"/>
        <v>#VALUE!</v>
      </c>
      <c r="H169" s="4" t="e">
        <f t="shared" si="5"/>
        <v>#VALUE!</v>
      </c>
    </row>
    <row r="170" spans="1:8" x14ac:dyDescent="0.3">
      <c r="A170" t="str">
        <f>IF(MASTER_REGISTER!E170="","",MASTER_REGISTER!E170)</f>
        <v/>
      </c>
      <c r="B170" t="str">
        <f>IF(A170="","",MASTER_REGISTER!F170)</f>
        <v/>
      </c>
      <c r="C170" t="str">
        <f>IF(A170="","",MASTER_REGISTER!C170)</f>
        <v/>
      </c>
      <c r="D170" t="str">
        <f>IF(A170="","",COUNTIF(ATTENDANCE_DAILY!C:C,A170))</f>
        <v/>
      </c>
      <c r="E170" t="str">
        <f>IF(A170="","",COUNTIFS(ATTENDANCE_DAILY!C:C,A170,ATTENDANCE_DAILY!E:E,"Present"))</f>
        <v/>
      </c>
      <c r="F170" t="str">
        <f>IF(A170="","",COUNTIFS(ATTENDANCE_DAILY!C:C,A170,ATTENDANCE_DAILY!E:E,"Absent"))</f>
        <v/>
      </c>
      <c r="G170" s="5" t="e">
        <f t="shared" si="4"/>
        <v>#VALUE!</v>
      </c>
      <c r="H170" s="4" t="e">
        <f t="shared" si="5"/>
        <v>#VALUE!</v>
      </c>
    </row>
    <row r="171" spans="1:8" x14ac:dyDescent="0.3">
      <c r="A171" t="str">
        <f>IF(MASTER_REGISTER!E171="","",MASTER_REGISTER!E171)</f>
        <v/>
      </c>
      <c r="B171" t="str">
        <f>IF(A171="","",MASTER_REGISTER!F171)</f>
        <v/>
      </c>
      <c r="C171" t="str">
        <f>IF(A171="","",MASTER_REGISTER!C171)</f>
        <v/>
      </c>
      <c r="D171" t="str">
        <f>IF(A171="","",COUNTIF(ATTENDANCE_DAILY!C:C,A171))</f>
        <v/>
      </c>
      <c r="E171" t="str">
        <f>IF(A171="","",COUNTIFS(ATTENDANCE_DAILY!C:C,A171,ATTENDANCE_DAILY!E:E,"Present"))</f>
        <v/>
      </c>
      <c r="F171" t="str">
        <f>IF(A171="","",COUNTIFS(ATTENDANCE_DAILY!C:C,A171,ATTENDANCE_DAILY!E:E,"Absent"))</f>
        <v/>
      </c>
      <c r="G171" s="5" t="e">
        <f t="shared" si="4"/>
        <v>#VALUE!</v>
      </c>
      <c r="H171" s="4" t="e">
        <f t="shared" si="5"/>
        <v>#VALUE!</v>
      </c>
    </row>
    <row r="172" spans="1:8" x14ac:dyDescent="0.3">
      <c r="A172" t="str">
        <f>IF(MASTER_REGISTER!E172="","",MASTER_REGISTER!E172)</f>
        <v/>
      </c>
      <c r="B172" t="str">
        <f>IF(A172="","",MASTER_REGISTER!F172)</f>
        <v/>
      </c>
      <c r="C172" t="str">
        <f>IF(A172="","",MASTER_REGISTER!C172)</f>
        <v/>
      </c>
      <c r="D172" t="str">
        <f>IF(A172="","",COUNTIF(ATTENDANCE_DAILY!C:C,A172))</f>
        <v/>
      </c>
      <c r="E172" t="str">
        <f>IF(A172="","",COUNTIFS(ATTENDANCE_DAILY!C:C,A172,ATTENDANCE_DAILY!E:E,"Present"))</f>
        <v/>
      </c>
      <c r="F172" t="str">
        <f>IF(A172="","",COUNTIFS(ATTENDANCE_DAILY!C:C,A172,ATTENDANCE_DAILY!E:E,"Absent"))</f>
        <v/>
      </c>
      <c r="G172" s="5" t="e">
        <f t="shared" si="4"/>
        <v>#VALUE!</v>
      </c>
      <c r="H172" s="4" t="e">
        <f t="shared" si="5"/>
        <v>#VALUE!</v>
      </c>
    </row>
    <row r="173" spans="1:8" x14ac:dyDescent="0.3">
      <c r="A173" t="str">
        <f>IF(MASTER_REGISTER!E173="","",MASTER_REGISTER!E173)</f>
        <v/>
      </c>
      <c r="B173" t="str">
        <f>IF(A173="","",MASTER_REGISTER!F173)</f>
        <v/>
      </c>
      <c r="C173" t="str">
        <f>IF(A173="","",MASTER_REGISTER!C173)</f>
        <v/>
      </c>
      <c r="D173" t="str">
        <f>IF(A173="","",COUNTIF(ATTENDANCE_DAILY!C:C,A173))</f>
        <v/>
      </c>
      <c r="E173" t="str">
        <f>IF(A173="","",COUNTIFS(ATTENDANCE_DAILY!C:C,A173,ATTENDANCE_DAILY!E:E,"Present"))</f>
        <v/>
      </c>
      <c r="F173" t="str">
        <f>IF(A173="","",COUNTIFS(ATTENDANCE_DAILY!C:C,A173,ATTENDANCE_DAILY!E:E,"Absent"))</f>
        <v/>
      </c>
      <c r="G173" s="5" t="e">
        <f t="shared" si="4"/>
        <v>#VALUE!</v>
      </c>
      <c r="H173" s="4" t="e">
        <f t="shared" si="5"/>
        <v>#VALUE!</v>
      </c>
    </row>
    <row r="174" spans="1:8" x14ac:dyDescent="0.3">
      <c r="A174" t="str">
        <f>IF(MASTER_REGISTER!E174="","",MASTER_REGISTER!E174)</f>
        <v/>
      </c>
      <c r="B174" t="str">
        <f>IF(A174="","",MASTER_REGISTER!F174)</f>
        <v/>
      </c>
      <c r="C174" t="str">
        <f>IF(A174="","",MASTER_REGISTER!C174)</f>
        <v/>
      </c>
      <c r="D174" t="str">
        <f>IF(A174="","",COUNTIF(ATTENDANCE_DAILY!C:C,A174))</f>
        <v/>
      </c>
      <c r="E174" t="str">
        <f>IF(A174="","",COUNTIFS(ATTENDANCE_DAILY!C:C,A174,ATTENDANCE_DAILY!E:E,"Present"))</f>
        <v/>
      </c>
      <c r="F174" t="str">
        <f>IF(A174="","",COUNTIFS(ATTENDANCE_DAILY!C:C,A174,ATTENDANCE_DAILY!E:E,"Absent"))</f>
        <v/>
      </c>
      <c r="G174" s="5" t="e">
        <f t="shared" si="4"/>
        <v>#VALUE!</v>
      </c>
      <c r="H174" s="4" t="e">
        <f t="shared" si="5"/>
        <v>#VALUE!</v>
      </c>
    </row>
    <row r="175" spans="1:8" x14ac:dyDescent="0.3">
      <c r="A175" t="str">
        <f>IF(MASTER_REGISTER!E175="","",MASTER_REGISTER!E175)</f>
        <v/>
      </c>
      <c r="B175" t="str">
        <f>IF(A175="","",MASTER_REGISTER!F175)</f>
        <v/>
      </c>
      <c r="C175" t="str">
        <f>IF(A175="","",MASTER_REGISTER!C175)</f>
        <v/>
      </c>
      <c r="D175" t="str">
        <f>IF(A175="","",COUNTIF(ATTENDANCE_DAILY!C:C,A175))</f>
        <v/>
      </c>
      <c r="E175" t="str">
        <f>IF(A175="","",COUNTIFS(ATTENDANCE_DAILY!C:C,A175,ATTENDANCE_DAILY!E:E,"Present"))</f>
        <v/>
      </c>
      <c r="F175" t="str">
        <f>IF(A175="","",COUNTIFS(ATTENDANCE_DAILY!C:C,A175,ATTENDANCE_DAILY!E:E,"Absent"))</f>
        <v/>
      </c>
      <c r="G175" s="5" t="e">
        <f t="shared" si="4"/>
        <v>#VALUE!</v>
      </c>
      <c r="H175" s="4" t="e">
        <f t="shared" si="5"/>
        <v>#VALUE!</v>
      </c>
    </row>
    <row r="176" spans="1:8" x14ac:dyDescent="0.3">
      <c r="A176" t="str">
        <f>IF(MASTER_REGISTER!E176="","",MASTER_REGISTER!E176)</f>
        <v/>
      </c>
      <c r="B176" t="str">
        <f>IF(A176="","",MASTER_REGISTER!F176)</f>
        <v/>
      </c>
      <c r="C176" t="str">
        <f>IF(A176="","",MASTER_REGISTER!C176)</f>
        <v/>
      </c>
      <c r="D176" t="str">
        <f>IF(A176="","",COUNTIF(ATTENDANCE_DAILY!C:C,A176))</f>
        <v/>
      </c>
      <c r="E176" t="str">
        <f>IF(A176="","",COUNTIFS(ATTENDANCE_DAILY!C:C,A176,ATTENDANCE_DAILY!E:E,"Present"))</f>
        <v/>
      </c>
      <c r="F176" t="str">
        <f>IF(A176="","",COUNTIFS(ATTENDANCE_DAILY!C:C,A176,ATTENDANCE_DAILY!E:E,"Absent"))</f>
        <v/>
      </c>
      <c r="G176" s="5" t="e">
        <f t="shared" si="4"/>
        <v>#VALUE!</v>
      </c>
      <c r="H176" s="4" t="e">
        <f t="shared" si="5"/>
        <v>#VALUE!</v>
      </c>
    </row>
    <row r="177" spans="1:8" x14ac:dyDescent="0.3">
      <c r="A177" t="str">
        <f>IF(MASTER_REGISTER!E177="","",MASTER_REGISTER!E177)</f>
        <v/>
      </c>
      <c r="B177" t="str">
        <f>IF(A177="","",MASTER_REGISTER!F177)</f>
        <v/>
      </c>
      <c r="C177" t="str">
        <f>IF(A177="","",MASTER_REGISTER!C177)</f>
        <v/>
      </c>
      <c r="D177" t="str">
        <f>IF(A177="","",COUNTIF(ATTENDANCE_DAILY!C:C,A177))</f>
        <v/>
      </c>
      <c r="E177" t="str">
        <f>IF(A177="","",COUNTIFS(ATTENDANCE_DAILY!C:C,A177,ATTENDANCE_DAILY!E:E,"Present"))</f>
        <v/>
      </c>
      <c r="F177" t="str">
        <f>IF(A177="","",COUNTIFS(ATTENDANCE_DAILY!C:C,A177,ATTENDANCE_DAILY!E:E,"Absent"))</f>
        <v/>
      </c>
      <c r="G177" s="5" t="e">
        <f t="shared" si="4"/>
        <v>#VALUE!</v>
      </c>
      <c r="H177" s="4" t="e">
        <f t="shared" si="5"/>
        <v>#VALUE!</v>
      </c>
    </row>
    <row r="178" spans="1:8" x14ac:dyDescent="0.3">
      <c r="A178" t="str">
        <f>IF(MASTER_REGISTER!E178="","",MASTER_REGISTER!E178)</f>
        <v/>
      </c>
      <c r="B178" t="str">
        <f>IF(A178="","",MASTER_REGISTER!F178)</f>
        <v/>
      </c>
      <c r="C178" t="str">
        <f>IF(A178="","",MASTER_REGISTER!C178)</f>
        <v/>
      </c>
      <c r="D178" t="str">
        <f>IF(A178="","",COUNTIF(ATTENDANCE_DAILY!C:C,A178))</f>
        <v/>
      </c>
      <c r="E178" t="str">
        <f>IF(A178="","",COUNTIFS(ATTENDANCE_DAILY!C:C,A178,ATTENDANCE_DAILY!E:E,"Present"))</f>
        <v/>
      </c>
      <c r="F178" t="str">
        <f>IF(A178="","",COUNTIFS(ATTENDANCE_DAILY!C:C,A178,ATTENDANCE_DAILY!E:E,"Absent"))</f>
        <v/>
      </c>
      <c r="G178" s="5" t="e">
        <f t="shared" si="4"/>
        <v>#VALUE!</v>
      </c>
      <c r="H178" s="4" t="e">
        <f t="shared" si="5"/>
        <v>#VALUE!</v>
      </c>
    </row>
    <row r="179" spans="1:8" x14ac:dyDescent="0.3">
      <c r="A179" t="str">
        <f>IF(MASTER_REGISTER!E179="","",MASTER_REGISTER!E179)</f>
        <v/>
      </c>
      <c r="B179" t="str">
        <f>IF(A179="","",MASTER_REGISTER!F179)</f>
        <v/>
      </c>
      <c r="C179" t="str">
        <f>IF(A179="","",MASTER_REGISTER!C179)</f>
        <v/>
      </c>
      <c r="D179" t="str">
        <f>IF(A179="","",COUNTIF(ATTENDANCE_DAILY!C:C,A179))</f>
        <v/>
      </c>
      <c r="E179" t="str">
        <f>IF(A179="","",COUNTIFS(ATTENDANCE_DAILY!C:C,A179,ATTENDANCE_DAILY!E:E,"Present"))</f>
        <v/>
      </c>
      <c r="F179" t="str">
        <f>IF(A179="","",COUNTIFS(ATTENDANCE_DAILY!C:C,A179,ATTENDANCE_DAILY!E:E,"Absent"))</f>
        <v/>
      </c>
      <c r="G179" s="5" t="e">
        <f t="shared" si="4"/>
        <v>#VALUE!</v>
      </c>
      <c r="H179" s="4" t="e">
        <f t="shared" si="5"/>
        <v>#VALUE!</v>
      </c>
    </row>
    <row r="180" spans="1:8" x14ac:dyDescent="0.3">
      <c r="A180" t="str">
        <f>IF(MASTER_REGISTER!E180="","",MASTER_REGISTER!E180)</f>
        <v/>
      </c>
      <c r="B180" t="str">
        <f>IF(A180="","",MASTER_REGISTER!F180)</f>
        <v/>
      </c>
      <c r="C180" t="str">
        <f>IF(A180="","",MASTER_REGISTER!C180)</f>
        <v/>
      </c>
      <c r="D180" t="str">
        <f>IF(A180="","",COUNTIF(ATTENDANCE_DAILY!C:C,A180))</f>
        <v/>
      </c>
      <c r="E180" t="str">
        <f>IF(A180="","",COUNTIFS(ATTENDANCE_DAILY!C:C,A180,ATTENDANCE_DAILY!E:E,"Present"))</f>
        <v/>
      </c>
      <c r="F180" t="str">
        <f>IF(A180="","",COUNTIFS(ATTENDANCE_DAILY!C:C,A180,ATTENDANCE_DAILY!E:E,"Absent"))</f>
        <v/>
      </c>
      <c r="G180" s="5" t="e">
        <f t="shared" si="4"/>
        <v>#VALUE!</v>
      </c>
      <c r="H180" s="4" t="e">
        <f t="shared" si="5"/>
        <v>#VALUE!</v>
      </c>
    </row>
    <row r="181" spans="1:8" x14ac:dyDescent="0.3">
      <c r="A181" t="str">
        <f>IF(MASTER_REGISTER!E181="","",MASTER_REGISTER!E181)</f>
        <v/>
      </c>
      <c r="B181" t="str">
        <f>IF(A181="","",MASTER_REGISTER!F181)</f>
        <v/>
      </c>
      <c r="C181" t="str">
        <f>IF(A181="","",MASTER_REGISTER!C181)</f>
        <v/>
      </c>
      <c r="D181" t="str">
        <f>IF(A181="","",COUNTIF(ATTENDANCE_DAILY!C:C,A181))</f>
        <v/>
      </c>
      <c r="E181" t="str">
        <f>IF(A181="","",COUNTIFS(ATTENDANCE_DAILY!C:C,A181,ATTENDANCE_DAILY!E:E,"Present"))</f>
        <v/>
      </c>
      <c r="F181" t="str">
        <f>IF(A181="","",COUNTIFS(ATTENDANCE_DAILY!C:C,A181,ATTENDANCE_DAILY!E:E,"Absent"))</f>
        <v/>
      </c>
      <c r="G181" s="5" t="e">
        <f t="shared" si="4"/>
        <v>#VALUE!</v>
      </c>
      <c r="H181" s="4" t="e">
        <f t="shared" si="5"/>
        <v>#VALUE!</v>
      </c>
    </row>
    <row r="182" spans="1:8" x14ac:dyDescent="0.3">
      <c r="A182" t="str">
        <f>IF(MASTER_REGISTER!E182="","",MASTER_REGISTER!E182)</f>
        <v/>
      </c>
      <c r="B182" t="str">
        <f>IF(A182="","",MASTER_REGISTER!F182)</f>
        <v/>
      </c>
      <c r="C182" t="str">
        <f>IF(A182="","",MASTER_REGISTER!C182)</f>
        <v/>
      </c>
      <c r="D182" t="str">
        <f>IF(A182="","",COUNTIF(ATTENDANCE_DAILY!C:C,A182))</f>
        <v/>
      </c>
      <c r="E182" t="str">
        <f>IF(A182="","",COUNTIFS(ATTENDANCE_DAILY!C:C,A182,ATTENDANCE_DAILY!E:E,"Present"))</f>
        <v/>
      </c>
      <c r="F182" t="str">
        <f>IF(A182="","",COUNTIFS(ATTENDANCE_DAILY!C:C,A182,ATTENDANCE_DAILY!E:E,"Absent"))</f>
        <v/>
      </c>
      <c r="G182" s="5" t="e">
        <f t="shared" si="4"/>
        <v>#VALUE!</v>
      </c>
      <c r="H182" s="4" t="e">
        <f t="shared" si="5"/>
        <v>#VALUE!</v>
      </c>
    </row>
    <row r="183" spans="1:8" x14ac:dyDescent="0.3">
      <c r="A183" t="str">
        <f>IF(MASTER_REGISTER!E183="","",MASTER_REGISTER!E183)</f>
        <v/>
      </c>
      <c r="B183" t="str">
        <f>IF(A183="","",MASTER_REGISTER!F183)</f>
        <v/>
      </c>
      <c r="C183" t="str">
        <f>IF(A183="","",MASTER_REGISTER!C183)</f>
        <v/>
      </c>
      <c r="D183" t="str">
        <f>IF(A183="","",COUNTIF(ATTENDANCE_DAILY!C:C,A183))</f>
        <v/>
      </c>
      <c r="E183" t="str">
        <f>IF(A183="","",COUNTIFS(ATTENDANCE_DAILY!C:C,A183,ATTENDANCE_DAILY!E:E,"Present"))</f>
        <v/>
      </c>
      <c r="F183" t="str">
        <f>IF(A183="","",COUNTIFS(ATTENDANCE_DAILY!C:C,A183,ATTENDANCE_DAILY!E:E,"Absent"))</f>
        <v/>
      </c>
      <c r="G183" s="5" t="e">
        <f t="shared" si="4"/>
        <v>#VALUE!</v>
      </c>
      <c r="H183" s="4" t="e">
        <f t="shared" si="5"/>
        <v>#VALUE!</v>
      </c>
    </row>
    <row r="184" spans="1:8" x14ac:dyDescent="0.3">
      <c r="A184" t="str">
        <f>IF(MASTER_REGISTER!E184="","",MASTER_REGISTER!E184)</f>
        <v/>
      </c>
      <c r="B184" t="str">
        <f>IF(A184="","",MASTER_REGISTER!F184)</f>
        <v/>
      </c>
      <c r="C184" t="str">
        <f>IF(A184="","",MASTER_REGISTER!C184)</f>
        <v/>
      </c>
      <c r="D184" t="str">
        <f>IF(A184="","",COUNTIF(ATTENDANCE_DAILY!C:C,A184))</f>
        <v/>
      </c>
      <c r="E184" t="str">
        <f>IF(A184="","",COUNTIFS(ATTENDANCE_DAILY!C:C,A184,ATTENDANCE_DAILY!E:E,"Present"))</f>
        <v/>
      </c>
      <c r="F184" t="str">
        <f>IF(A184="","",COUNTIFS(ATTENDANCE_DAILY!C:C,A184,ATTENDANCE_DAILY!E:E,"Absent"))</f>
        <v/>
      </c>
      <c r="G184" s="5" t="e">
        <f t="shared" si="4"/>
        <v>#VALUE!</v>
      </c>
      <c r="H184" s="4" t="e">
        <f t="shared" si="5"/>
        <v>#VALUE!</v>
      </c>
    </row>
    <row r="185" spans="1:8" x14ac:dyDescent="0.3">
      <c r="A185" t="str">
        <f>IF(MASTER_REGISTER!E185="","",MASTER_REGISTER!E185)</f>
        <v/>
      </c>
      <c r="B185" t="str">
        <f>IF(A185="","",MASTER_REGISTER!F185)</f>
        <v/>
      </c>
      <c r="C185" t="str">
        <f>IF(A185="","",MASTER_REGISTER!C185)</f>
        <v/>
      </c>
      <c r="D185" t="str">
        <f>IF(A185="","",COUNTIF(ATTENDANCE_DAILY!C:C,A185))</f>
        <v/>
      </c>
      <c r="E185" t="str">
        <f>IF(A185="","",COUNTIFS(ATTENDANCE_DAILY!C:C,A185,ATTENDANCE_DAILY!E:E,"Present"))</f>
        <v/>
      </c>
      <c r="F185" t="str">
        <f>IF(A185="","",COUNTIFS(ATTENDANCE_DAILY!C:C,A185,ATTENDANCE_DAILY!E:E,"Absent"))</f>
        <v/>
      </c>
      <c r="G185" s="5" t="e">
        <f t="shared" si="4"/>
        <v>#VALUE!</v>
      </c>
      <c r="H185" s="4" t="e">
        <f t="shared" si="5"/>
        <v>#VALUE!</v>
      </c>
    </row>
    <row r="186" spans="1:8" x14ac:dyDescent="0.3">
      <c r="A186" t="str">
        <f>IF(MASTER_REGISTER!E186="","",MASTER_REGISTER!E186)</f>
        <v/>
      </c>
      <c r="B186" t="str">
        <f>IF(A186="","",MASTER_REGISTER!F186)</f>
        <v/>
      </c>
      <c r="C186" t="str">
        <f>IF(A186="","",MASTER_REGISTER!C186)</f>
        <v/>
      </c>
      <c r="D186" t="str">
        <f>IF(A186="","",COUNTIF(ATTENDANCE_DAILY!C:C,A186))</f>
        <v/>
      </c>
      <c r="E186" t="str">
        <f>IF(A186="","",COUNTIFS(ATTENDANCE_DAILY!C:C,A186,ATTENDANCE_DAILY!E:E,"Present"))</f>
        <v/>
      </c>
      <c r="F186" t="str">
        <f>IF(A186="","",COUNTIFS(ATTENDANCE_DAILY!C:C,A186,ATTENDANCE_DAILY!E:E,"Absent"))</f>
        <v/>
      </c>
      <c r="G186" s="5" t="e">
        <f t="shared" si="4"/>
        <v>#VALUE!</v>
      </c>
      <c r="H186" s="4" t="e">
        <f t="shared" si="5"/>
        <v>#VALUE!</v>
      </c>
    </row>
    <row r="187" spans="1:8" x14ac:dyDescent="0.3">
      <c r="A187" t="str">
        <f>IF(MASTER_REGISTER!E187="","",MASTER_REGISTER!E187)</f>
        <v/>
      </c>
      <c r="B187" t="str">
        <f>IF(A187="","",MASTER_REGISTER!F187)</f>
        <v/>
      </c>
      <c r="C187" t="str">
        <f>IF(A187="","",MASTER_REGISTER!C187)</f>
        <v/>
      </c>
      <c r="D187" t="str">
        <f>IF(A187="","",COUNTIF(ATTENDANCE_DAILY!C:C,A187))</f>
        <v/>
      </c>
      <c r="E187" t="str">
        <f>IF(A187="","",COUNTIFS(ATTENDANCE_DAILY!C:C,A187,ATTENDANCE_DAILY!E:E,"Present"))</f>
        <v/>
      </c>
      <c r="F187" t="str">
        <f>IF(A187="","",COUNTIFS(ATTENDANCE_DAILY!C:C,A187,ATTENDANCE_DAILY!E:E,"Absent"))</f>
        <v/>
      </c>
      <c r="G187" s="5" t="e">
        <f t="shared" si="4"/>
        <v>#VALUE!</v>
      </c>
      <c r="H187" s="4" t="e">
        <f t="shared" si="5"/>
        <v>#VALUE!</v>
      </c>
    </row>
    <row r="188" spans="1:8" x14ac:dyDescent="0.3">
      <c r="A188" t="str">
        <f>IF(MASTER_REGISTER!E188="","",MASTER_REGISTER!E188)</f>
        <v/>
      </c>
      <c r="B188" t="str">
        <f>IF(A188="","",MASTER_REGISTER!F188)</f>
        <v/>
      </c>
      <c r="C188" t="str">
        <f>IF(A188="","",MASTER_REGISTER!C188)</f>
        <v/>
      </c>
      <c r="D188" t="str">
        <f>IF(A188="","",COUNTIF(ATTENDANCE_DAILY!C:C,A188))</f>
        <v/>
      </c>
      <c r="E188" t="str">
        <f>IF(A188="","",COUNTIFS(ATTENDANCE_DAILY!C:C,A188,ATTENDANCE_DAILY!E:E,"Present"))</f>
        <v/>
      </c>
      <c r="F188" t="str">
        <f>IF(A188="","",COUNTIFS(ATTENDANCE_DAILY!C:C,A188,ATTENDANCE_DAILY!E:E,"Absent"))</f>
        <v/>
      </c>
      <c r="G188" s="5" t="e">
        <f t="shared" si="4"/>
        <v>#VALUE!</v>
      </c>
      <c r="H188" s="4" t="e">
        <f t="shared" si="5"/>
        <v>#VALUE!</v>
      </c>
    </row>
    <row r="189" spans="1:8" x14ac:dyDescent="0.3">
      <c r="A189" t="str">
        <f>IF(MASTER_REGISTER!E189="","",MASTER_REGISTER!E189)</f>
        <v/>
      </c>
      <c r="B189" t="str">
        <f>IF(A189="","",MASTER_REGISTER!F189)</f>
        <v/>
      </c>
      <c r="C189" t="str">
        <f>IF(A189="","",MASTER_REGISTER!C189)</f>
        <v/>
      </c>
      <c r="D189" t="str">
        <f>IF(A189="","",COUNTIF(ATTENDANCE_DAILY!C:C,A189))</f>
        <v/>
      </c>
      <c r="E189" t="str">
        <f>IF(A189="","",COUNTIFS(ATTENDANCE_DAILY!C:C,A189,ATTENDANCE_DAILY!E:E,"Present"))</f>
        <v/>
      </c>
      <c r="F189" t="str">
        <f>IF(A189="","",COUNTIFS(ATTENDANCE_DAILY!C:C,A189,ATTENDANCE_DAILY!E:E,"Absent"))</f>
        <v/>
      </c>
      <c r="G189" s="5" t="e">
        <f t="shared" si="4"/>
        <v>#VALUE!</v>
      </c>
      <c r="H189" s="4" t="e">
        <f t="shared" si="5"/>
        <v>#VALUE!</v>
      </c>
    </row>
    <row r="190" spans="1:8" x14ac:dyDescent="0.3">
      <c r="A190" t="str">
        <f>IF(MASTER_REGISTER!E190="","",MASTER_REGISTER!E190)</f>
        <v/>
      </c>
      <c r="B190" t="str">
        <f>IF(A190="","",MASTER_REGISTER!F190)</f>
        <v/>
      </c>
      <c r="C190" t="str">
        <f>IF(A190="","",MASTER_REGISTER!C190)</f>
        <v/>
      </c>
      <c r="D190" t="str">
        <f>IF(A190="","",COUNTIF(ATTENDANCE_DAILY!C:C,A190))</f>
        <v/>
      </c>
      <c r="E190" t="str">
        <f>IF(A190="","",COUNTIFS(ATTENDANCE_DAILY!C:C,A190,ATTENDANCE_DAILY!E:E,"Present"))</f>
        <v/>
      </c>
      <c r="F190" t="str">
        <f>IF(A190="","",COUNTIFS(ATTENDANCE_DAILY!C:C,A190,ATTENDANCE_DAILY!E:E,"Absent"))</f>
        <v/>
      </c>
      <c r="G190" s="5" t="e">
        <f t="shared" si="4"/>
        <v>#VALUE!</v>
      </c>
      <c r="H190" s="4" t="e">
        <f t="shared" si="5"/>
        <v>#VALUE!</v>
      </c>
    </row>
    <row r="191" spans="1:8" x14ac:dyDescent="0.3">
      <c r="A191" t="str">
        <f>IF(MASTER_REGISTER!E191="","",MASTER_REGISTER!E191)</f>
        <v/>
      </c>
      <c r="B191" t="str">
        <f>IF(A191="","",MASTER_REGISTER!F191)</f>
        <v/>
      </c>
      <c r="C191" t="str">
        <f>IF(A191="","",MASTER_REGISTER!C191)</f>
        <v/>
      </c>
      <c r="D191" t="str">
        <f>IF(A191="","",COUNTIF(ATTENDANCE_DAILY!C:C,A191))</f>
        <v/>
      </c>
      <c r="E191" t="str">
        <f>IF(A191="","",COUNTIFS(ATTENDANCE_DAILY!C:C,A191,ATTENDANCE_DAILY!E:E,"Present"))</f>
        <v/>
      </c>
      <c r="F191" t="str">
        <f>IF(A191="","",COUNTIFS(ATTENDANCE_DAILY!C:C,A191,ATTENDANCE_DAILY!E:E,"Absent"))</f>
        <v/>
      </c>
      <c r="G191" s="5" t="e">
        <f t="shared" si="4"/>
        <v>#VALUE!</v>
      </c>
      <c r="H191" s="4" t="e">
        <f t="shared" si="5"/>
        <v>#VALUE!</v>
      </c>
    </row>
    <row r="192" spans="1:8" x14ac:dyDescent="0.3">
      <c r="A192" t="str">
        <f>IF(MASTER_REGISTER!E192="","",MASTER_REGISTER!E192)</f>
        <v/>
      </c>
      <c r="B192" t="str">
        <f>IF(A192="","",MASTER_REGISTER!F192)</f>
        <v/>
      </c>
      <c r="C192" t="str">
        <f>IF(A192="","",MASTER_REGISTER!C192)</f>
        <v/>
      </c>
      <c r="D192" t="str">
        <f>IF(A192="","",COUNTIF(ATTENDANCE_DAILY!C:C,A192))</f>
        <v/>
      </c>
      <c r="E192" t="str">
        <f>IF(A192="","",COUNTIFS(ATTENDANCE_DAILY!C:C,A192,ATTENDANCE_DAILY!E:E,"Present"))</f>
        <v/>
      </c>
      <c r="F192" t="str">
        <f>IF(A192="","",COUNTIFS(ATTENDANCE_DAILY!C:C,A192,ATTENDANCE_DAILY!E:E,"Absent"))</f>
        <v/>
      </c>
      <c r="G192" s="5" t="e">
        <f t="shared" si="4"/>
        <v>#VALUE!</v>
      </c>
      <c r="H192" s="4" t="e">
        <f t="shared" si="5"/>
        <v>#VALUE!</v>
      </c>
    </row>
    <row r="193" spans="1:8" x14ac:dyDescent="0.3">
      <c r="A193" t="str">
        <f>IF(MASTER_REGISTER!E193="","",MASTER_REGISTER!E193)</f>
        <v/>
      </c>
      <c r="B193" t="str">
        <f>IF(A193="","",MASTER_REGISTER!F193)</f>
        <v/>
      </c>
      <c r="C193" t="str">
        <f>IF(A193="","",MASTER_REGISTER!C193)</f>
        <v/>
      </c>
      <c r="D193" t="str">
        <f>IF(A193="","",COUNTIF(ATTENDANCE_DAILY!C:C,A193))</f>
        <v/>
      </c>
      <c r="E193" t="str">
        <f>IF(A193="","",COUNTIFS(ATTENDANCE_DAILY!C:C,A193,ATTENDANCE_DAILY!E:E,"Present"))</f>
        <v/>
      </c>
      <c r="F193" t="str">
        <f>IF(A193="","",COUNTIFS(ATTENDANCE_DAILY!C:C,A193,ATTENDANCE_DAILY!E:E,"Absent"))</f>
        <v/>
      </c>
      <c r="G193" s="5" t="e">
        <f t="shared" si="4"/>
        <v>#VALUE!</v>
      </c>
      <c r="H193" s="4" t="e">
        <f t="shared" si="5"/>
        <v>#VALUE!</v>
      </c>
    </row>
    <row r="194" spans="1:8" x14ac:dyDescent="0.3">
      <c r="A194" t="str">
        <f>IF(MASTER_REGISTER!E194="","",MASTER_REGISTER!E194)</f>
        <v/>
      </c>
      <c r="B194" t="str">
        <f>IF(A194="","",MASTER_REGISTER!F194)</f>
        <v/>
      </c>
      <c r="C194" t="str">
        <f>IF(A194="","",MASTER_REGISTER!C194)</f>
        <v/>
      </c>
      <c r="D194" t="str">
        <f>IF(A194="","",COUNTIF(ATTENDANCE_DAILY!C:C,A194))</f>
        <v/>
      </c>
      <c r="E194" t="str">
        <f>IF(A194="","",COUNTIFS(ATTENDANCE_DAILY!C:C,A194,ATTENDANCE_DAILY!E:E,"Present"))</f>
        <v/>
      </c>
      <c r="F194" t="str">
        <f>IF(A194="","",COUNTIFS(ATTENDANCE_DAILY!C:C,A194,ATTENDANCE_DAILY!E:E,"Absent"))</f>
        <v/>
      </c>
      <c r="G194" s="5" t="e">
        <f t="shared" ref="G194:G257" si="6">IF(D194=0,"",E194/D194)</f>
        <v>#VALUE!</v>
      </c>
      <c r="H194" s="4" t="e">
        <f t="shared" ref="H194:H257" si="7">IF(G194="","",IF(G194&lt;0.75,"Low Attendance","OK"))</f>
        <v>#VALUE!</v>
      </c>
    </row>
    <row r="195" spans="1:8" x14ac:dyDescent="0.3">
      <c r="A195" t="str">
        <f>IF(MASTER_REGISTER!E195="","",MASTER_REGISTER!E195)</f>
        <v/>
      </c>
      <c r="B195" t="str">
        <f>IF(A195="","",MASTER_REGISTER!F195)</f>
        <v/>
      </c>
      <c r="C195" t="str">
        <f>IF(A195="","",MASTER_REGISTER!C195)</f>
        <v/>
      </c>
      <c r="D195" t="str">
        <f>IF(A195="","",COUNTIF(ATTENDANCE_DAILY!C:C,A195))</f>
        <v/>
      </c>
      <c r="E195" t="str">
        <f>IF(A195="","",COUNTIFS(ATTENDANCE_DAILY!C:C,A195,ATTENDANCE_DAILY!E:E,"Present"))</f>
        <v/>
      </c>
      <c r="F195" t="str">
        <f>IF(A195="","",COUNTIFS(ATTENDANCE_DAILY!C:C,A195,ATTENDANCE_DAILY!E:E,"Absent"))</f>
        <v/>
      </c>
      <c r="G195" s="5" t="e">
        <f t="shared" si="6"/>
        <v>#VALUE!</v>
      </c>
      <c r="H195" s="4" t="e">
        <f t="shared" si="7"/>
        <v>#VALUE!</v>
      </c>
    </row>
    <row r="196" spans="1:8" x14ac:dyDescent="0.3">
      <c r="A196" t="str">
        <f>IF(MASTER_REGISTER!E196="","",MASTER_REGISTER!E196)</f>
        <v/>
      </c>
      <c r="B196" t="str">
        <f>IF(A196="","",MASTER_REGISTER!F196)</f>
        <v/>
      </c>
      <c r="C196" t="str">
        <f>IF(A196="","",MASTER_REGISTER!C196)</f>
        <v/>
      </c>
      <c r="D196" t="str">
        <f>IF(A196="","",COUNTIF(ATTENDANCE_DAILY!C:C,A196))</f>
        <v/>
      </c>
      <c r="E196" t="str">
        <f>IF(A196="","",COUNTIFS(ATTENDANCE_DAILY!C:C,A196,ATTENDANCE_DAILY!E:E,"Present"))</f>
        <v/>
      </c>
      <c r="F196" t="str">
        <f>IF(A196="","",COUNTIFS(ATTENDANCE_DAILY!C:C,A196,ATTENDANCE_DAILY!E:E,"Absent"))</f>
        <v/>
      </c>
      <c r="G196" s="5" t="e">
        <f t="shared" si="6"/>
        <v>#VALUE!</v>
      </c>
      <c r="H196" s="4" t="e">
        <f t="shared" si="7"/>
        <v>#VALUE!</v>
      </c>
    </row>
    <row r="197" spans="1:8" x14ac:dyDescent="0.3">
      <c r="A197" t="str">
        <f>IF(MASTER_REGISTER!E197="","",MASTER_REGISTER!E197)</f>
        <v/>
      </c>
      <c r="B197" t="str">
        <f>IF(A197="","",MASTER_REGISTER!F197)</f>
        <v/>
      </c>
      <c r="C197" t="str">
        <f>IF(A197="","",MASTER_REGISTER!C197)</f>
        <v/>
      </c>
      <c r="D197" t="str">
        <f>IF(A197="","",COUNTIF(ATTENDANCE_DAILY!C:C,A197))</f>
        <v/>
      </c>
      <c r="E197" t="str">
        <f>IF(A197="","",COUNTIFS(ATTENDANCE_DAILY!C:C,A197,ATTENDANCE_DAILY!E:E,"Present"))</f>
        <v/>
      </c>
      <c r="F197" t="str">
        <f>IF(A197="","",COUNTIFS(ATTENDANCE_DAILY!C:C,A197,ATTENDANCE_DAILY!E:E,"Absent"))</f>
        <v/>
      </c>
      <c r="G197" s="5" t="e">
        <f t="shared" si="6"/>
        <v>#VALUE!</v>
      </c>
      <c r="H197" s="4" t="e">
        <f t="shared" si="7"/>
        <v>#VALUE!</v>
      </c>
    </row>
    <row r="198" spans="1:8" x14ac:dyDescent="0.3">
      <c r="A198" t="str">
        <f>IF(MASTER_REGISTER!E198="","",MASTER_REGISTER!E198)</f>
        <v/>
      </c>
      <c r="B198" t="str">
        <f>IF(A198="","",MASTER_REGISTER!F198)</f>
        <v/>
      </c>
      <c r="C198" t="str">
        <f>IF(A198="","",MASTER_REGISTER!C198)</f>
        <v/>
      </c>
      <c r="D198" t="str">
        <f>IF(A198="","",COUNTIF(ATTENDANCE_DAILY!C:C,A198))</f>
        <v/>
      </c>
      <c r="E198" t="str">
        <f>IF(A198="","",COUNTIFS(ATTENDANCE_DAILY!C:C,A198,ATTENDANCE_DAILY!E:E,"Present"))</f>
        <v/>
      </c>
      <c r="F198" t="str">
        <f>IF(A198="","",COUNTIFS(ATTENDANCE_DAILY!C:C,A198,ATTENDANCE_DAILY!E:E,"Absent"))</f>
        <v/>
      </c>
      <c r="G198" s="5" t="e">
        <f t="shared" si="6"/>
        <v>#VALUE!</v>
      </c>
      <c r="H198" s="4" t="e">
        <f t="shared" si="7"/>
        <v>#VALUE!</v>
      </c>
    </row>
    <row r="199" spans="1:8" x14ac:dyDescent="0.3">
      <c r="A199" t="str">
        <f>IF(MASTER_REGISTER!E199="","",MASTER_REGISTER!E199)</f>
        <v/>
      </c>
      <c r="B199" t="str">
        <f>IF(A199="","",MASTER_REGISTER!F199)</f>
        <v/>
      </c>
      <c r="C199" t="str">
        <f>IF(A199="","",MASTER_REGISTER!C199)</f>
        <v/>
      </c>
      <c r="D199" t="str">
        <f>IF(A199="","",COUNTIF(ATTENDANCE_DAILY!C:C,A199))</f>
        <v/>
      </c>
      <c r="E199" t="str">
        <f>IF(A199="","",COUNTIFS(ATTENDANCE_DAILY!C:C,A199,ATTENDANCE_DAILY!E:E,"Present"))</f>
        <v/>
      </c>
      <c r="F199" t="str">
        <f>IF(A199="","",COUNTIFS(ATTENDANCE_DAILY!C:C,A199,ATTENDANCE_DAILY!E:E,"Absent"))</f>
        <v/>
      </c>
      <c r="G199" s="5" t="e">
        <f t="shared" si="6"/>
        <v>#VALUE!</v>
      </c>
      <c r="H199" s="4" t="e">
        <f t="shared" si="7"/>
        <v>#VALUE!</v>
      </c>
    </row>
    <row r="200" spans="1:8" x14ac:dyDescent="0.3">
      <c r="A200" t="str">
        <f>IF(MASTER_REGISTER!E200="","",MASTER_REGISTER!E200)</f>
        <v/>
      </c>
      <c r="B200" t="str">
        <f>IF(A200="","",MASTER_REGISTER!F200)</f>
        <v/>
      </c>
      <c r="C200" t="str">
        <f>IF(A200="","",MASTER_REGISTER!C200)</f>
        <v/>
      </c>
      <c r="D200" t="str">
        <f>IF(A200="","",COUNTIF(ATTENDANCE_DAILY!C:C,A200))</f>
        <v/>
      </c>
      <c r="E200" t="str">
        <f>IF(A200="","",COUNTIFS(ATTENDANCE_DAILY!C:C,A200,ATTENDANCE_DAILY!E:E,"Present"))</f>
        <v/>
      </c>
      <c r="F200" t="str">
        <f>IF(A200="","",COUNTIFS(ATTENDANCE_DAILY!C:C,A200,ATTENDANCE_DAILY!E:E,"Absent"))</f>
        <v/>
      </c>
      <c r="G200" s="5" t="e">
        <f t="shared" si="6"/>
        <v>#VALUE!</v>
      </c>
      <c r="H200" s="4" t="e">
        <f t="shared" si="7"/>
        <v>#VALUE!</v>
      </c>
    </row>
    <row r="201" spans="1:8" x14ac:dyDescent="0.3">
      <c r="A201" t="str">
        <f>IF(MASTER_REGISTER!E201="","",MASTER_REGISTER!E201)</f>
        <v/>
      </c>
      <c r="B201" t="str">
        <f>IF(A201="","",MASTER_REGISTER!F201)</f>
        <v/>
      </c>
      <c r="C201" t="str">
        <f>IF(A201="","",MASTER_REGISTER!C201)</f>
        <v/>
      </c>
      <c r="D201" t="str">
        <f>IF(A201="","",COUNTIF(ATTENDANCE_DAILY!C:C,A201))</f>
        <v/>
      </c>
      <c r="E201" t="str">
        <f>IF(A201="","",COUNTIFS(ATTENDANCE_DAILY!C:C,A201,ATTENDANCE_DAILY!E:E,"Present"))</f>
        <v/>
      </c>
      <c r="F201" t="str">
        <f>IF(A201="","",COUNTIFS(ATTENDANCE_DAILY!C:C,A201,ATTENDANCE_DAILY!E:E,"Absent"))</f>
        <v/>
      </c>
      <c r="G201" s="5" t="e">
        <f t="shared" si="6"/>
        <v>#VALUE!</v>
      </c>
      <c r="H201" s="4" t="e">
        <f t="shared" si="7"/>
        <v>#VALUE!</v>
      </c>
    </row>
    <row r="202" spans="1:8" x14ac:dyDescent="0.3">
      <c r="A202" t="str">
        <f>IF(MASTER_REGISTER!E202="","",MASTER_REGISTER!E202)</f>
        <v/>
      </c>
      <c r="B202" t="str">
        <f>IF(A202="","",MASTER_REGISTER!F202)</f>
        <v/>
      </c>
      <c r="C202" t="str">
        <f>IF(A202="","",MASTER_REGISTER!C202)</f>
        <v/>
      </c>
      <c r="D202" t="str">
        <f>IF(A202="","",COUNTIF(ATTENDANCE_DAILY!C:C,A202))</f>
        <v/>
      </c>
      <c r="E202" t="str">
        <f>IF(A202="","",COUNTIFS(ATTENDANCE_DAILY!C:C,A202,ATTENDANCE_DAILY!E:E,"Present"))</f>
        <v/>
      </c>
      <c r="F202" t="str">
        <f>IF(A202="","",COUNTIFS(ATTENDANCE_DAILY!C:C,A202,ATTENDANCE_DAILY!E:E,"Absent"))</f>
        <v/>
      </c>
      <c r="G202" s="5" t="e">
        <f t="shared" si="6"/>
        <v>#VALUE!</v>
      </c>
      <c r="H202" s="4" t="e">
        <f t="shared" si="7"/>
        <v>#VALUE!</v>
      </c>
    </row>
    <row r="203" spans="1:8" x14ac:dyDescent="0.3">
      <c r="A203" t="str">
        <f>IF(MASTER_REGISTER!E203="","",MASTER_REGISTER!E203)</f>
        <v/>
      </c>
      <c r="B203" t="str">
        <f>IF(A203="","",MASTER_REGISTER!F203)</f>
        <v/>
      </c>
      <c r="C203" t="str">
        <f>IF(A203="","",MASTER_REGISTER!C203)</f>
        <v/>
      </c>
      <c r="D203" t="str">
        <f>IF(A203="","",COUNTIF(ATTENDANCE_DAILY!C:C,A203))</f>
        <v/>
      </c>
      <c r="E203" t="str">
        <f>IF(A203="","",COUNTIFS(ATTENDANCE_DAILY!C:C,A203,ATTENDANCE_DAILY!E:E,"Present"))</f>
        <v/>
      </c>
      <c r="F203" t="str">
        <f>IF(A203="","",COUNTIFS(ATTENDANCE_DAILY!C:C,A203,ATTENDANCE_DAILY!E:E,"Absent"))</f>
        <v/>
      </c>
      <c r="G203" s="5" t="e">
        <f t="shared" si="6"/>
        <v>#VALUE!</v>
      </c>
      <c r="H203" s="4" t="e">
        <f t="shared" si="7"/>
        <v>#VALUE!</v>
      </c>
    </row>
    <row r="204" spans="1:8" x14ac:dyDescent="0.3">
      <c r="A204" t="str">
        <f>IF(MASTER_REGISTER!E204="","",MASTER_REGISTER!E204)</f>
        <v/>
      </c>
      <c r="B204" t="str">
        <f>IF(A204="","",MASTER_REGISTER!F204)</f>
        <v/>
      </c>
      <c r="C204" t="str">
        <f>IF(A204="","",MASTER_REGISTER!C204)</f>
        <v/>
      </c>
      <c r="D204" t="str">
        <f>IF(A204="","",COUNTIF(ATTENDANCE_DAILY!C:C,A204))</f>
        <v/>
      </c>
      <c r="E204" t="str">
        <f>IF(A204="","",COUNTIFS(ATTENDANCE_DAILY!C:C,A204,ATTENDANCE_DAILY!E:E,"Present"))</f>
        <v/>
      </c>
      <c r="F204" t="str">
        <f>IF(A204="","",COUNTIFS(ATTENDANCE_DAILY!C:C,A204,ATTENDANCE_DAILY!E:E,"Absent"))</f>
        <v/>
      </c>
      <c r="G204" s="5" t="e">
        <f t="shared" si="6"/>
        <v>#VALUE!</v>
      </c>
      <c r="H204" s="4" t="e">
        <f t="shared" si="7"/>
        <v>#VALUE!</v>
      </c>
    </row>
    <row r="205" spans="1:8" x14ac:dyDescent="0.3">
      <c r="A205" t="str">
        <f>IF(MASTER_REGISTER!E205="","",MASTER_REGISTER!E205)</f>
        <v/>
      </c>
      <c r="B205" t="str">
        <f>IF(A205="","",MASTER_REGISTER!F205)</f>
        <v/>
      </c>
      <c r="C205" t="str">
        <f>IF(A205="","",MASTER_REGISTER!C205)</f>
        <v/>
      </c>
      <c r="D205" t="str">
        <f>IF(A205="","",COUNTIF(ATTENDANCE_DAILY!C:C,A205))</f>
        <v/>
      </c>
      <c r="E205" t="str">
        <f>IF(A205="","",COUNTIFS(ATTENDANCE_DAILY!C:C,A205,ATTENDANCE_DAILY!E:E,"Present"))</f>
        <v/>
      </c>
      <c r="F205" t="str">
        <f>IF(A205="","",COUNTIFS(ATTENDANCE_DAILY!C:C,A205,ATTENDANCE_DAILY!E:E,"Absent"))</f>
        <v/>
      </c>
      <c r="G205" s="5" t="e">
        <f t="shared" si="6"/>
        <v>#VALUE!</v>
      </c>
      <c r="H205" s="4" t="e">
        <f t="shared" si="7"/>
        <v>#VALUE!</v>
      </c>
    </row>
    <row r="206" spans="1:8" x14ac:dyDescent="0.3">
      <c r="A206" t="str">
        <f>IF(MASTER_REGISTER!E206="","",MASTER_REGISTER!E206)</f>
        <v/>
      </c>
      <c r="B206" t="str">
        <f>IF(A206="","",MASTER_REGISTER!F206)</f>
        <v/>
      </c>
      <c r="C206" t="str">
        <f>IF(A206="","",MASTER_REGISTER!C206)</f>
        <v/>
      </c>
      <c r="D206" t="str">
        <f>IF(A206="","",COUNTIF(ATTENDANCE_DAILY!C:C,A206))</f>
        <v/>
      </c>
      <c r="E206" t="str">
        <f>IF(A206="","",COUNTIFS(ATTENDANCE_DAILY!C:C,A206,ATTENDANCE_DAILY!E:E,"Present"))</f>
        <v/>
      </c>
      <c r="F206" t="str">
        <f>IF(A206="","",COUNTIFS(ATTENDANCE_DAILY!C:C,A206,ATTENDANCE_DAILY!E:E,"Absent"))</f>
        <v/>
      </c>
      <c r="G206" s="5" t="e">
        <f t="shared" si="6"/>
        <v>#VALUE!</v>
      </c>
      <c r="H206" s="4" t="e">
        <f t="shared" si="7"/>
        <v>#VALUE!</v>
      </c>
    </row>
    <row r="207" spans="1:8" x14ac:dyDescent="0.3">
      <c r="A207" t="str">
        <f>IF(MASTER_REGISTER!E207="","",MASTER_REGISTER!E207)</f>
        <v/>
      </c>
      <c r="B207" t="str">
        <f>IF(A207="","",MASTER_REGISTER!F207)</f>
        <v/>
      </c>
      <c r="C207" t="str">
        <f>IF(A207="","",MASTER_REGISTER!C207)</f>
        <v/>
      </c>
      <c r="D207" t="str">
        <f>IF(A207="","",COUNTIF(ATTENDANCE_DAILY!C:C,A207))</f>
        <v/>
      </c>
      <c r="E207" t="str">
        <f>IF(A207="","",COUNTIFS(ATTENDANCE_DAILY!C:C,A207,ATTENDANCE_DAILY!E:E,"Present"))</f>
        <v/>
      </c>
      <c r="F207" t="str">
        <f>IF(A207="","",COUNTIFS(ATTENDANCE_DAILY!C:C,A207,ATTENDANCE_DAILY!E:E,"Absent"))</f>
        <v/>
      </c>
      <c r="G207" s="5" t="e">
        <f t="shared" si="6"/>
        <v>#VALUE!</v>
      </c>
      <c r="H207" s="4" t="e">
        <f t="shared" si="7"/>
        <v>#VALUE!</v>
      </c>
    </row>
    <row r="208" spans="1:8" x14ac:dyDescent="0.3">
      <c r="A208" t="str">
        <f>IF(MASTER_REGISTER!E208="","",MASTER_REGISTER!E208)</f>
        <v/>
      </c>
      <c r="B208" t="str">
        <f>IF(A208="","",MASTER_REGISTER!F208)</f>
        <v/>
      </c>
      <c r="C208" t="str">
        <f>IF(A208="","",MASTER_REGISTER!C208)</f>
        <v/>
      </c>
      <c r="D208" t="str">
        <f>IF(A208="","",COUNTIF(ATTENDANCE_DAILY!C:C,A208))</f>
        <v/>
      </c>
      <c r="E208" t="str">
        <f>IF(A208="","",COUNTIFS(ATTENDANCE_DAILY!C:C,A208,ATTENDANCE_DAILY!E:E,"Present"))</f>
        <v/>
      </c>
      <c r="F208" t="str">
        <f>IF(A208="","",COUNTIFS(ATTENDANCE_DAILY!C:C,A208,ATTENDANCE_DAILY!E:E,"Absent"))</f>
        <v/>
      </c>
      <c r="G208" s="5" t="e">
        <f t="shared" si="6"/>
        <v>#VALUE!</v>
      </c>
      <c r="H208" s="4" t="e">
        <f t="shared" si="7"/>
        <v>#VALUE!</v>
      </c>
    </row>
    <row r="209" spans="1:8" x14ac:dyDescent="0.3">
      <c r="A209" t="str">
        <f>IF(MASTER_REGISTER!E209="","",MASTER_REGISTER!E209)</f>
        <v/>
      </c>
      <c r="B209" t="str">
        <f>IF(A209="","",MASTER_REGISTER!F209)</f>
        <v/>
      </c>
      <c r="C209" t="str">
        <f>IF(A209="","",MASTER_REGISTER!C209)</f>
        <v/>
      </c>
      <c r="D209" t="str">
        <f>IF(A209="","",COUNTIF(ATTENDANCE_DAILY!C:C,A209))</f>
        <v/>
      </c>
      <c r="E209" t="str">
        <f>IF(A209="","",COUNTIFS(ATTENDANCE_DAILY!C:C,A209,ATTENDANCE_DAILY!E:E,"Present"))</f>
        <v/>
      </c>
      <c r="F209" t="str">
        <f>IF(A209="","",COUNTIFS(ATTENDANCE_DAILY!C:C,A209,ATTENDANCE_DAILY!E:E,"Absent"))</f>
        <v/>
      </c>
      <c r="G209" s="5" t="e">
        <f t="shared" si="6"/>
        <v>#VALUE!</v>
      </c>
      <c r="H209" s="4" t="e">
        <f t="shared" si="7"/>
        <v>#VALUE!</v>
      </c>
    </row>
    <row r="210" spans="1:8" x14ac:dyDescent="0.3">
      <c r="A210" t="str">
        <f>IF(MASTER_REGISTER!E210="","",MASTER_REGISTER!E210)</f>
        <v/>
      </c>
      <c r="B210" t="str">
        <f>IF(A210="","",MASTER_REGISTER!F210)</f>
        <v/>
      </c>
      <c r="C210" t="str">
        <f>IF(A210="","",MASTER_REGISTER!C210)</f>
        <v/>
      </c>
      <c r="D210" t="str">
        <f>IF(A210="","",COUNTIF(ATTENDANCE_DAILY!C:C,A210))</f>
        <v/>
      </c>
      <c r="E210" t="str">
        <f>IF(A210="","",COUNTIFS(ATTENDANCE_DAILY!C:C,A210,ATTENDANCE_DAILY!E:E,"Present"))</f>
        <v/>
      </c>
      <c r="F210" t="str">
        <f>IF(A210="","",COUNTIFS(ATTENDANCE_DAILY!C:C,A210,ATTENDANCE_DAILY!E:E,"Absent"))</f>
        <v/>
      </c>
      <c r="G210" s="5" t="e">
        <f t="shared" si="6"/>
        <v>#VALUE!</v>
      </c>
      <c r="H210" s="4" t="e">
        <f t="shared" si="7"/>
        <v>#VALUE!</v>
      </c>
    </row>
    <row r="211" spans="1:8" x14ac:dyDescent="0.3">
      <c r="A211" t="str">
        <f>IF(MASTER_REGISTER!E211="","",MASTER_REGISTER!E211)</f>
        <v/>
      </c>
      <c r="B211" t="str">
        <f>IF(A211="","",MASTER_REGISTER!F211)</f>
        <v/>
      </c>
      <c r="C211" t="str">
        <f>IF(A211="","",MASTER_REGISTER!C211)</f>
        <v/>
      </c>
      <c r="D211" t="str">
        <f>IF(A211="","",COUNTIF(ATTENDANCE_DAILY!C:C,A211))</f>
        <v/>
      </c>
      <c r="E211" t="str">
        <f>IF(A211="","",COUNTIFS(ATTENDANCE_DAILY!C:C,A211,ATTENDANCE_DAILY!E:E,"Present"))</f>
        <v/>
      </c>
      <c r="F211" t="str">
        <f>IF(A211="","",COUNTIFS(ATTENDANCE_DAILY!C:C,A211,ATTENDANCE_DAILY!E:E,"Absent"))</f>
        <v/>
      </c>
      <c r="G211" s="5" t="e">
        <f t="shared" si="6"/>
        <v>#VALUE!</v>
      </c>
      <c r="H211" s="4" t="e">
        <f t="shared" si="7"/>
        <v>#VALUE!</v>
      </c>
    </row>
    <row r="212" spans="1:8" x14ac:dyDescent="0.3">
      <c r="A212" t="str">
        <f>IF(MASTER_REGISTER!E212="","",MASTER_REGISTER!E212)</f>
        <v/>
      </c>
      <c r="B212" t="str">
        <f>IF(A212="","",MASTER_REGISTER!F212)</f>
        <v/>
      </c>
      <c r="C212" t="str">
        <f>IF(A212="","",MASTER_REGISTER!C212)</f>
        <v/>
      </c>
      <c r="D212" t="str">
        <f>IF(A212="","",COUNTIF(ATTENDANCE_DAILY!C:C,A212))</f>
        <v/>
      </c>
      <c r="E212" t="str">
        <f>IF(A212="","",COUNTIFS(ATTENDANCE_DAILY!C:C,A212,ATTENDANCE_DAILY!E:E,"Present"))</f>
        <v/>
      </c>
      <c r="F212" t="str">
        <f>IF(A212="","",COUNTIFS(ATTENDANCE_DAILY!C:C,A212,ATTENDANCE_DAILY!E:E,"Absent"))</f>
        <v/>
      </c>
      <c r="G212" s="5" t="e">
        <f t="shared" si="6"/>
        <v>#VALUE!</v>
      </c>
      <c r="H212" s="4" t="e">
        <f t="shared" si="7"/>
        <v>#VALUE!</v>
      </c>
    </row>
    <row r="213" spans="1:8" x14ac:dyDescent="0.3">
      <c r="A213" t="str">
        <f>IF(MASTER_REGISTER!E213="","",MASTER_REGISTER!E213)</f>
        <v/>
      </c>
      <c r="B213" t="str">
        <f>IF(A213="","",MASTER_REGISTER!F213)</f>
        <v/>
      </c>
      <c r="C213" t="str">
        <f>IF(A213="","",MASTER_REGISTER!C213)</f>
        <v/>
      </c>
      <c r="D213" t="str">
        <f>IF(A213="","",COUNTIF(ATTENDANCE_DAILY!C:C,A213))</f>
        <v/>
      </c>
      <c r="E213" t="str">
        <f>IF(A213="","",COUNTIFS(ATTENDANCE_DAILY!C:C,A213,ATTENDANCE_DAILY!E:E,"Present"))</f>
        <v/>
      </c>
      <c r="F213" t="str">
        <f>IF(A213="","",COUNTIFS(ATTENDANCE_DAILY!C:C,A213,ATTENDANCE_DAILY!E:E,"Absent"))</f>
        <v/>
      </c>
      <c r="G213" s="5" t="e">
        <f t="shared" si="6"/>
        <v>#VALUE!</v>
      </c>
      <c r="H213" s="4" t="e">
        <f t="shared" si="7"/>
        <v>#VALUE!</v>
      </c>
    </row>
    <row r="214" spans="1:8" x14ac:dyDescent="0.3">
      <c r="A214" t="str">
        <f>IF(MASTER_REGISTER!E214="","",MASTER_REGISTER!E214)</f>
        <v/>
      </c>
      <c r="B214" t="str">
        <f>IF(A214="","",MASTER_REGISTER!F214)</f>
        <v/>
      </c>
      <c r="C214" t="str">
        <f>IF(A214="","",MASTER_REGISTER!C214)</f>
        <v/>
      </c>
      <c r="D214" t="str">
        <f>IF(A214="","",COUNTIF(ATTENDANCE_DAILY!C:C,A214))</f>
        <v/>
      </c>
      <c r="E214" t="str">
        <f>IF(A214="","",COUNTIFS(ATTENDANCE_DAILY!C:C,A214,ATTENDANCE_DAILY!E:E,"Present"))</f>
        <v/>
      </c>
      <c r="F214" t="str">
        <f>IF(A214="","",COUNTIFS(ATTENDANCE_DAILY!C:C,A214,ATTENDANCE_DAILY!E:E,"Absent"))</f>
        <v/>
      </c>
      <c r="G214" s="5" t="e">
        <f t="shared" si="6"/>
        <v>#VALUE!</v>
      </c>
      <c r="H214" s="4" t="e">
        <f t="shared" si="7"/>
        <v>#VALUE!</v>
      </c>
    </row>
    <row r="215" spans="1:8" x14ac:dyDescent="0.3">
      <c r="A215" t="str">
        <f>IF(MASTER_REGISTER!E215="","",MASTER_REGISTER!E215)</f>
        <v/>
      </c>
      <c r="B215" t="str">
        <f>IF(A215="","",MASTER_REGISTER!F215)</f>
        <v/>
      </c>
      <c r="C215" t="str">
        <f>IF(A215="","",MASTER_REGISTER!C215)</f>
        <v/>
      </c>
      <c r="D215" t="str">
        <f>IF(A215="","",COUNTIF(ATTENDANCE_DAILY!C:C,A215))</f>
        <v/>
      </c>
      <c r="E215" t="str">
        <f>IF(A215="","",COUNTIFS(ATTENDANCE_DAILY!C:C,A215,ATTENDANCE_DAILY!E:E,"Present"))</f>
        <v/>
      </c>
      <c r="F215" t="str">
        <f>IF(A215="","",COUNTIFS(ATTENDANCE_DAILY!C:C,A215,ATTENDANCE_DAILY!E:E,"Absent"))</f>
        <v/>
      </c>
      <c r="G215" s="5" t="e">
        <f t="shared" si="6"/>
        <v>#VALUE!</v>
      </c>
      <c r="H215" s="4" t="e">
        <f t="shared" si="7"/>
        <v>#VALUE!</v>
      </c>
    </row>
    <row r="216" spans="1:8" x14ac:dyDescent="0.3">
      <c r="A216" t="str">
        <f>IF(MASTER_REGISTER!E216="","",MASTER_REGISTER!E216)</f>
        <v/>
      </c>
      <c r="B216" t="str">
        <f>IF(A216="","",MASTER_REGISTER!F216)</f>
        <v/>
      </c>
      <c r="C216" t="str">
        <f>IF(A216="","",MASTER_REGISTER!C216)</f>
        <v/>
      </c>
      <c r="D216" t="str">
        <f>IF(A216="","",COUNTIF(ATTENDANCE_DAILY!C:C,A216))</f>
        <v/>
      </c>
      <c r="E216" t="str">
        <f>IF(A216="","",COUNTIFS(ATTENDANCE_DAILY!C:C,A216,ATTENDANCE_DAILY!E:E,"Present"))</f>
        <v/>
      </c>
      <c r="F216" t="str">
        <f>IF(A216="","",COUNTIFS(ATTENDANCE_DAILY!C:C,A216,ATTENDANCE_DAILY!E:E,"Absent"))</f>
        <v/>
      </c>
      <c r="G216" s="5" t="e">
        <f t="shared" si="6"/>
        <v>#VALUE!</v>
      </c>
      <c r="H216" s="4" t="e">
        <f t="shared" si="7"/>
        <v>#VALUE!</v>
      </c>
    </row>
    <row r="217" spans="1:8" x14ac:dyDescent="0.3">
      <c r="A217" t="str">
        <f>IF(MASTER_REGISTER!E217="","",MASTER_REGISTER!E217)</f>
        <v/>
      </c>
      <c r="B217" t="str">
        <f>IF(A217="","",MASTER_REGISTER!F217)</f>
        <v/>
      </c>
      <c r="C217" t="str">
        <f>IF(A217="","",MASTER_REGISTER!C217)</f>
        <v/>
      </c>
      <c r="D217" t="str">
        <f>IF(A217="","",COUNTIF(ATTENDANCE_DAILY!C:C,A217))</f>
        <v/>
      </c>
      <c r="E217" t="str">
        <f>IF(A217="","",COUNTIFS(ATTENDANCE_DAILY!C:C,A217,ATTENDANCE_DAILY!E:E,"Present"))</f>
        <v/>
      </c>
      <c r="F217" t="str">
        <f>IF(A217="","",COUNTIFS(ATTENDANCE_DAILY!C:C,A217,ATTENDANCE_DAILY!E:E,"Absent"))</f>
        <v/>
      </c>
      <c r="G217" s="5" t="e">
        <f t="shared" si="6"/>
        <v>#VALUE!</v>
      </c>
      <c r="H217" s="4" t="e">
        <f t="shared" si="7"/>
        <v>#VALUE!</v>
      </c>
    </row>
    <row r="218" spans="1:8" x14ac:dyDescent="0.3">
      <c r="A218" t="str">
        <f>IF(MASTER_REGISTER!E218="","",MASTER_REGISTER!E218)</f>
        <v/>
      </c>
      <c r="B218" t="str">
        <f>IF(A218="","",MASTER_REGISTER!F218)</f>
        <v/>
      </c>
      <c r="C218" t="str">
        <f>IF(A218="","",MASTER_REGISTER!C218)</f>
        <v/>
      </c>
      <c r="D218" t="str">
        <f>IF(A218="","",COUNTIF(ATTENDANCE_DAILY!C:C,A218))</f>
        <v/>
      </c>
      <c r="E218" t="str">
        <f>IF(A218="","",COUNTIFS(ATTENDANCE_DAILY!C:C,A218,ATTENDANCE_DAILY!E:E,"Present"))</f>
        <v/>
      </c>
      <c r="F218" t="str">
        <f>IF(A218="","",COUNTIFS(ATTENDANCE_DAILY!C:C,A218,ATTENDANCE_DAILY!E:E,"Absent"))</f>
        <v/>
      </c>
      <c r="G218" s="5" t="e">
        <f t="shared" si="6"/>
        <v>#VALUE!</v>
      </c>
      <c r="H218" s="4" t="e">
        <f t="shared" si="7"/>
        <v>#VALUE!</v>
      </c>
    </row>
    <row r="219" spans="1:8" x14ac:dyDescent="0.3">
      <c r="A219" t="str">
        <f>IF(MASTER_REGISTER!E219="","",MASTER_REGISTER!E219)</f>
        <v/>
      </c>
      <c r="B219" t="str">
        <f>IF(A219="","",MASTER_REGISTER!F219)</f>
        <v/>
      </c>
      <c r="C219" t="str">
        <f>IF(A219="","",MASTER_REGISTER!C219)</f>
        <v/>
      </c>
      <c r="D219" t="str">
        <f>IF(A219="","",COUNTIF(ATTENDANCE_DAILY!C:C,A219))</f>
        <v/>
      </c>
      <c r="E219" t="str">
        <f>IF(A219="","",COUNTIFS(ATTENDANCE_DAILY!C:C,A219,ATTENDANCE_DAILY!E:E,"Present"))</f>
        <v/>
      </c>
      <c r="F219" t="str">
        <f>IF(A219="","",COUNTIFS(ATTENDANCE_DAILY!C:C,A219,ATTENDANCE_DAILY!E:E,"Absent"))</f>
        <v/>
      </c>
      <c r="G219" s="5" t="e">
        <f t="shared" si="6"/>
        <v>#VALUE!</v>
      </c>
      <c r="H219" s="4" t="e">
        <f t="shared" si="7"/>
        <v>#VALUE!</v>
      </c>
    </row>
    <row r="220" spans="1:8" x14ac:dyDescent="0.3">
      <c r="A220" t="str">
        <f>IF(MASTER_REGISTER!E220="","",MASTER_REGISTER!E220)</f>
        <v/>
      </c>
      <c r="B220" t="str">
        <f>IF(A220="","",MASTER_REGISTER!F220)</f>
        <v/>
      </c>
      <c r="C220" t="str">
        <f>IF(A220="","",MASTER_REGISTER!C220)</f>
        <v/>
      </c>
      <c r="D220" t="str">
        <f>IF(A220="","",COUNTIF(ATTENDANCE_DAILY!C:C,A220))</f>
        <v/>
      </c>
      <c r="E220" t="str">
        <f>IF(A220="","",COUNTIFS(ATTENDANCE_DAILY!C:C,A220,ATTENDANCE_DAILY!E:E,"Present"))</f>
        <v/>
      </c>
      <c r="F220" t="str">
        <f>IF(A220="","",COUNTIFS(ATTENDANCE_DAILY!C:C,A220,ATTENDANCE_DAILY!E:E,"Absent"))</f>
        <v/>
      </c>
      <c r="G220" s="5" t="e">
        <f t="shared" si="6"/>
        <v>#VALUE!</v>
      </c>
      <c r="H220" s="4" t="e">
        <f t="shared" si="7"/>
        <v>#VALUE!</v>
      </c>
    </row>
    <row r="221" spans="1:8" x14ac:dyDescent="0.3">
      <c r="A221" t="str">
        <f>IF(MASTER_REGISTER!E221="","",MASTER_REGISTER!E221)</f>
        <v/>
      </c>
      <c r="B221" t="str">
        <f>IF(A221="","",MASTER_REGISTER!F221)</f>
        <v/>
      </c>
      <c r="C221" t="str">
        <f>IF(A221="","",MASTER_REGISTER!C221)</f>
        <v/>
      </c>
      <c r="D221" t="str">
        <f>IF(A221="","",COUNTIF(ATTENDANCE_DAILY!C:C,A221))</f>
        <v/>
      </c>
      <c r="E221" t="str">
        <f>IF(A221="","",COUNTIFS(ATTENDANCE_DAILY!C:C,A221,ATTENDANCE_DAILY!E:E,"Present"))</f>
        <v/>
      </c>
      <c r="F221" t="str">
        <f>IF(A221="","",COUNTIFS(ATTENDANCE_DAILY!C:C,A221,ATTENDANCE_DAILY!E:E,"Absent"))</f>
        <v/>
      </c>
      <c r="G221" s="5" t="e">
        <f t="shared" si="6"/>
        <v>#VALUE!</v>
      </c>
      <c r="H221" s="4" t="e">
        <f t="shared" si="7"/>
        <v>#VALUE!</v>
      </c>
    </row>
    <row r="222" spans="1:8" x14ac:dyDescent="0.3">
      <c r="A222" t="str">
        <f>IF(MASTER_REGISTER!E222="","",MASTER_REGISTER!E222)</f>
        <v/>
      </c>
      <c r="B222" t="str">
        <f>IF(A222="","",MASTER_REGISTER!F222)</f>
        <v/>
      </c>
      <c r="C222" t="str">
        <f>IF(A222="","",MASTER_REGISTER!C222)</f>
        <v/>
      </c>
      <c r="D222" t="str">
        <f>IF(A222="","",COUNTIF(ATTENDANCE_DAILY!C:C,A222))</f>
        <v/>
      </c>
      <c r="E222" t="str">
        <f>IF(A222="","",COUNTIFS(ATTENDANCE_DAILY!C:C,A222,ATTENDANCE_DAILY!E:E,"Present"))</f>
        <v/>
      </c>
      <c r="F222" t="str">
        <f>IF(A222="","",COUNTIFS(ATTENDANCE_DAILY!C:C,A222,ATTENDANCE_DAILY!E:E,"Absent"))</f>
        <v/>
      </c>
      <c r="G222" s="5" t="e">
        <f t="shared" si="6"/>
        <v>#VALUE!</v>
      </c>
      <c r="H222" s="4" t="e">
        <f t="shared" si="7"/>
        <v>#VALUE!</v>
      </c>
    </row>
    <row r="223" spans="1:8" x14ac:dyDescent="0.3">
      <c r="A223" t="str">
        <f>IF(MASTER_REGISTER!E223="","",MASTER_REGISTER!E223)</f>
        <v/>
      </c>
      <c r="B223" t="str">
        <f>IF(A223="","",MASTER_REGISTER!F223)</f>
        <v/>
      </c>
      <c r="C223" t="str">
        <f>IF(A223="","",MASTER_REGISTER!C223)</f>
        <v/>
      </c>
      <c r="D223" t="str">
        <f>IF(A223="","",COUNTIF(ATTENDANCE_DAILY!C:C,A223))</f>
        <v/>
      </c>
      <c r="E223" t="str">
        <f>IF(A223="","",COUNTIFS(ATTENDANCE_DAILY!C:C,A223,ATTENDANCE_DAILY!E:E,"Present"))</f>
        <v/>
      </c>
      <c r="F223" t="str">
        <f>IF(A223="","",COUNTIFS(ATTENDANCE_DAILY!C:C,A223,ATTENDANCE_DAILY!E:E,"Absent"))</f>
        <v/>
      </c>
      <c r="G223" s="5" t="e">
        <f t="shared" si="6"/>
        <v>#VALUE!</v>
      </c>
      <c r="H223" s="4" t="e">
        <f t="shared" si="7"/>
        <v>#VALUE!</v>
      </c>
    </row>
    <row r="224" spans="1:8" x14ac:dyDescent="0.3">
      <c r="A224" t="str">
        <f>IF(MASTER_REGISTER!E224="","",MASTER_REGISTER!E224)</f>
        <v/>
      </c>
      <c r="B224" t="str">
        <f>IF(A224="","",MASTER_REGISTER!F224)</f>
        <v/>
      </c>
      <c r="C224" t="str">
        <f>IF(A224="","",MASTER_REGISTER!C224)</f>
        <v/>
      </c>
      <c r="D224" t="str">
        <f>IF(A224="","",COUNTIF(ATTENDANCE_DAILY!C:C,A224))</f>
        <v/>
      </c>
      <c r="E224" t="str">
        <f>IF(A224="","",COUNTIFS(ATTENDANCE_DAILY!C:C,A224,ATTENDANCE_DAILY!E:E,"Present"))</f>
        <v/>
      </c>
      <c r="F224" t="str">
        <f>IF(A224="","",COUNTIFS(ATTENDANCE_DAILY!C:C,A224,ATTENDANCE_DAILY!E:E,"Absent"))</f>
        <v/>
      </c>
      <c r="G224" s="5" t="e">
        <f t="shared" si="6"/>
        <v>#VALUE!</v>
      </c>
      <c r="H224" s="4" t="e">
        <f t="shared" si="7"/>
        <v>#VALUE!</v>
      </c>
    </row>
    <row r="225" spans="1:8" x14ac:dyDescent="0.3">
      <c r="A225" t="str">
        <f>IF(MASTER_REGISTER!E225="","",MASTER_REGISTER!E225)</f>
        <v/>
      </c>
      <c r="B225" t="str">
        <f>IF(A225="","",MASTER_REGISTER!F225)</f>
        <v/>
      </c>
      <c r="C225" t="str">
        <f>IF(A225="","",MASTER_REGISTER!C225)</f>
        <v/>
      </c>
      <c r="D225" t="str">
        <f>IF(A225="","",COUNTIF(ATTENDANCE_DAILY!C:C,A225))</f>
        <v/>
      </c>
      <c r="E225" t="str">
        <f>IF(A225="","",COUNTIFS(ATTENDANCE_DAILY!C:C,A225,ATTENDANCE_DAILY!E:E,"Present"))</f>
        <v/>
      </c>
      <c r="F225" t="str">
        <f>IF(A225="","",COUNTIFS(ATTENDANCE_DAILY!C:C,A225,ATTENDANCE_DAILY!E:E,"Absent"))</f>
        <v/>
      </c>
      <c r="G225" s="5" t="e">
        <f t="shared" si="6"/>
        <v>#VALUE!</v>
      </c>
      <c r="H225" s="4" t="e">
        <f t="shared" si="7"/>
        <v>#VALUE!</v>
      </c>
    </row>
    <row r="226" spans="1:8" x14ac:dyDescent="0.3">
      <c r="A226" t="str">
        <f>IF(MASTER_REGISTER!E226="","",MASTER_REGISTER!E226)</f>
        <v/>
      </c>
      <c r="B226" t="str">
        <f>IF(A226="","",MASTER_REGISTER!F226)</f>
        <v/>
      </c>
      <c r="C226" t="str">
        <f>IF(A226="","",MASTER_REGISTER!C226)</f>
        <v/>
      </c>
      <c r="D226" t="str">
        <f>IF(A226="","",COUNTIF(ATTENDANCE_DAILY!C:C,A226))</f>
        <v/>
      </c>
      <c r="E226" t="str">
        <f>IF(A226="","",COUNTIFS(ATTENDANCE_DAILY!C:C,A226,ATTENDANCE_DAILY!E:E,"Present"))</f>
        <v/>
      </c>
      <c r="F226" t="str">
        <f>IF(A226="","",COUNTIFS(ATTENDANCE_DAILY!C:C,A226,ATTENDANCE_DAILY!E:E,"Absent"))</f>
        <v/>
      </c>
      <c r="G226" s="5" t="e">
        <f t="shared" si="6"/>
        <v>#VALUE!</v>
      </c>
      <c r="H226" s="4" t="e">
        <f t="shared" si="7"/>
        <v>#VALUE!</v>
      </c>
    </row>
    <row r="227" spans="1:8" x14ac:dyDescent="0.3">
      <c r="A227" t="str">
        <f>IF(MASTER_REGISTER!E227="","",MASTER_REGISTER!E227)</f>
        <v/>
      </c>
      <c r="B227" t="str">
        <f>IF(A227="","",MASTER_REGISTER!F227)</f>
        <v/>
      </c>
      <c r="C227" t="str">
        <f>IF(A227="","",MASTER_REGISTER!C227)</f>
        <v/>
      </c>
      <c r="D227" t="str">
        <f>IF(A227="","",COUNTIF(ATTENDANCE_DAILY!C:C,A227))</f>
        <v/>
      </c>
      <c r="E227" t="str">
        <f>IF(A227="","",COUNTIFS(ATTENDANCE_DAILY!C:C,A227,ATTENDANCE_DAILY!E:E,"Present"))</f>
        <v/>
      </c>
      <c r="F227" t="str">
        <f>IF(A227="","",COUNTIFS(ATTENDANCE_DAILY!C:C,A227,ATTENDANCE_DAILY!E:E,"Absent"))</f>
        <v/>
      </c>
      <c r="G227" s="5" t="e">
        <f t="shared" si="6"/>
        <v>#VALUE!</v>
      </c>
      <c r="H227" s="4" t="e">
        <f t="shared" si="7"/>
        <v>#VALUE!</v>
      </c>
    </row>
    <row r="228" spans="1:8" x14ac:dyDescent="0.3">
      <c r="A228" t="str">
        <f>IF(MASTER_REGISTER!E228="","",MASTER_REGISTER!E228)</f>
        <v/>
      </c>
      <c r="B228" t="str">
        <f>IF(A228="","",MASTER_REGISTER!F228)</f>
        <v/>
      </c>
      <c r="C228" t="str">
        <f>IF(A228="","",MASTER_REGISTER!C228)</f>
        <v/>
      </c>
      <c r="D228" t="str">
        <f>IF(A228="","",COUNTIF(ATTENDANCE_DAILY!C:C,A228))</f>
        <v/>
      </c>
      <c r="E228" t="str">
        <f>IF(A228="","",COUNTIFS(ATTENDANCE_DAILY!C:C,A228,ATTENDANCE_DAILY!E:E,"Present"))</f>
        <v/>
      </c>
      <c r="F228" t="str">
        <f>IF(A228="","",COUNTIFS(ATTENDANCE_DAILY!C:C,A228,ATTENDANCE_DAILY!E:E,"Absent"))</f>
        <v/>
      </c>
      <c r="G228" s="5" t="e">
        <f t="shared" si="6"/>
        <v>#VALUE!</v>
      </c>
      <c r="H228" s="4" t="e">
        <f t="shared" si="7"/>
        <v>#VALUE!</v>
      </c>
    </row>
    <row r="229" spans="1:8" x14ac:dyDescent="0.3">
      <c r="A229" t="str">
        <f>IF(MASTER_REGISTER!E229="","",MASTER_REGISTER!E229)</f>
        <v/>
      </c>
      <c r="B229" t="str">
        <f>IF(A229="","",MASTER_REGISTER!F229)</f>
        <v/>
      </c>
      <c r="C229" t="str">
        <f>IF(A229="","",MASTER_REGISTER!C229)</f>
        <v/>
      </c>
      <c r="D229" t="str">
        <f>IF(A229="","",COUNTIF(ATTENDANCE_DAILY!C:C,A229))</f>
        <v/>
      </c>
      <c r="E229" t="str">
        <f>IF(A229="","",COUNTIFS(ATTENDANCE_DAILY!C:C,A229,ATTENDANCE_DAILY!E:E,"Present"))</f>
        <v/>
      </c>
      <c r="F229" t="str">
        <f>IF(A229="","",COUNTIFS(ATTENDANCE_DAILY!C:C,A229,ATTENDANCE_DAILY!E:E,"Absent"))</f>
        <v/>
      </c>
      <c r="G229" s="5" t="e">
        <f t="shared" si="6"/>
        <v>#VALUE!</v>
      </c>
      <c r="H229" s="4" t="e">
        <f t="shared" si="7"/>
        <v>#VALUE!</v>
      </c>
    </row>
    <row r="230" spans="1:8" x14ac:dyDescent="0.3">
      <c r="A230" t="str">
        <f>IF(MASTER_REGISTER!E230="","",MASTER_REGISTER!E230)</f>
        <v/>
      </c>
      <c r="B230" t="str">
        <f>IF(A230="","",MASTER_REGISTER!F230)</f>
        <v/>
      </c>
      <c r="C230" t="str">
        <f>IF(A230="","",MASTER_REGISTER!C230)</f>
        <v/>
      </c>
      <c r="D230" t="str">
        <f>IF(A230="","",COUNTIF(ATTENDANCE_DAILY!C:C,A230))</f>
        <v/>
      </c>
      <c r="E230" t="str">
        <f>IF(A230="","",COUNTIFS(ATTENDANCE_DAILY!C:C,A230,ATTENDANCE_DAILY!E:E,"Present"))</f>
        <v/>
      </c>
      <c r="F230" t="str">
        <f>IF(A230="","",COUNTIFS(ATTENDANCE_DAILY!C:C,A230,ATTENDANCE_DAILY!E:E,"Absent"))</f>
        <v/>
      </c>
      <c r="G230" s="5" t="e">
        <f t="shared" si="6"/>
        <v>#VALUE!</v>
      </c>
      <c r="H230" s="4" t="e">
        <f t="shared" si="7"/>
        <v>#VALUE!</v>
      </c>
    </row>
    <row r="231" spans="1:8" x14ac:dyDescent="0.3">
      <c r="A231" t="str">
        <f>IF(MASTER_REGISTER!E231="","",MASTER_REGISTER!E231)</f>
        <v/>
      </c>
      <c r="B231" t="str">
        <f>IF(A231="","",MASTER_REGISTER!F231)</f>
        <v/>
      </c>
      <c r="C231" t="str">
        <f>IF(A231="","",MASTER_REGISTER!C231)</f>
        <v/>
      </c>
      <c r="D231" t="str">
        <f>IF(A231="","",COUNTIF(ATTENDANCE_DAILY!C:C,A231))</f>
        <v/>
      </c>
      <c r="E231" t="str">
        <f>IF(A231="","",COUNTIFS(ATTENDANCE_DAILY!C:C,A231,ATTENDANCE_DAILY!E:E,"Present"))</f>
        <v/>
      </c>
      <c r="F231" t="str">
        <f>IF(A231="","",COUNTIFS(ATTENDANCE_DAILY!C:C,A231,ATTENDANCE_DAILY!E:E,"Absent"))</f>
        <v/>
      </c>
      <c r="G231" s="5" t="e">
        <f t="shared" si="6"/>
        <v>#VALUE!</v>
      </c>
      <c r="H231" s="4" t="e">
        <f t="shared" si="7"/>
        <v>#VALUE!</v>
      </c>
    </row>
    <row r="232" spans="1:8" x14ac:dyDescent="0.3">
      <c r="A232" t="str">
        <f>IF(MASTER_REGISTER!E232="","",MASTER_REGISTER!E232)</f>
        <v/>
      </c>
      <c r="B232" t="str">
        <f>IF(A232="","",MASTER_REGISTER!F232)</f>
        <v/>
      </c>
      <c r="C232" t="str">
        <f>IF(A232="","",MASTER_REGISTER!C232)</f>
        <v/>
      </c>
      <c r="D232" t="str">
        <f>IF(A232="","",COUNTIF(ATTENDANCE_DAILY!C:C,A232))</f>
        <v/>
      </c>
      <c r="E232" t="str">
        <f>IF(A232="","",COUNTIFS(ATTENDANCE_DAILY!C:C,A232,ATTENDANCE_DAILY!E:E,"Present"))</f>
        <v/>
      </c>
      <c r="F232" t="str">
        <f>IF(A232="","",COUNTIFS(ATTENDANCE_DAILY!C:C,A232,ATTENDANCE_DAILY!E:E,"Absent"))</f>
        <v/>
      </c>
      <c r="G232" s="5" t="e">
        <f t="shared" si="6"/>
        <v>#VALUE!</v>
      </c>
      <c r="H232" s="4" t="e">
        <f t="shared" si="7"/>
        <v>#VALUE!</v>
      </c>
    </row>
    <row r="233" spans="1:8" x14ac:dyDescent="0.3">
      <c r="A233" t="str">
        <f>IF(MASTER_REGISTER!E233="","",MASTER_REGISTER!E233)</f>
        <v/>
      </c>
      <c r="B233" t="str">
        <f>IF(A233="","",MASTER_REGISTER!F233)</f>
        <v/>
      </c>
      <c r="C233" t="str">
        <f>IF(A233="","",MASTER_REGISTER!C233)</f>
        <v/>
      </c>
      <c r="D233" t="str">
        <f>IF(A233="","",COUNTIF(ATTENDANCE_DAILY!C:C,A233))</f>
        <v/>
      </c>
      <c r="E233" t="str">
        <f>IF(A233="","",COUNTIFS(ATTENDANCE_DAILY!C:C,A233,ATTENDANCE_DAILY!E:E,"Present"))</f>
        <v/>
      </c>
      <c r="F233" t="str">
        <f>IF(A233="","",COUNTIFS(ATTENDANCE_DAILY!C:C,A233,ATTENDANCE_DAILY!E:E,"Absent"))</f>
        <v/>
      </c>
      <c r="G233" s="5" t="e">
        <f t="shared" si="6"/>
        <v>#VALUE!</v>
      </c>
      <c r="H233" s="4" t="e">
        <f t="shared" si="7"/>
        <v>#VALUE!</v>
      </c>
    </row>
    <row r="234" spans="1:8" x14ac:dyDescent="0.3">
      <c r="A234" t="str">
        <f>IF(MASTER_REGISTER!E234="","",MASTER_REGISTER!E234)</f>
        <v/>
      </c>
      <c r="B234" t="str">
        <f>IF(A234="","",MASTER_REGISTER!F234)</f>
        <v/>
      </c>
      <c r="C234" t="str">
        <f>IF(A234="","",MASTER_REGISTER!C234)</f>
        <v/>
      </c>
      <c r="D234" t="str">
        <f>IF(A234="","",COUNTIF(ATTENDANCE_DAILY!C:C,A234))</f>
        <v/>
      </c>
      <c r="E234" t="str">
        <f>IF(A234="","",COUNTIFS(ATTENDANCE_DAILY!C:C,A234,ATTENDANCE_DAILY!E:E,"Present"))</f>
        <v/>
      </c>
      <c r="F234" t="str">
        <f>IF(A234="","",COUNTIFS(ATTENDANCE_DAILY!C:C,A234,ATTENDANCE_DAILY!E:E,"Absent"))</f>
        <v/>
      </c>
      <c r="G234" s="5" t="e">
        <f t="shared" si="6"/>
        <v>#VALUE!</v>
      </c>
      <c r="H234" s="4" t="e">
        <f t="shared" si="7"/>
        <v>#VALUE!</v>
      </c>
    </row>
    <row r="235" spans="1:8" x14ac:dyDescent="0.3">
      <c r="A235" t="str">
        <f>IF(MASTER_REGISTER!E235="","",MASTER_REGISTER!E235)</f>
        <v/>
      </c>
      <c r="B235" t="str">
        <f>IF(A235="","",MASTER_REGISTER!F235)</f>
        <v/>
      </c>
      <c r="C235" t="str">
        <f>IF(A235="","",MASTER_REGISTER!C235)</f>
        <v/>
      </c>
      <c r="D235" t="str">
        <f>IF(A235="","",COUNTIF(ATTENDANCE_DAILY!C:C,A235))</f>
        <v/>
      </c>
      <c r="E235" t="str">
        <f>IF(A235="","",COUNTIFS(ATTENDANCE_DAILY!C:C,A235,ATTENDANCE_DAILY!E:E,"Present"))</f>
        <v/>
      </c>
      <c r="F235" t="str">
        <f>IF(A235="","",COUNTIFS(ATTENDANCE_DAILY!C:C,A235,ATTENDANCE_DAILY!E:E,"Absent"))</f>
        <v/>
      </c>
      <c r="G235" s="5" t="e">
        <f t="shared" si="6"/>
        <v>#VALUE!</v>
      </c>
      <c r="H235" s="4" t="e">
        <f t="shared" si="7"/>
        <v>#VALUE!</v>
      </c>
    </row>
    <row r="236" spans="1:8" x14ac:dyDescent="0.3">
      <c r="A236" t="str">
        <f>IF(MASTER_REGISTER!E236="","",MASTER_REGISTER!E236)</f>
        <v/>
      </c>
      <c r="B236" t="str">
        <f>IF(A236="","",MASTER_REGISTER!F236)</f>
        <v/>
      </c>
      <c r="C236" t="str">
        <f>IF(A236="","",MASTER_REGISTER!C236)</f>
        <v/>
      </c>
      <c r="D236" t="str">
        <f>IF(A236="","",COUNTIF(ATTENDANCE_DAILY!C:C,A236))</f>
        <v/>
      </c>
      <c r="E236" t="str">
        <f>IF(A236="","",COUNTIFS(ATTENDANCE_DAILY!C:C,A236,ATTENDANCE_DAILY!E:E,"Present"))</f>
        <v/>
      </c>
      <c r="F236" t="str">
        <f>IF(A236="","",COUNTIFS(ATTENDANCE_DAILY!C:C,A236,ATTENDANCE_DAILY!E:E,"Absent"))</f>
        <v/>
      </c>
      <c r="G236" s="5" t="e">
        <f t="shared" si="6"/>
        <v>#VALUE!</v>
      </c>
      <c r="H236" s="4" t="e">
        <f t="shared" si="7"/>
        <v>#VALUE!</v>
      </c>
    </row>
    <row r="237" spans="1:8" x14ac:dyDescent="0.3">
      <c r="A237" t="str">
        <f>IF(MASTER_REGISTER!E237="","",MASTER_REGISTER!E237)</f>
        <v/>
      </c>
      <c r="B237" t="str">
        <f>IF(A237="","",MASTER_REGISTER!F237)</f>
        <v/>
      </c>
      <c r="C237" t="str">
        <f>IF(A237="","",MASTER_REGISTER!C237)</f>
        <v/>
      </c>
      <c r="D237" t="str">
        <f>IF(A237="","",COUNTIF(ATTENDANCE_DAILY!C:C,A237))</f>
        <v/>
      </c>
      <c r="E237" t="str">
        <f>IF(A237="","",COUNTIFS(ATTENDANCE_DAILY!C:C,A237,ATTENDANCE_DAILY!E:E,"Present"))</f>
        <v/>
      </c>
      <c r="F237" t="str">
        <f>IF(A237="","",COUNTIFS(ATTENDANCE_DAILY!C:C,A237,ATTENDANCE_DAILY!E:E,"Absent"))</f>
        <v/>
      </c>
      <c r="G237" s="5" t="e">
        <f t="shared" si="6"/>
        <v>#VALUE!</v>
      </c>
      <c r="H237" s="4" t="e">
        <f t="shared" si="7"/>
        <v>#VALUE!</v>
      </c>
    </row>
    <row r="238" spans="1:8" x14ac:dyDescent="0.3">
      <c r="A238" t="str">
        <f>IF(MASTER_REGISTER!E238="","",MASTER_REGISTER!E238)</f>
        <v/>
      </c>
      <c r="B238" t="str">
        <f>IF(A238="","",MASTER_REGISTER!F238)</f>
        <v/>
      </c>
      <c r="C238" t="str">
        <f>IF(A238="","",MASTER_REGISTER!C238)</f>
        <v/>
      </c>
      <c r="D238" t="str">
        <f>IF(A238="","",COUNTIF(ATTENDANCE_DAILY!C:C,A238))</f>
        <v/>
      </c>
      <c r="E238" t="str">
        <f>IF(A238="","",COUNTIFS(ATTENDANCE_DAILY!C:C,A238,ATTENDANCE_DAILY!E:E,"Present"))</f>
        <v/>
      </c>
      <c r="F238" t="str">
        <f>IF(A238="","",COUNTIFS(ATTENDANCE_DAILY!C:C,A238,ATTENDANCE_DAILY!E:E,"Absent"))</f>
        <v/>
      </c>
      <c r="G238" s="5" t="e">
        <f t="shared" si="6"/>
        <v>#VALUE!</v>
      </c>
      <c r="H238" s="4" t="e">
        <f t="shared" si="7"/>
        <v>#VALUE!</v>
      </c>
    </row>
    <row r="239" spans="1:8" x14ac:dyDescent="0.3">
      <c r="A239" t="str">
        <f>IF(MASTER_REGISTER!E239="","",MASTER_REGISTER!E239)</f>
        <v/>
      </c>
      <c r="B239" t="str">
        <f>IF(A239="","",MASTER_REGISTER!F239)</f>
        <v/>
      </c>
      <c r="C239" t="str">
        <f>IF(A239="","",MASTER_REGISTER!C239)</f>
        <v/>
      </c>
      <c r="D239" t="str">
        <f>IF(A239="","",COUNTIF(ATTENDANCE_DAILY!C:C,A239))</f>
        <v/>
      </c>
      <c r="E239" t="str">
        <f>IF(A239="","",COUNTIFS(ATTENDANCE_DAILY!C:C,A239,ATTENDANCE_DAILY!E:E,"Present"))</f>
        <v/>
      </c>
      <c r="F239" t="str">
        <f>IF(A239="","",COUNTIFS(ATTENDANCE_DAILY!C:C,A239,ATTENDANCE_DAILY!E:E,"Absent"))</f>
        <v/>
      </c>
      <c r="G239" s="5" t="e">
        <f t="shared" si="6"/>
        <v>#VALUE!</v>
      </c>
      <c r="H239" s="4" t="e">
        <f t="shared" si="7"/>
        <v>#VALUE!</v>
      </c>
    </row>
    <row r="240" spans="1:8" x14ac:dyDescent="0.3">
      <c r="A240" t="str">
        <f>IF(MASTER_REGISTER!E240="","",MASTER_REGISTER!E240)</f>
        <v/>
      </c>
      <c r="B240" t="str">
        <f>IF(A240="","",MASTER_REGISTER!F240)</f>
        <v/>
      </c>
      <c r="C240" t="str">
        <f>IF(A240="","",MASTER_REGISTER!C240)</f>
        <v/>
      </c>
      <c r="D240" t="str">
        <f>IF(A240="","",COUNTIF(ATTENDANCE_DAILY!C:C,A240))</f>
        <v/>
      </c>
      <c r="E240" t="str">
        <f>IF(A240="","",COUNTIFS(ATTENDANCE_DAILY!C:C,A240,ATTENDANCE_DAILY!E:E,"Present"))</f>
        <v/>
      </c>
      <c r="F240" t="str">
        <f>IF(A240="","",COUNTIFS(ATTENDANCE_DAILY!C:C,A240,ATTENDANCE_DAILY!E:E,"Absent"))</f>
        <v/>
      </c>
      <c r="G240" s="5" t="e">
        <f t="shared" si="6"/>
        <v>#VALUE!</v>
      </c>
      <c r="H240" s="4" t="e">
        <f t="shared" si="7"/>
        <v>#VALUE!</v>
      </c>
    </row>
    <row r="241" spans="1:8" x14ac:dyDescent="0.3">
      <c r="A241" t="str">
        <f>IF(MASTER_REGISTER!E241="","",MASTER_REGISTER!E241)</f>
        <v/>
      </c>
      <c r="B241" t="str">
        <f>IF(A241="","",MASTER_REGISTER!F241)</f>
        <v/>
      </c>
      <c r="C241" t="str">
        <f>IF(A241="","",MASTER_REGISTER!C241)</f>
        <v/>
      </c>
      <c r="D241" t="str">
        <f>IF(A241="","",COUNTIF(ATTENDANCE_DAILY!C:C,A241))</f>
        <v/>
      </c>
      <c r="E241" t="str">
        <f>IF(A241="","",COUNTIFS(ATTENDANCE_DAILY!C:C,A241,ATTENDANCE_DAILY!E:E,"Present"))</f>
        <v/>
      </c>
      <c r="F241" t="str">
        <f>IF(A241="","",COUNTIFS(ATTENDANCE_DAILY!C:C,A241,ATTENDANCE_DAILY!E:E,"Absent"))</f>
        <v/>
      </c>
      <c r="G241" s="5" t="e">
        <f t="shared" si="6"/>
        <v>#VALUE!</v>
      </c>
      <c r="H241" s="4" t="e">
        <f t="shared" si="7"/>
        <v>#VALUE!</v>
      </c>
    </row>
    <row r="242" spans="1:8" x14ac:dyDescent="0.3">
      <c r="A242" t="str">
        <f>IF(MASTER_REGISTER!E242="","",MASTER_REGISTER!E242)</f>
        <v/>
      </c>
      <c r="B242" t="str">
        <f>IF(A242="","",MASTER_REGISTER!F242)</f>
        <v/>
      </c>
      <c r="C242" t="str">
        <f>IF(A242="","",MASTER_REGISTER!C242)</f>
        <v/>
      </c>
      <c r="D242" t="str">
        <f>IF(A242="","",COUNTIF(ATTENDANCE_DAILY!C:C,A242))</f>
        <v/>
      </c>
      <c r="E242" t="str">
        <f>IF(A242="","",COUNTIFS(ATTENDANCE_DAILY!C:C,A242,ATTENDANCE_DAILY!E:E,"Present"))</f>
        <v/>
      </c>
      <c r="F242" t="str">
        <f>IF(A242="","",COUNTIFS(ATTENDANCE_DAILY!C:C,A242,ATTENDANCE_DAILY!E:E,"Absent"))</f>
        <v/>
      </c>
      <c r="G242" s="5" t="e">
        <f t="shared" si="6"/>
        <v>#VALUE!</v>
      </c>
      <c r="H242" s="4" t="e">
        <f t="shared" si="7"/>
        <v>#VALUE!</v>
      </c>
    </row>
    <row r="243" spans="1:8" x14ac:dyDescent="0.3">
      <c r="A243" t="str">
        <f>IF(MASTER_REGISTER!E243="","",MASTER_REGISTER!E243)</f>
        <v/>
      </c>
      <c r="B243" t="str">
        <f>IF(A243="","",MASTER_REGISTER!F243)</f>
        <v/>
      </c>
      <c r="C243" t="str">
        <f>IF(A243="","",MASTER_REGISTER!C243)</f>
        <v/>
      </c>
      <c r="D243" t="str">
        <f>IF(A243="","",COUNTIF(ATTENDANCE_DAILY!C:C,A243))</f>
        <v/>
      </c>
      <c r="E243" t="str">
        <f>IF(A243="","",COUNTIFS(ATTENDANCE_DAILY!C:C,A243,ATTENDANCE_DAILY!E:E,"Present"))</f>
        <v/>
      </c>
      <c r="F243" t="str">
        <f>IF(A243="","",COUNTIFS(ATTENDANCE_DAILY!C:C,A243,ATTENDANCE_DAILY!E:E,"Absent"))</f>
        <v/>
      </c>
      <c r="G243" s="5" t="e">
        <f t="shared" si="6"/>
        <v>#VALUE!</v>
      </c>
      <c r="H243" s="4" t="e">
        <f t="shared" si="7"/>
        <v>#VALUE!</v>
      </c>
    </row>
    <row r="244" spans="1:8" x14ac:dyDescent="0.3">
      <c r="A244" t="str">
        <f>IF(MASTER_REGISTER!E244="","",MASTER_REGISTER!E244)</f>
        <v/>
      </c>
      <c r="B244" t="str">
        <f>IF(A244="","",MASTER_REGISTER!F244)</f>
        <v/>
      </c>
      <c r="C244" t="str">
        <f>IF(A244="","",MASTER_REGISTER!C244)</f>
        <v/>
      </c>
      <c r="D244" t="str">
        <f>IF(A244="","",COUNTIF(ATTENDANCE_DAILY!C:C,A244))</f>
        <v/>
      </c>
      <c r="E244" t="str">
        <f>IF(A244="","",COUNTIFS(ATTENDANCE_DAILY!C:C,A244,ATTENDANCE_DAILY!E:E,"Present"))</f>
        <v/>
      </c>
      <c r="F244" t="str">
        <f>IF(A244="","",COUNTIFS(ATTENDANCE_DAILY!C:C,A244,ATTENDANCE_DAILY!E:E,"Absent"))</f>
        <v/>
      </c>
      <c r="G244" s="5" t="e">
        <f t="shared" si="6"/>
        <v>#VALUE!</v>
      </c>
      <c r="H244" s="4" t="e">
        <f t="shared" si="7"/>
        <v>#VALUE!</v>
      </c>
    </row>
    <row r="245" spans="1:8" x14ac:dyDescent="0.3">
      <c r="A245" t="str">
        <f>IF(MASTER_REGISTER!E245="","",MASTER_REGISTER!E245)</f>
        <v/>
      </c>
      <c r="B245" t="str">
        <f>IF(A245="","",MASTER_REGISTER!F245)</f>
        <v/>
      </c>
      <c r="C245" t="str">
        <f>IF(A245="","",MASTER_REGISTER!C245)</f>
        <v/>
      </c>
      <c r="D245" t="str">
        <f>IF(A245="","",COUNTIF(ATTENDANCE_DAILY!C:C,A245))</f>
        <v/>
      </c>
      <c r="E245" t="str">
        <f>IF(A245="","",COUNTIFS(ATTENDANCE_DAILY!C:C,A245,ATTENDANCE_DAILY!E:E,"Present"))</f>
        <v/>
      </c>
      <c r="F245" t="str">
        <f>IF(A245="","",COUNTIFS(ATTENDANCE_DAILY!C:C,A245,ATTENDANCE_DAILY!E:E,"Absent"))</f>
        <v/>
      </c>
      <c r="G245" s="5" t="e">
        <f t="shared" si="6"/>
        <v>#VALUE!</v>
      </c>
      <c r="H245" s="4" t="e">
        <f t="shared" si="7"/>
        <v>#VALUE!</v>
      </c>
    </row>
    <row r="246" spans="1:8" x14ac:dyDescent="0.3">
      <c r="A246" t="str">
        <f>IF(MASTER_REGISTER!E246="","",MASTER_REGISTER!E246)</f>
        <v/>
      </c>
      <c r="B246" t="str">
        <f>IF(A246="","",MASTER_REGISTER!F246)</f>
        <v/>
      </c>
      <c r="C246" t="str">
        <f>IF(A246="","",MASTER_REGISTER!C246)</f>
        <v/>
      </c>
      <c r="D246" t="str">
        <f>IF(A246="","",COUNTIF(ATTENDANCE_DAILY!C:C,A246))</f>
        <v/>
      </c>
      <c r="E246" t="str">
        <f>IF(A246="","",COUNTIFS(ATTENDANCE_DAILY!C:C,A246,ATTENDANCE_DAILY!E:E,"Present"))</f>
        <v/>
      </c>
      <c r="F246" t="str">
        <f>IF(A246="","",COUNTIFS(ATTENDANCE_DAILY!C:C,A246,ATTENDANCE_DAILY!E:E,"Absent"))</f>
        <v/>
      </c>
      <c r="G246" s="5" t="e">
        <f t="shared" si="6"/>
        <v>#VALUE!</v>
      </c>
      <c r="H246" s="4" t="e">
        <f t="shared" si="7"/>
        <v>#VALUE!</v>
      </c>
    </row>
    <row r="247" spans="1:8" x14ac:dyDescent="0.3">
      <c r="A247" t="str">
        <f>IF(MASTER_REGISTER!E247="","",MASTER_REGISTER!E247)</f>
        <v/>
      </c>
      <c r="B247" t="str">
        <f>IF(A247="","",MASTER_REGISTER!F247)</f>
        <v/>
      </c>
      <c r="C247" t="str">
        <f>IF(A247="","",MASTER_REGISTER!C247)</f>
        <v/>
      </c>
      <c r="D247" t="str">
        <f>IF(A247="","",COUNTIF(ATTENDANCE_DAILY!C:C,A247))</f>
        <v/>
      </c>
      <c r="E247" t="str">
        <f>IF(A247="","",COUNTIFS(ATTENDANCE_DAILY!C:C,A247,ATTENDANCE_DAILY!E:E,"Present"))</f>
        <v/>
      </c>
      <c r="F247" t="str">
        <f>IF(A247="","",COUNTIFS(ATTENDANCE_DAILY!C:C,A247,ATTENDANCE_DAILY!E:E,"Absent"))</f>
        <v/>
      </c>
      <c r="G247" s="5" t="e">
        <f t="shared" si="6"/>
        <v>#VALUE!</v>
      </c>
      <c r="H247" s="4" t="e">
        <f t="shared" si="7"/>
        <v>#VALUE!</v>
      </c>
    </row>
    <row r="248" spans="1:8" x14ac:dyDescent="0.3">
      <c r="A248" t="str">
        <f>IF(MASTER_REGISTER!E248="","",MASTER_REGISTER!E248)</f>
        <v/>
      </c>
      <c r="B248" t="str">
        <f>IF(A248="","",MASTER_REGISTER!F248)</f>
        <v/>
      </c>
      <c r="C248" t="str">
        <f>IF(A248="","",MASTER_REGISTER!C248)</f>
        <v/>
      </c>
      <c r="D248" t="str">
        <f>IF(A248="","",COUNTIF(ATTENDANCE_DAILY!C:C,A248))</f>
        <v/>
      </c>
      <c r="E248" t="str">
        <f>IF(A248="","",COUNTIFS(ATTENDANCE_DAILY!C:C,A248,ATTENDANCE_DAILY!E:E,"Present"))</f>
        <v/>
      </c>
      <c r="F248" t="str">
        <f>IF(A248="","",COUNTIFS(ATTENDANCE_DAILY!C:C,A248,ATTENDANCE_DAILY!E:E,"Absent"))</f>
        <v/>
      </c>
      <c r="G248" s="5" t="e">
        <f t="shared" si="6"/>
        <v>#VALUE!</v>
      </c>
      <c r="H248" s="4" t="e">
        <f t="shared" si="7"/>
        <v>#VALUE!</v>
      </c>
    </row>
    <row r="249" spans="1:8" x14ac:dyDescent="0.3">
      <c r="A249" t="str">
        <f>IF(MASTER_REGISTER!E249="","",MASTER_REGISTER!E249)</f>
        <v/>
      </c>
      <c r="B249" t="str">
        <f>IF(A249="","",MASTER_REGISTER!F249)</f>
        <v/>
      </c>
      <c r="C249" t="str">
        <f>IF(A249="","",MASTER_REGISTER!C249)</f>
        <v/>
      </c>
      <c r="D249" t="str">
        <f>IF(A249="","",COUNTIF(ATTENDANCE_DAILY!C:C,A249))</f>
        <v/>
      </c>
      <c r="E249" t="str">
        <f>IF(A249="","",COUNTIFS(ATTENDANCE_DAILY!C:C,A249,ATTENDANCE_DAILY!E:E,"Present"))</f>
        <v/>
      </c>
      <c r="F249" t="str">
        <f>IF(A249="","",COUNTIFS(ATTENDANCE_DAILY!C:C,A249,ATTENDANCE_DAILY!E:E,"Absent"))</f>
        <v/>
      </c>
      <c r="G249" s="5" t="e">
        <f t="shared" si="6"/>
        <v>#VALUE!</v>
      </c>
      <c r="H249" s="4" t="e">
        <f t="shared" si="7"/>
        <v>#VALUE!</v>
      </c>
    </row>
    <row r="250" spans="1:8" x14ac:dyDescent="0.3">
      <c r="A250" t="str">
        <f>IF(MASTER_REGISTER!E250="","",MASTER_REGISTER!E250)</f>
        <v/>
      </c>
      <c r="B250" t="str">
        <f>IF(A250="","",MASTER_REGISTER!F250)</f>
        <v/>
      </c>
      <c r="C250" t="str">
        <f>IF(A250="","",MASTER_REGISTER!C250)</f>
        <v/>
      </c>
      <c r="D250" t="str">
        <f>IF(A250="","",COUNTIF(ATTENDANCE_DAILY!C:C,A250))</f>
        <v/>
      </c>
      <c r="E250" t="str">
        <f>IF(A250="","",COUNTIFS(ATTENDANCE_DAILY!C:C,A250,ATTENDANCE_DAILY!E:E,"Present"))</f>
        <v/>
      </c>
      <c r="F250" t="str">
        <f>IF(A250="","",COUNTIFS(ATTENDANCE_DAILY!C:C,A250,ATTENDANCE_DAILY!E:E,"Absent"))</f>
        <v/>
      </c>
      <c r="G250" s="5" t="e">
        <f t="shared" si="6"/>
        <v>#VALUE!</v>
      </c>
      <c r="H250" s="4" t="e">
        <f t="shared" si="7"/>
        <v>#VALUE!</v>
      </c>
    </row>
    <row r="251" spans="1:8" x14ac:dyDescent="0.3">
      <c r="A251" t="str">
        <f>IF(MASTER_REGISTER!E251="","",MASTER_REGISTER!E251)</f>
        <v/>
      </c>
      <c r="B251" t="str">
        <f>IF(A251="","",MASTER_REGISTER!F251)</f>
        <v/>
      </c>
      <c r="C251" t="str">
        <f>IF(A251="","",MASTER_REGISTER!C251)</f>
        <v/>
      </c>
      <c r="D251" t="str">
        <f>IF(A251="","",COUNTIF(ATTENDANCE_DAILY!C:C,A251))</f>
        <v/>
      </c>
      <c r="E251" t="str">
        <f>IF(A251="","",COUNTIFS(ATTENDANCE_DAILY!C:C,A251,ATTENDANCE_DAILY!E:E,"Present"))</f>
        <v/>
      </c>
      <c r="F251" t="str">
        <f>IF(A251="","",COUNTIFS(ATTENDANCE_DAILY!C:C,A251,ATTENDANCE_DAILY!E:E,"Absent"))</f>
        <v/>
      </c>
      <c r="G251" s="5" t="e">
        <f t="shared" si="6"/>
        <v>#VALUE!</v>
      </c>
      <c r="H251" s="4" t="e">
        <f t="shared" si="7"/>
        <v>#VALUE!</v>
      </c>
    </row>
    <row r="252" spans="1:8" x14ac:dyDescent="0.3">
      <c r="A252" t="str">
        <f>IF(MASTER_REGISTER!E252="","",MASTER_REGISTER!E252)</f>
        <v/>
      </c>
      <c r="B252" t="str">
        <f>IF(A252="","",MASTER_REGISTER!F252)</f>
        <v/>
      </c>
      <c r="C252" t="str">
        <f>IF(A252="","",MASTER_REGISTER!C252)</f>
        <v/>
      </c>
      <c r="D252" t="str">
        <f>IF(A252="","",COUNTIF(ATTENDANCE_DAILY!C:C,A252))</f>
        <v/>
      </c>
      <c r="E252" t="str">
        <f>IF(A252="","",COUNTIFS(ATTENDANCE_DAILY!C:C,A252,ATTENDANCE_DAILY!E:E,"Present"))</f>
        <v/>
      </c>
      <c r="F252" t="str">
        <f>IF(A252="","",COUNTIFS(ATTENDANCE_DAILY!C:C,A252,ATTENDANCE_DAILY!E:E,"Absent"))</f>
        <v/>
      </c>
      <c r="G252" s="5" t="e">
        <f t="shared" si="6"/>
        <v>#VALUE!</v>
      </c>
      <c r="H252" s="4" t="e">
        <f t="shared" si="7"/>
        <v>#VALUE!</v>
      </c>
    </row>
    <row r="253" spans="1:8" x14ac:dyDescent="0.3">
      <c r="A253" t="str">
        <f>IF(MASTER_REGISTER!E253="","",MASTER_REGISTER!E253)</f>
        <v/>
      </c>
      <c r="B253" t="str">
        <f>IF(A253="","",MASTER_REGISTER!F253)</f>
        <v/>
      </c>
      <c r="C253" t="str">
        <f>IF(A253="","",MASTER_REGISTER!C253)</f>
        <v/>
      </c>
      <c r="D253" t="str">
        <f>IF(A253="","",COUNTIF(ATTENDANCE_DAILY!C:C,A253))</f>
        <v/>
      </c>
      <c r="E253" t="str">
        <f>IF(A253="","",COUNTIFS(ATTENDANCE_DAILY!C:C,A253,ATTENDANCE_DAILY!E:E,"Present"))</f>
        <v/>
      </c>
      <c r="F253" t="str">
        <f>IF(A253="","",COUNTIFS(ATTENDANCE_DAILY!C:C,A253,ATTENDANCE_DAILY!E:E,"Absent"))</f>
        <v/>
      </c>
      <c r="G253" s="5" t="e">
        <f t="shared" si="6"/>
        <v>#VALUE!</v>
      </c>
      <c r="H253" s="4" t="e">
        <f t="shared" si="7"/>
        <v>#VALUE!</v>
      </c>
    </row>
    <row r="254" spans="1:8" x14ac:dyDescent="0.3">
      <c r="A254" t="str">
        <f>IF(MASTER_REGISTER!E254="","",MASTER_REGISTER!E254)</f>
        <v/>
      </c>
      <c r="B254" t="str">
        <f>IF(A254="","",MASTER_REGISTER!F254)</f>
        <v/>
      </c>
      <c r="C254" t="str">
        <f>IF(A254="","",MASTER_REGISTER!C254)</f>
        <v/>
      </c>
      <c r="D254" t="str">
        <f>IF(A254="","",COUNTIF(ATTENDANCE_DAILY!C:C,A254))</f>
        <v/>
      </c>
      <c r="E254" t="str">
        <f>IF(A254="","",COUNTIFS(ATTENDANCE_DAILY!C:C,A254,ATTENDANCE_DAILY!E:E,"Present"))</f>
        <v/>
      </c>
      <c r="F254" t="str">
        <f>IF(A254="","",COUNTIFS(ATTENDANCE_DAILY!C:C,A254,ATTENDANCE_DAILY!E:E,"Absent"))</f>
        <v/>
      </c>
      <c r="G254" s="5" t="e">
        <f t="shared" si="6"/>
        <v>#VALUE!</v>
      </c>
      <c r="H254" s="4" t="e">
        <f t="shared" si="7"/>
        <v>#VALUE!</v>
      </c>
    </row>
    <row r="255" spans="1:8" x14ac:dyDescent="0.3">
      <c r="A255" t="str">
        <f>IF(MASTER_REGISTER!E255="","",MASTER_REGISTER!E255)</f>
        <v/>
      </c>
      <c r="B255" t="str">
        <f>IF(A255="","",MASTER_REGISTER!F255)</f>
        <v/>
      </c>
      <c r="C255" t="str">
        <f>IF(A255="","",MASTER_REGISTER!C255)</f>
        <v/>
      </c>
      <c r="D255" t="str">
        <f>IF(A255="","",COUNTIF(ATTENDANCE_DAILY!C:C,A255))</f>
        <v/>
      </c>
      <c r="E255" t="str">
        <f>IF(A255="","",COUNTIFS(ATTENDANCE_DAILY!C:C,A255,ATTENDANCE_DAILY!E:E,"Present"))</f>
        <v/>
      </c>
      <c r="F255" t="str">
        <f>IF(A255="","",COUNTIFS(ATTENDANCE_DAILY!C:C,A255,ATTENDANCE_DAILY!E:E,"Absent"))</f>
        <v/>
      </c>
      <c r="G255" s="5" t="e">
        <f t="shared" si="6"/>
        <v>#VALUE!</v>
      </c>
      <c r="H255" s="4" t="e">
        <f t="shared" si="7"/>
        <v>#VALUE!</v>
      </c>
    </row>
    <row r="256" spans="1:8" x14ac:dyDescent="0.3">
      <c r="A256" t="str">
        <f>IF(MASTER_REGISTER!E256="","",MASTER_REGISTER!E256)</f>
        <v/>
      </c>
      <c r="B256" t="str">
        <f>IF(A256="","",MASTER_REGISTER!F256)</f>
        <v/>
      </c>
      <c r="C256" t="str">
        <f>IF(A256="","",MASTER_REGISTER!C256)</f>
        <v/>
      </c>
      <c r="D256" t="str">
        <f>IF(A256="","",COUNTIF(ATTENDANCE_DAILY!C:C,A256))</f>
        <v/>
      </c>
      <c r="E256" t="str">
        <f>IF(A256="","",COUNTIFS(ATTENDANCE_DAILY!C:C,A256,ATTENDANCE_DAILY!E:E,"Present"))</f>
        <v/>
      </c>
      <c r="F256" t="str">
        <f>IF(A256="","",COUNTIFS(ATTENDANCE_DAILY!C:C,A256,ATTENDANCE_DAILY!E:E,"Absent"))</f>
        <v/>
      </c>
      <c r="G256" s="5" t="e">
        <f t="shared" si="6"/>
        <v>#VALUE!</v>
      </c>
      <c r="H256" s="4" t="e">
        <f t="shared" si="7"/>
        <v>#VALUE!</v>
      </c>
    </row>
    <row r="257" spans="1:8" x14ac:dyDescent="0.3">
      <c r="A257" t="str">
        <f>IF(MASTER_REGISTER!E257="","",MASTER_REGISTER!E257)</f>
        <v/>
      </c>
      <c r="B257" t="str">
        <f>IF(A257="","",MASTER_REGISTER!F257)</f>
        <v/>
      </c>
      <c r="C257" t="str">
        <f>IF(A257="","",MASTER_REGISTER!C257)</f>
        <v/>
      </c>
      <c r="D257" t="str">
        <f>IF(A257="","",COUNTIF(ATTENDANCE_DAILY!C:C,A257))</f>
        <v/>
      </c>
      <c r="E257" t="str">
        <f>IF(A257="","",COUNTIFS(ATTENDANCE_DAILY!C:C,A257,ATTENDANCE_DAILY!E:E,"Present"))</f>
        <v/>
      </c>
      <c r="F257" t="str">
        <f>IF(A257="","",COUNTIFS(ATTENDANCE_DAILY!C:C,A257,ATTENDANCE_DAILY!E:E,"Absent"))</f>
        <v/>
      </c>
      <c r="G257" s="5" t="e">
        <f t="shared" si="6"/>
        <v>#VALUE!</v>
      </c>
      <c r="H257" s="4" t="e">
        <f t="shared" si="7"/>
        <v>#VALUE!</v>
      </c>
    </row>
    <row r="258" spans="1:8" x14ac:dyDescent="0.3">
      <c r="A258" t="str">
        <f>IF(MASTER_REGISTER!E258="","",MASTER_REGISTER!E258)</f>
        <v/>
      </c>
      <c r="B258" t="str">
        <f>IF(A258="","",MASTER_REGISTER!F258)</f>
        <v/>
      </c>
      <c r="C258" t="str">
        <f>IF(A258="","",MASTER_REGISTER!C258)</f>
        <v/>
      </c>
      <c r="D258" t="str">
        <f>IF(A258="","",COUNTIF(ATTENDANCE_DAILY!C:C,A258))</f>
        <v/>
      </c>
      <c r="E258" t="str">
        <f>IF(A258="","",COUNTIFS(ATTENDANCE_DAILY!C:C,A258,ATTENDANCE_DAILY!E:E,"Present"))</f>
        <v/>
      </c>
      <c r="F258" t="str">
        <f>IF(A258="","",COUNTIFS(ATTENDANCE_DAILY!C:C,A258,ATTENDANCE_DAILY!E:E,"Absent"))</f>
        <v/>
      </c>
      <c r="G258" s="5" t="e">
        <f t="shared" ref="G258:G321" si="8">IF(D258=0,"",E258/D258)</f>
        <v>#VALUE!</v>
      </c>
      <c r="H258" s="4" t="e">
        <f t="shared" ref="H258:H321" si="9">IF(G258="","",IF(G258&lt;0.75,"Low Attendance","OK"))</f>
        <v>#VALUE!</v>
      </c>
    </row>
    <row r="259" spans="1:8" x14ac:dyDescent="0.3">
      <c r="A259" t="str">
        <f>IF(MASTER_REGISTER!E259="","",MASTER_REGISTER!E259)</f>
        <v/>
      </c>
      <c r="B259" t="str">
        <f>IF(A259="","",MASTER_REGISTER!F259)</f>
        <v/>
      </c>
      <c r="C259" t="str">
        <f>IF(A259="","",MASTER_REGISTER!C259)</f>
        <v/>
      </c>
      <c r="D259" t="str">
        <f>IF(A259="","",COUNTIF(ATTENDANCE_DAILY!C:C,A259))</f>
        <v/>
      </c>
      <c r="E259" t="str">
        <f>IF(A259="","",COUNTIFS(ATTENDANCE_DAILY!C:C,A259,ATTENDANCE_DAILY!E:E,"Present"))</f>
        <v/>
      </c>
      <c r="F259" t="str">
        <f>IF(A259="","",COUNTIFS(ATTENDANCE_DAILY!C:C,A259,ATTENDANCE_DAILY!E:E,"Absent"))</f>
        <v/>
      </c>
      <c r="G259" s="5" t="e">
        <f t="shared" si="8"/>
        <v>#VALUE!</v>
      </c>
      <c r="H259" s="4" t="e">
        <f t="shared" si="9"/>
        <v>#VALUE!</v>
      </c>
    </row>
    <row r="260" spans="1:8" x14ac:dyDescent="0.3">
      <c r="A260" t="str">
        <f>IF(MASTER_REGISTER!E260="","",MASTER_REGISTER!E260)</f>
        <v/>
      </c>
      <c r="B260" t="str">
        <f>IF(A260="","",MASTER_REGISTER!F260)</f>
        <v/>
      </c>
      <c r="C260" t="str">
        <f>IF(A260="","",MASTER_REGISTER!C260)</f>
        <v/>
      </c>
      <c r="D260" t="str">
        <f>IF(A260="","",COUNTIF(ATTENDANCE_DAILY!C:C,A260))</f>
        <v/>
      </c>
      <c r="E260" t="str">
        <f>IF(A260="","",COUNTIFS(ATTENDANCE_DAILY!C:C,A260,ATTENDANCE_DAILY!E:E,"Present"))</f>
        <v/>
      </c>
      <c r="F260" t="str">
        <f>IF(A260="","",COUNTIFS(ATTENDANCE_DAILY!C:C,A260,ATTENDANCE_DAILY!E:E,"Absent"))</f>
        <v/>
      </c>
      <c r="G260" s="5" t="e">
        <f t="shared" si="8"/>
        <v>#VALUE!</v>
      </c>
      <c r="H260" s="4" t="e">
        <f t="shared" si="9"/>
        <v>#VALUE!</v>
      </c>
    </row>
    <row r="261" spans="1:8" x14ac:dyDescent="0.3">
      <c r="A261" t="str">
        <f>IF(MASTER_REGISTER!E261="","",MASTER_REGISTER!E261)</f>
        <v/>
      </c>
      <c r="B261" t="str">
        <f>IF(A261="","",MASTER_REGISTER!F261)</f>
        <v/>
      </c>
      <c r="C261" t="str">
        <f>IF(A261="","",MASTER_REGISTER!C261)</f>
        <v/>
      </c>
      <c r="D261" t="str">
        <f>IF(A261="","",COUNTIF(ATTENDANCE_DAILY!C:C,A261))</f>
        <v/>
      </c>
      <c r="E261" t="str">
        <f>IF(A261="","",COUNTIFS(ATTENDANCE_DAILY!C:C,A261,ATTENDANCE_DAILY!E:E,"Present"))</f>
        <v/>
      </c>
      <c r="F261" t="str">
        <f>IF(A261="","",COUNTIFS(ATTENDANCE_DAILY!C:C,A261,ATTENDANCE_DAILY!E:E,"Absent"))</f>
        <v/>
      </c>
      <c r="G261" s="5" t="e">
        <f t="shared" si="8"/>
        <v>#VALUE!</v>
      </c>
      <c r="H261" s="4" t="e">
        <f t="shared" si="9"/>
        <v>#VALUE!</v>
      </c>
    </row>
    <row r="262" spans="1:8" x14ac:dyDescent="0.3">
      <c r="A262" t="str">
        <f>IF(MASTER_REGISTER!E262="","",MASTER_REGISTER!E262)</f>
        <v/>
      </c>
      <c r="B262" t="str">
        <f>IF(A262="","",MASTER_REGISTER!F262)</f>
        <v/>
      </c>
      <c r="C262" t="str">
        <f>IF(A262="","",MASTER_REGISTER!C262)</f>
        <v/>
      </c>
      <c r="D262" t="str">
        <f>IF(A262="","",COUNTIF(ATTENDANCE_DAILY!C:C,A262))</f>
        <v/>
      </c>
      <c r="E262" t="str">
        <f>IF(A262="","",COUNTIFS(ATTENDANCE_DAILY!C:C,A262,ATTENDANCE_DAILY!E:E,"Present"))</f>
        <v/>
      </c>
      <c r="F262" t="str">
        <f>IF(A262="","",COUNTIFS(ATTENDANCE_DAILY!C:C,A262,ATTENDANCE_DAILY!E:E,"Absent"))</f>
        <v/>
      </c>
      <c r="G262" s="5" t="e">
        <f t="shared" si="8"/>
        <v>#VALUE!</v>
      </c>
      <c r="H262" s="4" t="e">
        <f t="shared" si="9"/>
        <v>#VALUE!</v>
      </c>
    </row>
    <row r="263" spans="1:8" x14ac:dyDescent="0.3">
      <c r="A263" t="str">
        <f>IF(MASTER_REGISTER!E263="","",MASTER_REGISTER!E263)</f>
        <v/>
      </c>
      <c r="B263" t="str">
        <f>IF(A263="","",MASTER_REGISTER!F263)</f>
        <v/>
      </c>
      <c r="C263" t="str">
        <f>IF(A263="","",MASTER_REGISTER!C263)</f>
        <v/>
      </c>
      <c r="D263" t="str">
        <f>IF(A263="","",COUNTIF(ATTENDANCE_DAILY!C:C,A263))</f>
        <v/>
      </c>
      <c r="E263" t="str">
        <f>IF(A263="","",COUNTIFS(ATTENDANCE_DAILY!C:C,A263,ATTENDANCE_DAILY!E:E,"Present"))</f>
        <v/>
      </c>
      <c r="F263" t="str">
        <f>IF(A263="","",COUNTIFS(ATTENDANCE_DAILY!C:C,A263,ATTENDANCE_DAILY!E:E,"Absent"))</f>
        <v/>
      </c>
      <c r="G263" s="5" t="e">
        <f t="shared" si="8"/>
        <v>#VALUE!</v>
      </c>
      <c r="H263" s="4" t="e">
        <f t="shared" si="9"/>
        <v>#VALUE!</v>
      </c>
    </row>
    <row r="264" spans="1:8" x14ac:dyDescent="0.3">
      <c r="A264" t="str">
        <f>IF(MASTER_REGISTER!E264="","",MASTER_REGISTER!E264)</f>
        <v/>
      </c>
      <c r="B264" t="str">
        <f>IF(A264="","",MASTER_REGISTER!F264)</f>
        <v/>
      </c>
      <c r="C264" t="str">
        <f>IF(A264="","",MASTER_REGISTER!C264)</f>
        <v/>
      </c>
      <c r="D264" t="str">
        <f>IF(A264="","",COUNTIF(ATTENDANCE_DAILY!C:C,A264))</f>
        <v/>
      </c>
      <c r="E264" t="str">
        <f>IF(A264="","",COUNTIFS(ATTENDANCE_DAILY!C:C,A264,ATTENDANCE_DAILY!E:E,"Present"))</f>
        <v/>
      </c>
      <c r="F264" t="str">
        <f>IF(A264="","",COUNTIFS(ATTENDANCE_DAILY!C:C,A264,ATTENDANCE_DAILY!E:E,"Absent"))</f>
        <v/>
      </c>
      <c r="G264" s="5" t="e">
        <f t="shared" si="8"/>
        <v>#VALUE!</v>
      </c>
      <c r="H264" s="4" t="e">
        <f t="shared" si="9"/>
        <v>#VALUE!</v>
      </c>
    </row>
    <row r="265" spans="1:8" x14ac:dyDescent="0.3">
      <c r="A265" t="str">
        <f>IF(MASTER_REGISTER!E265="","",MASTER_REGISTER!E265)</f>
        <v/>
      </c>
      <c r="B265" t="str">
        <f>IF(A265="","",MASTER_REGISTER!F265)</f>
        <v/>
      </c>
      <c r="C265" t="str">
        <f>IF(A265="","",MASTER_REGISTER!C265)</f>
        <v/>
      </c>
      <c r="D265" t="str">
        <f>IF(A265="","",COUNTIF(ATTENDANCE_DAILY!C:C,A265))</f>
        <v/>
      </c>
      <c r="E265" t="str">
        <f>IF(A265="","",COUNTIFS(ATTENDANCE_DAILY!C:C,A265,ATTENDANCE_DAILY!E:E,"Present"))</f>
        <v/>
      </c>
      <c r="F265" t="str">
        <f>IF(A265="","",COUNTIFS(ATTENDANCE_DAILY!C:C,A265,ATTENDANCE_DAILY!E:E,"Absent"))</f>
        <v/>
      </c>
      <c r="G265" s="5" t="e">
        <f t="shared" si="8"/>
        <v>#VALUE!</v>
      </c>
      <c r="H265" s="4" t="e">
        <f t="shared" si="9"/>
        <v>#VALUE!</v>
      </c>
    </row>
    <row r="266" spans="1:8" x14ac:dyDescent="0.3">
      <c r="A266" t="str">
        <f>IF(MASTER_REGISTER!E266="","",MASTER_REGISTER!E266)</f>
        <v/>
      </c>
      <c r="B266" t="str">
        <f>IF(A266="","",MASTER_REGISTER!F266)</f>
        <v/>
      </c>
      <c r="C266" t="str">
        <f>IF(A266="","",MASTER_REGISTER!C266)</f>
        <v/>
      </c>
      <c r="D266" t="str">
        <f>IF(A266="","",COUNTIF(ATTENDANCE_DAILY!C:C,A266))</f>
        <v/>
      </c>
      <c r="E266" t="str">
        <f>IF(A266="","",COUNTIFS(ATTENDANCE_DAILY!C:C,A266,ATTENDANCE_DAILY!E:E,"Present"))</f>
        <v/>
      </c>
      <c r="F266" t="str">
        <f>IF(A266="","",COUNTIFS(ATTENDANCE_DAILY!C:C,A266,ATTENDANCE_DAILY!E:E,"Absent"))</f>
        <v/>
      </c>
      <c r="G266" s="5" t="e">
        <f t="shared" si="8"/>
        <v>#VALUE!</v>
      </c>
      <c r="H266" s="4" t="e">
        <f t="shared" si="9"/>
        <v>#VALUE!</v>
      </c>
    </row>
    <row r="267" spans="1:8" x14ac:dyDescent="0.3">
      <c r="A267" t="str">
        <f>IF(MASTER_REGISTER!E267="","",MASTER_REGISTER!E267)</f>
        <v/>
      </c>
      <c r="B267" t="str">
        <f>IF(A267="","",MASTER_REGISTER!F267)</f>
        <v/>
      </c>
      <c r="C267" t="str">
        <f>IF(A267="","",MASTER_REGISTER!C267)</f>
        <v/>
      </c>
      <c r="D267" t="str">
        <f>IF(A267="","",COUNTIF(ATTENDANCE_DAILY!C:C,A267))</f>
        <v/>
      </c>
      <c r="E267" t="str">
        <f>IF(A267="","",COUNTIFS(ATTENDANCE_DAILY!C:C,A267,ATTENDANCE_DAILY!E:E,"Present"))</f>
        <v/>
      </c>
      <c r="F267" t="str">
        <f>IF(A267="","",COUNTIFS(ATTENDANCE_DAILY!C:C,A267,ATTENDANCE_DAILY!E:E,"Absent"))</f>
        <v/>
      </c>
      <c r="G267" s="5" t="e">
        <f t="shared" si="8"/>
        <v>#VALUE!</v>
      </c>
      <c r="H267" s="4" t="e">
        <f t="shared" si="9"/>
        <v>#VALUE!</v>
      </c>
    </row>
    <row r="268" spans="1:8" x14ac:dyDescent="0.3">
      <c r="A268" t="str">
        <f>IF(MASTER_REGISTER!E268="","",MASTER_REGISTER!E268)</f>
        <v/>
      </c>
      <c r="B268" t="str">
        <f>IF(A268="","",MASTER_REGISTER!F268)</f>
        <v/>
      </c>
      <c r="C268" t="str">
        <f>IF(A268="","",MASTER_REGISTER!C268)</f>
        <v/>
      </c>
      <c r="D268" t="str">
        <f>IF(A268="","",COUNTIF(ATTENDANCE_DAILY!C:C,A268))</f>
        <v/>
      </c>
      <c r="E268" t="str">
        <f>IF(A268="","",COUNTIFS(ATTENDANCE_DAILY!C:C,A268,ATTENDANCE_DAILY!E:E,"Present"))</f>
        <v/>
      </c>
      <c r="F268" t="str">
        <f>IF(A268="","",COUNTIFS(ATTENDANCE_DAILY!C:C,A268,ATTENDANCE_DAILY!E:E,"Absent"))</f>
        <v/>
      </c>
      <c r="G268" s="5" t="e">
        <f t="shared" si="8"/>
        <v>#VALUE!</v>
      </c>
      <c r="H268" s="4" t="e">
        <f t="shared" si="9"/>
        <v>#VALUE!</v>
      </c>
    </row>
    <row r="269" spans="1:8" x14ac:dyDescent="0.3">
      <c r="A269" t="str">
        <f>IF(MASTER_REGISTER!E269="","",MASTER_REGISTER!E269)</f>
        <v/>
      </c>
      <c r="B269" t="str">
        <f>IF(A269="","",MASTER_REGISTER!F269)</f>
        <v/>
      </c>
      <c r="C269" t="str">
        <f>IF(A269="","",MASTER_REGISTER!C269)</f>
        <v/>
      </c>
      <c r="D269" t="str">
        <f>IF(A269="","",COUNTIF(ATTENDANCE_DAILY!C:C,A269))</f>
        <v/>
      </c>
      <c r="E269" t="str">
        <f>IF(A269="","",COUNTIFS(ATTENDANCE_DAILY!C:C,A269,ATTENDANCE_DAILY!E:E,"Present"))</f>
        <v/>
      </c>
      <c r="F269" t="str">
        <f>IF(A269="","",COUNTIFS(ATTENDANCE_DAILY!C:C,A269,ATTENDANCE_DAILY!E:E,"Absent"))</f>
        <v/>
      </c>
      <c r="G269" s="5" t="e">
        <f t="shared" si="8"/>
        <v>#VALUE!</v>
      </c>
      <c r="H269" s="4" t="e">
        <f t="shared" si="9"/>
        <v>#VALUE!</v>
      </c>
    </row>
    <row r="270" spans="1:8" x14ac:dyDescent="0.3">
      <c r="A270" t="str">
        <f>IF(MASTER_REGISTER!E270="","",MASTER_REGISTER!E270)</f>
        <v/>
      </c>
      <c r="B270" t="str">
        <f>IF(A270="","",MASTER_REGISTER!F270)</f>
        <v/>
      </c>
      <c r="C270" t="str">
        <f>IF(A270="","",MASTER_REGISTER!C270)</f>
        <v/>
      </c>
      <c r="D270" t="str">
        <f>IF(A270="","",COUNTIF(ATTENDANCE_DAILY!C:C,A270))</f>
        <v/>
      </c>
      <c r="E270" t="str">
        <f>IF(A270="","",COUNTIFS(ATTENDANCE_DAILY!C:C,A270,ATTENDANCE_DAILY!E:E,"Present"))</f>
        <v/>
      </c>
      <c r="F270" t="str">
        <f>IF(A270="","",COUNTIFS(ATTENDANCE_DAILY!C:C,A270,ATTENDANCE_DAILY!E:E,"Absent"))</f>
        <v/>
      </c>
      <c r="G270" s="5" t="e">
        <f t="shared" si="8"/>
        <v>#VALUE!</v>
      </c>
      <c r="H270" s="4" t="e">
        <f t="shared" si="9"/>
        <v>#VALUE!</v>
      </c>
    </row>
    <row r="271" spans="1:8" x14ac:dyDescent="0.3">
      <c r="A271" t="str">
        <f>IF(MASTER_REGISTER!E271="","",MASTER_REGISTER!E271)</f>
        <v/>
      </c>
      <c r="B271" t="str">
        <f>IF(A271="","",MASTER_REGISTER!F271)</f>
        <v/>
      </c>
      <c r="C271" t="str">
        <f>IF(A271="","",MASTER_REGISTER!C271)</f>
        <v/>
      </c>
      <c r="D271" t="str">
        <f>IF(A271="","",COUNTIF(ATTENDANCE_DAILY!C:C,A271))</f>
        <v/>
      </c>
      <c r="E271" t="str">
        <f>IF(A271="","",COUNTIFS(ATTENDANCE_DAILY!C:C,A271,ATTENDANCE_DAILY!E:E,"Present"))</f>
        <v/>
      </c>
      <c r="F271" t="str">
        <f>IF(A271="","",COUNTIFS(ATTENDANCE_DAILY!C:C,A271,ATTENDANCE_DAILY!E:E,"Absent"))</f>
        <v/>
      </c>
      <c r="G271" s="5" t="e">
        <f t="shared" si="8"/>
        <v>#VALUE!</v>
      </c>
      <c r="H271" s="4" t="e">
        <f t="shared" si="9"/>
        <v>#VALUE!</v>
      </c>
    </row>
    <row r="272" spans="1:8" x14ac:dyDescent="0.3">
      <c r="A272" t="str">
        <f>IF(MASTER_REGISTER!E272="","",MASTER_REGISTER!E272)</f>
        <v/>
      </c>
      <c r="B272" t="str">
        <f>IF(A272="","",MASTER_REGISTER!F272)</f>
        <v/>
      </c>
      <c r="C272" t="str">
        <f>IF(A272="","",MASTER_REGISTER!C272)</f>
        <v/>
      </c>
      <c r="D272" t="str">
        <f>IF(A272="","",COUNTIF(ATTENDANCE_DAILY!C:C,A272))</f>
        <v/>
      </c>
      <c r="E272" t="str">
        <f>IF(A272="","",COUNTIFS(ATTENDANCE_DAILY!C:C,A272,ATTENDANCE_DAILY!E:E,"Present"))</f>
        <v/>
      </c>
      <c r="F272" t="str">
        <f>IF(A272="","",COUNTIFS(ATTENDANCE_DAILY!C:C,A272,ATTENDANCE_DAILY!E:E,"Absent"))</f>
        <v/>
      </c>
      <c r="G272" s="5" t="e">
        <f t="shared" si="8"/>
        <v>#VALUE!</v>
      </c>
      <c r="H272" s="4" t="e">
        <f t="shared" si="9"/>
        <v>#VALUE!</v>
      </c>
    </row>
    <row r="273" spans="1:8" x14ac:dyDescent="0.3">
      <c r="A273" t="str">
        <f>IF(MASTER_REGISTER!E273="","",MASTER_REGISTER!E273)</f>
        <v/>
      </c>
      <c r="B273" t="str">
        <f>IF(A273="","",MASTER_REGISTER!F273)</f>
        <v/>
      </c>
      <c r="C273" t="str">
        <f>IF(A273="","",MASTER_REGISTER!C273)</f>
        <v/>
      </c>
      <c r="D273" t="str">
        <f>IF(A273="","",COUNTIF(ATTENDANCE_DAILY!C:C,A273))</f>
        <v/>
      </c>
      <c r="E273" t="str">
        <f>IF(A273="","",COUNTIFS(ATTENDANCE_DAILY!C:C,A273,ATTENDANCE_DAILY!E:E,"Present"))</f>
        <v/>
      </c>
      <c r="F273" t="str">
        <f>IF(A273="","",COUNTIFS(ATTENDANCE_DAILY!C:C,A273,ATTENDANCE_DAILY!E:E,"Absent"))</f>
        <v/>
      </c>
      <c r="G273" s="5" t="e">
        <f t="shared" si="8"/>
        <v>#VALUE!</v>
      </c>
      <c r="H273" s="4" t="e">
        <f t="shared" si="9"/>
        <v>#VALUE!</v>
      </c>
    </row>
    <row r="274" spans="1:8" x14ac:dyDescent="0.3">
      <c r="A274" t="str">
        <f>IF(MASTER_REGISTER!E274="","",MASTER_REGISTER!E274)</f>
        <v/>
      </c>
      <c r="B274" t="str">
        <f>IF(A274="","",MASTER_REGISTER!F274)</f>
        <v/>
      </c>
      <c r="C274" t="str">
        <f>IF(A274="","",MASTER_REGISTER!C274)</f>
        <v/>
      </c>
      <c r="D274" t="str">
        <f>IF(A274="","",COUNTIF(ATTENDANCE_DAILY!C:C,A274))</f>
        <v/>
      </c>
      <c r="E274" t="str">
        <f>IF(A274="","",COUNTIFS(ATTENDANCE_DAILY!C:C,A274,ATTENDANCE_DAILY!E:E,"Present"))</f>
        <v/>
      </c>
      <c r="F274" t="str">
        <f>IF(A274="","",COUNTIFS(ATTENDANCE_DAILY!C:C,A274,ATTENDANCE_DAILY!E:E,"Absent"))</f>
        <v/>
      </c>
      <c r="G274" s="5" t="e">
        <f t="shared" si="8"/>
        <v>#VALUE!</v>
      </c>
      <c r="H274" s="4" t="e">
        <f t="shared" si="9"/>
        <v>#VALUE!</v>
      </c>
    </row>
    <row r="275" spans="1:8" x14ac:dyDescent="0.3">
      <c r="A275" t="str">
        <f>IF(MASTER_REGISTER!E275="","",MASTER_REGISTER!E275)</f>
        <v/>
      </c>
      <c r="B275" t="str">
        <f>IF(A275="","",MASTER_REGISTER!F275)</f>
        <v/>
      </c>
      <c r="C275" t="str">
        <f>IF(A275="","",MASTER_REGISTER!C275)</f>
        <v/>
      </c>
      <c r="D275" t="str">
        <f>IF(A275="","",COUNTIF(ATTENDANCE_DAILY!C:C,A275))</f>
        <v/>
      </c>
      <c r="E275" t="str">
        <f>IF(A275="","",COUNTIFS(ATTENDANCE_DAILY!C:C,A275,ATTENDANCE_DAILY!E:E,"Present"))</f>
        <v/>
      </c>
      <c r="F275" t="str">
        <f>IF(A275="","",COUNTIFS(ATTENDANCE_DAILY!C:C,A275,ATTENDANCE_DAILY!E:E,"Absent"))</f>
        <v/>
      </c>
      <c r="G275" s="5" t="e">
        <f t="shared" si="8"/>
        <v>#VALUE!</v>
      </c>
      <c r="H275" s="4" t="e">
        <f t="shared" si="9"/>
        <v>#VALUE!</v>
      </c>
    </row>
    <row r="276" spans="1:8" x14ac:dyDescent="0.3">
      <c r="A276" t="str">
        <f>IF(MASTER_REGISTER!E276="","",MASTER_REGISTER!E276)</f>
        <v/>
      </c>
      <c r="B276" t="str">
        <f>IF(A276="","",MASTER_REGISTER!F276)</f>
        <v/>
      </c>
      <c r="C276" t="str">
        <f>IF(A276="","",MASTER_REGISTER!C276)</f>
        <v/>
      </c>
      <c r="D276" t="str">
        <f>IF(A276="","",COUNTIF(ATTENDANCE_DAILY!C:C,A276))</f>
        <v/>
      </c>
      <c r="E276" t="str">
        <f>IF(A276="","",COUNTIFS(ATTENDANCE_DAILY!C:C,A276,ATTENDANCE_DAILY!E:E,"Present"))</f>
        <v/>
      </c>
      <c r="F276" t="str">
        <f>IF(A276="","",COUNTIFS(ATTENDANCE_DAILY!C:C,A276,ATTENDANCE_DAILY!E:E,"Absent"))</f>
        <v/>
      </c>
      <c r="G276" s="5" t="e">
        <f t="shared" si="8"/>
        <v>#VALUE!</v>
      </c>
      <c r="H276" s="4" t="e">
        <f t="shared" si="9"/>
        <v>#VALUE!</v>
      </c>
    </row>
    <row r="277" spans="1:8" x14ac:dyDescent="0.3">
      <c r="A277" t="str">
        <f>IF(MASTER_REGISTER!E277="","",MASTER_REGISTER!E277)</f>
        <v/>
      </c>
      <c r="B277" t="str">
        <f>IF(A277="","",MASTER_REGISTER!F277)</f>
        <v/>
      </c>
      <c r="C277" t="str">
        <f>IF(A277="","",MASTER_REGISTER!C277)</f>
        <v/>
      </c>
      <c r="D277" t="str">
        <f>IF(A277="","",COUNTIF(ATTENDANCE_DAILY!C:C,A277))</f>
        <v/>
      </c>
      <c r="E277" t="str">
        <f>IF(A277="","",COUNTIFS(ATTENDANCE_DAILY!C:C,A277,ATTENDANCE_DAILY!E:E,"Present"))</f>
        <v/>
      </c>
      <c r="F277" t="str">
        <f>IF(A277="","",COUNTIFS(ATTENDANCE_DAILY!C:C,A277,ATTENDANCE_DAILY!E:E,"Absent"))</f>
        <v/>
      </c>
      <c r="G277" s="5" t="e">
        <f t="shared" si="8"/>
        <v>#VALUE!</v>
      </c>
      <c r="H277" s="4" t="e">
        <f t="shared" si="9"/>
        <v>#VALUE!</v>
      </c>
    </row>
    <row r="278" spans="1:8" x14ac:dyDescent="0.3">
      <c r="A278" t="str">
        <f>IF(MASTER_REGISTER!E278="","",MASTER_REGISTER!E278)</f>
        <v/>
      </c>
      <c r="B278" t="str">
        <f>IF(A278="","",MASTER_REGISTER!F278)</f>
        <v/>
      </c>
      <c r="C278" t="str">
        <f>IF(A278="","",MASTER_REGISTER!C278)</f>
        <v/>
      </c>
      <c r="D278" t="str">
        <f>IF(A278="","",COUNTIF(ATTENDANCE_DAILY!C:C,A278))</f>
        <v/>
      </c>
      <c r="E278" t="str">
        <f>IF(A278="","",COUNTIFS(ATTENDANCE_DAILY!C:C,A278,ATTENDANCE_DAILY!E:E,"Present"))</f>
        <v/>
      </c>
      <c r="F278" t="str">
        <f>IF(A278="","",COUNTIFS(ATTENDANCE_DAILY!C:C,A278,ATTENDANCE_DAILY!E:E,"Absent"))</f>
        <v/>
      </c>
      <c r="G278" s="5" t="e">
        <f t="shared" si="8"/>
        <v>#VALUE!</v>
      </c>
      <c r="H278" s="4" t="e">
        <f t="shared" si="9"/>
        <v>#VALUE!</v>
      </c>
    </row>
    <row r="279" spans="1:8" x14ac:dyDescent="0.3">
      <c r="A279" t="str">
        <f>IF(MASTER_REGISTER!E279="","",MASTER_REGISTER!E279)</f>
        <v/>
      </c>
      <c r="B279" t="str">
        <f>IF(A279="","",MASTER_REGISTER!F279)</f>
        <v/>
      </c>
      <c r="C279" t="str">
        <f>IF(A279="","",MASTER_REGISTER!C279)</f>
        <v/>
      </c>
      <c r="D279" t="str">
        <f>IF(A279="","",COUNTIF(ATTENDANCE_DAILY!C:C,A279))</f>
        <v/>
      </c>
      <c r="E279" t="str">
        <f>IF(A279="","",COUNTIFS(ATTENDANCE_DAILY!C:C,A279,ATTENDANCE_DAILY!E:E,"Present"))</f>
        <v/>
      </c>
      <c r="F279" t="str">
        <f>IF(A279="","",COUNTIFS(ATTENDANCE_DAILY!C:C,A279,ATTENDANCE_DAILY!E:E,"Absent"))</f>
        <v/>
      </c>
      <c r="G279" s="5" t="e">
        <f t="shared" si="8"/>
        <v>#VALUE!</v>
      </c>
      <c r="H279" s="4" t="e">
        <f t="shared" si="9"/>
        <v>#VALUE!</v>
      </c>
    </row>
    <row r="280" spans="1:8" x14ac:dyDescent="0.3">
      <c r="A280" t="str">
        <f>IF(MASTER_REGISTER!E280="","",MASTER_REGISTER!E280)</f>
        <v/>
      </c>
      <c r="B280" t="str">
        <f>IF(A280="","",MASTER_REGISTER!F280)</f>
        <v/>
      </c>
      <c r="C280" t="str">
        <f>IF(A280="","",MASTER_REGISTER!C280)</f>
        <v/>
      </c>
      <c r="D280" t="str">
        <f>IF(A280="","",COUNTIF(ATTENDANCE_DAILY!C:C,A280))</f>
        <v/>
      </c>
      <c r="E280" t="str">
        <f>IF(A280="","",COUNTIFS(ATTENDANCE_DAILY!C:C,A280,ATTENDANCE_DAILY!E:E,"Present"))</f>
        <v/>
      </c>
      <c r="F280" t="str">
        <f>IF(A280="","",COUNTIFS(ATTENDANCE_DAILY!C:C,A280,ATTENDANCE_DAILY!E:E,"Absent"))</f>
        <v/>
      </c>
      <c r="G280" s="5" t="e">
        <f t="shared" si="8"/>
        <v>#VALUE!</v>
      </c>
      <c r="H280" s="4" t="e">
        <f t="shared" si="9"/>
        <v>#VALUE!</v>
      </c>
    </row>
    <row r="281" spans="1:8" x14ac:dyDescent="0.3">
      <c r="A281" t="str">
        <f>IF(MASTER_REGISTER!E281="","",MASTER_REGISTER!E281)</f>
        <v/>
      </c>
      <c r="B281" t="str">
        <f>IF(A281="","",MASTER_REGISTER!F281)</f>
        <v/>
      </c>
      <c r="C281" t="str">
        <f>IF(A281="","",MASTER_REGISTER!C281)</f>
        <v/>
      </c>
      <c r="D281" t="str">
        <f>IF(A281="","",COUNTIF(ATTENDANCE_DAILY!C:C,A281))</f>
        <v/>
      </c>
      <c r="E281" t="str">
        <f>IF(A281="","",COUNTIFS(ATTENDANCE_DAILY!C:C,A281,ATTENDANCE_DAILY!E:E,"Present"))</f>
        <v/>
      </c>
      <c r="F281" t="str">
        <f>IF(A281="","",COUNTIFS(ATTENDANCE_DAILY!C:C,A281,ATTENDANCE_DAILY!E:E,"Absent"))</f>
        <v/>
      </c>
      <c r="G281" s="5" t="e">
        <f t="shared" si="8"/>
        <v>#VALUE!</v>
      </c>
      <c r="H281" s="4" t="e">
        <f t="shared" si="9"/>
        <v>#VALUE!</v>
      </c>
    </row>
    <row r="282" spans="1:8" x14ac:dyDescent="0.3">
      <c r="A282" t="str">
        <f>IF(MASTER_REGISTER!E282="","",MASTER_REGISTER!E282)</f>
        <v/>
      </c>
      <c r="B282" t="str">
        <f>IF(A282="","",MASTER_REGISTER!F282)</f>
        <v/>
      </c>
      <c r="C282" t="str">
        <f>IF(A282="","",MASTER_REGISTER!C282)</f>
        <v/>
      </c>
      <c r="D282" t="str">
        <f>IF(A282="","",COUNTIF(ATTENDANCE_DAILY!C:C,A282))</f>
        <v/>
      </c>
      <c r="E282" t="str">
        <f>IF(A282="","",COUNTIFS(ATTENDANCE_DAILY!C:C,A282,ATTENDANCE_DAILY!E:E,"Present"))</f>
        <v/>
      </c>
      <c r="F282" t="str">
        <f>IF(A282="","",COUNTIFS(ATTENDANCE_DAILY!C:C,A282,ATTENDANCE_DAILY!E:E,"Absent"))</f>
        <v/>
      </c>
      <c r="G282" s="5" t="e">
        <f t="shared" si="8"/>
        <v>#VALUE!</v>
      </c>
      <c r="H282" s="4" t="e">
        <f t="shared" si="9"/>
        <v>#VALUE!</v>
      </c>
    </row>
    <row r="283" spans="1:8" x14ac:dyDescent="0.3">
      <c r="A283" t="str">
        <f>IF(MASTER_REGISTER!E283="","",MASTER_REGISTER!E283)</f>
        <v/>
      </c>
      <c r="B283" t="str">
        <f>IF(A283="","",MASTER_REGISTER!F283)</f>
        <v/>
      </c>
      <c r="C283" t="str">
        <f>IF(A283="","",MASTER_REGISTER!C283)</f>
        <v/>
      </c>
      <c r="D283" t="str">
        <f>IF(A283="","",COUNTIF(ATTENDANCE_DAILY!C:C,A283))</f>
        <v/>
      </c>
      <c r="E283" t="str">
        <f>IF(A283="","",COUNTIFS(ATTENDANCE_DAILY!C:C,A283,ATTENDANCE_DAILY!E:E,"Present"))</f>
        <v/>
      </c>
      <c r="F283" t="str">
        <f>IF(A283="","",COUNTIFS(ATTENDANCE_DAILY!C:C,A283,ATTENDANCE_DAILY!E:E,"Absent"))</f>
        <v/>
      </c>
      <c r="G283" s="5" t="e">
        <f t="shared" si="8"/>
        <v>#VALUE!</v>
      </c>
      <c r="H283" s="4" t="e">
        <f t="shared" si="9"/>
        <v>#VALUE!</v>
      </c>
    </row>
    <row r="284" spans="1:8" x14ac:dyDescent="0.3">
      <c r="A284" t="str">
        <f>IF(MASTER_REGISTER!E284="","",MASTER_REGISTER!E284)</f>
        <v/>
      </c>
      <c r="B284" t="str">
        <f>IF(A284="","",MASTER_REGISTER!F284)</f>
        <v/>
      </c>
      <c r="C284" t="str">
        <f>IF(A284="","",MASTER_REGISTER!C284)</f>
        <v/>
      </c>
      <c r="D284" t="str">
        <f>IF(A284="","",COUNTIF(ATTENDANCE_DAILY!C:C,A284))</f>
        <v/>
      </c>
      <c r="E284" t="str">
        <f>IF(A284="","",COUNTIFS(ATTENDANCE_DAILY!C:C,A284,ATTENDANCE_DAILY!E:E,"Present"))</f>
        <v/>
      </c>
      <c r="F284" t="str">
        <f>IF(A284="","",COUNTIFS(ATTENDANCE_DAILY!C:C,A284,ATTENDANCE_DAILY!E:E,"Absent"))</f>
        <v/>
      </c>
      <c r="G284" s="5" t="e">
        <f t="shared" si="8"/>
        <v>#VALUE!</v>
      </c>
      <c r="H284" s="4" t="e">
        <f t="shared" si="9"/>
        <v>#VALUE!</v>
      </c>
    </row>
    <row r="285" spans="1:8" x14ac:dyDescent="0.3">
      <c r="A285" t="str">
        <f>IF(MASTER_REGISTER!E285="","",MASTER_REGISTER!E285)</f>
        <v/>
      </c>
      <c r="B285" t="str">
        <f>IF(A285="","",MASTER_REGISTER!F285)</f>
        <v/>
      </c>
      <c r="C285" t="str">
        <f>IF(A285="","",MASTER_REGISTER!C285)</f>
        <v/>
      </c>
      <c r="D285" t="str">
        <f>IF(A285="","",COUNTIF(ATTENDANCE_DAILY!C:C,A285))</f>
        <v/>
      </c>
      <c r="E285" t="str">
        <f>IF(A285="","",COUNTIFS(ATTENDANCE_DAILY!C:C,A285,ATTENDANCE_DAILY!E:E,"Present"))</f>
        <v/>
      </c>
      <c r="F285" t="str">
        <f>IF(A285="","",COUNTIFS(ATTENDANCE_DAILY!C:C,A285,ATTENDANCE_DAILY!E:E,"Absent"))</f>
        <v/>
      </c>
      <c r="G285" s="5" t="e">
        <f t="shared" si="8"/>
        <v>#VALUE!</v>
      </c>
      <c r="H285" s="4" t="e">
        <f t="shared" si="9"/>
        <v>#VALUE!</v>
      </c>
    </row>
    <row r="286" spans="1:8" x14ac:dyDescent="0.3">
      <c r="A286" t="str">
        <f>IF(MASTER_REGISTER!E286="","",MASTER_REGISTER!E286)</f>
        <v/>
      </c>
      <c r="B286" t="str">
        <f>IF(A286="","",MASTER_REGISTER!F286)</f>
        <v/>
      </c>
      <c r="C286" t="str">
        <f>IF(A286="","",MASTER_REGISTER!C286)</f>
        <v/>
      </c>
      <c r="D286" t="str">
        <f>IF(A286="","",COUNTIF(ATTENDANCE_DAILY!C:C,A286))</f>
        <v/>
      </c>
      <c r="E286" t="str">
        <f>IF(A286="","",COUNTIFS(ATTENDANCE_DAILY!C:C,A286,ATTENDANCE_DAILY!E:E,"Present"))</f>
        <v/>
      </c>
      <c r="F286" t="str">
        <f>IF(A286="","",COUNTIFS(ATTENDANCE_DAILY!C:C,A286,ATTENDANCE_DAILY!E:E,"Absent"))</f>
        <v/>
      </c>
      <c r="G286" s="5" t="e">
        <f t="shared" si="8"/>
        <v>#VALUE!</v>
      </c>
      <c r="H286" s="4" t="e">
        <f t="shared" si="9"/>
        <v>#VALUE!</v>
      </c>
    </row>
    <row r="287" spans="1:8" x14ac:dyDescent="0.3">
      <c r="A287" t="str">
        <f>IF(MASTER_REGISTER!E287="","",MASTER_REGISTER!E287)</f>
        <v/>
      </c>
      <c r="B287" t="str">
        <f>IF(A287="","",MASTER_REGISTER!F287)</f>
        <v/>
      </c>
      <c r="C287" t="str">
        <f>IF(A287="","",MASTER_REGISTER!C287)</f>
        <v/>
      </c>
      <c r="D287" t="str">
        <f>IF(A287="","",COUNTIF(ATTENDANCE_DAILY!C:C,A287))</f>
        <v/>
      </c>
      <c r="E287" t="str">
        <f>IF(A287="","",COUNTIFS(ATTENDANCE_DAILY!C:C,A287,ATTENDANCE_DAILY!E:E,"Present"))</f>
        <v/>
      </c>
      <c r="F287" t="str">
        <f>IF(A287="","",COUNTIFS(ATTENDANCE_DAILY!C:C,A287,ATTENDANCE_DAILY!E:E,"Absent"))</f>
        <v/>
      </c>
      <c r="G287" s="5" t="e">
        <f t="shared" si="8"/>
        <v>#VALUE!</v>
      </c>
      <c r="H287" s="4" t="e">
        <f t="shared" si="9"/>
        <v>#VALUE!</v>
      </c>
    </row>
    <row r="288" spans="1:8" x14ac:dyDescent="0.3">
      <c r="A288" t="str">
        <f>IF(MASTER_REGISTER!E288="","",MASTER_REGISTER!E288)</f>
        <v/>
      </c>
      <c r="B288" t="str">
        <f>IF(A288="","",MASTER_REGISTER!F288)</f>
        <v/>
      </c>
      <c r="C288" t="str">
        <f>IF(A288="","",MASTER_REGISTER!C288)</f>
        <v/>
      </c>
      <c r="D288" t="str">
        <f>IF(A288="","",COUNTIF(ATTENDANCE_DAILY!C:C,A288))</f>
        <v/>
      </c>
      <c r="E288" t="str">
        <f>IF(A288="","",COUNTIFS(ATTENDANCE_DAILY!C:C,A288,ATTENDANCE_DAILY!E:E,"Present"))</f>
        <v/>
      </c>
      <c r="F288" t="str">
        <f>IF(A288="","",COUNTIFS(ATTENDANCE_DAILY!C:C,A288,ATTENDANCE_DAILY!E:E,"Absent"))</f>
        <v/>
      </c>
      <c r="G288" s="5" t="e">
        <f t="shared" si="8"/>
        <v>#VALUE!</v>
      </c>
      <c r="H288" s="4" t="e">
        <f t="shared" si="9"/>
        <v>#VALUE!</v>
      </c>
    </row>
    <row r="289" spans="1:8" x14ac:dyDescent="0.3">
      <c r="A289" t="str">
        <f>IF(MASTER_REGISTER!E289="","",MASTER_REGISTER!E289)</f>
        <v/>
      </c>
      <c r="B289" t="str">
        <f>IF(A289="","",MASTER_REGISTER!F289)</f>
        <v/>
      </c>
      <c r="C289" t="str">
        <f>IF(A289="","",MASTER_REGISTER!C289)</f>
        <v/>
      </c>
      <c r="D289" t="str">
        <f>IF(A289="","",COUNTIF(ATTENDANCE_DAILY!C:C,A289))</f>
        <v/>
      </c>
      <c r="E289" t="str">
        <f>IF(A289="","",COUNTIFS(ATTENDANCE_DAILY!C:C,A289,ATTENDANCE_DAILY!E:E,"Present"))</f>
        <v/>
      </c>
      <c r="F289" t="str">
        <f>IF(A289="","",COUNTIFS(ATTENDANCE_DAILY!C:C,A289,ATTENDANCE_DAILY!E:E,"Absent"))</f>
        <v/>
      </c>
      <c r="G289" s="5" t="e">
        <f t="shared" si="8"/>
        <v>#VALUE!</v>
      </c>
      <c r="H289" s="4" t="e">
        <f t="shared" si="9"/>
        <v>#VALUE!</v>
      </c>
    </row>
    <row r="290" spans="1:8" x14ac:dyDescent="0.3">
      <c r="A290" t="str">
        <f>IF(MASTER_REGISTER!E290="","",MASTER_REGISTER!E290)</f>
        <v/>
      </c>
      <c r="B290" t="str">
        <f>IF(A290="","",MASTER_REGISTER!F290)</f>
        <v/>
      </c>
      <c r="C290" t="str">
        <f>IF(A290="","",MASTER_REGISTER!C290)</f>
        <v/>
      </c>
      <c r="D290" t="str">
        <f>IF(A290="","",COUNTIF(ATTENDANCE_DAILY!C:C,A290))</f>
        <v/>
      </c>
      <c r="E290" t="str">
        <f>IF(A290="","",COUNTIFS(ATTENDANCE_DAILY!C:C,A290,ATTENDANCE_DAILY!E:E,"Present"))</f>
        <v/>
      </c>
      <c r="F290" t="str">
        <f>IF(A290="","",COUNTIFS(ATTENDANCE_DAILY!C:C,A290,ATTENDANCE_DAILY!E:E,"Absent"))</f>
        <v/>
      </c>
      <c r="G290" s="5" t="e">
        <f t="shared" si="8"/>
        <v>#VALUE!</v>
      </c>
      <c r="H290" s="4" t="e">
        <f t="shared" si="9"/>
        <v>#VALUE!</v>
      </c>
    </row>
    <row r="291" spans="1:8" x14ac:dyDescent="0.3">
      <c r="A291" t="str">
        <f>IF(MASTER_REGISTER!E291="","",MASTER_REGISTER!E291)</f>
        <v/>
      </c>
      <c r="B291" t="str">
        <f>IF(A291="","",MASTER_REGISTER!F291)</f>
        <v/>
      </c>
      <c r="C291" t="str">
        <f>IF(A291="","",MASTER_REGISTER!C291)</f>
        <v/>
      </c>
      <c r="D291" t="str">
        <f>IF(A291="","",COUNTIF(ATTENDANCE_DAILY!C:C,A291))</f>
        <v/>
      </c>
      <c r="E291" t="str">
        <f>IF(A291="","",COUNTIFS(ATTENDANCE_DAILY!C:C,A291,ATTENDANCE_DAILY!E:E,"Present"))</f>
        <v/>
      </c>
      <c r="F291" t="str">
        <f>IF(A291="","",COUNTIFS(ATTENDANCE_DAILY!C:C,A291,ATTENDANCE_DAILY!E:E,"Absent"))</f>
        <v/>
      </c>
      <c r="G291" s="5" t="e">
        <f t="shared" si="8"/>
        <v>#VALUE!</v>
      </c>
      <c r="H291" s="4" t="e">
        <f t="shared" si="9"/>
        <v>#VALUE!</v>
      </c>
    </row>
    <row r="292" spans="1:8" x14ac:dyDescent="0.3">
      <c r="A292" t="str">
        <f>IF(MASTER_REGISTER!E292="","",MASTER_REGISTER!E292)</f>
        <v/>
      </c>
      <c r="B292" t="str">
        <f>IF(A292="","",MASTER_REGISTER!F292)</f>
        <v/>
      </c>
      <c r="C292" t="str">
        <f>IF(A292="","",MASTER_REGISTER!C292)</f>
        <v/>
      </c>
      <c r="D292" t="str">
        <f>IF(A292="","",COUNTIF(ATTENDANCE_DAILY!C:C,A292))</f>
        <v/>
      </c>
      <c r="E292" t="str">
        <f>IF(A292="","",COUNTIFS(ATTENDANCE_DAILY!C:C,A292,ATTENDANCE_DAILY!E:E,"Present"))</f>
        <v/>
      </c>
      <c r="F292" t="str">
        <f>IF(A292="","",COUNTIFS(ATTENDANCE_DAILY!C:C,A292,ATTENDANCE_DAILY!E:E,"Absent"))</f>
        <v/>
      </c>
      <c r="G292" s="5" t="e">
        <f t="shared" si="8"/>
        <v>#VALUE!</v>
      </c>
      <c r="H292" s="4" t="e">
        <f t="shared" si="9"/>
        <v>#VALUE!</v>
      </c>
    </row>
    <row r="293" spans="1:8" x14ac:dyDescent="0.3">
      <c r="A293" t="str">
        <f>IF(MASTER_REGISTER!E293="","",MASTER_REGISTER!E293)</f>
        <v/>
      </c>
      <c r="B293" t="str">
        <f>IF(A293="","",MASTER_REGISTER!F293)</f>
        <v/>
      </c>
      <c r="C293" t="str">
        <f>IF(A293="","",MASTER_REGISTER!C293)</f>
        <v/>
      </c>
      <c r="D293" t="str">
        <f>IF(A293="","",COUNTIF(ATTENDANCE_DAILY!C:C,A293))</f>
        <v/>
      </c>
      <c r="E293" t="str">
        <f>IF(A293="","",COUNTIFS(ATTENDANCE_DAILY!C:C,A293,ATTENDANCE_DAILY!E:E,"Present"))</f>
        <v/>
      </c>
      <c r="F293" t="str">
        <f>IF(A293="","",COUNTIFS(ATTENDANCE_DAILY!C:C,A293,ATTENDANCE_DAILY!E:E,"Absent"))</f>
        <v/>
      </c>
      <c r="G293" s="5" t="e">
        <f t="shared" si="8"/>
        <v>#VALUE!</v>
      </c>
      <c r="H293" s="4" t="e">
        <f t="shared" si="9"/>
        <v>#VALUE!</v>
      </c>
    </row>
    <row r="294" spans="1:8" x14ac:dyDescent="0.3">
      <c r="A294" t="str">
        <f>IF(MASTER_REGISTER!E294="","",MASTER_REGISTER!E294)</f>
        <v/>
      </c>
      <c r="B294" t="str">
        <f>IF(A294="","",MASTER_REGISTER!F294)</f>
        <v/>
      </c>
      <c r="C294" t="str">
        <f>IF(A294="","",MASTER_REGISTER!C294)</f>
        <v/>
      </c>
      <c r="D294" t="str">
        <f>IF(A294="","",COUNTIF(ATTENDANCE_DAILY!C:C,A294))</f>
        <v/>
      </c>
      <c r="E294" t="str">
        <f>IF(A294="","",COUNTIFS(ATTENDANCE_DAILY!C:C,A294,ATTENDANCE_DAILY!E:E,"Present"))</f>
        <v/>
      </c>
      <c r="F294" t="str">
        <f>IF(A294="","",COUNTIFS(ATTENDANCE_DAILY!C:C,A294,ATTENDANCE_DAILY!E:E,"Absent"))</f>
        <v/>
      </c>
      <c r="G294" s="5" t="e">
        <f t="shared" si="8"/>
        <v>#VALUE!</v>
      </c>
      <c r="H294" s="4" t="e">
        <f t="shared" si="9"/>
        <v>#VALUE!</v>
      </c>
    </row>
    <row r="295" spans="1:8" x14ac:dyDescent="0.3">
      <c r="A295" t="str">
        <f>IF(MASTER_REGISTER!E295="","",MASTER_REGISTER!E295)</f>
        <v/>
      </c>
      <c r="B295" t="str">
        <f>IF(A295="","",MASTER_REGISTER!F295)</f>
        <v/>
      </c>
      <c r="C295" t="str">
        <f>IF(A295="","",MASTER_REGISTER!C295)</f>
        <v/>
      </c>
      <c r="D295" t="str">
        <f>IF(A295="","",COUNTIF(ATTENDANCE_DAILY!C:C,A295))</f>
        <v/>
      </c>
      <c r="E295" t="str">
        <f>IF(A295="","",COUNTIFS(ATTENDANCE_DAILY!C:C,A295,ATTENDANCE_DAILY!E:E,"Present"))</f>
        <v/>
      </c>
      <c r="F295" t="str">
        <f>IF(A295="","",COUNTIFS(ATTENDANCE_DAILY!C:C,A295,ATTENDANCE_DAILY!E:E,"Absent"))</f>
        <v/>
      </c>
      <c r="G295" s="5" t="e">
        <f t="shared" si="8"/>
        <v>#VALUE!</v>
      </c>
      <c r="H295" s="4" t="e">
        <f t="shared" si="9"/>
        <v>#VALUE!</v>
      </c>
    </row>
    <row r="296" spans="1:8" x14ac:dyDescent="0.3">
      <c r="A296" t="str">
        <f>IF(MASTER_REGISTER!E296="","",MASTER_REGISTER!E296)</f>
        <v/>
      </c>
      <c r="B296" t="str">
        <f>IF(A296="","",MASTER_REGISTER!F296)</f>
        <v/>
      </c>
      <c r="C296" t="str">
        <f>IF(A296="","",MASTER_REGISTER!C296)</f>
        <v/>
      </c>
      <c r="D296" t="str">
        <f>IF(A296="","",COUNTIF(ATTENDANCE_DAILY!C:C,A296))</f>
        <v/>
      </c>
      <c r="E296" t="str">
        <f>IF(A296="","",COUNTIFS(ATTENDANCE_DAILY!C:C,A296,ATTENDANCE_DAILY!E:E,"Present"))</f>
        <v/>
      </c>
      <c r="F296" t="str">
        <f>IF(A296="","",COUNTIFS(ATTENDANCE_DAILY!C:C,A296,ATTENDANCE_DAILY!E:E,"Absent"))</f>
        <v/>
      </c>
      <c r="G296" s="5" t="e">
        <f t="shared" si="8"/>
        <v>#VALUE!</v>
      </c>
      <c r="H296" s="4" t="e">
        <f t="shared" si="9"/>
        <v>#VALUE!</v>
      </c>
    </row>
    <row r="297" spans="1:8" x14ac:dyDescent="0.3">
      <c r="A297" t="str">
        <f>IF(MASTER_REGISTER!E297="","",MASTER_REGISTER!E297)</f>
        <v/>
      </c>
      <c r="B297" t="str">
        <f>IF(A297="","",MASTER_REGISTER!F297)</f>
        <v/>
      </c>
      <c r="C297" t="str">
        <f>IF(A297="","",MASTER_REGISTER!C297)</f>
        <v/>
      </c>
      <c r="D297" t="str">
        <f>IF(A297="","",COUNTIF(ATTENDANCE_DAILY!C:C,A297))</f>
        <v/>
      </c>
      <c r="E297" t="str">
        <f>IF(A297="","",COUNTIFS(ATTENDANCE_DAILY!C:C,A297,ATTENDANCE_DAILY!E:E,"Present"))</f>
        <v/>
      </c>
      <c r="F297" t="str">
        <f>IF(A297="","",COUNTIFS(ATTENDANCE_DAILY!C:C,A297,ATTENDANCE_DAILY!E:E,"Absent"))</f>
        <v/>
      </c>
      <c r="G297" s="5" t="e">
        <f t="shared" si="8"/>
        <v>#VALUE!</v>
      </c>
      <c r="H297" s="4" t="e">
        <f t="shared" si="9"/>
        <v>#VALUE!</v>
      </c>
    </row>
    <row r="298" spans="1:8" x14ac:dyDescent="0.3">
      <c r="A298" t="str">
        <f>IF(MASTER_REGISTER!E298="","",MASTER_REGISTER!E298)</f>
        <v/>
      </c>
      <c r="B298" t="str">
        <f>IF(A298="","",MASTER_REGISTER!F298)</f>
        <v/>
      </c>
      <c r="C298" t="str">
        <f>IF(A298="","",MASTER_REGISTER!C298)</f>
        <v/>
      </c>
      <c r="D298" t="str">
        <f>IF(A298="","",COUNTIF(ATTENDANCE_DAILY!C:C,A298))</f>
        <v/>
      </c>
      <c r="E298" t="str">
        <f>IF(A298="","",COUNTIFS(ATTENDANCE_DAILY!C:C,A298,ATTENDANCE_DAILY!E:E,"Present"))</f>
        <v/>
      </c>
      <c r="F298" t="str">
        <f>IF(A298="","",COUNTIFS(ATTENDANCE_DAILY!C:C,A298,ATTENDANCE_DAILY!E:E,"Absent"))</f>
        <v/>
      </c>
      <c r="G298" s="5" t="e">
        <f t="shared" si="8"/>
        <v>#VALUE!</v>
      </c>
      <c r="H298" s="4" t="e">
        <f t="shared" si="9"/>
        <v>#VALUE!</v>
      </c>
    </row>
    <row r="299" spans="1:8" x14ac:dyDescent="0.3">
      <c r="A299" t="str">
        <f>IF(MASTER_REGISTER!E299="","",MASTER_REGISTER!E299)</f>
        <v/>
      </c>
      <c r="B299" t="str">
        <f>IF(A299="","",MASTER_REGISTER!F299)</f>
        <v/>
      </c>
      <c r="C299" t="str">
        <f>IF(A299="","",MASTER_REGISTER!C299)</f>
        <v/>
      </c>
      <c r="D299" t="str">
        <f>IF(A299="","",COUNTIF(ATTENDANCE_DAILY!C:C,A299))</f>
        <v/>
      </c>
      <c r="E299" t="str">
        <f>IF(A299="","",COUNTIFS(ATTENDANCE_DAILY!C:C,A299,ATTENDANCE_DAILY!E:E,"Present"))</f>
        <v/>
      </c>
      <c r="F299" t="str">
        <f>IF(A299="","",COUNTIFS(ATTENDANCE_DAILY!C:C,A299,ATTENDANCE_DAILY!E:E,"Absent"))</f>
        <v/>
      </c>
      <c r="G299" s="5" t="e">
        <f t="shared" si="8"/>
        <v>#VALUE!</v>
      </c>
      <c r="H299" s="4" t="e">
        <f t="shared" si="9"/>
        <v>#VALUE!</v>
      </c>
    </row>
    <row r="300" spans="1:8" x14ac:dyDescent="0.3">
      <c r="A300" t="str">
        <f>IF(MASTER_REGISTER!E300="","",MASTER_REGISTER!E300)</f>
        <v/>
      </c>
      <c r="B300" t="str">
        <f>IF(A300="","",MASTER_REGISTER!F300)</f>
        <v/>
      </c>
      <c r="C300" t="str">
        <f>IF(A300="","",MASTER_REGISTER!C300)</f>
        <v/>
      </c>
      <c r="D300" t="str">
        <f>IF(A300="","",COUNTIF(ATTENDANCE_DAILY!C:C,A300))</f>
        <v/>
      </c>
      <c r="E300" t="str">
        <f>IF(A300="","",COUNTIFS(ATTENDANCE_DAILY!C:C,A300,ATTENDANCE_DAILY!E:E,"Present"))</f>
        <v/>
      </c>
      <c r="F300" t="str">
        <f>IF(A300="","",COUNTIFS(ATTENDANCE_DAILY!C:C,A300,ATTENDANCE_DAILY!E:E,"Absent"))</f>
        <v/>
      </c>
      <c r="G300" s="5" t="e">
        <f t="shared" si="8"/>
        <v>#VALUE!</v>
      </c>
      <c r="H300" s="4" t="e">
        <f t="shared" si="9"/>
        <v>#VALUE!</v>
      </c>
    </row>
    <row r="301" spans="1:8" x14ac:dyDescent="0.3">
      <c r="A301" t="str">
        <f>IF(MASTER_REGISTER!E301="","",MASTER_REGISTER!E301)</f>
        <v/>
      </c>
      <c r="B301" t="str">
        <f>IF(A301="","",MASTER_REGISTER!F301)</f>
        <v/>
      </c>
      <c r="C301" t="str">
        <f>IF(A301="","",MASTER_REGISTER!C301)</f>
        <v/>
      </c>
      <c r="D301" t="str">
        <f>IF(A301="","",COUNTIF(ATTENDANCE_DAILY!C:C,A301))</f>
        <v/>
      </c>
      <c r="E301" t="str">
        <f>IF(A301="","",COUNTIFS(ATTENDANCE_DAILY!C:C,A301,ATTENDANCE_DAILY!E:E,"Present"))</f>
        <v/>
      </c>
      <c r="F301" t="str">
        <f>IF(A301="","",COUNTIFS(ATTENDANCE_DAILY!C:C,A301,ATTENDANCE_DAILY!E:E,"Absent"))</f>
        <v/>
      </c>
      <c r="G301" s="5" t="e">
        <f t="shared" si="8"/>
        <v>#VALUE!</v>
      </c>
      <c r="H301" s="4" t="e">
        <f t="shared" si="9"/>
        <v>#VALUE!</v>
      </c>
    </row>
    <row r="302" spans="1:8" x14ac:dyDescent="0.3">
      <c r="A302" t="str">
        <f>IF(MASTER_REGISTER!E302="","",MASTER_REGISTER!E302)</f>
        <v/>
      </c>
      <c r="B302" t="str">
        <f>IF(A302="","",MASTER_REGISTER!F302)</f>
        <v/>
      </c>
      <c r="C302" t="str">
        <f>IF(A302="","",MASTER_REGISTER!C302)</f>
        <v/>
      </c>
      <c r="D302" t="str">
        <f>IF(A302="","",COUNTIF(ATTENDANCE_DAILY!C:C,A302))</f>
        <v/>
      </c>
      <c r="E302" t="str">
        <f>IF(A302="","",COUNTIFS(ATTENDANCE_DAILY!C:C,A302,ATTENDANCE_DAILY!E:E,"Present"))</f>
        <v/>
      </c>
      <c r="F302" t="str">
        <f>IF(A302="","",COUNTIFS(ATTENDANCE_DAILY!C:C,A302,ATTENDANCE_DAILY!E:E,"Absent"))</f>
        <v/>
      </c>
      <c r="G302" s="5" t="e">
        <f t="shared" si="8"/>
        <v>#VALUE!</v>
      </c>
      <c r="H302" s="4" t="e">
        <f t="shared" si="9"/>
        <v>#VALUE!</v>
      </c>
    </row>
    <row r="303" spans="1:8" x14ac:dyDescent="0.3">
      <c r="A303" t="str">
        <f>IF(MASTER_REGISTER!E303="","",MASTER_REGISTER!E303)</f>
        <v/>
      </c>
      <c r="B303" t="str">
        <f>IF(A303="","",MASTER_REGISTER!F303)</f>
        <v/>
      </c>
      <c r="C303" t="str">
        <f>IF(A303="","",MASTER_REGISTER!C303)</f>
        <v/>
      </c>
      <c r="D303" t="str">
        <f>IF(A303="","",COUNTIF(ATTENDANCE_DAILY!C:C,A303))</f>
        <v/>
      </c>
      <c r="E303" t="str">
        <f>IF(A303="","",COUNTIFS(ATTENDANCE_DAILY!C:C,A303,ATTENDANCE_DAILY!E:E,"Present"))</f>
        <v/>
      </c>
      <c r="F303" t="str">
        <f>IF(A303="","",COUNTIFS(ATTENDANCE_DAILY!C:C,A303,ATTENDANCE_DAILY!E:E,"Absent"))</f>
        <v/>
      </c>
      <c r="G303" s="5" t="e">
        <f t="shared" si="8"/>
        <v>#VALUE!</v>
      </c>
      <c r="H303" s="4" t="e">
        <f t="shared" si="9"/>
        <v>#VALUE!</v>
      </c>
    </row>
    <row r="304" spans="1:8" x14ac:dyDescent="0.3">
      <c r="A304" t="str">
        <f>IF(MASTER_REGISTER!E304="","",MASTER_REGISTER!E304)</f>
        <v/>
      </c>
      <c r="B304" t="str">
        <f>IF(A304="","",MASTER_REGISTER!F304)</f>
        <v/>
      </c>
      <c r="C304" t="str">
        <f>IF(A304="","",MASTER_REGISTER!C304)</f>
        <v/>
      </c>
      <c r="D304" t="str">
        <f>IF(A304="","",COUNTIF(ATTENDANCE_DAILY!C:C,A304))</f>
        <v/>
      </c>
      <c r="E304" t="str">
        <f>IF(A304="","",COUNTIFS(ATTENDANCE_DAILY!C:C,A304,ATTENDANCE_DAILY!E:E,"Present"))</f>
        <v/>
      </c>
      <c r="F304" t="str">
        <f>IF(A304="","",COUNTIFS(ATTENDANCE_DAILY!C:C,A304,ATTENDANCE_DAILY!E:E,"Absent"))</f>
        <v/>
      </c>
      <c r="G304" s="5" t="e">
        <f t="shared" si="8"/>
        <v>#VALUE!</v>
      </c>
      <c r="H304" s="4" t="e">
        <f t="shared" si="9"/>
        <v>#VALUE!</v>
      </c>
    </row>
    <row r="305" spans="1:8" x14ac:dyDescent="0.3">
      <c r="A305" t="str">
        <f>IF(MASTER_REGISTER!E305="","",MASTER_REGISTER!E305)</f>
        <v/>
      </c>
      <c r="B305" t="str">
        <f>IF(A305="","",MASTER_REGISTER!F305)</f>
        <v/>
      </c>
      <c r="C305" t="str">
        <f>IF(A305="","",MASTER_REGISTER!C305)</f>
        <v/>
      </c>
      <c r="D305" t="str">
        <f>IF(A305="","",COUNTIF(ATTENDANCE_DAILY!C:C,A305))</f>
        <v/>
      </c>
      <c r="E305" t="str">
        <f>IF(A305="","",COUNTIFS(ATTENDANCE_DAILY!C:C,A305,ATTENDANCE_DAILY!E:E,"Present"))</f>
        <v/>
      </c>
      <c r="F305" t="str">
        <f>IF(A305="","",COUNTIFS(ATTENDANCE_DAILY!C:C,A305,ATTENDANCE_DAILY!E:E,"Absent"))</f>
        <v/>
      </c>
      <c r="G305" s="5" t="e">
        <f t="shared" si="8"/>
        <v>#VALUE!</v>
      </c>
      <c r="H305" s="4" t="e">
        <f t="shared" si="9"/>
        <v>#VALUE!</v>
      </c>
    </row>
    <row r="306" spans="1:8" x14ac:dyDescent="0.3">
      <c r="A306" t="str">
        <f>IF(MASTER_REGISTER!E306="","",MASTER_REGISTER!E306)</f>
        <v/>
      </c>
      <c r="B306" t="str">
        <f>IF(A306="","",MASTER_REGISTER!F306)</f>
        <v/>
      </c>
      <c r="C306" t="str">
        <f>IF(A306="","",MASTER_REGISTER!C306)</f>
        <v/>
      </c>
      <c r="D306" t="str">
        <f>IF(A306="","",COUNTIF(ATTENDANCE_DAILY!C:C,A306))</f>
        <v/>
      </c>
      <c r="E306" t="str">
        <f>IF(A306="","",COUNTIFS(ATTENDANCE_DAILY!C:C,A306,ATTENDANCE_DAILY!E:E,"Present"))</f>
        <v/>
      </c>
      <c r="F306" t="str">
        <f>IF(A306="","",COUNTIFS(ATTENDANCE_DAILY!C:C,A306,ATTENDANCE_DAILY!E:E,"Absent"))</f>
        <v/>
      </c>
      <c r="G306" s="5" t="e">
        <f t="shared" si="8"/>
        <v>#VALUE!</v>
      </c>
      <c r="H306" s="4" t="e">
        <f t="shared" si="9"/>
        <v>#VALUE!</v>
      </c>
    </row>
    <row r="307" spans="1:8" x14ac:dyDescent="0.3">
      <c r="A307" t="str">
        <f>IF(MASTER_REGISTER!E307="","",MASTER_REGISTER!E307)</f>
        <v/>
      </c>
      <c r="B307" t="str">
        <f>IF(A307="","",MASTER_REGISTER!F307)</f>
        <v/>
      </c>
      <c r="C307" t="str">
        <f>IF(A307="","",MASTER_REGISTER!C307)</f>
        <v/>
      </c>
      <c r="D307" t="str">
        <f>IF(A307="","",COUNTIF(ATTENDANCE_DAILY!C:C,A307))</f>
        <v/>
      </c>
      <c r="E307" t="str">
        <f>IF(A307="","",COUNTIFS(ATTENDANCE_DAILY!C:C,A307,ATTENDANCE_DAILY!E:E,"Present"))</f>
        <v/>
      </c>
      <c r="F307" t="str">
        <f>IF(A307="","",COUNTIFS(ATTENDANCE_DAILY!C:C,A307,ATTENDANCE_DAILY!E:E,"Absent"))</f>
        <v/>
      </c>
      <c r="G307" s="5" t="e">
        <f t="shared" si="8"/>
        <v>#VALUE!</v>
      </c>
      <c r="H307" s="4" t="e">
        <f t="shared" si="9"/>
        <v>#VALUE!</v>
      </c>
    </row>
    <row r="308" spans="1:8" x14ac:dyDescent="0.3">
      <c r="A308" t="str">
        <f>IF(MASTER_REGISTER!E308="","",MASTER_REGISTER!E308)</f>
        <v/>
      </c>
      <c r="B308" t="str">
        <f>IF(A308="","",MASTER_REGISTER!F308)</f>
        <v/>
      </c>
      <c r="C308" t="str">
        <f>IF(A308="","",MASTER_REGISTER!C308)</f>
        <v/>
      </c>
      <c r="D308" t="str">
        <f>IF(A308="","",COUNTIF(ATTENDANCE_DAILY!C:C,A308))</f>
        <v/>
      </c>
      <c r="E308" t="str">
        <f>IF(A308="","",COUNTIFS(ATTENDANCE_DAILY!C:C,A308,ATTENDANCE_DAILY!E:E,"Present"))</f>
        <v/>
      </c>
      <c r="F308" t="str">
        <f>IF(A308="","",COUNTIFS(ATTENDANCE_DAILY!C:C,A308,ATTENDANCE_DAILY!E:E,"Absent"))</f>
        <v/>
      </c>
      <c r="G308" s="5" t="e">
        <f t="shared" si="8"/>
        <v>#VALUE!</v>
      </c>
      <c r="H308" s="4" t="e">
        <f t="shared" si="9"/>
        <v>#VALUE!</v>
      </c>
    </row>
    <row r="309" spans="1:8" x14ac:dyDescent="0.3">
      <c r="A309" t="str">
        <f>IF(MASTER_REGISTER!E309="","",MASTER_REGISTER!E309)</f>
        <v/>
      </c>
      <c r="B309" t="str">
        <f>IF(A309="","",MASTER_REGISTER!F309)</f>
        <v/>
      </c>
      <c r="C309" t="str">
        <f>IF(A309="","",MASTER_REGISTER!C309)</f>
        <v/>
      </c>
      <c r="D309" t="str">
        <f>IF(A309="","",COUNTIF(ATTENDANCE_DAILY!C:C,A309))</f>
        <v/>
      </c>
      <c r="E309" t="str">
        <f>IF(A309="","",COUNTIFS(ATTENDANCE_DAILY!C:C,A309,ATTENDANCE_DAILY!E:E,"Present"))</f>
        <v/>
      </c>
      <c r="F309" t="str">
        <f>IF(A309="","",COUNTIFS(ATTENDANCE_DAILY!C:C,A309,ATTENDANCE_DAILY!E:E,"Absent"))</f>
        <v/>
      </c>
      <c r="G309" s="5" t="e">
        <f t="shared" si="8"/>
        <v>#VALUE!</v>
      </c>
      <c r="H309" s="4" t="e">
        <f t="shared" si="9"/>
        <v>#VALUE!</v>
      </c>
    </row>
    <row r="310" spans="1:8" x14ac:dyDescent="0.3">
      <c r="A310" t="str">
        <f>IF(MASTER_REGISTER!E310="","",MASTER_REGISTER!E310)</f>
        <v/>
      </c>
      <c r="B310" t="str">
        <f>IF(A310="","",MASTER_REGISTER!F310)</f>
        <v/>
      </c>
      <c r="C310" t="str">
        <f>IF(A310="","",MASTER_REGISTER!C310)</f>
        <v/>
      </c>
      <c r="D310" t="str">
        <f>IF(A310="","",COUNTIF(ATTENDANCE_DAILY!C:C,A310))</f>
        <v/>
      </c>
      <c r="E310" t="str">
        <f>IF(A310="","",COUNTIFS(ATTENDANCE_DAILY!C:C,A310,ATTENDANCE_DAILY!E:E,"Present"))</f>
        <v/>
      </c>
      <c r="F310" t="str">
        <f>IF(A310="","",COUNTIFS(ATTENDANCE_DAILY!C:C,A310,ATTENDANCE_DAILY!E:E,"Absent"))</f>
        <v/>
      </c>
      <c r="G310" s="5" t="e">
        <f t="shared" si="8"/>
        <v>#VALUE!</v>
      </c>
      <c r="H310" s="4" t="e">
        <f t="shared" si="9"/>
        <v>#VALUE!</v>
      </c>
    </row>
    <row r="311" spans="1:8" x14ac:dyDescent="0.3">
      <c r="A311" t="str">
        <f>IF(MASTER_REGISTER!E311="","",MASTER_REGISTER!E311)</f>
        <v/>
      </c>
      <c r="B311" t="str">
        <f>IF(A311="","",MASTER_REGISTER!F311)</f>
        <v/>
      </c>
      <c r="C311" t="str">
        <f>IF(A311="","",MASTER_REGISTER!C311)</f>
        <v/>
      </c>
      <c r="D311" t="str">
        <f>IF(A311="","",COUNTIF(ATTENDANCE_DAILY!C:C,A311))</f>
        <v/>
      </c>
      <c r="E311" t="str">
        <f>IF(A311="","",COUNTIFS(ATTENDANCE_DAILY!C:C,A311,ATTENDANCE_DAILY!E:E,"Present"))</f>
        <v/>
      </c>
      <c r="F311" t="str">
        <f>IF(A311="","",COUNTIFS(ATTENDANCE_DAILY!C:C,A311,ATTENDANCE_DAILY!E:E,"Absent"))</f>
        <v/>
      </c>
      <c r="G311" s="5" t="e">
        <f t="shared" si="8"/>
        <v>#VALUE!</v>
      </c>
      <c r="H311" s="4" t="e">
        <f t="shared" si="9"/>
        <v>#VALUE!</v>
      </c>
    </row>
    <row r="312" spans="1:8" x14ac:dyDescent="0.3">
      <c r="A312" t="str">
        <f>IF(MASTER_REGISTER!E312="","",MASTER_REGISTER!E312)</f>
        <v/>
      </c>
      <c r="B312" t="str">
        <f>IF(A312="","",MASTER_REGISTER!F312)</f>
        <v/>
      </c>
      <c r="C312" t="str">
        <f>IF(A312="","",MASTER_REGISTER!C312)</f>
        <v/>
      </c>
      <c r="D312" t="str">
        <f>IF(A312="","",COUNTIF(ATTENDANCE_DAILY!C:C,A312))</f>
        <v/>
      </c>
      <c r="E312" t="str">
        <f>IF(A312="","",COUNTIFS(ATTENDANCE_DAILY!C:C,A312,ATTENDANCE_DAILY!E:E,"Present"))</f>
        <v/>
      </c>
      <c r="F312" t="str">
        <f>IF(A312="","",COUNTIFS(ATTENDANCE_DAILY!C:C,A312,ATTENDANCE_DAILY!E:E,"Absent"))</f>
        <v/>
      </c>
      <c r="G312" s="5" t="e">
        <f t="shared" si="8"/>
        <v>#VALUE!</v>
      </c>
      <c r="H312" s="4" t="e">
        <f t="shared" si="9"/>
        <v>#VALUE!</v>
      </c>
    </row>
    <row r="313" spans="1:8" x14ac:dyDescent="0.3">
      <c r="A313" t="str">
        <f>IF(MASTER_REGISTER!E313="","",MASTER_REGISTER!E313)</f>
        <v/>
      </c>
      <c r="B313" t="str">
        <f>IF(A313="","",MASTER_REGISTER!F313)</f>
        <v/>
      </c>
      <c r="C313" t="str">
        <f>IF(A313="","",MASTER_REGISTER!C313)</f>
        <v/>
      </c>
      <c r="D313" t="str">
        <f>IF(A313="","",COUNTIF(ATTENDANCE_DAILY!C:C,A313))</f>
        <v/>
      </c>
      <c r="E313" t="str">
        <f>IF(A313="","",COUNTIFS(ATTENDANCE_DAILY!C:C,A313,ATTENDANCE_DAILY!E:E,"Present"))</f>
        <v/>
      </c>
      <c r="F313" t="str">
        <f>IF(A313="","",COUNTIFS(ATTENDANCE_DAILY!C:C,A313,ATTENDANCE_DAILY!E:E,"Absent"))</f>
        <v/>
      </c>
      <c r="G313" s="5" t="e">
        <f t="shared" si="8"/>
        <v>#VALUE!</v>
      </c>
      <c r="H313" s="4" t="e">
        <f t="shared" si="9"/>
        <v>#VALUE!</v>
      </c>
    </row>
    <row r="314" spans="1:8" x14ac:dyDescent="0.3">
      <c r="A314" t="str">
        <f>IF(MASTER_REGISTER!E314="","",MASTER_REGISTER!E314)</f>
        <v/>
      </c>
      <c r="B314" t="str">
        <f>IF(A314="","",MASTER_REGISTER!F314)</f>
        <v/>
      </c>
      <c r="C314" t="str">
        <f>IF(A314="","",MASTER_REGISTER!C314)</f>
        <v/>
      </c>
      <c r="D314" t="str">
        <f>IF(A314="","",COUNTIF(ATTENDANCE_DAILY!C:C,A314))</f>
        <v/>
      </c>
      <c r="E314" t="str">
        <f>IF(A314="","",COUNTIFS(ATTENDANCE_DAILY!C:C,A314,ATTENDANCE_DAILY!E:E,"Present"))</f>
        <v/>
      </c>
      <c r="F314" t="str">
        <f>IF(A314="","",COUNTIFS(ATTENDANCE_DAILY!C:C,A314,ATTENDANCE_DAILY!E:E,"Absent"))</f>
        <v/>
      </c>
      <c r="G314" s="5" t="e">
        <f t="shared" si="8"/>
        <v>#VALUE!</v>
      </c>
      <c r="H314" s="4" t="e">
        <f t="shared" si="9"/>
        <v>#VALUE!</v>
      </c>
    </row>
    <row r="315" spans="1:8" x14ac:dyDescent="0.3">
      <c r="A315" t="str">
        <f>IF(MASTER_REGISTER!E315="","",MASTER_REGISTER!E315)</f>
        <v/>
      </c>
      <c r="B315" t="str">
        <f>IF(A315="","",MASTER_REGISTER!F315)</f>
        <v/>
      </c>
      <c r="C315" t="str">
        <f>IF(A315="","",MASTER_REGISTER!C315)</f>
        <v/>
      </c>
      <c r="D315" t="str">
        <f>IF(A315="","",COUNTIF(ATTENDANCE_DAILY!C:C,A315))</f>
        <v/>
      </c>
      <c r="E315" t="str">
        <f>IF(A315="","",COUNTIFS(ATTENDANCE_DAILY!C:C,A315,ATTENDANCE_DAILY!E:E,"Present"))</f>
        <v/>
      </c>
      <c r="F315" t="str">
        <f>IF(A315="","",COUNTIFS(ATTENDANCE_DAILY!C:C,A315,ATTENDANCE_DAILY!E:E,"Absent"))</f>
        <v/>
      </c>
      <c r="G315" s="5" t="e">
        <f t="shared" si="8"/>
        <v>#VALUE!</v>
      </c>
      <c r="H315" s="4" t="e">
        <f t="shared" si="9"/>
        <v>#VALUE!</v>
      </c>
    </row>
    <row r="316" spans="1:8" x14ac:dyDescent="0.3">
      <c r="A316" t="str">
        <f>IF(MASTER_REGISTER!E316="","",MASTER_REGISTER!E316)</f>
        <v/>
      </c>
      <c r="B316" t="str">
        <f>IF(A316="","",MASTER_REGISTER!F316)</f>
        <v/>
      </c>
      <c r="C316" t="str">
        <f>IF(A316="","",MASTER_REGISTER!C316)</f>
        <v/>
      </c>
      <c r="D316" t="str">
        <f>IF(A316="","",COUNTIF(ATTENDANCE_DAILY!C:C,A316))</f>
        <v/>
      </c>
      <c r="E316" t="str">
        <f>IF(A316="","",COUNTIFS(ATTENDANCE_DAILY!C:C,A316,ATTENDANCE_DAILY!E:E,"Present"))</f>
        <v/>
      </c>
      <c r="F316" t="str">
        <f>IF(A316="","",COUNTIFS(ATTENDANCE_DAILY!C:C,A316,ATTENDANCE_DAILY!E:E,"Absent"))</f>
        <v/>
      </c>
      <c r="G316" s="5" t="e">
        <f t="shared" si="8"/>
        <v>#VALUE!</v>
      </c>
      <c r="H316" s="4" t="e">
        <f t="shared" si="9"/>
        <v>#VALUE!</v>
      </c>
    </row>
    <row r="317" spans="1:8" x14ac:dyDescent="0.3">
      <c r="A317" t="str">
        <f>IF(MASTER_REGISTER!E317="","",MASTER_REGISTER!E317)</f>
        <v/>
      </c>
      <c r="B317" t="str">
        <f>IF(A317="","",MASTER_REGISTER!F317)</f>
        <v/>
      </c>
      <c r="C317" t="str">
        <f>IF(A317="","",MASTER_REGISTER!C317)</f>
        <v/>
      </c>
      <c r="D317" t="str">
        <f>IF(A317="","",COUNTIF(ATTENDANCE_DAILY!C:C,A317))</f>
        <v/>
      </c>
      <c r="E317" t="str">
        <f>IF(A317="","",COUNTIFS(ATTENDANCE_DAILY!C:C,A317,ATTENDANCE_DAILY!E:E,"Present"))</f>
        <v/>
      </c>
      <c r="F317" t="str">
        <f>IF(A317="","",COUNTIFS(ATTENDANCE_DAILY!C:C,A317,ATTENDANCE_DAILY!E:E,"Absent"))</f>
        <v/>
      </c>
      <c r="G317" s="5" t="e">
        <f t="shared" si="8"/>
        <v>#VALUE!</v>
      </c>
      <c r="H317" s="4" t="e">
        <f t="shared" si="9"/>
        <v>#VALUE!</v>
      </c>
    </row>
    <row r="318" spans="1:8" x14ac:dyDescent="0.3">
      <c r="A318" t="str">
        <f>IF(MASTER_REGISTER!E318="","",MASTER_REGISTER!E318)</f>
        <v/>
      </c>
      <c r="B318" t="str">
        <f>IF(A318="","",MASTER_REGISTER!F318)</f>
        <v/>
      </c>
      <c r="C318" t="str">
        <f>IF(A318="","",MASTER_REGISTER!C318)</f>
        <v/>
      </c>
      <c r="D318" t="str">
        <f>IF(A318="","",COUNTIF(ATTENDANCE_DAILY!C:C,A318))</f>
        <v/>
      </c>
      <c r="E318" t="str">
        <f>IF(A318="","",COUNTIFS(ATTENDANCE_DAILY!C:C,A318,ATTENDANCE_DAILY!E:E,"Present"))</f>
        <v/>
      </c>
      <c r="F318" t="str">
        <f>IF(A318="","",COUNTIFS(ATTENDANCE_DAILY!C:C,A318,ATTENDANCE_DAILY!E:E,"Absent"))</f>
        <v/>
      </c>
      <c r="G318" s="5" t="e">
        <f t="shared" si="8"/>
        <v>#VALUE!</v>
      </c>
      <c r="H318" s="4" t="e">
        <f t="shared" si="9"/>
        <v>#VALUE!</v>
      </c>
    </row>
    <row r="319" spans="1:8" x14ac:dyDescent="0.3">
      <c r="A319" t="str">
        <f>IF(MASTER_REGISTER!E319="","",MASTER_REGISTER!E319)</f>
        <v/>
      </c>
      <c r="B319" t="str">
        <f>IF(A319="","",MASTER_REGISTER!F319)</f>
        <v/>
      </c>
      <c r="C319" t="str">
        <f>IF(A319="","",MASTER_REGISTER!C319)</f>
        <v/>
      </c>
      <c r="D319" t="str">
        <f>IF(A319="","",COUNTIF(ATTENDANCE_DAILY!C:C,A319))</f>
        <v/>
      </c>
      <c r="E319" t="str">
        <f>IF(A319="","",COUNTIFS(ATTENDANCE_DAILY!C:C,A319,ATTENDANCE_DAILY!E:E,"Present"))</f>
        <v/>
      </c>
      <c r="F319" t="str">
        <f>IF(A319="","",COUNTIFS(ATTENDANCE_DAILY!C:C,A319,ATTENDANCE_DAILY!E:E,"Absent"))</f>
        <v/>
      </c>
      <c r="G319" s="5" t="e">
        <f t="shared" si="8"/>
        <v>#VALUE!</v>
      </c>
      <c r="H319" s="4" t="e">
        <f t="shared" si="9"/>
        <v>#VALUE!</v>
      </c>
    </row>
    <row r="320" spans="1:8" x14ac:dyDescent="0.3">
      <c r="A320" t="str">
        <f>IF(MASTER_REGISTER!E320="","",MASTER_REGISTER!E320)</f>
        <v/>
      </c>
      <c r="B320" t="str">
        <f>IF(A320="","",MASTER_REGISTER!F320)</f>
        <v/>
      </c>
      <c r="C320" t="str">
        <f>IF(A320="","",MASTER_REGISTER!C320)</f>
        <v/>
      </c>
      <c r="D320" t="str">
        <f>IF(A320="","",COUNTIF(ATTENDANCE_DAILY!C:C,A320))</f>
        <v/>
      </c>
      <c r="E320" t="str">
        <f>IF(A320="","",COUNTIFS(ATTENDANCE_DAILY!C:C,A320,ATTENDANCE_DAILY!E:E,"Present"))</f>
        <v/>
      </c>
      <c r="F320" t="str">
        <f>IF(A320="","",COUNTIFS(ATTENDANCE_DAILY!C:C,A320,ATTENDANCE_DAILY!E:E,"Absent"))</f>
        <v/>
      </c>
      <c r="G320" s="5" t="e">
        <f t="shared" si="8"/>
        <v>#VALUE!</v>
      </c>
      <c r="H320" s="4" t="e">
        <f t="shared" si="9"/>
        <v>#VALUE!</v>
      </c>
    </row>
    <row r="321" spans="1:8" x14ac:dyDescent="0.3">
      <c r="A321" t="str">
        <f>IF(MASTER_REGISTER!E321="","",MASTER_REGISTER!E321)</f>
        <v/>
      </c>
      <c r="B321" t="str">
        <f>IF(A321="","",MASTER_REGISTER!F321)</f>
        <v/>
      </c>
      <c r="C321" t="str">
        <f>IF(A321="","",MASTER_REGISTER!C321)</f>
        <v/>
      </c>
      <c r="D321" t="str">
        <f>IF(A321="","",COUNTIF(ATTENDANCE_DAILY!C:C,A321))</f>
        <v/>
      </c>
      <c r="E321" t="str">
        <f>IF(A321="","",COUNTIFS(ATTENDANCE_DAILY!C:C,A321,ATTENDANCE_DAILY!E:E,"Present"))</f>
        <v/>
      </c>
      <c r="F321" t="str">
        <f>IF(A321="","",COUNTIFS(ATTENDANCE_DAILY!C:C,A321,ATTENDANCE_DAILY!E:E,"Absent"))</f>
        <v/>
      </c>
      <c r="G321" s="5" t="e">
        <f t="shared" si="8"/>
        <v>#VALUE!</v>
      </c>
      <c r="H321" s="4" t="e">
        <f t="shared" si="9"/>
        <v>#VALUE!</v>
      </c>
    </row>
    <row r="322" spans="1:8" x14ac:dyDescent="0.3">
      <c r="A322" t="str">
        <f>IF(MASTER_REGISTER!E322="","",MASTER_REGISTER!E322)</f>
        <v/>
      </c>
      <c r="B322" t="str">
        <f>IF(A322="","",MASTER_REGISTER!F322)</f>
        <v/>
      </c>
      <c r="C322" t="str">
        <f>IF(A322="","",MASTER_REGISTER!C322)</f>
        <v/>
      </c>
      <c r="D322" t="str">
        <f>IF(A322="","",COUNTIF(ATTENDANCE_DAILY!C:C,A322))</f>
        <v/>
      </c>
      <c r="E322" t="str">
        <f>IF(A322="","",COUNTIFS(ATTENDANCE_DAILY!C:C,A322,ATTENDANCE_DAILY!E:E,"Present"))</f>
        <v/>
      </c>
      <c r="F322" t="str">
        <f>IF(A322="","",COUNTIFS(ATTENDANCE_DAILY!C:C,A322,ATTENDANCE_DAILY!E:E,"Absent"))</f>
        <v/>
      </c>
      <c r="G322" s="5" t="e">
        <f t="shared" ref="G322:G385" si="10">IF(D322=0,"",E322/D322)</f>
        <v>#VALUE!</v>
      </c>
      <c r="H322" s="4" t="e">
        <f t="shared" ref="H322:H385" si="11">IF(G322="","",IF(G322&lt;0.75,"Low Attendance","OK"))</f>
        <v>#VALUE!</v>
      </c>
    </row>
    <row r="323" spans="1:8" x14ac:dyDescent="0.3">
      <c r="A323" t="str">
        <f>IF(MASTER_REGISTER!E323="","",MASTER_REGISTER!E323)</f>
        <v/>
      </c>
      <c r="B323" t="str">
        <f>IF(A323="","",MASTER_REGISTER!F323)</f>
        <v/>
      </c>
      <c r="C323" t="str">
        <f>IF(A323="","",MASTER_REGISTER!C323)</f>
        <v/>
      </c>
      <c r="D323" t="str">
        <f>IF(A323="","",COUNTIF(ATTENDANCE_DAILY!C:C,A323))</f>
        <v/>
      </c>
      <c r="E323" t="str">
        <f>IF(A323="","",COUNTIFS(ATTENDANCE_DAILY!C:C,A323,ATTENDANCE_DAILY!E:E,"Present"))</f>
        <v/>
      </c>
      <c r="F323" t="str">
        <f>IF(A323="","",COUNTIFS(ATTENDANCE_DAILY!C:C,A323,ATTENDANCE_DAILY!E:E,"Absent"))</f>
        <v/>
      </c>
      <c r="G323" s="5" t="e">
        <f t="shared" si="10"/>
        <v>#VALUE!</v>
      </c>
      <c r="H323" s="4" t="e">
        <f t="shared" si="11"/>
        <v>#VALUE!</v>
      </c>
    </row>
    <row r="324" spans="1:8" x14ac:dyDescent="0.3">
      <c r="A324" t="str">
        <f>IF(MASTER_REGISTER!E324="","",MASTER_REGISTER!E324)</f>
        <v/>
      </c>
      <c r="B324" t="str">
        <f>IF(A324="","",MASTER_REGISTER!F324)</f>
        <v/>
      </c>
      <c r="C324" t="str">
        <f>IF(A324="","",MASTER_REGISTER!C324)</f>
        <v/>
      </c>
      <c r="D324" t="str">
        <f>IF(A324="","",COUNTIF(ATTENDANCE_DAILY!C:C,A324))</f>
        <v/>
      </c>
      <c r="E324" t="str">
        <f>IF(A324="","",COUNTIFS(ATTENDANCE_DAILY!C:C,A324,ATTENDANCE_DAILY!E:E,"Present"))</f>
        <v/>
      </c>
      <c r="F324" t="str">
        <f>IF(A324="","",COUNTIFS(ATTENDANCE_DAILY!C:C,A324,ATTENDANCE_DAILY!E:E,"Absent"))</f>
        <v/>
      </c>
      <c r="G324" s="5" t="e">
        <f t="shared" si="10"/>
        <v>#VALUE!</v>
      </c>
      <c r="H324" s="4" t="e">
        <f t="shared" si="11"/>
        <v>#VALUE!</v>
      </c>
    </row>
    <row r="325" spans="1:8" x14ac:dyDescent="0.3">
      <c r="A325" t="str">
        <f>IF(MASTER_REGISTER!E325="","",MASTER_REGISTER!E325)</f>
        <v/>
      </c>
      <c r="B325" t="str">
        <f>IF(A325="","",MASTER_REGISTER!F325)</f>
        <v/>
      </c>
      <c r="C325" t="str">
        <f>IF(A325="","",MASTER_REGISTER!C325)</f>
        <v/>
      </c>
      <c r="D325" t="str">
        <f>IF(A325="","",COUNTIF(ATTENDANCE_DAILY!C:C,A325))</f>
        <v/>
      </c>
      <c r="E325" t="str">
        <f>IF(A325="","",COUNTIFS(ATTENDANCE_DAILY!C:C,A325,ATTENDANCE_DAILY!E:E,"Present"))</f>
        <v/>
      </c>
      <c r="F325" t="str">
        <f>IF(A325="","",COUNTIFS(ATTENDANCE_DAILY!C:C,A325,ATTENDANCE_DAILY!E:E,"Absent"))</f>
        <v/>
      </c>
      <c r="G325" s="5" t="e">
        <f t="shared" si="10"/>
        <v>#VALUE!</v>
      </c>
      <c r="H325" s="4" t="e">
        <f t="shared" si="11"/>
        <v>#VALUE!</v>
      </c>
    </row>
    <row r="326" spans="1:8" x14ac:dyDescent="0.3">
      <c r="A326" t="str">
        <f>IF(MASTER_REGISTER!E326="","",MASTER_REGISTER!E326)</f>
        <v/>
      </c>
      <c r="B326" t="str">
        <f>IF(A326="","",MASTER_REGISTER!F326)</f>
        <v/>
      </c>
      <c r="C326" t="str">
        <f>IF(A326="","",MASTER_REGISTER!C326)</f>
        <v/>
      </c>
      <c r="D326" t="str">
        <f>IF(A326="","",COUNTIF(ATTENDANCE_DAILY!C:C,A326))</f>
        <v/>
      </c>
      <c r="E326" t="str">
        <f>IF(A326="","",COUNTIFS(ATTENDANCE_DAILY!C:C,A326,ATTENDANCE_DAILY!E:E,"Present"))</f>
        <v/>
      </c>
      <c r="F326" t="str">
        <f>IF(A326="","",COUNTIFS(ATTENDANCE_DAILY!C:C,A326,ATTENDANCE_DAILY!E:E,"Absent"))</f>
        <v/>
      </c>
      <c r="G326" s="5" t="e">
        <f t="shared" si="10"/>
        <v>#VALUE!</v>
      </c>
      <c r="H326" s="4" t="e">
        <f t="shared" si="11"/>
        <v>#VALUE!</v>
      </c>
    </row>
    <row r="327" spans="1:8" x14ac:dyDescent="0.3">
      <c r="A327" t="str">
        <f>IF(MASTER_REGISTER!E327="","",MASTER_REGISTER!E327)</f>
        <v/>
      </c>
      <c r="B327" t="str">
        <f>IF(A327="","",MASTER_REGISTER!F327)</f>
        <v/>
      </c>
      <c r="C327" t="str">
        <f>IF(A327="","",MASTER_REGISTER!C327)</f>
        <v/>
      </c>
      <c r="D327" t="str">
        <f>IF(A327="","",COUNTIF(ATTENDANCE_DAILY!C:C,A327))</f>
        <v/>
      </c>
      <c r="E327" t="str">
        <f>IF(A327="","",COUNTIFS(ATTENDANCE_DAILY!C:C,A327,ATTENDANCE_DAILY!E:E,"Present"))</f>
        <v/>
      </c>
      <c r="F327" t="str">
        <f>IF(A327="","",COUNTIFS(ATTENDANCE_DAILY!C:C,A327,ATTENDANCE_DAILY!E:E,"Absent"))</f>
        <v/>
      </c>
      <c r="G327" s="5" t="e">
        <f t="shared" si="10"/>
        <v>#VALUE!</v>
      </c>
      <c r="H327" s="4" t="e">
        <f t="shared" si="11"/>
        <v>#VALUE!</v>
      </c>
    </row>
    <row r="328" spans="1:8" x14ac:dyDescent="0.3">
      <c r="A328" t="str">
        <f>IF(MASTER_REGISTER!E328="","",MASTER_REGISTER!E328)</f>
        <v/>
      </c>
      <c r="B328" t="str">
        <f>IF(A328="","",MASTER_REGISTER!F328)</f>
        <v/>
      </c>
      <c r="C328" t="str">
        <f>IF(A328="","",MASTER_REGISTER!C328)</f>
        <v/>
      </c>
      <c r="D328" t="str">
        <f>IF(A328="","",COUNTIF(ATTENDANCE_DAILY!C:C,A328))</f>
        <v/>
      </c>
      <c r="E328" t="str">
        <f>IF(A328="","",COUNTIFS(ATTENDANCE_DAILY!C:C,A328,ATTENDANCE_DAILY!E:E,"Present"))</f>
        <v/>
      </c>
      <c r="F328" t="str">
        <f>IF(A328="","",COUNTIFS(ATTENDANCE_DAILY!C:C,A328,ATTENDANCE_DAILY!E:E,"Absent"))</f>
        <v/>
      </c>
      <c r="G328" s="5" t="e">
        <f t="shared" si="10"/>
        <v>#VALUE!</v>
      </c>
      <c r="H328" s="4" t="e">
        <f t="shared" si="11"/>
        <v>#VALUE!</v>
      </c>
    </row>
    <row r="329" spans="1:8" x14ac:dyDescent="0.3">
      <c r="A329" t="str">
        <f>IF(MASTER_REGISTER!E329="","",MASTER_REGISTER!E329)</f>
        <v/>
      </c>
      <c r="B329" t="str">
        <f>IF(A329="","",MASTER_REGISTER!F329)</f>
        <v/>
      </c>
      <c r="C329" t="str">
        <f>IF(A329="","",MASTER_REGISTER!C329)</f>
        <v/>
      </c>
      <c r="D329" t="str">
        <f>IF(A329="","",COUNTIF(ATTENDANCE_DAILY!C:C,A329))</f>
        <v/>
      </c>
      <c r="E329" t="str">
        <f>IF(A329="","",COUNTIFS(ATTENDANCE_DAILY!C:C,A329,ATTENDANCE_DAILY!E:E,"Present"))</f>
        <v/>
      </c>
      <c r="F329" t="str">
        <f>IF(A329="","",COUNTIFS(ATTENDANCE_DAILY!C:C,A329,ATTENDANCE_DAILY!E:E,"Absent"))</f>
        <v/>
      </c>
      <c r="G329" s="5" t="e">
        <f t="shared" si="10"/>
        <v>#VALUE!</v>
      </c>
      <c r="H329" s="4" t="e">
        <f t="shared" si="11"/>
        <v>#VALUE!</v>
      </c>
    </row>
    <row r="330" spans="1:8" x14ac:dyDescent="0.3">
      <c r="A330" t="str">
        <f>IF(MASTER_REGISTER!E330="","",MASTER_REGISTER!E330)</f>
        <v/>
      </c>
      <c r="B330" t="str">
        <f>IF(A330="","",MASTER_REGISTER!F330)</f>
        <v/>
      </c>
      <c r="C330" t="str">
        <f>IF(A330="","",MASTER_REGISTER!C330)</f>
        <v/>
      </c>
      <c r="D330" t="str">
        <f>IF(A330="","",COUNTIF(ATTENDANCE_DAILY!C:C,A330))</f>
        <v/>
      </c>
      <c r="E330" t="str">
        <f>IF(A330="","",COUNTIFS(ATTENDANCE_DAILY!C:C,A330,ATTENDANCE_DAILY!E:E,"Present"))</f>
        <v/>
      </c>
      <c r="F330" t="str">
        <f>IF(A330="","",COUNTIFS(ATTENDANCE_DAILY!C:C,A330,ATTENDANCE_DAILY!E:E,"Absent"))</f>
        <v/>
      </c>
      <c r="G330" s="5" t="e">
        <f t="shared" si="10"/>
        <v>#VALUE!</v>
      </c>
      <c r="H330" s="4" t="e">
        <f t="shared" si="11"/>
        <v>#VALUE!</v>
      </c>
    </row>
    <row r="331" spans="1:8" x14ac:dyDescent="0.3">
      <c r="A331" t="str">
        <f>IF(MASTER_REGISTER!E331="","",MASTER_REGISTER!E331)</f>
        <v/>
      </c>
      <c r="B331" t="str">
        <f>IF(A331="","",MASTER_REGISTER!F331)</f>
        <v/>
      </c>
      <c r="C331" t="str">
        <f>IF(A331="","",MASTER_REGISTER!C331)</f>
        <v/>
      </c>
      <c r="D331" t="str">
        <f>IF(A331="","",COUNTIF(ATTENDANCE_DAILY!C:C,A331))</f>
        <v/>
      </c>
      <c r="E331" t="str">
        <f>IF(A331="","",COUNTIFS(ATTENDANCE_DAILY!C:C,A331,ATTENDANCE_DAILY!E:E,"Present"))</f>
        <v/>
      </c>
      <c r="F331" t="str">
        <f>IF(A331="","",COUNTIFS(ATTENDANCE_DAILY!C:C,A331,ATTENDANCE_DAILY!E:E,"Absent"))</f>
        <v/>
      </c>
      <c r="G331" s="5" t="e">
        <f t="shared" si="10"/>
        <v>#VALUE!</v>
      </c>
      <c r="H331" s="4" t="e">
        <f t="shared" si="11"/>
        <v>#VALUE!</v>
      </c>
    </row>
    <row r="332" spans="1:8" x14ac:dyDescent="0.3">
      <c r="A332" t="str">
        <f>IF(MASTER_REGISTER!E332="","",MASTER_REGISTER!E332)</f>
        <v/>
      </c>
      <c r="B332" t="str">
        <f>IF(A332="","",MASTER_REGISTER!F332)</f>
        <v/>
      </c>
      <c r="C332" t="str">
        <f>IF(A332="","",MASTER_REGISTER!C332)</f>
        <v/>
      </c>
      <c r="D332" t="str">
        <f>IF(A332="","",COUNTIF(ATTENDANCE_DAILY!C:C,A332))</f>
        <v/>
      </c>
      <c r="E332" t="str">
        <f>IF(A332="","",COUNTIFS(ATTENDANCE_DAILY!C:C,A332,ATTENDANCE_DAILY!E:E,"Present"))</f>
        <v/>
      </c>
      <c r="F332" t="str">
        <f>IF(A332="","",COUNTIFS(ATTENDANCE_DAILY!C:C,A332,ATTENDANCE_DAILY!E:E,"Absent"))</f>
        <v/>
      </c>
      <c r="G332" s="5" t="e">
        <f t="shared" si="10"/>
        <v>#VALUE!</v>
      </c>
      <c r="H332" s="4" t="e">
        <f t="shared" si="11"/>
        <v>#VALUE!</v>
      </c>
    </row>
    <row r="333" spans="1:8" x14ac:dyDescent="0.3">
      <c r="A333" t="str">
        <f>IF(MASTER_REGISTER!E333="","",MASTER_REGISTER!E333)</f>
        <v/>
      </c>
      <c r="B333" t="str">
        <f>IF(A333="","",MASTER_REGISTER!F333)</f>
        <v/>
      </c>
      <c r="C333" t="str">
        <f>IF(A333="","",MASTER_REGISTER!C333)</f>
        <v/>
      </c>
      <c r="D333" t="str">
        <f>IF(A333="","",COUNTIF(ATTENDANCE_DAILY!C:C,A333))</f>
        <v/>
      </c>
      <c r="E333" t="str">
        <f>IF(A333="","",COUNTIFS(ATTENDANCE_DAILY!C:C,A333,ATTENDANCE_DAILY!E:E,"Present"))</f>
        <v/>
      </c>
      <c r="F333" t="str">
        <f>IF(A333="","",COUNTIFS(ATTENDANCE_DAILY!C:C,A333,ATTENDANCE_DAILY!E:E,"Absent"))</f>
        <v/>
      </c>
      <c r="G333" s="5" t="e">
        <f t="shared" si="10"/>
        <v>#VALUE!</v>
      </c>
      <c r="H333" s="4" t="e">
        <f t="shared" si="11"/>
        <v>#VALUE!</v>
      </c>
    </row>
    <row r="334" spans="1:8" x14ac:dyDescent="0.3">
      <c r="A334" t="str">
        <f>IF(MASTER_REGISTER!E334="","",MASTER_REGISTER!E334)</f>
        <v/>
      </c>
      <c r="B334" t="str">
        <f>IF(A334="","",MASTER_REGISTER!F334)</f>
        <v/>
      </c>
      <c r="C334" t="str">
        <f>IF(A334="","",MASTER_REGISTER!C334)</f>
        <v/>
      </c>
      <c r="D334" t="str">
        <f>IF(A334="","",COUNTIF(ATTENDANCE_DAILY!C:C,A334))</f>
        <v/>
      </c>
      <c r="E334" t="str">
        <f>IF(A334="","",COUNTIFS(ATTENDANCE_DAILY!C:C,A334,ATTENDANCE_DAILY!E:E,"Present"))</f>
        <v/>
      </c>
      <c r="F334" t="str">
        <f>IF(A334="","",COUNTIFS(ATTENDANCE_DAILY!C:C,A334,ATTENDANCE_DAILY!E:E,"Absent"))</f>
        <v/>
      </c>
      <c r="G334" s="5" t="e">
        <f t="shared" si="10"/>
        <v>#VALUE!</v>
      </c>
      <c r="H334" s="4" t="e">
        <f t="shared" si="11"/>
        <v>#VALUE!</v>
      </c>
    </row>
    <row r="335" spans="1:8" x14ac:dyDescent="0.3">
      <c r="A335" t="str">
        <f>IF(MASTER_REGISTER!E335="","",MASTER_REGISTER!E335)</f>
        <v/>
      </c>
      <c r="B335" t="str">
        <f>IF(A335="","",MASTER_REGISTER!F335)</f>
        <v/>
      </c>
      <c r="C335" t="str">
        <f>IF(A335="","",MASTER_REGISTER!C335)</f>
        <v/>
      </c>
      <c r="D335" t="str">
        <f>IF(A335="","",COUNTIF(ATTENDANCE_DAILY!C:C,A335))</f>
        <v/>
      </c>
      <c r="E335" t="str">
        <f>IF(A335="","",COUNTIFS(ATTENDANCE_DAILY!C:C,A335,ATTENDANCE_DAILY!E:E,"Present"))</f>
        <v/>
      </c>
      <c r="F335" t="str">
        <f>IF(A335="","",COUNTIFS(ATTENDANCE_DAILY!C:C,A335,ATTENDANCE_DAILY!E:E,"Absent"))</f>
        <v/>
      </c>
      <c r="G335" s="5" t="e">
        <f t="shared" si="10"/>
        <v>#VALUE!</v>
      </c>
      <c r="H335" s="4" t="e">
        <f t="shared" si="11"/>
        <v>#VALUE!</v>
      </c>
    </row>
    <row r="336" spans="1:8" x14ac:dyDescent="0.3">
      <c r="A336" t="str">
        <f>IF(MASTER_REGISTER!E336="","",MASTER_REGISTER!E336)</f>
        <v/>
      </c>
      <c r="B336" t="str">
        <f>IF(A336="","",MASTER_REGISTER!F336)</f>
        <v/>
      </c>
      <c r="C336" t="str">
        <f>IF(A336="","",MASTER_REGISTER!C336)</f>
        <v/>
      </c>
      <c r="D336" t="str">
        <f>IF(A336="","",COUNTIF(ATTENDANCE_DAILY!C:C,A336))</f>
        <v/>
      </c>
      <c r="E336" t="str">
        <f>IF(A336="","",COUNTIFS(ATTENDANCE_DAILY!C:C,A336,ATTENDANCE_DAILY!E:E,"Present"))</f>
        <v/>
      </c>
      <c r="F336" t="str">
        <f>IF(A336="","",COUNTIFS(ATTENDANCE_DAILY!C:C,A336,ATTENDANCE_DAILY!E:E,"Absent"))</f>
        <v/>
      </c>
      <c r="G336" s="5" t="e">
        <f t="shared" si="10"/>
        <v>#VALUE!</v>
      </c>
      <c r="H336" s="4" t="e">
        <f t="shared" si="11"/>
        <v>#VALUE!</v>
      </c>
    </row>
    <row r="337" spans="1:8" x14ac:dyDescent="0.3">
      <c r="A337" t="str">
        <f>IF(MASTER_REGISTER!E337="","",MASTER_REGISTER!E337)</f>
        <v/>
      </c>
      <c r="B337" t="str">
        <f>IF(A337="","",MASTER_REGISTER!F337)</f>
        <v/>
      </c>
      <c r="C337" t="str">
        <f>IF(A337="","",MASTER_REGISTER!C337)</f>
        <v/>
      </c>
      <c r="D337" t="str">
        <f>IF(A337="","",COUNTIF(ATTENDANCE_DAILY!C:C,A337))</f>
        <v/>
      </c>
      <c r="E337" t="str">
        <f>IF(A337="","",COUNTIFS(ATTENDANCE_DAILY!C:C,A337,ATTENDANCE_DAILY!E:E,"Present"))</f>
        <v/>
      </c>
      <c r="F337" t="str">
        <f>IF(A337="","",COUNTIFS(ATTENDANCE_DAILY!C:C,A337,ATTENDANCE_DAILY!E:E,"Absent"))</f>
        <v/>
      </c>
      <c r="G337" s="5" t="e">
        <f t="shared" si="10"/>
        <v>#VALUE!</v>
      </c>
      <c r="H337" s="4" t="e">
        <f t="shared" si="11"/>
        <v>#VALUE!</v>
      </c>
    </row>
    <row r="338" spans="1:8" x14ac:dyDescent="0.3">
      <c r="A338" t="str">
        <f>IF(MASTER_REGISTER!E338="","",MASTER_REGISTER!E338)</f>
        <v/>
      </c>
      <c r="B338" t="str">
        <f>IF(A338="","",MASTER_REGISTER!F338)</f>
        <v/>
      </c>
      <c r="C338" t="str">
        <f>IF(A338="","",MASTER_REGISTER!C338)</f>
        <v/>
      </c>
      <c r="D338" t="str">
        <f>IF(A338="","",COUNTIF(ATTENDANCE_DAILY!C:C,A338))</f>
        <v/>
      </c>
      <c r="E338" t="str">
        <f>IF(A338="","",COUNTIFS(ATTENDANCE_DAILY!C:C,A338,ATTENDANCE_DAILY!E:E,"Present"))</f>
        <v/>
      </c>
      <c r="F338" t="str">
        <f>IF(A338="","",COUNTIFS(ATTENDANCE_DAILY!C:C,A338,ATTENDANCE_DAILY!E:E,"Absent"))</f>
        <v/>
      </c>
      <c r="G338" s="5" t="e">
        <f t="shared" si="10"/>
        <v>#VALUE!</v>
      </c>
      <c r="H338" s="4" t="e">
        <f t="shared" si="11"/>
        <v>#VALUE!</v>
      </c>
    </row>
    <row r="339" spans="1:8" x14ac:dyDescent="0.3">
      <c r="A339" t="str">
        <f>IF(MASTER_REGISTER!E339="","",MASTER_REGISTER!E339)</f>
        <v/>
      </c>
      <c r="B339" t="str">
        <f>IF(A339="","",MASTER_REGISTER!F339)</f>
        <v/>
      </c>
      <c r="C339" t="str">
        <f>IF(A339="","",MASTER_REGISTER!C339)</f>
        <v/>
      </c>
      <c r="D339" t="str">
        <f>IF(A339="","",COUNTIF(ATTENDANCE_DAILY!C:C,A339))</f>
        <v/>
      </c>
      <c r="E339" t="str">
        <f>IF(A339="","",COUNTIFS(ATTENDANCE_DAILY!C:C,A339,ATTENDANCE_DAILY!E:E,"Present"))</f>
        <v/>
      </c>
      <c r="F339" t="str">
        <f>IF(A339="","",COUNTIFS(ATTENDANCE_DAILY!C:C,A339,ATTENDANCE_DAILY!E:E,"Absent"))</f>
        <v/>
      </c>
      <c r="G339" s="5" t="e">
        <f t="shared" si="10"/>
        <v>#VALUE!</v>
      </c>
      <c r="H339" s="4" t="e">
        <f t="shared" si="11"/>
        <v>#VALUE!</v>
      </c>
    </row>
    <row r="340" spans="1:8" x14ac:dyDescent="0.3">
      <c r="A340" t="str">
        <f>IF(MASTER_REGISTER!E340="","",MASTER_REGISTER!E340)</f>
        <v/>
      </c>
      <c r="B340" t="str">
        <f>IF(A340="","",MASTER_REGISTER!F340)</f>
        <v/>
      </c>
      <c r="C340" t="str">
        <f>IF(A340="","",MASTER_REGISTER!C340)</f>
        <v/>
      </c>
      <c r="D340" t="str">
        <f>IF(A340="","",COUNTIF(ATTENDANCE_DAILY!C:C,A340))</f>
        <v/>
      </c>
      <c r="E340" t="str">
        <f>IF(A340="","",COUNTIFS(ATTENDANCE_DAILY!C:C,A340,ATTENDANCE_DAILY!E:E,"Present"))</f>
        <v/>
      </c>
      <c r="F340" t="str">
        <f>IF(A340="","",COUNTIFS(ATTENDANCE_DAILY!C:C,A340,ATTENDANCE_DAILY!E:E,"Absent"))</f>
        <v/>
      </c>
      <c r="G340" s="5" t="e">
        <f t="shared" si="10"/>
        <v>#VALUE!</v>
      </c>
      <c r="H340" s="4" t="e">
        <f t="shared" si="11"/>
        <v>#VALUE!</v>
      </c>
    </row>
    <row r="341" spans="1:8" x14ac:dyDescent="0.3">
      <c r="A341" t="str">
        <f>IF(MASTER_REGISTER!E341="","",MASTER_REGISTER!E341)</f>
        <v/>
      </c>
      <c r="B341" t="str">
        <f>IF(A341="","",MASTER_REGISTER!F341)</f>
        <v/>
      </c>
      <c r="C341" t="str">
        <f>IF(A341="","",MASTER_REGISTER!C341)</f>
        <v/>
      </c>
      <c r="D341" t="str">
        <f>IF(A341="","",COUNTIF(ATTENDANCE_DAILY!C:C,A341))</f>
        <v/>
      </c>
      <c r="E341" t="str">
        <f>IF(A341="","",COUNTIFS(ATTENDANCE_DAILY!C:C,A341,ATTENDANCE_DAILY!E:E,"Present"))</f>
        <v/>
      </c>
      <c r="F341" t="str">
        <f>IF(A341="","",COUNTIFS(ATTENDANCE_DAILY!C:C,A341,ATTENDANCE_DAILY!E:E,"Absent"))</f>
        <v/>
      </c>
      <c r="G341" s="5" t="e">
        <f t="shared" si="10"/>
        <v>#VALUE!</v>
      </c>
      <c r="H341" s="4" t="e">
        <f t="shared" si="11"/>
        <v>#VALUE!</v>
      </c>
    </row>
    <row r="342" spans="1:8" x14ac:dyDescent="0.3">
      <c r="A342" t="str">
        <f>IF(MASTER_REGISTER!E342="","",MASTER_REGISTER!E342)</f>
        <v/>
      </c>
      <c r="B342" t="str">
        <f>IF(A342="","",MASTER_REGISTER!F342)</f>
        <v/>
      </c>
      <c r="C342" t="str">
        <f>IF(A342="","",MASTER_REGISTER!C342)</f>
        <v/>
      </c>
      <c r="D342" t="str">
        <f>IF(A342="","",COUNTIF(ATTENDANCE_DAILY!C:C,A342))</f>
        <v/>
      </c>
      <c r="E342" t="str">
        <f>IF(A342="","",COUNTIFS(ATTENDANCE_DAILY!C:C,A342,ATTENDANCE_DAILY!E:E,"Present"))</f>
        <v/>
      </c>
      <c r="F342" t="str">
        <f>IF(A342="","",COUNTIFS(ATTENDANCE_DAILY!C:C,A342,ATTENDANCE_DAILY!E:E,"Absent"))</f>
        <v/>
      </c>
      <c r="G342" s="5" t="e">
        <f t="shared" si="10"/>
        <v>#VALUE!</v>
      </c>
      <c r="H342" s="4" t="e">
        <f t="shared" si="11"/>
        <v>#VALUE!</v>
      </c>
    </row>
    <row r="343" spans="1:8" x14ac:dyDescent="0.3">
      <c r="A343" t="str">
        <f>IF(MASTER_REGISTER!E343="","",MASTER_REGISTER!E343)</f>
        <v/>
      </c>
      <c r="B343" t="str">
        <f>IF(A343="","",MASTER_REGISTER!F343)</f>
        <v/>
      </c>
      <c r="C343" t="str">
        <f>IF(A343="","",MASTER_REGISTER!C343)</f>
        <v/>
      </c>
      <c r="D343" t="str">
        <f>IF(A343="","",COUNTIF(ATTENDANCE_DAILY!C:C,A343))</f>
        <v/>
      </c>
      <c r="E343" t="str">
        <f>IF(A343="","",COUNTIFS(ATTENDANCE_DAILY!C:C,A343,ATTENDANCE_DAILY!E:E,"Present"))</f>
        <v/>
      </c>
      <c r="F343" t="str">
        <f>IF(A343="","",COUNTIFS(ATTENDANCE_DAILY!C:C,A343,ATTENDANCE_DAILY!E:E,"Absent"))</f>
        <v/>
      </c>
      <c r="G343" s="5" t="e">
        <f t="shared" si="10"/>
        <v>#VALUE!</v>
      </c>
      <c r="H343" s="4" t="e">
        <f t="shared" si="11"/>
        <v>#VALUE!</v>
      </c>
    </row>
    <row r="344" spans="1:8" x14ac:dyDescent="0.3">
      <c r="A344" t="str">
        <f>IF(MASTER_REGISTER!E344="","",MASTER_REGISTER!E344)</f>
        <v/>
      </c>
      <c r="B344" t="str">
        <f>IF(A344="","",MASTER_REGISTER!F344)</f>
        <v/>
      </c>
      <c r="C344" t="str">
        <f>IF(A344="","",MASTER_REGISTER!C344)</f>
        <v/>
      </c>
      <c r="D344" t="str">
        <f>IF(A344="","",COUNTIF(ATTENDANCE_DAILY!C:C,A344))</f>
        <v/>
      </c>
      <c r="E344" t="str">
        <f>IF(A344="","",COUNTIFS(ATTENDANCE_DAILY!C:C,A344,ATTENDANCE_DAILY!E:E,"Present"))</f>
        <v/>
      </c>
      <c r="F344" t="str">
        <f>IF(A344="","",COUNTIFS(ATTENDANCE_DAILY!C:C,A344,ATTENDANCE_DAILY!E:E,"Absent"))</f>
        <v/>
      </c>
      <c r="G344" s="5" t="e">
        <f t="shared" si="10"/>
        <v>#VALUE!</v>
      </c>
      <c r="H344" s="4" t="e">
        <f t="shared" si="11"/>
        <v>#VALUE!</v>
      </c>
    </row>
    <row r="345" spans="1:8" x14ac:dyDescent="0.3">
      <c r="A345" t="str">
        <f>IF(MASTER_REGISTER!E345="","",MASTER_REGISTER!E345)</f>
        <v/>
      </c>
      <c r="B345" t="str">
        <f>IF(A345="","",MASTER_REGISTER!F345)</f>
        <v/>
      </c>
      <c r="C345" t="str">
        <f>IF(A345="","",MASTER_REGISTER!C345)</f>
        <v/>
      </c>
      <c r="D345" t="str">
        <f>IF(A345="","",COUNTIF(ATTENDANCE_DAILY!C:C,A345))</f>
        <v/>
      </c>
      <c r="E345" t="str">
        <f>IF(A345="","",COUNTIFS(ATTENDANCE_DAILY!C:C,A345,ATTENDANCE_DAILY!E:E,"Present"))</f>
        <v/>
      </c>
      <c r="F345" t="str">
        <f>IF(A345="","",COUNTIFS(ATTENDANCE_DAILY!C:C,A345,ATTENDANCE_DAILY!E:E,"Absent"))</f>
        <v/>
      </c>
      <c r="G345" s="5" t="e">
        <f t="shared" si="10"/>
        <v>#VALUE!</v>
      </c>
      <c r="H345" s="4" t="e">
        <f t="shared" si="11"/>
        <v>#VALUE!</v>
      </c>
    </row>
    <row r="346" spans="1:8" x14ac:dyDescent="0.3">
      <c r="A346" t="str">
        <f>IF(MASTER_REGISTER!E346="","",MASTER_REGISTER!E346)</f>
        <v/>
      </c>
      <c r="B346" t="str">
        <f>IF(A346="","",MASTER_REGISTER!F346)</f>
        <v/>
      </c>
      <c r="C346" t="str">
        <f>IF(A346="","",MASTER_REGISTER!C346)</f>
        <v/>
      </c>
      <c r="D346" t="str">
        <f>IF(A346="","",COUNTIF(ATTENDANCE_DAILY!C:C,A346))</f>
        <v/>
      </c>
      <c r="E346" t="str">
        <f>IF(A346="","",COUNTIFS(ATTENDANCE_DAILY!C:C,A346,ATTENDANCE_DAILY!E:E,"Present"))</f>
        <v/>
      </c>
      <c r="F346" t="str">
        <f>IF(A346="","",COUNTIFS(ATTENDANCE_DAILY!C:C,A346,ATTENDANCE_DAILY!E:E,"Absent"))</f>
        <v/>
      </c>
      <c r="G346" s="5" t="e">
        <f t="shared" si="10"/>
        <v>#VALUE!</v>
      </c>
      <c r="H346" s="4" t="e">
        <f t="shared" si="11"/>
        <v>#VALUE!</v>
      </c>
    </row>
    <row r="347" spans="1:8" x14ac:dyDescent="0.3">
      <c r="A347" t="str">
        <f>IF(MASTER_REGISTER!E347="","",MASTER_REGISTER!E347)</f>
        <v/>
      </c>
      <c r="B347" t="str">
        <f>IF(A347="","",MASTER_REGISTER!F347)</f>
        <v/>
      </c>
      <c r="C347" t="str">
        <f>IF(A347="","",MASTER_REGISTER!C347)</f>
        <v/>
      </c>
      <c r="D347" t="str">
        <f>IF(A347="","",COUNTIF(ATTENDANCE_DAILY!C:C,A347))</f>
        <v/>
      </c>
      <c r="E347" t="str">
        <f>IF(A347="","",COUNTIFS(ATTENDANCE_DAILY!C:C,A347,ATTENDANCE_DAILY!E:E,"Present"))</f>
        <v/>
      </c>
      <c r="F347" t="str">
        <f>IF(A347="","",COUNTIFS(ATTENDANCE_DAILY!C:C,A347,ATTENDANCE_DAILY!E:E,"Absent"))</f>
        <v/>
      </c>
      <c r="G347" s="5" t="e">
        <f t="shared" si="10"/>
        <v>#VALUE!</v>
      </c>
      <c r="H347" s="4" t="e">
        <f t="shared" si="11"/>
        <v>#VALUE!</v>
      </c>
    </row>
    <row r="348" spans="1:8" x14ac:dyDescent="0.3">
      <c r="A348" t="str">
        <f>IF(MASTER_REGISTER!E348="","",MASTER_REGISTER!E348)</f>
        <v/>
      </c>
      <c r="B348" t="str">
        <f>IF(A348="","",MASTER_REGISTER!F348)</f>
        <v/>
      </c>
      <c r="C348" t="str">
        <f>IF(A348="","",MASTER_REGISTER!C348)</f>
        <v/>
      </c>
      <c r="D348" t="str">
        <f>IF(A348="","",COUNTIF(ATTENDANCE_DAILY!C:C,A348))</f>
        <v/>
      </c>
      <c r="E348" t="str">
        <f>IF(A348="","",COUNTIFS(ATTENDANCE_DAILY!C:C,A348,ATTENDANCE_DAILY!E:E,"Present"))</f>
        <v/>
      </c>
      <c r="F348" t="str">
        <f>IF(A348="","",COUNTIFS(ATTENDANCE_DAILY!C:C,A348,ATTENDANCE_DAILY!E:E,"Absent"))</f>
        <v/>
      </c>
      <c r="G348" s="5" t="e">
        <f t="shared" si="10"/>
        <v>#VALUE!</v>
      </c>
      <c r="H348" s="4" t="e">
        <f t="shared" si="11"/>
        <v>#VALUE!</v>
      </c>
    </row>
    <row r="349" spans="1:8" x14ac:dyDescent="0.3">
      <c r="A349" t="str">
        <f>IF(MASTER_REGISTER!E349="","",MASTER_REGISTER!E349)</f>
        <v/>
      </c>
      <c r="B349" t="str">
        <f>IF(A349="","",MASTER_REGISTER!F349)</f>
        <v/>
      </c>
      <c r="C349" t="str">
        <f>IF(A349="","",MASTER_REGISTER!C349)</f>
        <v/>
      </c>
      <c r="D349" t="str">
        <f>IF(A349="","",COUNTIF(ATTENDANCE_DAILY!C:C,A349))</f>
        <v/>
      </c>
      <c r="E349" t="str">
        <f>IF(A349="","",COUNTIFS(ATTENDANCE_DAILY!C:C,A349,ATTENDANCE_DAILY!E:E,"Present"))</f>
        <v/>
      </c>
      <c r="F349" t="str">
        <f>IF(A349="","",COUNTIFS(ATTENDANCE_DAILY!C:C,A349,ATTENDANCE_DAILY!E:E,"Absent"))</f>
        <v/>
      </c>
      <c r="G349" s="5" t="e">
        <f t="shared" si="10"/>
        <v>#VALUE!</v>
      </c>
      <c r="H349" s="4" t="e">
        <f t="shared" si="11"/>
        <v>#VALUE!</v>
      </c>
    </row>
    <row r="350" spans="1:8" x14ac:dyDescent="0.3">
      <c r="A350" t="str">
        <f>IF(MASTER_REGISTER!E350="","",MASTER_REGISTER!E350)</f>
        <v/>
      </c>
      <c r="B350" t="str">
        <f>IF(A350="","",MASTER_REGISTER!F350)</f>
        <v/>
      </c>
      <c r="C350" t="str">
        <f>IF(A350="","",MASTER_REGISTER!C350)</f>
        <v/>
      </c>
      <c r="D350" t="str">
        <f>IF(A350="","",COUNTIF(ATTENDANCE_DAILY!C:C,A350))</f>
        <v/>
      </c>
      <c r="E350" t="str">
        <f>IF(A350="","",COUNTIFS(ATTENDANCE_DAILY!C:C,A350,ATTENDANCE_DAILY!E:E,"Present"))</f>
        <v/>
      </c>
      <c r="F350" t="str">
        <f>IF(A350="","",COUNTIFS(ATTENDANCE_DAILY!C:C,A350,ATTENDANCE_DAILY!E:E,"Absent"))</f>
        <v/>
      </c>
      <c r="G350" s="5" t="e">
        <f t="shared" si="10"/>
        <v>#VALUE!</v>
      </c>
      <c r="H350" s="4" t="e">
        <f t="shared" si="11"/>
        <v>#VALUE!</v>
      </c>
    </row>
    <row r="351" spans="1:8" x14ac:dyDescent="0.3">
      <c r="A351" t="str">
        <f>IF(MASTER_REGISTER!E351="","",MASTER_REGISTER!E351)</f>
        <v/>
      </c>
      <c r="B351" t="str">
        <f>IF(A351="","",MASTER_REGISTER!F351)</f>
        <v/>
      </c>
      <c r="C351" t="str">
        <f>IF(A351="","",MASTER_REGISTER!C351)</f>
        <v/>
      </c>
      <c r="D351" t="str">
        <f>IF(A351="","",COUNTIF(ATTENDANCE_DAILY!C:C,A351))</f>
        <v/>
      </c>
      <c r="E351" t="str">
        <f>IF(A351="","",COUNTIFS(ATTENDANCE_DAILY!C:C,A351,ATTENDANCE_DAILY!E:E,"Present"))</f>
        <v/>
      </c>
      <c r="F351" t="str">
        <f>IF(A351="","",COUNTIFS(ATTENDANCE_DAILY!C:C,A351,ATTENDANCE_DAILY!E:E,"Absent"))</f>
        <v/>
      </c>
      <c r="G351" s="5" t="e">
        <f t="shared" si="10"/>
        <v>#VALUE!</v>
      </c>
      <c r="H351" s="4" t="e">
        <f t="shared" si="11"/>
        <v>#VALUE!</v>
      </c>
    </row>
    <row r="352" spans="1:8" x14ac:dyDescent="0.3">
      <c r="A352" t="str">
        <f>IF(MASTER_REGISTER!E352="","",MASTER_REGISTER!E352)</f>
        <v/>
      </c>
      <c r="B352" t="str">
        <f>IF(A352="","",MASTER_REGISTER!F352)</f>
        <v/>
      </c>
      <c r="C352" t="str">
        <f>IF(A352="","",MASTER_REGISTER!C352)</f>
        <v/>
      </c>
      <c r="D352" t="str">
        <f>IF(A352="","",COUNTIF(ATTENDANCE_DAILY!C:C,A352))</f>
        <v/>
      </c>
      <c r="E352" t="str">
        <f>IF(A352="","",COUNTIFS(ATTENDANCE_DAILY!C:C,A352,ATTENDANCE_DAILY!E:E,"Present"))</f>
        <v/>
      </c>
      <c r="F352" t="str">
        <f>IF(A352="","",COUNTIFS(ATTENDANCE_DAILY!C:C,A352,ATTENDANCE_DAILY!E:E,"Absent"))</f>
        <v/>
      </c>
      <c r="G352" s="5" t="e">
        <f t="shared" si="10"/>
        <v>#VALUE!</v>
      </c>
      <c r="H352" s="4" t="e">
        <f t="shared" si="11"/>
        <v>#VALUE!</v>
      </c>
    </row>
    <row r="353" spans="1:8" x14ac:dyDescent="0.3">
      <c r="A353" t="str">
        <f>IF(MASTER_REGISTER!E353="","",MASTER_REGISTER!E353)</f>
        <v/>
      </c>
      <c r="B353" t="str">
        <f>IF(A353="","",MASTER_REGISTER!F353)</f>
        <v/>
      </c>
      <c r="C353" t="str">
        <f>IF(A353="","",MASTER_REGISTER!C353)</f>
        <v/>
      </c>
      <c r="D353" t="str">
        <f>IF(A353="","",COUNTIF(ATTENDANCE_DAILY!C:C,A353))</f>
        <v/>
      </c>
      <c r="E353" t="str">
        <f>IF(A353="","",COUNTIFS(ATTENDANCE_DAILY!C:C,A353,ATTENDANCE_DAILY!E:E,"Present"))</f>
        <v/>
      </c>
      <c r="F353" t="str">
        <f>IF(A353="","",COUNTIFS(ATTENDANCE_DAILY!C:C,A353,ATTENDANCE_DAILY!E:E,"Absent"))</f>
        <v/>
      </c>
      <c r="G353" s="5" t="e">
        <f t="shared" si="10"/>
        <v>#VALUE!</v>
      </c>
      <c r="H353" s="4" t="e">
        <f t="shared" si="11"/>
        <v>#VALUE!</v>
      </c>
    </row>
    <row r="354" spans="1:8" x14ac:dyDescent="0.3">
      <c r="A354" t="str">
        <f>IF(MASTER_REGISTER!E354="","",MASTER_REGISTER!E354)</f>
        <v/>
      </c>
      <c r="B354" t="str">
        <f>IF(A354="","",MASTER_REGISTER!F354)</f>
        <v/>
      </c>
      <c r="C354" t="str">
        <f>IF(A354="","",MASTER_REGISTER!C354)</f>
        <v/>
      </c>
      <c r="D354" t="str">
        <f>IF(A354="","",COUNTIF(ATTENDANCE_DAILY!C:C,A354))</f>
        <v/>
      </c>
      <c r="E354" t="str">
        <f>IF(A354="","",COUNTIFS(ATTENDANCE_DAILY!C:C,A354,ATTENDANCE_DAILY!E:E,"Present"))</f>
        <v/>
      </c>
      <c r="F354" t="str">
        <f>IF(A354="","",COUNTIFS(ATTENDANCE_DAILY!C:C,A354,ATTENDANCE_DAILY!E:E,"Absent"))</f>
        <v/>
      </c>
      <c r="G354" s="5" t="e">
        <f t="shared" si="10"/>
        <v>#VALUE!</v>
      </c>
      <c r="H354" s="4" t="e">
        <f t="shared" si="11"/>
        <v>#VALUE!</v>
      </c>
    </row>
    <row r="355" spans="1:8" x14ac:dyDescent="0.3">
      <c r="A355" t="str">
        <f>IF(MASTER_REGISTER!E355="","",MASTER_REGISTER!E355)</f>
        <v/>
      </c>
      <c r="B355" t="str">
        <f>IF(A355="","",MASTER_REGISTER!F355)</f>
        <v/>
      </c>
      <c r="C355" t="str">
        <f>IF(A355="","",MASTER_REGISTER!C355)</f>
        <v/>
      </c>
      <c r="D355" t="str">
        <f>IF(A355="","",COUNTIF(ATTENDANCE_DAILY!C:C,A355))</f>
        <v/>
      </c>
      <c r="E355" t="str">
        <f>IF(A355="","",COUNTIFS(ATTENDANCE_DAILY!C:C,A355,ATTENDANCE_DAILY!E:E,"Present"))</f>
        <v/>
      </c>
      <c r="F355" t="str">
        <f>IF(A355="","",COUNTIFS(ATTENDANCE_DAILY!C:C,A355,ATTENDANCE_DAILY!E:E,"Absent"))</f>
        <v/>
      </c>
      <c r="G355" s="5" t="e">
        <f t="shared" si="10"/>
        <v>#VALUE!</v>
      </c>
      <c r="H355" s="4" t="e">
        <f t="shared" si="11"/>
        <v>#VALUE!</v>
      </c>
    </row>
    <row r="356" spans="1:8" x14ac:dyDescent="0.3">
      <c r="A356" t="str">
        <f>IF(MASTER_REGISTER!E356="","",MASTER_REGISTER!E356)</f>
        <v/>
      </c>
      <c r="B356" t="str">
        <f>IF(A356="","",MASTER_REGISTER!F356)</f>
        <v/>
      </c>
      <c r="C356" t="str">
        <f>IF(A356="","",MASTER_REGISTER!C356)</f>
        <v/>
      </c>
      <c r="D356" t="str">
        <f>IF(A356="","",COUNTIF(ATTENDANCE_DAILY!C:C,A356))</f>
        <v/>
      </c>
      <c r="E356" t="str">
        <f>IF(A356="","",COUNTIFS(ATTENDANCE_DAILY!C:C,A356,ATTENDANCE_DAILY!E:E,"Present"))</f>
        <v/>
      </c>
      <c r="F356" t="str">
        <f>IF(A356="","",COUNTIFS(ATTENDANCE_DAILY!C:C,A356,ATTENDANCE_DAILY!E:E,"Absent"))</f>
        <v/>
      </c>
      <c r="G356" s="5" t="e">
        <f t="shared" si="10"/>
        <v>#VALUE!</v>
      </c>
      <c r="H356" s="4" t="e">
        <f t="shared" si="11"/>
        <v>#VALUE!</v>
      </c>
    </row>
    <row r="357" spans="1:8" x14ac:dyDescent="0.3">
      <c r="A357" t="str">
        <f>IF(MASTER_REGISTER!E357="","",MASTER_REGISTER!E357)</f>
        <v/>
      </c>
      <c r="B357" t="str">
        <f>IF(A357="","",MASTER_REGISTER!F357)</f>
        <v/>
      </c>
      <c r="C357" t="str">
        <f>IF(A357="","",MASTER_REGISTER!C357)</f>
        <v/>
      </c>
      <c r="D357" t="str">
        <f>IF(A357="","",COUNTIF(ATTENDANCE_DAILY!C:C,A357))</f>
        <v/>
      </c>
      <c r="E357" t="str">
        <f>IF(A357="","",COUNTIFS(ATTENDANCE_DAILY!C:C,A357,ATTENDANCE_DAILY!E:E,"Present"))</f>
        <v/>
      </c>
      <c r="F357" t="str">
        <f>IF(A357="","",COUNTIFS(ATTENDANCE_DAILY!C:C,A357,ATTENDANCE_DAILY!E:E,"Absent"))</f>
        <v/>
      </c>
      <c r="G357" s="5" t="e">
        <f t="shared" si="10"/>
        <v>#VALUE!</v>
      </c>
      <c r="H357" s="4" t="e">
        <f t="shared" si="11"/>
        <v>#VALUE!</v>
      </c>
    </row>
    <row r="358" spans="1:8" x14ac:dyDescent="0.3">
      <c r="A358" t="str">
        <f>IF(MASTER_REGISTER!E358="","",MASTER_REGISTER!E358)</f>
        <v/>
      </c>
      <c r="B358" t="str">
        <f>IF(A358="","",MASTER_REGISTER!F358)</f>
        <v/>
      </c>
      <c r="C358" t="str">
        <f>IF(A358="","",MASTER_REGISTER!C358)</f>
        <v/>
      </c>
      <c r="D358" t="str">
        <f>IF(A358="","",COUNTIF(ATTENDANCE_DAILY!C:C,A358))</f>
        <v/>
      </c>
      <c r="E358" t="str">
        <f>IF(A358="","",COUNTIFS(ATTENDANCE_DAILY!C:C,A358,ATTENDANCE_DAILY!E:E,"Present"))</f>
        <v/>
      </c>
      <c r="F358" t="str">
        <f>IF(A358="","",COUNTIFS(ATTENDANCE_DAILY!C:C,A358,ATTENDANCE_DAILY!E:E,"Absent"))</f>
        <v/>
      </c>
      <c r="G358" s="5" t="e">
        <f t="shared" si="10"/>
        <v>#VALUE!</v>
      </c>
      <c r="H358" s="4" t="e">
        <f t="shared" si="11"/>
        <v>#VALUE!</v>
      </c>
    </row>
    <row r="359" spans="1:8" x14ac:dyDescent="0.3">
      <c r="A359" t="str">
        <f>IF(MASTER_REGISTER!E359="","",MASTER_REGISTER!E359)</f>
        <v/>
      </c>
      <c r="B359" t="str">
        <f>IF(A359="","",MASTER_REGISTER!F359)</f>
        <v/>
      </c>
      <c r="C359" t="str">
        <f>IF(A359="","",MASTER_REGISTER!C359)</f>
        <v/>
      </c>
      <c r="D359" t="str">
        <f>IF(A359="","",COUNTIF(ATTENDANCE_DAILY!C:C,A359))</f>
        <v/>
      </c>
      <c r="E359" t="str">
        <f>IF(A359="","",COUNTIFS(ATTENDANCE_DAILY!C:C,A359,ATTENDANCE_DAILY!E:E,"Present"))</f>
        <v/>
      </c>
      <c r="F359" t="str">
        <f>IF(A359="","",COUNTIFS(ATTENDANCE_DAILY!C:C,A359,ATTENDANCE_DAILY!E:E,"Absent"))</f>
        <v/>
      </c>
      <c r="G359" s="5" t="e">
        <f t="shared" si="10"/>
        <v>#VALUE!</v>
      </c>
      <c r="H359" s="4" t="e">
        <f t="shared" si="11"/>
        <v>#VALUE!</v>
      </c>
    </row>
    <row r="360" spans="1:8" x14ac:dyDescent="0.3">
      <c r="A360" t="str">
        <f>IF(MASTER_REGISTER!E360="","",MASTER_REGISTER!E360)</f>
        <v/>
      </c>
      <c r="B360" t="str">
        <f>IF(A360="","",MASTER_REGISTER!F360)</f>
        <v/>
      </c>
      <c r="C360" t="str">
        <f>IF(A360="","",MASTER_REGISTER!C360)</f>
        <v/>
      </c>
      <c r="D360" t="str">
        <f>IF(A360="","",COUNTIF(ATTENDANCE_DAILY!C:C,A360))</f>
        <v/>
      </c>
      <c r="E360" t="str">
        <f>IF(A360="","",COUNTIFS(ATTENDANCE_DAILY!C:C,A360,ATTENDANCE_DAILY!E:E,"Present"))</f>
        <v/>
      </c>
      <c r="F360" t="str">
        <f>IF(A360="","",COUNTIFS(ATTENDANCE_DAILY!C:C,A360,ATTENDANCE_DAILY!E:E,"Absent"))</f>
        <v/>
      </c>
      <c r="G360" s="5" t="e">
        <f t="shared" si="10"/>
        <v>#VALUE!</v>
      </c>
      <c r="H360" s="4" t="e">
        <f t="shared" si="11"/>
        <v>#VALUE!</v>
      </c>
    </row>
    <row r="361" spans="1:8" x14ac:dyDescent="0.3">
      <c r="A361" t="str">
        <f>IF(MASTER_REGISTER!E361="","",MASTER_REGISTER!E361)</f>
        <v/>
      </c>
      <c r="B361" t="str">
        <f>IF(A361="","",MASTER_REGISTER!F361)</f>
        <v/>
      </c>
      <c r="C361" t="str">
        <f>IF(A361="","",MASTER_REGISTER!C361)</f>
        <v/>
      </c>
      <c r="D361" t="str">
        <f>IF(A361="","",COUNTIF(ATTENDANCE_DAILY!C:C,A361))</f>
        <v/>
      </c>
      <c r="E361" t="str">
        <f>IF(A361="","",COUNTIFS(ATTENDANCE_DAILY!C:C,A361,ATTENDANCE_DAILY!E:E,"Present"))</f>
        <v/>
      </c>
      <c r="F361" t="str">
        <f>IF(A361="","",COUNTIFS(ATTENDANCE_DAILY!C:C,A361,ATTENDANCE_DAILY!E:E,"Absent"))</f>
        <v/>
      </c>
      <c r="G361" s="5" t="e">
        <f t="shared" si="10"/>
        <v>#VALUE!</v>
      </c>
      <c r="H361" s="4" t="e">
        <f t="shared" si="11"/>
        <v>#VALUE!</v>
      </c>
    </row>
    <row r="362" spans="1:8" x14ac:dyDescent="0.3">
      <c r="A362" t="str">
        <f>IF(MASTER_REGISTER!E362="","",MASTER_REGISTER!E362)</f>
        <v/>
      </c>
      <c r="B362" t="str">
        <f>IF(A362="","",MASTER_REGISTER!F362)</f>
        <v/>
      </c>
      <c r="C362" t="str">
        <f>IF(A362="","",MASTER_REGISTER!C362)</f>
        <v/>
      </c>
      <c r="D362" t="str">
        <f>IF(A362="","",COUNTIF(ATTENDANCE_DAILY!C:C,A362))</f>
        <v/>
      </c>
      <c r="E362" t="str">
        <f>IF(A362="","",COUNTIFS(ATTENDANCE_DAILY!C:C,A362,ATTENDANCE_DAILY!E:E,"Present"))</f>
        <v/>
      </c>
      <c r="F362" t="str">
        <f>IF(A362="","",COUNTIFS(ATTENDANCE_DAILY!C:C,A362,ATTENDANCE_DAILY!E:E,"Absent"))</f>
        <v/>
      </c>
      <c r="G362" s="5" t="e">
        <f t="shared" si="10"/>
        <v>#VALUE!</v>
      </c>
      <c r="H362" s="4" t="e">
        <f t="shared" si="11"/>
        <v>#VALUE!</v>
      </c>
    </row>
    <row r="363" spans="1:8" x14ac:dyDescent="0.3">
      <c r="A363" t="str">
        <f>IF(MASTER_REGISTER!E363="","",MASTER_REGISTER!E363)</f>
        <v/>
      </c>
      <c r="B363" t="str">
        <f>IF(A363="","",MASTER_REGISTER!F363)</f>
        <v/>
      </c>
      <c r="C363" t="str">
        <f>IF(A363="","",MASTER_REGISTER!C363)</f>
        <v/>
      </c>
      <c r="D363" t="str">
        <f>IF(A363="","",COUNTIF(ATTENDANCE_DAILY!C:C,A363))</f>
        <v/>
      </c>
      <c r="E363" t="str">
        <f>IF(A363="","",COUNTIFS(ATTENDANCE_DAILY!C:C,A363,ATTENDANCE_DAILY!E:E,"Present"))</f>
        <v/>
      </c>
      <c r="F363" t="str">
        <f>IF(A363="","",COUNTIFS(ATTENDANCE_DAILY!C:C,A363,ATTENDANCE_DAILY!E:E,"Absent"))</f>
        <v/>
      </c>
      <c r="G363" s="5" t="e">
        <f t="shared" si="10"/>
        <v>#VALUE!</v>
      </c>
      <c r="H363" s="4" t="e">
        <f t="shared" si="11"/>
        <v>#VALUE!</v>
      </c>
    </row>
    <row r="364" spans="1:8" x14ac:dyDescent="0.3">
      <c r="A364" t="str">
        <f>IF(MASTER_REGISTER!E364="","",MASTER_REGISTER!E364)</f>
        <v/>
      </c>
      <c r="B364" t="str">
        <f>IF(A364="","",MASTER_REGISTER!F364)</f>
        <v/>
      </c>
      <c r="C364" t="str">
        <f>IF(A364="","",MASTER_REGISTER!C364)</f>
        <v/>
      </c>
      <c r="D364" t="str">
        <f>IF(A364="","",COUNTIF(ATTENDANCE_DAILY!C:C,A364))</f>
        <v/>
      </c>
      <c r="E364" t="str">
        <f>IF(A364="","",COUNTIFS(ATTENDANCE_DAILY!C:C,A364,ATTENDANCE_DAILY!E:E,"Present"))</f>
        <v/>
      </c>
      <c r="F364" t="str">
        <f>IF(A364="","",COUNTIFS(ATTENDANCE_DAILY!C:C,A364,ATTENDANCE_DAILY!E:E,"Absent"))</f>
        <v/>
      </c>
      <c r="G364" s="5" t="e">
        <f t="shared" si="10"/>
        <v>#VALUE!</v>
      </c>
      <c r="H364" s="4" t="e">
        <f t="shared" si="11"/>
        <v>#VALUE!</v>
      </c>
    </row>
    <row r="365" spans="1:8" x14ac:dyDescent="0.3">
      <c r="A365" t="str">
        <f>IF(MASTER_REGISTER!E365="","",MASTER_REGISTER!E365)</f>
        <v/>
      </c>
      <c r="B365" t="str">
        <f>IF(A365="","",MASTER_REGISTER!F365)</f>
        <v/>
      </c>
      <c r="C365" t="str">
        <f>IF(A365="","",MASTER_REGISTER!C365)</f>
        <v/>
      </c>
      <c r="D365" t="str">
        <f>IF(A365="","",COUNTIF(ATTENDANCE_DAILY!C:C,A365))</f>
        <v/>
      </c>
      <c r="E365" t="str">
        <f>IF(A365="","",COUNTIFS(ATTENDANCE_DAILY!C:C,A365,ATTENDANCE_DAILY!E:E,"Present"))</f>
        <v/>
      </c>
      <c r="F365" t="str">
        <f>IF(A365="","",COUNTIFS(ATTENDANCE_DAILY!C:C,A365,ATTENDANCE_DAILY!E:E,"Absent"))</f>
        <v/>
      </c>
      <c r="G365" s="5" t="e">
        <f t="shared" si="10"/>
        <v>#VALUE!</v>
      </c>
      <c r="H365" s="4" t="e">
        <f t="shared" si="11"/>
        <v>#VALUE!</v>
      </c>
    </row>
    <row r="366" spans="1:8" x14ac:dyDescent="0.3">
      <c r="A366" t="str">
        <f>IF(MASTER_REGISTER!E366="","",MASTER_REGISTER!E366)</f>
        <v/>
      </c>
      <c r="B366" t="str">
        <f>IF(A366="","",MASTER_REGISTER!F366)</f>
        <v/>
      </c>
      <c r="C366" t="str">
        <f>IF(A366="","",MASTER_REGISTER!C366)</f>
        <v/>
      </c>
      <c r="D366" t="str">
        <f>IF(A366="","",COUNTIF(ATTENDANCE_DAILY!C:C,A366))</f>
        <v/>
      </c>
      <c r="E366" t="str">
        <f>IF(A366="","",COUNTIFS(ATTENDANCE_DAILY!C:C,A366,ATTENDANCE_DAILY!E:E,"Present"))</f>
        <v/>
      </c>
      <c r="F366" t="str">
        <f>IF(A366="","",COUNTIFS(ATTENDANCE_DAILY!C:C,A366,ATTENDANCE_DAILY!E:E,"Absent"))</f>
        <v/>
      </c>
      <c r="G366" s="5" t="e">
        <f t="shared" si="10"/>
        <v>#VALUE!</v>
      </c>
      <c r="H366" s="4" t="e">
        <f t="shared" si="11"/>
        <v>#VALUE!</v>
      </c>
    </row>
    <row r="367" spans="1:8" x14ac:dyDescent="0.3">
      <c r="A367" t="str">
        <f>IF(MASTER_REGISTER!E367="","",MASTER_REGISTER!E367)</f>
        <v/>
      </c>
      <c r="B367" t="str">
        <f>IF(A367="","",MASTER_REGISTER!F367)</f>
        <v/>
      </c>
      <c r="C367" t="str">
        <f>IF(A367="","",MASTER_REGISTER!C367)</f>
        <v/>
      </c>
      <c r="D367" t="str">
        <f>IF(A367="","",COUNTIF(ATTENDANCE_DAILY!C:C,A367))</f>
        <v/>
      </c>
      <c r="E367" t="str">
        <f>IF(A367="","",COUNTIFS(ATTENDANCE_DAILY!C:C,A367,ATTENDANCE_DAILY!E:E,"Present"))</f>
        <v/>
      </c>
      <c r="F367" t="str">
        <f>IF(A367="","",COUNTIFS(ATTENDANCE_DAILY!C:C,A367,ATTENDANCE_DAILY!E:E,"Absent"))</f>
        <v/>
      </c>
      <c r="G367" s="5" t="e">
        <f t="shared" si="10"/>
        <v>#VALUE!</v>
      </c>
      <c r="H367" s="4" t="e">
        <f t="shared" si="11"/>
        <v>#VALUE!</v>
      </c>
    </row>
    <row r="368" spans="1:8" x14ac:dyDescent="0.3">
      <c r="A368" t="str">
        <f>IF(MASTER_REGISTER!E368="","",MASTER_REGISTER!E368)</f>
        <v/>
      </c>
      <c r="B368" t="str">
        <f>IF(A368="","",MASTER_REGISTER!F368)</f>
        <v/>
      </c>
      <c r="C368" t="str">
        <f>IF(A368="","",MASTER_REGISTER!C368)</f>
        <v/>
      </c>
      <c r="D368" t="str">
        <f>IF(A368="","",COUNTIF(ATTENDANCE_DAILY!C:C,A368))</f>
        <v/>
      </c>
      <c r="E368" t="str">
        <f>IF(A368="","",COUNTIFS(ATTENDANCE_DAILY!C:C,A368,ATTENDANCE_DAILY!E:E,"Present"))</f>
        <v/>
      </c>
      <c r="F368" t="str">
        <f>IF(A368="","",COUNTIFS(ATTENDANCE_DAILY!C:C,A368,ATTENDANCE_DAILY!E:E,"Absent"))</f>
        <v/>
      </c>
      <c r="G368" s="5" t="e">
        <f t="shared" si="10"/>
        <v>#VALUE!</v>
      </c>
      <c r="H368" s="4" t="e">
        <f t="shared" si="11"/>
        <v>#VALUE!</v>
      </c>
    </row>
    <row r="369" spans="1:8" x14ac:dyDescent="0.3">
      <c r="A369" t="str">
        <f>IF(MASTER_REGISTER!E369="","",MASTER_REGISTER!E369)</f>
        <v/>
      </c>
      <c r="B369" t="str">
        <f>IF(A369="","",MASTER_REGISTER!F369)</f>
        <v/>
      </c>
      <c r="C369" t="str">
        <f>IF(A369="","",MASTER_REGISTER!C369)</f>
        <v/>
      </c>
      <c r="D369" t="str">
        <f>IF(A369="","",COUNTIF(ATTENDANCE_DAILY!C:C,A369))</f>
        <v/>
      </c>
      <c r="E369" t="str">
        <f>IF(A369="","",COUNTIFS(ATTENDANCE_DAILY!C:C,A369,ATTENDANCE_DAILY!E:E,"Present"))</f>
        <v/>
      </c>
      <c r="F369" t="str">
        <f>IF(A369="","",COUNTIFS(ATTENDANCE_DAILY!C:C,A369,ATTENDANCE_DAILY!E:E,"Absent"))</f>
        <v/>
      </c>
      <c r="G369" s="5" t="e">
        <f t="shared" si="10"/>
        <v>#VALUE!</v>
      </c>
      <c r="H369" s="4" t="e">
        <f t="shared" si="11"/>
        <v>#VALUE!</v>
      </c>
    </row>
    <row r="370" spans="1:8" x14ac:dyDescent="0.3">
      <c r="A370" t="str">
        <f>IF(MASTER_REGISTER!E370="","",MASTER_REGISTER!E370)</f>
        <v/>
      </c>
      <c r="B370" t="str">
        <f>IF(A370="","",MASTER_REGISTER!F370)</f>
        <v/>
      </c>
      <c r="C370" t="str">
        <f>IF(A370="","",MASTER_REGISTER!C370)</f>
        <v/>
      </c>
      <c r="D370" t="str">
        <f>IF(A370="","",COUNTIF(ATTENDANCE_DAILY!C:C,A370))</f>
        <v/>
      </c>
      <c r="E370" t="str">
        <f>IF(A370="","",COUNTIFS(ATTENDANCE_DAILY!C:C,A370,ATTENDANCE_DAILY!E:E,"Present"))</f>
        <v/>
      </c>
      <c r="F370" t="str">
        <f>IF(A370="","",COUNTIFS(ATTENDANCE_DAILY!C:C,A370,ATTENDANCE_DAILY!E:E,"Absent"))</f>
        <v/>
      </c>
      <c r="G370" s="5" t="e">
        <f t="shared" si="10"/>
        <v>#VALUE!</v>
      </c>
      <c r="H370" s="4" t="e">
        <f t="shared" si="11"/>
        <v>#VALUE!</v>
      </c>
    </row>
    <row r="371" spans="1:8" x14ac:dyDescent="0.3">
      <c r="A371" t="str">
        <f>IF(MASTER_REGISTER!E371="","",MASTER_REGISTER!E371)</f>
        <v/>
      </c>
      <c r="B371" t="str">
        <f>IF(A371="","",MASTER_REGISTER!F371)</f>
        <v/>
      </c>
      <c r="C371" t="str">
        <f>IF(A371="","",MASTER_REGISTER!C371)</f>
        <v/>
      </c>
      <c r="D371" t="str">
        <f>IF(A371="","",COUNTIF(ATTENDANCE_DAILY!C:C,A371))</f>
        <v/>
      </c>
      <c r="E371" t="str">
        <f>IF(A371="","",COUNTIFS(ATTENDANCE_DAILY!C:C,A371,ATTENDANCE_DAILY!E:E,"Present"))</f>
        <v/>
      </c>
      <c r="F371" t="str">
        <f>IF(A371="","",COUNTIFS(ATTENDANCE_DAILY!C:C,A371,ATTENDANCE_DAILY!E:E,"Absent"))</f>
        <v/>
      </c>
      <c r="G371" s="5" t="e">
        <f t="shared" si="10"/>
        <v>#VALUE!</v>
      </c>
      <c r="H371" s="4" t="e">
        <f t="shared" si="11"/>
        <v>#VALUE!</v>
      </c>
    </row>
    <row r="372" spans="1:8" x14ac:dyDescent="0.3">
      <c r="A372" t="str">
        <f>IF(MASTER_REGISTER!E372="","",MASTER_REGISTER!E372)</f>
        <v/>
      </c>
      <c r="B372" t="str">
        <f>IF(A372="","",MASTER_REGISTER!F372)</f>
        <v/>
      </c>
      <c r="C372" t="str">
        <f>IF(A372="","",MASTER_REGISTER!C372)</f>
        <v/>
      </c>
      <c r="D372" t="str">
        <f>IF(A372="","",COUNTIF(ATTENDANCE_DAILY!C:C,A372))</f>
        <v/>
      </c>
      <c r="E372" t="str">
        <f>IF(A372="","",COUNTIFS(ATTENDANCE_DAILY!C:C,A372,ATTENDANCE_DAILY!E:E,"Present"))</f>
        <v/>
      </c>
      <c r="F372" t="str">
        <f>IF(A372="","",COUNTIFS(ATTENDANCE_DAILY!C:C,A372,ATTENDANCE_DAILY!E:E,"Absent"))</f>
        <v/>
      </c>
      <c r="G372" s="5" t="e">
        <f t="shared" si="10"/>
        <v>#VALUE!</v>
      </c>
      <c r="H372" s="4" t="e">
        <f t="shared" si="11"/>
        <v>#VALUE!</v>
      </c>
    </row>
    <row r="373" spans="1:8" x14ac:dyDescent="0.3">
      <c r="A373" t="str">
        <f>IF(MASTER_REGISTER!E373="","",MASTER_REGISTER!E373)</f>
        <v/>
      </c>
      <c r="B373" t="str">
        <f>IF(A373="","",MASTER_REGISTER!F373)</f>
        <v/>
      </c>
      <c r="C373" t="str">
        <f>IF(A373="","",MASTER_REGISTER!C373)</f>
        <v/>
      </c>
      <c r="D373" t="str">
        <f>IF(A373="","",COUNTIF(ATTENDANCE_DAILY!C:C,A373))</f>
        <v/>
      </c>
      <c r="E373" t="str">
        <f>IF(A373="","",COUNTIFS(ATTENDANCE_DAILY!C:C,A373,ATTENDANCE_DAILY!E:E,"Present"))</f>
        <v/>
      </c>
      <c r="F373" t="str">
        <f>IF(A373="","",COUNTIFS(ATTENDANCE_DAILY!C:C,A373,ATTENDANCE_DAILY!E:E,"Absent"))</f>
        <v/>
      </c>
      <c r="G373" s="5" t="e">
        <f t="shared" si="10"/>
        <v>#VALUE!</v>
      </c>
      <c r="H373" s="4" t="e">
        <f t="shared" si="11"/>
        <v>#VALUE!</v>
      </c>
    </row>
    <row r="374" spans="1:8" x14ac:dyDescent="0.3">
      <c r="A374" t="str">
        <f>IF(MASTER_REGISTER!E374="","",MASTER_REGISTER!E374)</f>
        <v/>
      </c>
      <c r="B374" t="str">
        <f>IF(A374="","",MASTER_REGISTER!F374)</f>
        <v/>
      </c>
      <c r="C374" t="str">
        <f>IF(A374="","",MASTER_REGISTER!C374)</f>
        <v/>
      </c>
      <c r="D374" t="str">
        <f>IF(A374="","",COUNTIF(ATTENDANCE_DAILY!C:C,A374))</f>
        <v/>
      </c>
      <c r="E374" t="str">
        <f>IF(A374="","",COUNTIFS(ATTENDANCE_DAILY!C:C,A374,ATTENDANCE_DAILY!E:E,"Present"))</f>
        <v/>
      </c>
      <c r="F374" t="str">
        <f>IF(A374="","",COUNTIFS(ATTENDANCE_DAILY!C:C,A374,ATTENDANCE_DAILY!E:E,"Absent"))</f>
        <v/>
      </c>
      <c r="G374" s="5" t="e">
        <f t="shared" si="10"/>
        <v>#VALUE!</v>
      </c>
      <c r="H374" s="4" t="e">
        <f t="shared" si="11"/>
        <v>#VALUE!</v>
      </c>
    </row>
    <row r="375" spans="1:8" x14ac:dyDescent="0.3">
      <c r="A375" t="str">
        <f>IF(MASTER_REGISTER!E375="","",MASTER_REGISTER!E375)</f>
        <v/>
      </c>
      <c r="B375" t="str">
        <f>IF(A375="","",MASTER_REGISTER!F375)</f>
        <v/>
      </c>
      <c r="C375" t="str">
        <f>IF(A375="","",MASTER_REGISTER!C375)</f>
        <v/>
      </c>
      <c r="D375" t="str">
        <f>IF(A375="","",COUNTIF(ATTENDANCE_DAILY!C:C,A375))</f>
        <v/>
      </c>
      <c r="E375" t="str">
        <f>IF(A375="","",COUNTIFS(ATTENDANCE_DAILY!C:C,A375,ATTENDANCE_DAILY!E:E,"Present"))</f>
        <v/>
      </c>
      <c r="F375" t="str">
        <f>IF(A375="","",COUNTIFS(ATTENDANCE_DAILY!C:C,A375,ATTENDANCE_DAILY!E:E,"Absent"))</f>
        <v/>
      </c>
      <c r="G375" s="5" t="e">
        <f t="shared" si="10"/>
        <v>#VALUE!</v>
      </c>
      <c r="H375" s="4" t="e">
        <f t="shared" si="11"/>
        <v>#VALUE!</v>
      </c>
    </row>
    <row r="376" spans="1:8" x14ac:dyDescent="0.3">
      <c r="A376" t="str">
        <f>IF(MASTER_REGISTER!E376="","",MASTER_REGISTER!E376)</f>
        <v/>
      </c>
      <c r="B376" t="str">
        <f>IF(A376="","",MASTER_REGISTER!F376)</f>
        <v/>
      </c>
      <c r="C376" t="str">
        <f>IF(A376="","",MASTER_REGISTER!C376)</f>
        <v/>
      </c>
      <c r="D376" t="str">
        <f>IF(A376="","",COUNTIF(ATTENDANCE_DAILY!C:C,A376))</f>
        <v/>
      </c>
      <c r="E376" t="str">
        <f>IF(A376="","",COUNTIFS(ATTENDANCE_DAILY!C:C,A376,ATTENDANCE_DAILY!E:E,"Present"))</f>
        <v/>
      </c>
      <c r="F376" t="str">
        <f>IF(A376="","",COUNTIFS(ATTENDANCE_DAILY!C:C,A376,ATTENDANCE_DAILY!E:E,"Absent"))</f>
        <v/>
      </c>
      <c r="G376" s="5" t="e">
        <f t="shared" si="10"/>
        <v>#VALUE!</v>
      </c>
      <c r="H376" s="4" t="e">
        <f t="shared" si="11"/>
        <v>#VALUE!</v>
      </c>
    </row>
    <row r="377" spans="1:8" x14ac:dyDescent="0.3">
      <c r="A377" t="str">
        <f>IF(MASTER_REGISTER!E377="","",MASTER_REGISTER!E377)</f>
        <v/>
      </c>
      <c r="B377" t="str">
        <f>IF(A377="","",MASTER_REGISTER!F377)</f>
        <v/>
      </c>
      <c r="C377" t="str">
        <f>IF(A377="","",MASTER_REGISTER!C377)</f>
        <v/>
      </c>
      <c r="D377" t="str">
        <f>IF(A377="","",COUNTIF(ATTENDANCE_DAILY!C:C,A377))</f>
        <v/>
      </c>
      <c r="E377" t="str">
        <f>IF(A377="","",COUNTIFS(ATTENDANCE_DAILY!C:C,A377,ATTENDANCE_DAILY!E:E,"Present"))</f>
        <v/>
      </c>
      <c r="F377" t="str">
        <f>IF(A377="","",COUNTIFS(ATTENDANCE_DAILY!C:C,A377,ATTENDANCE_DAILY!E:E,"Absent"))</f>
        <v/>
      </c>
      <c r="G377" s="5" t="e">
        <f t="shared" si="10"/>
        <v>#VALUE!</v>
      </c>
      <c r="H377" s="4" t="e">
        <f t="shared" si="11"/>
        <v>#VALUE!</v>
      </c>
    </row>
    <row r="378" spans="1:8" x14ac:dyDescent="0.3">
      <c r="A378" t="str">
        <f>IF(MASTER_REGISTER!E378="","",MASTER_REGISTER!E378)</f>
        <v/>
      </c>
      <c r="B378" t="str">
        <f>IF(A378="","",MASTER_REGISTER!F378)</f>
        <v/>
      </c>
      <c r="C378" t="str">
        <f>IF(A378="","",MASTER_REGISTER!C378)</f>
        <v/>
      </c>
      <c r="D378" t="str">
        <f>IF(A378="","",COUNTIF(ATTENDANCE_DAILY!C:C,A378))</f>
        <v/>
      </c>
      <c r="E378" t="str">
        <f>IF(A378="","",COUNTIFS(ATTENDANCE_DAILY!C:C,A378,ATTENDANCE_DAILY!E:E,"Present"))</f>
        <v/>
      </c>
      <c r="F378" t="str">
        <f>IF(A378="","",COUNTIFS(ATTENDANCE_DAILY!C:C,A378,ATTENDANCE_DAILY!E:E,"Absent"))</f>
        <v/>
      </c>
      <c r="G378" s="5" t="e">
        <f t="shared" si="10"/>
        <v>#VALUE!</v>
      </c>
      <c r="H378" s="4" t="e">
        <f t="shared" si="11"/>
        <v>#VALUE!</v>
      </c>
    </row>
    <row r="379" spans="1:8" x14ac:dyDescent="0.3">
      <c r="A379" t="str">
        <f>IF(MASTER_REGISTER!E379="","",MASTER_REGISTER!E379)</f>
        <v/>
      </c>
      <c r="B379" t="str">
        <f>IF(A379="","",MASTER_REGISTER!F379)</f>
        <v/>
      </c>
      <c r="C379" t="str">
        <f>IF(A379="","",MASTER_REGISTER!C379)</f>
        <v/>
      </c>
      <c r="D379" t="str">
        <f>IF(A379="","",COUNTIF(ATTENDANCE_DAILY!C:C,A379))</f>
        <v/>
      </c>
      <c r="E379" t="str">
        <f>IF(A379="","",COUNTIFS(ATTENDANCE_DAILY!C:C,A379,ATTENDANCE_DAILY!E:E,"Present"))</f>
        <v/>
      </c>
      <c r="F379" t="str">
        <f>IF(A379="","",COUNTIFS(ATTENDANCE_DAILY!C:C,A379,ATTENDANCE_DAILY!E:E,"Absent"))</f>
        <v/>
      </c>
      <c r="G379" s="5" t="e">
        <f t="shared" si="10"/>
        <v>#VALUE!</v>
      </c>
      <c r="H379" s="4" t="e">
        <f t="shared" si="11"/>
        <v>#VALUE!</v>
      </c>
    </row>
    <row r="380" spans="1:8" x14ac:dyDescent="0.3">
      <c r="A380" t="str">
        <f>IF(MASTER_REGISTER!E380="","",MASTER_REGISTER!E380)</f>
        <v/>
      </c>
      <c r="B380" t="str">
        <f>IF(A380="","",MASTER_REGISTER!F380)</f>
        <v/>
      </c>
      <c r="C380" t="str">
        <f>IF(A380="","",MASTER_REGISTER!C380)</f>
        <v/>
      </c>
      <c r="D380" t="str">
        <f>IF(A380="","",COUNTIF(ATTENDANCE_DAILY!C:C,A380))</f>
        <v/>
      </c>
      <c r="E380" t="str">
        <f>IF(A380="","",COUNTIFS(ATTENDANCE_DAILY!C:C,A380,ATTENDANCE_DAILY!E:E,"Present"))</f>
        <v/>
      </c>
      <c r="F380" t="str">
        <f>IF(A380="","",COUNTIFS(ATTENDANCE_DAILY!C:C,A380,ATTENDANCE_DAILY!E:E,"Absent"))</f>
        <v/>
      </c>
      <c r="G380" s="5" t="e">
        <f t="shared" si="10"/>
        <v>#VALUE!</v>
      </c>
      <c r="H380" s="4" t="e">
        <f t="shared" si="11"/>
        <v>#VALUE!</v>
      </c>
    </row>
    <row r="381" spans="1:8" x14ac:dyDescent="0.3">
      <c r="A381" t="str">
        <f>IF(MASTER_REGISTER!E381="","",MASTER_REGISTER!E381)</f>
        <v/>
      </c>
      <c r="B381" t="str">
        <f>IF(A381="","",MASTER_REGISTER!F381)</f>
        <v/>
      </c>
      <c r="C381" t="str">
        <f>IF(A381="","",MASTER_REGISTER!C381)</f>
        <v/>
      </c>
      <c r="D381" t="str">
        <f>IF(A381="","",COUNTIF(ATTENDANCE_DAILY!C:C,A381))</f>
        <v/>
      </c>
      <c r="E381" t="str">
        <f>IF(A381="","",COUNTIFS(ATTENDANCE_DAILY!C:C,A381,ATTENDANCE_DAILY!E:E,"Present"))</f>
        <v/>
      </c>
      <c r="F381" t="str">
        <f>IF(A381="","",COUNTIFS(ATTENDANCE_DAILY!C:C,A381,ATTENDANCE_DAILY!E:E,"Absent"))</f>
        <v/>
      </c>
      <c r="G381" s="5" t="e">
        <f t="shared" si="10"/>
        <v>#VALUE!</v>
      </c>
      <c r="H381" s="4" t="e">
        <f t="shared" si="11"/>
        <v>#VALUE!</v>
      </c>
    </row>
    <row r="382" spans="1:8" x14ac:dyDescent="0.3">
      <c r="A382" t="str">
        <f>IF(MASTER_REGISTER!E382="","",MASTER_REGISTER!E382)</f>
        <v/>
      </c>
      <c r="B382" t="str">
        <f>IF(A382="","",MASTER_REGISTER!F382)</f>
        <v/>
      </c>
      <c r="C382" t="str">
        <f>IF(A382="","",MASTER_REGISTER!C382)</f>
        <v/>
      </c>
      <c r="D382" t="str">
        <f>IF(A382="","",COUNTIF(ATTENDANCE_DAILY!C:C,A382))</f>
        <v/>
      </c>
      <c r="E382" t="str">
        <f>IF(A382="","",COUNTIFS(ATTENDANCE_DAILY!C:C,A382,ATTENDANCE_DAILY!E:E,"Present"))</f>
        <v/>
      </c>
      <c r="F382" t="str">
        <f>IF(A382="","",COUNTIFS(ATTENDANCE_DAILY!C:C,A382,ATTENDANCE_DAILY!E:E,"Absent"))</f>
        <v/>
      </c>
      <c r="G382" s="5" t="e">
        <f t="shared" si="10"/>
        <v>#VALUE!</v>
      </c>
      <c r="H382" s="4" t="e">
        <f t="shared" si="11"/>
        <v>#VALUE!</v>
      </c>
    </row>
    <row r="383" spans="1:8" x14ac:dyDescent="0.3">
      <c r="A383" t="str">
        <f>IF(MASTER_REGISTER!E383="","",MASTER_REGISTER!E383)</f>
        <v/>
      </c>
      <c r="B383" t="str">
        <f>IF(A383="","",MASTER_REGISTER!F383)</f>
        <v/>
      </c>
      <c r="C383" t="str">
        <f>IF(A383="","",MASTER_REGISTER!C383)</f>
        <v/>
      </c>
      <c r="D383" t="str">
        <f>IF(A383="","",COUNTIF(ATTENDANCE_DAILY!C:C,A383))</f>
        <v/>
      </c>
      <c r="E383" t="str">
        <f>IF(A383="","",COUNTIFS(ATTENDANCE_DAILY!C:C,A383,ATTENDANCE_DAILY!E:E,"Present"))</f>
        <v/>
      </c>
      <c r="F383" t="str">
        <f>IF(A383="","",COUNTIFS(ATTENDANCE_DAILY!C:C,A383,ATTENDANCE_DAILY!E:E,"Absent"))</f>
        <v/>
      </c>
      <c r="G383" s="5" t="e">
        <f t="shared" si="10"/>
        <v>#VALUE!</v>
      </c>
      <c r="H383" s="4" t="e">
        <f t="shared" si="11"/>
        <v>#VALUE!</v>
      </c>
    </row>
    <row r="384" spans="1:8" x14ac:dyDescent="0.3">
      <c r="A384" t="str">
        <f>IF(MASTER_REGISTER!E384="","",MASTER_REGISTER!E384)</f>
        <v/>
      </c>
      <c r="B384" t="str">
        <f>IF(A384="","",MASTER_REGISTER!F384)</f>
        <v/>
      </c>
      <c r="C384" t="str">
        <f>IF(A384="","",MASTER_REGISTER!C384)</f>
        <v/>
      </c>
      <c r="D384" t="str">
        <f>IF(A384="","",COUNTIF(ATTENDANCE_DAILY!C:C,A384))</f>
        <v/>
      </c>
      <c r="E384" t="str">
        <f>IF(A384="","",COUNTIFS(ATTENDANCE_DAILY!C:C,A384,ATTENDANCE_DAILY!E:E,"Present"))</f>
        <v/>
      </c>
      <c r="F384" t="str">
        <f>IF(A384="","",COUNTIFS(ATTENDANCE_DAILY!C:C,A384,ATTENDANCE_DAILY!E:E,"Absent"))</f>
        <v/>
      </c>
      <c r="G384" s="5" t="e">
        <f t="shared" si="10"/>
        <v>#VALUE!</v>
      </c>
      <c r="H384" s="4" t="e">
        <f t="shared" si="11"/>
        <v>#VALUE!</v>
      </c>
    </row>
    <row r="385" spans="1:8" x14ac:dyDescent="0.3">
      <c r="A385" t="str">
        <f>IF(MASTER_REGISTER!E385="","",MASTER_REGISTER!E385)</f>
        <v/>
      </c>
      <c r="B385" t="str">
        <f>IF(A385="","",MASTER_REGISTER!F385)</f>
        <v/>
      </c>
      <c r="C385" t="str">
        <f>IF(A385="","",MASTER_REGISTER!C385)</f>
        <v/>
      </c>
      <c r="D385" t="str">
        <f>IF(A385="","",COUNTIF(ATTENDANCE_DAILY!C:C,A385))</f>
        <v/>
      </c>
      <c r="E385" t="str">
        <f>IF(A385="","",COUNTIFS(ATTENDANCE_DAILY!C:C,A385,ATTENDANCE_DAILY!E:E,"Present"))</f>
        <v/>
      </c>
      <c r="F385" t="str">
        <f>IF(A385="","",COUNTIFS(ATTENDANCE_DAILY!C:C,A385,ATTENDANCE_DAILY!E:E,"Absent"))</f>
        <v/>
      </c>
      <c r="G385" s="5" t="e">
        <f t="shared" si="10"/>
        <v>#VALUE!</v>
      </c>
      <c r="H385" s="4" t="e">
        <f t="shared" si="11"/>
        <v>#VALUE!</v>
      </c>
    </row>
    <row r="386" spans="1:8" x14ac:dyDescent="0.3">
      <c r="A386" t="str">
        <f>IF(MASTER_REGISTER!E386="","",MASTER_REGISTER!E386)</f>
        <v/>
      </c>
      <c r="B386" t="str">
        <f>IF(A386="","",MASTER_REGISTER!F386)</f>
        <v/>
      </c>
      <c r="C386" t="str">
        <f>IF(A386="","",MASTER_REGISTER!C386)</f>
        <v/>
      </c>
      <c r="D386" t="str">
        <f>IF(A386="","",COUNTIF(ATTENDANCE_DAILY!C:C,A386))</f>
        <v/>
      </c>
      <c r="E386" t="str">
        <f>IF(A386="","",COUNTIFS(ATTENDANCE_DAILY!C:C,A386,ATTENDANCE_DAILY!E:E,"Present"))</f>
        <v/>
      </c>
      <c r="F386" t="str">
        <f>IF(A386="","",COUNTIFS(ATTENDANCE_DAILY!C:C,A386,ATTENDANCE_DAILY!E:E,"Absent"))</f>
        <v/>
      </c>
      <c r="G386" s="5" t="e">
        <f t="shared" ref="G386:G449" si="12">IF(D386=0,"",E386/D386)</f>
        <v>#VALUE!</v>
      </c>
      <c r="H386" s="4" t="e">
        <f t="shared" ref="H386:H449" si="13">IF(G386="","",IF(G386&lt;0.75,"Low Attendance","OK"))</f>
        <v>#VALUE!</v>
      </c>
    </row>
    <row r="387" spans="1:8" x14ac:dyDescent="0.3">
      <c r="A387" t="str">
        <f>IF(MASTER_REGISTER!E387="","",MASTER_REGISTER!E387)</f>
        <v/>
      </c>
      <c r="B387" t="str">
        <f>IF(A387="","",MASTER_REGISTER!F387)</f>
        <v/>
      </c>
      <c r="C387" t="str">
        <f>IF(A387="","",MASTER_REGISTER!C387)</f>
        <v/>
      </c>
      <c r="D387" t="str">
        <f>IF(A387="","",COUNTIF(ATTENDANCE_DAILY!C:C,A387))</f>
        <v/>
      </c>
      <c r="E387" t="str">
        <f>IF(A387="","",COUNTIFS(ATTENDANCE_DAILY!C:C,A387,ATTENDANCE_DAILY!E:E,"Present"))</f>
        <v/>
      </c>
      <c r="F387" t="str">
        <f>IF(A387="","",COUNTIFS(ATTENDANCE_DAILY!C:C,A387,ATTENDANCE_DAILY!E:E,"Absent"))</f>
        <v/>
      </c>
      <c r="G387" s="5" t="e">
        <f t="shared" si="12"/>
        <v>#VALUE!</v>
      </c>
      <c r="H387" s="4" t="e">
        <f t="shared" si="13"/>
        <v>#VALUE!</v>
      </c>
    </row>
    <row r="388" spans="1:8" x14ac:dyDescent="0.3">
      <c r="A388" t="str">
        <f>IF(MASTER_REGISTER!E388="","",MASTER_REGISTER!E388)</f>
        <v/>
      </c>
      <c r="B388" t="str">
        <f>IF(A388="","",MASTER_REGISTER!F388)</f>
        <v/>
      </c>
      <c r="C388" t="str">
        <f>IF(A388="","",MASTER_REGISTER!C388)</f>
        <v/>
      </c>
      <c r="D388" t="str">
        <f>IF(A388="","",COUNTIF(ATTENDANCE_DAILY!C:C,A388))</f>
        <v/>
      </c>
      <c r="E388" t="str">
        <f>IF(A388="","",COUNTIFS(ATTENDANCE_DAILY!C:C,A388,ATTENDANCE_DAILY!E:E,"Present"))</f>
        <v/>
      </c>
      <c r="F388" t="str">
        <f>IF(A388="","",COUNTIFS(ATTENDANCE_DAILY!C:C,A388,ATTENDANCE_DAILY!E:E,"Absent"))</f>
        <v/>
      </c>
      <c r="G388" s="5" t="e">
        <f t="shared" si="12"/>
        <v>#VALUE!</v>
      </c>
      <c r="H388" s="4" t="e">
        <f t="shared" si="13"/>
        <v>#VALUE!</v>
      </c>
    </row>
    <row r="389" spans="1:8" x14ac:dyDescent="0.3">
      <c r="A389" t="str">
        <f>IF(MASTER_REGISTER!E389="","",MASTER_REGISTER!E389)</f>
        <v/>
      </c>
      <c r="B389" t="str">
        <f>IF(A389="","",MASTER_REGISTER!F389)</f>
        <v/>
      </c>
      <c r="C389" t="str">
        <f>IF(A389="","",MASTER_REGISTER!C389)</f>
        <v/>
      </c>
      <c r="D389" t="str">
        <f>IF(A389="","",COUNTIF(ATTENDANCE_DAILY!C:C,A389))</f>
        <v/>
      </c>
      <c r="E389" t="str">
        <f>IF(A389="","",COUNTIFS(ATTENDANCE_DAILY!C:C,A389,ATTENDANCE_DAILY!E:E,"Present"))</f>
        <v/>
      </c>
      <c r="F389" t="str">
        <f>IF(A389="","",COUNTIFS(ATTENDANCE_DAILY!C:C,A389,ATTENDANCE_DAILY!E:E,"Absent"))</f>
        <v/>
      </c>
      <c r="G389" s="5" t="e">
        <f t="shared" si="12"/>
        <v>#VALUE!</v>
      </c>
      <c r="H389" s="4" t="e">
        <f t="shared" si="13"/>
        <v>#VALUE!</v>
      </c>
    </row>
    <row r="390" spans="1:8" x14ac:dyDescent="0.3">
      <c r="A390" t="str">
        <f>IF(MASTER_REGISTER!E390="","",MASTER_REGISTER!E390)</f>
        <v/>
      </c>
      <c r="B390" t="str">
        <f>IF(A390="","",MASTER_REGISTER!F390)</f>
        <v/>
      </c>
      <c r="C390" t="str">
        <f>IF(A390="","",MASTER_REGISTER!C390)</f>
        <v/>
      </c>
      <c r="D390" t="str">
        <f>IF(A390="","",COUNTIF(ATTENDANCE_DAILY!C:C,A390))</f>
        <v/>
      </c>
      <c r="E390" t="str">
        <f>IF(A390="","",COUNTIFS(ATTENDANCE_DAILY!C:C,A390,ATTENDANCE_DAILY!E:E,"Present"))</f>
        <v/>
      </c>
      <c r="F390" t="str">
        <f>IF(A390="","",COUNTIFS(ATTENDANCE_DAILY!C:C,A390,ATTENDANCE_DAILY!E:E,"Absent"))</f>
        <v/>
      </c>
      <c r="G390" s="5" t="e">
        <f t="shared" si="12"/>
        <v>#VALUE!</v>
      </c>
      <c r="H390" s="4" t="e">
        <f t="shared" si="13"/>
        <v>#VALUE!</v>
      </c>
    </row>
    <row r="391" spans="1:8" x14ac:dyDescent="0.3">
      <c r="A391" t="str">
        <f>IF(MASTER_REGISTER!E391="","",MASTER_REGISTER!E391)</f>
        <v/>
      </c>
      <c r="B391" t="str">
        <f>IF(A391="","",MASTER_REGISTER!F391)</f>
        <v/>
      </c>
      <c r="C391" t="str">
        <f>IF(A391="","",MASTER_REGISTER!C391)</f>
        <v/>
      </c>
      <c r="D391" t="str">
        <f>IF(A391="","",COUNTIF(ATTENDANCE_DAILY!C:C,A391))</f>
        <v/>
      </c>
      <c r="E391" t="str">
        <f>IF(A391="","",COUNTIFS(ATTENDANCE_DAILY!C:C,A391,ATTENDANCE_DAILY!E:E,"Present"))</f>
        <v/>
      </c>
      <c r="F391" t="str">
        <f>IF(A391="","",COUNTIFS(ATTENDANCE_DAILY!C:C,A391,ATTENDANCE_DAILY!E:E,"Absent"))</f>
        <v/>
      </c>
      <c r="G391" s="5" t="e">
        <f t="shared" si="12"/>
        <v>#VALUE!</v>
      </c>
      <c r="H391" s="4" t="e">
        <f t="shared" si="13"/>
        <v>#VALUE!</v>
      </c>
    </row>
    <row r="392" spans="1:8" x14ac:dyDescent="0.3">
      <c r="A392" t="str">
        <f>IF(MASTER_REGISTER!E392="","",MASTER_REGISTER!E392)</f>
        <v/>
      </c>
      <c r="B392" t="str">
        <f>IF(A392="","",MASTER_REGISTER!F392)</f>
        <v/>
      </c>
      <c r="C392" t="str">
        <f>IF(A392="","",MASTER_REGISTER!C392)</f>
        <v/>
      </c>
      <c r="D392" t="str">
        <f>IF(A392="","",COUNTIF(ATTENDANCE_DAILY!C:C,A392))</f>
        <v/>
      </c>
      <c r="E392" t="str">
        <f>IF(A392="","",COUNTIFS(ATTENDANCE_DAILY!C:C,A392,ATTENDANCE_DAILY!E:E,"Present"))</f>
        <v/>
      </c>
      <c r="F392" t="str">
        <f>IF(A392="","",COUNTIFS(ATTENDANCE_DAILY!C:C,A392,ATTENDANCE_DAILY!E:E,"Absent"))</f>
        <v/>
      </c>
      <c r="G392" s="5" t="e">
        <f t="shared" si="12"/>
        <v>#VALUE!</v>
      </c>
      <c r="H392" s="4" t="e">
        <f t="shared" si="13"/>
        <v>#VALUE!</v>
      </c>
    </row>
    <row r="393" spans="1:8" x14ac:dyDescent="0.3">
      <c r="A393" t="str">
        <f>IF(MASTER_REGISTER!E393="","",MASTER_REGISTER!E393)</f>
        <v/>
      </c>
      <c r="B393" t="str">
        <f>IF(A393="","",MASTER_REGISTER!F393)</f>
        <v/>
      </c>
      <c r="C393" t="str">
        <f>IF(A393="","",MASTER_REGISTER!C393)</f>
        <v/>
      </c>
      <c r="D393" t="str">
        <f>IF(A393="","",COUNTIF(ATTENDANCE_DAILY!C:C,A393))</f>
        <v/>
      </c>
      <c r="E393" t="str">
        <f>IF(A393="","",COUNTIFS(ATTENDANCE_DAILY!C:C,A393,ATTENDANCE_DAILY!E:E,"Present"))</f>
        <v/>
      </c>
      <c r="F393" t="str">
        <f>IF(A393="","",COUNTIFS(ATTENDANCE_DAILY!C:C,A393,ATTENDANCE_DAILY!E:E,"Absent"))</f>
        <v/>
      </c>
      <c r="G393" s="5" t="e">
        <f t="shared" si="12"/>
        <v>#VALUE!</v>
      </c>
      <c r="H393" s="4" t="e">
        <f t="shared" si="13"/>
        <v>#VALUE!</v>
      </c>
    </row>
    <row r="394" spans="1:8" x14ac:dyDescent="0.3">
      <c r="A394" t="str">
        <f>IF(MASTER_REGISTER!E394="","",MASTER_REGISTER!E394)</f>
        <v/>
      </c>
      <c r="B394" t="str">
        <f>IF(A394="","",MASTER_REGISTER!F394)</f>
        <v/>
      </c>
      <c r="C394" t="str">
        <f>IF(A394="","",MASTER_REGISTER!C394)</f>
        <v/>
      </c>
      <c r="D394" t="str">
        <f>IF(A394="","",COUNTIF(ATTENDANCE_DAILY!C:C,A394))</f>
        <v/>
      </c>
      <c r="E394" t="str">
        <f>IF(A394="","",COUNTIFS(ATTENDANCE_DAILY!C:C,A394,ATTENDANCE_DAILY!E:E,"Present"))</f>
        <v/>
      </c>
      <c r="F394" t="str">
        <f>IF(A394="","",COUNTIFS(ATTENDANCE_DAILY!C:C,A394,ATTENDANCE_DAILY!E:E,"Absent"))</f>
        <v/>
      </c>
      <c r="G394" s="5" t="e">
        <f t="shared" si="12"/>
        <v>#VALUE!</v>
      </c>
      <c r="H394" s="4" t="e">
        <f t="shared" si="13"/>
        <v>#VALUE!</v>
      </c>
    </row>
    <row r="395" spans="1:8" x14ac:dyDescent="0.3">
      <c r="A395" t="str">
        <f>IF(MASTER_REGISTER!E395="","",MASTER_REGISTER!E395)</f>
        <v/>
      </c>
      <c r="B395" t="str">
        <f>IF(A395="","",MASTER_REGISTER!F395)</f>
        <v/>
      </c>
      <c r="C395" t="str">
        <f>IF(A395="","",MASTER_REGISTER!C395)</f>
        <v/>
      </c>
      <c r="D395" t="str">
        <f>IF(A395="","",COUNTIF(ATTENDANCE_DAILY!C:C,A395))</f>
        <v/>
      </c>
      <c r="E395" t="str">
        <f>IF(A395="","",COUNTIFS(ATTENDANCE_DAILY!C:C,A395,ATTENDANCE_DAILY!E:E,"Present"))</f>
        <v/>
      </c>
      <c r="F395" t="str">
        <f>IF(A395="","",COUNTIFS(ATTENDANCE_DAILY!C:C,A395,ATTENDANCE_DAILY!E:E,"Absent"))</f>
        <v/>
      </c>
      <c r="G395" s="5" t="e">
        <f t="shared" si="12"/>
        <v>#VALUE!</v>
      </c>
      <c r="H395" s="4" t="e">
        <f t="shared" si="13"/>
        <v>#VALUE!</v>
      </c>
    </row>
    <row r="396" spans="1:8" x14ac:dyDescent="0.3">
      <c r="A396" t="str">
        <f>IF(MASTER_REGISTER!E396="","",MASTER_REGISTER!E396)</f>
        <v/>
      </c>
      <c r="B396" t="str">
        <f>IF(A396="","",MASTER_REGISTER!F396)</f>
        <v/>
      </c>
      <c r="C396" t="str">
        <f>IF(A396="","",MASTER_REGISTER!C396)</f>
        <v/>
      </c>
      <c r="D396" t="str">
        <f>IF(A396="","",COUNTIF(ATTENDANCE_DAILY!C:C,A396))</f>
        <v/>
      </c>
      <c r="E396" t="str">
        <f>IF(A396="","",COUNTIFS(ATTENDANCE_DAILY!C:C,A396,ATTENDANCE_DAILY!E:E,"Present"))</f>
        <v/>
      </c>
      <c r="F396" t="str">
        <f>IF(A396="","",COUNTIFS(ATTENDANCE_DAILY!C:C,A396,ATTENDANCE_DAILY!E:E,"Absent"))</f>
        <v/>
      </c>
      <c r="G396" s="5" t="e">
        <f t="shared" si="12"/>
        <v>#VALUE!</v>
      </c>
      <c r="H396" s="4" t="e">
        <f t="shared" si="13"/>
        <v>#VALUE!</v>
      </c>
    </row>
    <row r="397" spans="1:8" x14ac:dyDescent="0.3">
      <c r="A397" t="str">
        <f>IF(MASTER_REGISTER!E397="","",MASTER_REGISTER!E397)</f>
        <v/>
      </c>
      <c r="B397" t="str">
        <f>IF(A397="","",MASTER_REGISTER!F397)</f>
        <v/>
      </c>
      <c r="C397" t="str">
        <f>IF(A397="","",MASTER_REGISTER!C397)</f>
        <v/>
      </c>
      <c r="D397" t="str">
        <f>IF(A397="","",COUNTIF(ATTENDANCE_DAILY!C:C,A397))</f>
        <v/>
      </c>
      <c r="E397" t="str">
        <f>IF(A397="","",COUNTIFS(ATTENDANCE_DAILY!C:C,A397,ATTENDANCE_DAILY!E:E,"Present"))</f>
        <v/>
      </c>
      <c r="F397" t="str">
        <f>IF(A397="","",COUNTIFS(ATTENDANCE_DAILY!C:C,A397,ATTENDANCE_DAILY!E:E,"Absent"))</f>
        <v/>
      </c>
      <c r="G397" s="5" t="e">
        <f t="shared" si="12"/>
        <v>#VALUE!</v>
      </c>
      <c r="H397" s="4" t="e">
        <f t="shared" si="13"/>
        <v>#VALUE!</v>
      </c>
    </row>
    <row r="398" spans="1:8" x14ac:dyDescent="0.3">
      <c r="A398" t="str">
        <f>IF(MASTER_REGISTER!E398="","",MASTER_REGISTER!E398)</f>
        <v/>
      </c>
      <c r="B398" t="str">
        <f>IF(A398="","",MASTER_REGISTER!F398)</f>
        <v/>
      </c>
      <c r="C398" t="str">
        <f>IF(A398="","",MASTER_REGISTER!C398)</f>
        <v/>
      </c>
      <c r="D398" t="str">
        <f>IF(A398="","",COUNTIF(ATTENDANCE_DAILY!C:C,A398))</f>
        <v/>
      </c>
      <c r="E398" t="str">
        <f>IF(A398="","",COUNTIFS(ATTENDANCE_DAILY!C:C,A398,ATTENDANCE_DAILY!E:E,"Present"))</f>
        <v/>
      </c>
      <c r="F398" t="str">
        <f>IF(A398="","",COUNTIFS(ATTENDANCE_DAILY!C:C,A398,ATTENDANCE_DAILY!E:E,"Absent"))</f>
        <v/>
      </c>
      <c r="G398" s="5" t="e">
        <f t="shared" si="12"/>
        <v>#VALUE!</v>
      </c>
      <c r="H398" s="4" t="e">
        <f t="shared" si="13"/>
        <v>#VALUE!</v>
      </c>
    </row>
    <row r="399" spans="1:8" x14ac:dyDescent="0.3">
      <c r="A399" t="str">
        <f>IF(MASTER_REGISTER!E399="","",MASTER_REGISTER!E399)</f>
        <v/>
      </c>
      <c r="B399" t="str">
        <f>IF(A399="","",MASTER_REGISTER!F399)</f>
        <v/>
      </c>
      <c r="C399" t="str">
        <f>IF(A399="","",MASTER_REGISTER!C399)</f>
        <v/>
      </c>
      <c r="D399" t="str">
        <f>IF(A399="","",COUNTIF(ATTENDANCE_DAILY!C:C,A399))</f>
        <v/>
      </c>
      <c r="E399" t="str">
        <f>IF(A399="","",COUNTIFS(ATTENDANCE_DAILY!C:C,A399,ATTENDANCE_DAILY!E:E,"Present"))</f>
        <v/>
      </c>
      <c r="F399" t="str">
        <f>IF(A399="","",COUNTIFS(ATTENDANCE_DAILY!C:C,A399,ATTENDANCE_DAILY!E:E,"Absent"))</f>
        <v/>
      </c>
      <c r="G399" s="5" t="e">
        <f t="shared" si="12"/>
        <v>#VALUE!</v>
      </c>
      <c r="H399" s="4" t="e">
        <f t="shared" si="13"/>
        <v>#VALUE!</v>
      </c>
    </row>
    <row r="400" spans="1:8" x14ac:dyDescent="0.3">
      <c r="A400" t="str">
        <f>IF(MASTER_REGISTER!E400="","",MASTER_REGISTER!E400)</f>
        <v/>
      </c>
      <c r="B400" t="str">
        <f>IF(A400="","",MASTER_REGISTER!F400)</f>
        <v/>
      </c>
      <c r="C400" t="str">
        <f>IF(A400="","",MASTER_REGISTER!C400)</f>
        <v/>
      </c>
      <c r="D400" t="str">
        <f>IF(A400="","",COUNTIF(ATTENDANCE_DAILY!C:C,A400))</f>
        <v/>
      </c>
      <c r="E400" t="str">
        <f>IF(A400="","",COUNTIFS(ATTENDANCE_DAILY!C:C,A400,ATTENDANCE_DAILY!E:E,"Present"))</f>
        <v/>
      </c>
      <c r="F400" t="str">
        <f>IF(A400="","",COUNTIFS(ATTENDANCE_DAILY!C:C,A400,ATTENDANCE_DAILY!E:E,"Absent"))</f>
        <v/>
      </c>
      <c r="G400" s="5" t="e">
        <f t="shared" si="12"/>
        <v>#VALUE!</v>
      </c>
      <c r="H400" s="4" t="e">
        <f t="shared" si="13"/>
        <v>#VALUE!</v>
      </c>
    </row>
    <row r="401" spans="1:8" x14ac:dyDescent="0.3">
      <c r="A401" t="str">
        <f>IF(MASTER_REGISTER!E401="","",MASTER_REGISTER!E401)</f>
        <v/>
      </c>
      <c r="B401" t="str">
        <f>IF(A401="","",MASTER_REGISTER!F401)</f>
        <v/>
      </c>
      <c r="C401" t="str">
        <f>IF(A401="","",MASTER_REGISTER!C401)</f>
        <v/>
      </c>
      <c r="D401" t="str">
        <f>IF(A401="","",COUNTIF(ATTENDANCE_DAILY!C:C,A401))</f>
        <v/>
      </c>
      <c r="E401" t="str">
        <f>IF(A401="","",COUNTIFS(ATTENDANCE_DAILY!C:C,A401,ATTENDANCE_DAILY!E:E,"Present"))</f>
        <v/>
      </c>
      <c r="F401" t="str">
        <f>IF(A401="","",COUNTIFS(ATTENDANCE_DAILY!C:C,A401,ATTENDANCE_DAILY!E:E,"Absent"))</f>
        <v/>
      </c>
      <c r="G401" s="5" t="e">
        <f t="shared" si="12"/>
        <v>#VALUE!</v>
      </c>
      <c r="H401" s="4" t="e">
        <f t="shared" si="13"/>
        <v>#VALUE!</v>
      </c>
    </row>
    <row r="402" spans="1:8" x14ac:dyDescent="0.3">
      <c r="A402" t="str">
        <f>IF(MASTER_REGISTER!E402="","",MASTER_REGISTER!E402)</f>
        <v/>
      </c>
      <c r="B402" t="str">
        <f>IF(A402="","",MASTER_REGISTER!F402)</f>
        <v/>
      </c>
      <c r="C402" t="str">
        <f>IF(A402="","",MASTER_REGISTER!C402)</f>
        <v/>
      </c>
      <c r="D402" t="str">
        <f>IF(A402="","",COUNTIF(ATTENDANCE_DAILY!C:C,A402))</f>
        <v/>
      </c>
      <c r="E402" t="str">
        <f>IF(A402="","",COUNTIFS(ATTENDANCE_DAILY!C:C,A402,ATTENDANCE_DAILY!E:E,"Present"))</f>
        <v/>
      </c>
      <c r="F402" t="str">
        <f>IF(A402="","",COUNTIFS(ATTENDANCE_DAILY!C:C,A402,ATTENDANCE_DAILY!E:E,"Absent"))</f>
        <v/>
      </c>
      <c r="G402" s="5" t="e">
        <f t="shared" si="12"/>
        <v>#VALUE!</v>
      </c>
      <c r="H402" s="4" t="e">
        <f t="shared" si="13"/>
        <v>#VALUE!</v>
      </c>
    </row>
    <row r="403" spans="1:8" x14ac:dyDescent="0.3">
      <c r="A403" t="str">
        <f>IF(MASTER_REGISTER!E403="","",MASTER_REGISTER!E403)</f>
        <v/>
      </c>
      <c r="B403" t="str">
        <f>IF(A403="","",MASTER_REGISTER!F403)</f>
        <v/>
      </c>
      <c r="C403" t="str">
        <f>IF(A403="","",MASTER_REGISTER!C403)</f>
        <v/>
      </c>
      <c r="D403" t="str">
        <f>IF(A403="","",COUNTIF(ATTENDANCE_DAILY!C:C,A403))</f>
        <v/>
      </c>
      <c r="E403" t="str">
        <f>IF(A403="","",COUNTIFS(ATTENDANCE_DAILY!C:C,A403,ATTENDANCE_DAILY!E:E,"Present"))</f>
        <v/>
      </c>
      <c r="F403" t="str">
        <f>IF(A403="","",COUNTIFS(ATTENDANCE_DAILY!C:C,A403,ATTENDANCE_DAILY!E:E,"Absent"))</f>
        <v/>
      </c>
      <c r="G403" s="5" t="e">
        <f t="shared" si="12"/>
        <v>#VALUE!</v>
      </c>
      <c r="H403" s="4" t="e">
        <f t="shared" si="13"/>
        <v>#VALUE!</v>
      </c>
    </row>
    <row r="404" spans="1:8" x14ac:dyDescent="0.3">
      <c r="A404" t="str">
        <f>IF(MASTER_REGISTER!E404="","",MASTER_REGISTER!E404)</f>
        <v/>
      </c>
      <c r="B404" t="str">
        <f>IF(A404="","",MASTER_REGISTER!F404)</f>
        <v/>
      </c>
      <c r="C404" t="str">
        <f>IF(A404="","",MASTER_REGISTER!C404)</f>
        <v/>
      </c>
      <c r="D404" t="str">
        <f>IF(A404="","",COUNTIF(ATTENDANCE_DAILY!C:C,A404))</f>
        <v/>
      </c>
      <c r="E404" t="str">
        <f>IF(A404="","",COUNTIFS(ATTENDANCE_DAILY!C:C,A404,ATTENDANCE_DAILY!E:E,"Present"))</f>
        <v/>
      </c>
      <c r="F404" t="str">
        <f>IF(A404="","",COUNTIFS(ATTENDANCE_DAILY!C:C,A404,ATTENDANCE_DAILY!E:E,"Absent"))</f>
        <v/>
      </c>
      <c r="G404" s="5" t="e">
        <f t="shared" si="12"/>
        <v>#VALUE!</v>
      </c>
      <c r="H404" s="4" t="e">
        <f t="shared" si="13"/>
        <v>#VALUE!</v>
      </c>
    </row>
    <row r="405" spans="1:8" x14ac:dyDescent="0.3">
      <c r="A405" t="str">
        <f>IF(MASTER_REGISTER!E405="","",MASTER_REGISTER!E405)</f>
        <v/>
      </c>
      <c r="B405" t="str">
        <f>IF(A405="","",MASTER_REGISTER!F405)</f>
        <v/>
      </c>
      <c r="C405" t="str">
        <f>IF(A405="","",MASTER_REGISTER!C405)</f>
        <v/>
      </c>
      <c r="D405" t="str">
        <f>IF(A405="","",COUNTIF(ATTENDANCE_DAILY!C:C,A405))</f>
        <v/>
      </c>
      <c r="E405" t="str">
        <f>IF(A405="","",COUNTIFS(ATTENDANCE_DAILY!C:C,A405,ATTENDANCE_DAILY!E:E,"Present"))</f>
        <v/>
      </c>
      <c r="F405" t="str">
        <f>IF(A405="","",COUNTIFS(ATTENDANCE_DAILY!C:C,A405,ATTENDANCE_DAILY!E:E,"Absent"))</f>
        <v/>
      </c>
      <c r="G405" s="5" t="e">
        <f t="shared" si="12"/>
        <v>#VALUE!</v>
      </c>
      <c r="H405" s="4" t="e">
        <f t="shared" si="13"/>
        <v>#VALUE!</v>
      </c>
    </row>
    <row r="406" spans="1:8" x14ac:dyDescent="0.3">
      <c r="A406" t="str">
        <f>IF(MASTER_REGISTER!E406="","",MASTER_REGISTER!E406)</f>
        <v/>
      </c>
      <c r="B406" t="str">
        <f>IF(A406="","",MASTER_REGISTER!F406)</f>
        <v/>
      </c>
      <c r="C406" t="str">
        <f>IF(A406="","",MASTER_REGISTER!C406)</f>
        <v/>
      </c>
      <c r="D406" t="str">
        <f>IF(A406="","",COUNTIF(ATTENDANCE_DAILY!C:C,A406))</f>
        <v/>
      </c>
      <c r="E406" t="str">
        <f>IF(A406="","",COUNTIFS(ATTENDANCE_DAILY!C:C,A406,ATTENDANCE_DAILY!E:E,"Present"))</f>
        <v/>
      </c>
      <c r="F406" t="str">
        <f>IF(A406="","",COUNTIFS(ATTENDANCE_DAILY!C:C,A406,ATTENDANCE_DAILY!E:E,"Absent"))</f>
        <v/>
      </c>
      <c r="G406" s="5" t="e">
        <f t="shared" si="12"/>
        <v>#VALUE!</v>
      </c>
      <c r="H406" s="4" t="e">
        <f t="shared" si="13"/>
        <v>#VALUE!</v>
      </c>
    </row>
    <row r="407" spans="1:8" x14ac:dyDescent="0.3">
      <c r="A407" t="str">
        <f>IF(MASTER_REGISTER!E407="","",MASTER_REGISTER!E407)</f>
        <v/>
      </c>
      <c r="B407" t="str">
        <f>IF(A407="","",MASTER_REGISTER!F407)</f>
        <v/>
      </c>
      <c r="C407" t="str">
        <f>IF(A407="","",MASTER_REGISTER!C407)</f>
        <v/>
      </c>
      <c r="D407" t="str">
        <f>IF(A407="","",COUNTIF(ATTENDANCE_DAILY!C:C,A407))</f>
        <v/>
      </c>
      <c r="E407" t="str">
        <f>IF(A407="","",COUNTIFS(ATTENDANCE_DAILY!C:C,A407,ATTENDANCE_DAILY!E:E,"Present"))</f>
        <v/>
      </c>
      <c r="F407" t="str">
        <f>IF(A407="","",COUNTIFS(ATTENDANCE_DAILY!C:C,A407,ATTENDANCE_DAILY!E:E,"Absent"))</f>
        <v/>
      </c>
      <c r="G407" s="5" t="e">
        <f t="shared" si="12"/>
        <v>#VALUE!</v>
      </c>
      <c r="H407" s="4" t="e">
        <f t="shared" si="13"/>
        <v>#VALUE!</v>
      </c>
    </row>
    <row r="408" spans="1:8" x14ac:dyDescent="0.3">
      <c r="A408" t="str">
        <f>IF(MASTER_REGISTER!E408="","",MASTER_REGISTER!E408)</f>
        <v/>
      </c>
      <c r="B408" t="str">
        <f>IF(A408="","",MASTER_REGISTER!F408)</f>
        <v/>
      </c>
      <c r="C408" t="str">
        <f>IF(A408="","",MASTER_REGISTER!C408)</f>
        <v/>
      </c>
      <c r="D408" t="str">
        <f>IF(A408="","",COUNTIF(ATTENDANCE_DAILY!C:C,A408))</f>
        <v/>
      </c>
      <c r="E408" t="str">
        <f>IF(A408="","",COUNTIFS(ATTENDANCE_DAILY!C:C,A408,ATTENDANCE_DAILY!E:E,"Present"))</f>
        <v/>
      </c>
      <c r="F408" t="str">
        <f>IF(A408="","",COUNTIFS(ATTENDANCE_DAILY!C:C,A408,ATTENDANCE_DAILY!E:E,"Absent"))</f>
        <v/>
      </c>
      <c r="G408" s="5" t="e">
        <f t="shared" si="12"/>
        <v>#VALUE!</v>
      </c>
      <c r="H408" s="4" t="e">
        <f t="shared" si="13"/>
        <v>#VALUE!</v>
      </c>
    </row>
    <row r="409" spans="1:8" x14ac:dyDescent="0.3">
      <c r="A409" t="str">
        <f>IF(MASTER_REGISTER!E409="","",MASTER_REGISTER!E409)</f>
        <v/>
      </c>
      <c r="B409" t="str">
        <f>IF(A409="","",MASTER_REGISTER!F409)</f>
        <v/>
      </c>
      <c r="C409" t="str">
        <f>IF(A409="","",MASTER_REGISTER!C409)</f>
        <v/>
      </c>
      <c r="D409" t="str">
        <f>IF(A409="","",COUNTIF(ATTENDANCE_DAILY!C:C,A409))</f>
        <v/>
      </c>
      <c r="E409" t="str">
        <f>IF(A409="","",COUNTIFS(ATTENDANCE_DAILY!C:C,A409,ATTENDANCE_DAILY!E:E,"Present"))</f>
        <v/>
      </c>
      <c r="F409" t="str">
        <f>IF(A409="","",COUNTIFS(ATTENDANCE_DAILY!C:C,A409,ATTENDANCE_DAILY!E:E,"Absent"))</f>
        <v/>
      </c>
      <c r="G409" s="5" t="e">
        <f t="shared" si="12"/>
        <v>#VALUE!</v>
      </c>
      <c r="H409" s="4" t="e">
        <f t="shared" si="13"/>
        <v>#VALUE!</v>
      </c>
    </row>
    <row r="410" spans="1:8" x14ac:dyDescent="0.3">
      <c r="A410" t="str">
        <f>IF(MASTER_REGISTER!E410="","",MASTER_REGISTER!E410)</f>
        <v/>
      </c>
      <c r="B410" t="str">
        <f>IF(A410="","",MASTER_REGISTER!F410)</f>
        <v/>
      </c>
      <c r="C410" t="str">
        <f>IF(A410="","",MASTER_REGISTER!C410)</f>
        <v/>
      </c>
      <c r="D410" t="str">
        <f>IF(A410="","",COUNTIF(ATTENDANCE_DAILY!C:C,A410))</f>
        <v/>
      </c>
      <c r="E410" t="str">
        <f>IF(A410="","",COUNTIFS(ATTENDANCE_DAILY!C:C,A410,ATTENDANCE_DAILY!E:E,"Present"))</f>
        <v/>
      </c>
      <c r="F410" t="str">
        <f>IF(A410="","",COUNTIFS(ATTENDANCE_DAILY!C:C,A410,ATTENDANCE_DAILY!E:E,"Absent"))</f>
        <v/>
      </c>
      <c r="G410" s="5" t="e">
        <f t="shared" si="12"/>
        <v>#VALUE!</v>
      </c>
      <c r="H410" s="4" t="e">
        <f t="shared" si="13"/>
        <v>#VALUE!</v>
      </c>
    </row>
    <row r="411" spans="1:8" x14ac:dyDescent="0.3">
      <c r="A411" t="str">
        <f>IF(MASTER_REGISTER!E411="","",MASTER_REGISTER!E411)</f>
        <v/>
      </c>
      <c r="B411" t="str">
        <f>IF(A411="","",MASTER_REGISTER!F411)</f>
        <v/>
      </c>
      <c r="C411" t="str">
        <f>IF(A411="","",MASTER_REGISTER!C411)</f>
        <v/>
      </c>
      <c r="D411" t="str">
        <f>IF(A411="","",COUNTIF(ATTENDANCE_DAILY!C:C,A411))</f>
        <v/>
      </c>
      <c r="E411" t="str">
        <f>IF(A411="","",COUNTIFS(ATTENDANCE_DAILY!C:C,A411,ATTENDANCE_DAILY!E:E,"Present"))</f>
        <v/>
      </c>
      <c r="F411" t="str">
        <f>IF(A411="","",COUNTIFS(ATTENDANCE_DAILY!C:C,A411,ATTENDANCE_DAILY!E:E,"Absent"))</f>
        <v/>
      </c>
      <c r="G411" s="5" t="e">
        <f t="shared" si="12"/>
        <v>#VALUE!</v>
      </c>
      <c r="H411" s="4" t="e">
        <f t="shared" si="13"/>
        <v>#VALUE!</v>
      </c>
    </row>
    <row r="412" spans="1:8" x14ac:dyDescent="0.3">
      <c r="A412" t="str">
        <f>IF(MASTER_REGISTER!E412="","",MASTER_REGISTER!E412)</f>
        <v/>
      </c>
      <c r="B412" t="str">
        <f>IF(A412="","",MASTER_REGISTER!F412)</f>
        <v/>
      </c>
      <c r="C412" t="str">
        <f>IF(A412="","",MASTER_REGISTER!C412)</f>
        <v/>
      </c>
      <c r="D412" t="str">
        <f>IF(A412="","",COUNTIF(ATTENDANCE_DAILY!C:C,A412))</f>
        <v/>
      </c>
      <c r="E412" t="str">
        <f>IF(A412="","",COUNTIFS(ATTENDANCE_DAILY!C:C,A412,ATTENDANCE_DAILY!E:E,"Present"))</f>
        <v/>
      </c>
      <c r="F412" t="str">
        <f>IF(A412="","",COUNTIFS(ATTENDANCE_DAILY!C:C,A412,ATTENDANCE_DAILY!E:E,"Absent"))</f>
        <v/>
      </c>
      <c r="G412" s="5" t="e">
        <f t="shared" si="12"/>
        <v>#VALUE!</v>
      </c>
      <c r="H412" s="4" t="e">
        <f t="shared" si="13"/>
        <v>#VALUE!</v>
      </c>
    </row>
    <row r="413" spans="1:8" x14ac:dyDescent="0.3">
      <c r="A413" t="str">
        <f>IF(MASTER_REGISTER!E413="","",MASTER_REGISTER!E413)</f>
        <v/>
      </c>
      <c r="B413" t="str">
        <f>IF(A413="","",MASTER_REGISTER!F413)</f>
        <v/>
      </c>
      <c r="C413" t="str">
        <f>IF(A413="","",MASTER_REGISTER!C413)</f>
        <v/>
      </c>
      <c r="D413" t="str">
        <f>IF(A413="","",COUNTIF(ATTENDANCE_DAILY!C:C,A413))</f>
        <v/>
      </c>
      <c r="E413" t="str">
        <f>IF(A413="","",COUNTIFS(ATTENDANCE_DAILY!C:C,A413,ATTENDANCE_DAILY!E:E,"Present"))</f>
        <v/>
      </c>
      <c r="F413" t="str">
        <f>IF(A413="","",COUNTIFS(ATTENDANCE_DAILY!C:C,A413,ATTENDANCE_DAILY!E:E,"Absent"))</f>
        <v/>
      </c>
      <c r="G413" s="5" t="e">
        <f t="shared" si="12"/>
        <v>#VALUE!</v>
      </c>
      <c r="H413" s="4" t="e">
        <f t="shared" si="13"/>
        <v>#VALUE!</v>
      </c>
    </row>
    <row r="414" spans="1:8" x14ac:dyDescent="0.3">
      <c r="A414" t="str">
        <f>IF(MASTER_REGISTER!E414="","",MASTER_REGISTER!E414)</f>
        <v/>
      </c>
      <c r="B414" t="str">
        <f>IF(A414="","",MASTER_REGISTER!F414)</f>
        <v/>
      </c>
      <c r="C414" t="str">
        <f>IF(A414="","",MASTER_REGISTER!C414)</f>
        <v/>
      </c>
      <c r="D414" t="str">
        <f>IF(A414="","",COUNTIF(ATTENDANCE_DAILY!C:C,A414))</f>
        <v/>
      </c>
      <c r="E414" t="str">
        <f>IF(A414="","",COUNTIFS(ATTENDANCE_DAILY!C:C,A414,ATTENDANCE_DAILY!E:E,"Present"))</f>
        <v/>
      </c>
      <c r="F414" t="str">
        <f>IF(A414="","",COUNTIFS(ATTENDANCE_DAILY!C:C,A414,ATTENDANCE_DAILY!E:E,"Absent"))</f>
        <v/>
      </c>
      <c r="G414" s="5" t="e">
        <f t="shared" si="12"/>
        <v>#VALUE!</v>
      </c>
      <c r="H414" s="4" t="e">
        <f t="shared" si="13"/>
        <v>#VALUE!</v>
      </c>
    </row>
    <row r="415" spans="1:8" x14ac:dyDescent="0.3">
      <c r="A415" t="str">
        <f>IF(MASTER_REGISTER!E415="","",MASTER_REGISTER!E415)</f>
        <v/>
      </c>
      <c r="B415" t="str">
        <f>IF(A415="","",MASTER_REGISTER!F415)</f>
        <v/>
      </c>
      <c r="C415" t="str">
        <f>IF(A415="","",MASTER_REGISTER!C415)</f>
        <v/>
      </c>
      <c r="D415" t="str">
        <f>IF(A415="","",COUNTIF(ATTENDANCE_DAILY!C:C,A415))</f>
        <v/>
      </c>
      <c r="E415" t="str">
        <f>IF(A415="","",COUNTIFS(ATTENDANCE_DAILY!C:C,A415,ATTENDANCE_DAILY!E:E,"Present"))</f>
        <v/>
      </c>
      <c r="F415" t="str">
        <f>IF(A415="","",COUNTIFS(ATTENDANCE_DAILY!C:C,A415,ATTENDANCE_DAILY!E:E,"Absent"))</f>
        <v/>
      </c>
      <c r="G415" s="5" t="e">
        <f t="shared" si="12"/>
        <v>#VALUE!</v>
      </c>
      <c r="H415" s="4" t="e">
        <f t="shared" si="13"/>
        <v>#VALUE!</v>
      </c>
    </row>
    <row r="416" spans="1:8" x14ac:dyDescent="0.3">
      <c r="A416" t="str">
        <f>IF(MASTER_REGISTER!E416="","",MASTER_REGISTER!E416)</f>
        <v/>
      </c>
      <c r="B416" t="str">
        <f>IF(A416="","",MASTER_REGISTER!F416)</f>
        <v/>
      </c>
      <c r="C416" t="str">
        <f>IF(A416="","",MASTER_REGISTER!C416)</f>
        <v/>
      </c>
      <c r="D416" t="str">
        <f>IF(A416="","",COUNTIF(ATTENDANCE_DAILY!C:C,A416))</f>
        <v/>
      </c>
      <c r="E416" t="str">
        <f>IF(A416="","",COUNTIFS(ATTENDANCE_DAILY!C:C,A416,ATTENDANCE_DAILY!E:E,"Present"))</f>
        <v/>
      </c>
      <c r="F416" t="str">
        <f>IF(A416="","",COUNTIFS(ATTENDANCE_DAILY!C:C,A416,ATTENDANCE_DAILY!E:E,"Absent"))</f>
        <v/>
      </c>
      <c r="G416" s="5" t="e">
        <f t="shared" si="12"/>
        <v>#VALUE!</v>
      </c>
      <c r="H416" s="4" t="e">
        <f t="shared" si="13"/>
        <v>#VALUE!</v>
      </c>
    </row>
    <row r="417" spans="1:8" x14ac:dyDescent="0.3">
      <c r="A417" t="str">
        <f>IF(MASTER_REGISTER!E417="","",MASTER_REGISTER!E417)</f>
        <v/>
      </c>
      <c r="B417" t="str">
        <f>IF(A417="","",MASTER_REGISTER!F417)</f>
        <v/>
      </c>
      <c r="C417" t="str">
        <f>IF(A417="","",MASTER_REGISTER!C417)</f>
        <v/>
      </c>
      <c r="D417" t="str">
        <f>IF(A417="","",COUNTIF(ATTENDANCE_DAILY!C:C,A417))</f>
        <v/>
      </c>
      <c r="E417" t="str">
        <f>IF(A417="","",COUNTIFS(ATTENDANCE_DAILY!C:C,A417,ATTENDANCE_DAILY!E:E,"Present"))</f>
        <v/>
      </c>
      <c r="F417" t="str">
        <f>IF(A417="","",COUNTIFS(ATTENDANCE_DAILY!C:C,A417,ATTENDANCE_DAILY!E:E,"Absent"))</f>
        <v/>
      </c>
      <c r="G417" s="5" t="e">
        <f t="shared" si="12"/>
        <v>#VALUE!</v>
      </c>
      <c r="H417" s="4" t="e">
        <f t="shared" si="13"/>
        <v>#VALUE!</v>
      </c>
    </row>
    <row r="418" spans="1:8" x14ac:dyDescent="0.3">
      <c r="A418" t="str">
        <f>IF(MASTER_REGISTER!E418="","",MASTER_REGISTER!E418)</f>
        <v/>
      </c>
      <c r="B418" t="str">
        <f>IF(A418="","",MASTER_REGISTER!F418)</f>
        <v/>
      </c>
      <c r="C418" t="str">
        <f>IF(A418="","",MASTER_REGISTER!C418)</f>
        <v/>
      </c>
      <c r="D418" t="str">
        <f>IF(A418="","",COUNTIF(ATTENDANCE_DAILY!C:C,A418))</f>
        <v/>
      </c>
      <c r="E418" t="str">
        <f>IF(A418="","",COUNTIFS(ATTENDANCE_DAILY!C:C,A418,ATTENDANCE_DAILY!E:E,"Present"))</f>
        <v/>
      </c>
      <c r="F418" t="str">
        <f>IF(A418="","",COUNTIFS(ATTENDANCE_DAILY!C:C,A418,ATTENDANCE_DAILY!E:E,"Absent"))</f>
        <v/>
      </c>
      <c r="G418" s="5" t="e">
        <f t="shared" si="12"/>
        <v>#VALUE!</v>
      </c>
      <c r="H418" s="4" t="e">
        <f t="shared" si="13"/>
        <v>#VALUE!</v>
      </c>
    </row>
    <row r="419" spans="1:8" x14ac:dyDescent="0.3">
      <c r="A419" t="str">
        <f>IF(MASTER_REGISTER!E419="","",MASTER_REGISTER!E419)</f>
        <v/>
      </c>
      <c r="B419" t="str">
        <f>IF(A419="","",MASTER_REGISTER!F419)</f>
        <v/>
      </c>
      <c r="C419" t="str">
        <f>IF(A419="","",MASTER_REGISTER!C419)</f>
        <v/>
      </c>
      <c r="D419" t="str">
        <f>IF(A419="","",COUNTIF(ATTENDANCE_DAILY!C:C,A419))</f>
        <v/>
      </c>
      <c r="E419" t="str">
        <f>IF(A419="","",COUNTIFS(ATTENDANCE_DAILY!C:C,A419,ATTENDANCE_DAILY!E:E,"Present"))</f>
        <v/>
      </c>
      <c r="F419" t="str">
        <f>IF(A419="","",COUNTIFS(ATTENDANCE_DAILY!C:C,A419,ATTENDANCE_DAILY!E:E,"Absent"))</f>
        <v/>
      </c>
      <c r="G419" s="5" t="e">
        <f t="shared" si="12"/>
        <v>#VALUE!</v>
      </c>
      <c r="H419" s="4" t="e">
        <f t="shared" si="13"/>
        <v>#VALUE!</v>
      </c>
    </row>
    <row r="420" spans="1:8" x14ac:dyDescent="0.3">
      <c r="A420" t="str">
        <f>IF(MASTER_REGISTER!E420="","",MASTER_REGISTER!E420)</f>
        <v/>
      </c>
      <c r="B420" t="str">
        <f>IF(A420="","",MASTER_REGISTER!F420)</f>
        <v/>
      </c>
      <c r="C420" t="str">
        <f>IF(A420="","",MASTER_REGISTER!C420)</f>
        <v/>
      </c>
      <c r="D420" t="str">
        <f>IF(A420="","",COUNTIF(ATTENDANCE_DAILY!C:C,A420))</f>
        <v/>
      </c>
      <c r="E420" t="str">
        <f>IF(A420="","",COUNTIFS(ATTENDANCE_DAILY!C:C,A420,ATTENDANCE_DAILY!E:E,"Present"))</f>
        <v/>
      </c>
      <c r="F420" t="str">
        <f>IF(A420="","",COUNTIFS(ATTENDANCE_DAILY!C:C,A420,ATTENDANCE_DAILY!E:E,"Absent"))</f>
        <v/>
      </c>
      <c r="G420" s="5" t="e">
        <f t="shared" si="12"/>
        <v>#VALUE!</v>
      </c>
      <c r="H420" s="4" t="e">
        <f t="shared" si="13"/>
        <v>#VALUE!</v>
      </c>
    </row>
    <row r="421" spans="1:8" x14ac:dyDescent="0.3">
      <c r="A421" t="str">
        <f>IF(MASTER_REGISTER!E421="","",MASTER_REGISTER!E421)</f>
        <v/>
      </c>
      <c r="B421" t="str">
        <f>IF(A421="","",MASTER_REGISTER!F421)</f>
        <v/>
      </c>
      <c r="C421" t="str">
        <f>IF(A421="","",MASTER_REGISTER!C421)</f>
        <v/>
      </c>
      <c r="D421" t="str">
        <f>IF(A421="","",COUNTIF(ATTENDANCE_DAILY!C:C,A421))</f>
        <v/>
      </c>
      <c r="E421" t="str">
        <f>IF(A421="","",COUNTIFS(ATTENDANCE_DAILY!C:C,A421,ATTENDANCE_DAILY!E:E,"Present"))</f>
        <v/>
      </c>
      <c r="F421" t="str">
        <f>IF(A421="","",COUNTIFS(ATTENDANCE_DAILY!C:C,A421,ATTENDANCE_DAILY!E:E,"Absent"))</f>
        <v/>
      </c>
      <c r="G421" s="5" t="e">
        <f t="shared" si="12"/>
        <v>#VALUE!</v>
      </c>
      <c r="H421" s="4" t="e">
        <f t="shared" si="13"/>
        <v>#VALUE!</v>
      </c>
    </row>
    <row r="422" spans="1:8" x14ac:dyDescent="0.3">
      <c r="A422" t="str">
        <f>IF(MASTER_REGISTER!E422="","",MASTER_REGISTER!E422)</f>
        <v/>
      </c>
      <c r="B422" t="str">
        <f>IF(A422="","",MASTER_REGISTER!F422)</f>
        <v/>
      </c>
      <c r="C422" t="str">
        <f>IF(A422="","",MASTER_REGISTER!C422)</f>
        <v/>
      </c>
      <c r="D422" t="str">
        <f>IF(A422="","",COUNTIF(ATTENDANCE_DAILY!C:C,A422))</f>
        <v/>
      </c>
      <c r="E422" t="str">
        <f>IF(A422="","",COUNTIFS(ATTENDANCE_DAILY!C:C,A422,ATTENDANCE_DAILY!E:E,"Present"))</f>
        <v/>
      </c>
      <c r="F422" t="str">
        <f>IF(A422="","",COUNTIFS(ATTENDANCE_DAILY!C:C,A422,ATTENDANCE_DAILY!E:E,"Absent"))</f>
        <v/>
      </c>
      <c r="G422" s="5" t="e">
        <f t="shared" si="12"/>
        <v>#VALUE!</v>
      </c>
      <c r="H422" s="4" t="e">
        <f t="shared" si="13"/>
        <v>#VALUE!</v>
      </c>
    </row>
    <row r="423" spans="1:8" x14ac:dyDescent="0.3">
      <c r="A423" t="str">
        <f>IF(MASTER_REGISTER!E423="","",MASTER_REGISTER!E423)</f>
        <v/>
      </c>
      <c r="B423" t="str">
        <f>IF(A423="","",MASTER_REGISTER!F423)</f>
        <v/>
      </c>
      <c r="C423" t="str">
        <f>IF(A423="","",MASTER_REGISTER!C423)</f>
        <v/>
      </c>
      <c r="D423" t="str">
        <f>IF(A423="","",COUNTIF(ATTENDANCE_DAILY!C:C,A423))</f>
        <v/>
      </c>
      <c r="E423" t="str">
        <f>IF(A423="","",COUNTIFS(ATTENDANCE_DAILY!C:C,A423,ATTENDANCE_DAILY!E:E,"Present"))</f>
        <v/>
      </c>
      <c r="F423" t="str">
        <f>IF(A423="","",COUNTIFS(ATTENDANCE_DAILY!C:C,A423,ATTENDANCE_DAILY!E:E,"Absent"))</f>
        <v/>
      </c>
      <c r="G423" s="5" t="e">
        <f t="shared" si="12"/>
        <v>#VALUE!</v>
      </c>
      <c r="H423" s="4" t="e">
        <f t="shared" si="13"/>
        <v>#VALUE!</v>
      </c>
    </row>
    <row r="424" spans="1:8" x14ac:dyDescent="0.3">
      <c r="A424" t="str">
        <f>IF(MASTER_REGISTER!E424="","",MASTER_REGISTER!E424)</f>
        <v/>
      </c>
      <c r="B424" t="str">
        <f>IF(A424="","",MASTER_REGISTER!F424)</f>
        <v/>
      </c>
      <c r="C424" t="str">
        <f>IF(A424="","",MASTER_REGISTER!C424)</f>
        <v/>
      </c>
      <c r="D424" t="str">
        <f>IF(A424="","",COUNTIF(ATTENDANCE_DAILY!C:C,A424))</f>
        <v/>
      </c>
      <c r="E424" t="str">
        <f>IF(A424="","",COUNTIFS(ATTENDANCE_DAILY!C:C,A424,ATTENDANCE_DAILY!E:E,"Present"))</f>
        <v/>
      </c>
      <c r="F424" t="str">
        <f>IF(A424="","",COUNTIFS(ATTENDANCE_DAILY!C:C,A424,ATTENDANCE_DAILY!E:E,"Absent"))</f>
        <v/>
      </c>
      <c r="G424" s="5" t="e">
        <f t="shared" si="12"/>
        <v>#VALUE!</v>
      </c>
      <c r="H424" s="4" t="e">
        <f t="shared" si="13"/>
        <v>#VALUE!</v>
      </c>
    </row>
    <row r="425" spans="1:8" x14ac:dyDescent="0.3">
      <c r="A425" t="str">
        <f>IF(MASTER_REGISTER!E425="","",MASTER_REGISTER!E425)</f>
        <v/>
      </c>
      <c r="B425" t="str">
        <f>IF(A425="","",MASTER_REGISTER!F425)</f>
        <v/>
      </c>
      <c r="C425" t="str">
        <f>IF(A425="","",MASTER_REGISTER!C425)</f>
        <v/>
      </c>
      <c r="D425" t="str">
        <f>IF(A425="","",COUNTIF(ATTENDANCE_DAILY!C:C,A425))</f>
        <v/>
      </c>
      <c r="E425" t="str">
        <f>IF(A425="","",COUNTIFS(ATTENDANCE_DAILY!C:C,A425,ATTENDANCE_DAILY!E:E,"Present"))</f>
        <v/>
      </c>
      <c r="F425" t="str">
        <f>IF(A425="","",COUNTIFS(ATTENDANCE_DAILY!C:C,A425,ATTENDANCE_DAILY!E:E,"Absent"))</f>
        <v/>
      </c>
      <c r="G425" s="5" t="e">
        <f t="shared" si="12"/>
        <v>#VALUE!</v>
      </c>
      <c r="H425" s="4" t="e">
        <f t="shared" si="13"/>
        <v>#VALUE!</v>
      </c>
    </row>
    <row r="426" spans="1:8" x14ac:dyDescent="0.3">
      <c r="A426" t="str">
        <f>IF(MASTER_REGISTER!E426="","",MASTER_REGISTER!E426)</f>
        <v/>
      </c>
      <c r="B426" t="str">
        <f>IF(A426="","",MASTER_REGISTER!F426)</f>
        <v/>
      </c>
      <c r="C426" t="str">
        <f>IF(A426="","",MASTER_REGISTER!C426)</f>
        <v/>
      </c>
      <c r="D426" t="str">
        <f>IF(A426="","",COUNTIF(ATTENDANCE_DAILY!C:C,A426))</f>
        <v/>
      </c>
      <c r="E426" t="str">
        <f>IF(A426="","",COUNTIFS(ATTENDANCE_DAILY!C:C,A426,ATTENDANCE_DAILY!E:E,"Present"))</f>
        <v/>
      </c>
      <c r="F426" t="str">
        <f>IF(A426="","",COUNTIFS(ATTENDANCE_DAILY!C:C,A426,ATTENDANCE_DAILY!E:E,"Absent"))</f>
        <v/>
      </c>
      <c r="G426" s="5" t="e">
        <f t="shared" si="12"/>
        <v>#VALUE!</v>
      </c>
      <c r="H426" s="4" t="e">
        <f t="shared" si="13"/>
        <v>#VALUE!</v>
      </c>
    </row>
    <row r="427" spans="1:8" x14ac:dyDescent="0.3">
      <c r="A427" t="str">
        <f>IF(MASTER_REGISTER!E427="","",MASTER_REGISTER!E427)</f>
        <v/>
      </c>
      <c r="B427" t="str">
        <f>IF(A427="","",MASTER_REGISTER!F427)</f>
        <v/>
      </c>
      <c r="C427" t="str">
        <f>IF(A427="","",MASTER_REGISTER!C427)</f>
        <v/>
      </c>
      <c r="D427" t="str">
        <f>IF(A427="","",COUNTIF(ATTENDANCE_DAILY!C:C,A427))</f>
        <v/>
      </c>
      <c r="E427" t="str">
        <f>IF(A427="","",COUNTIFS(ATTENDANCE_DAILY!C:C,A427,ATTENDANCE_DAILY!E:E,"Present"))</f>
        <v/>
      </c>
      <c r="F427" t="str">
        <f>IF(A427="","",COUNTIFS(ATTENDANCE_DAILY!C:C,A427,ATTENDANCE_DAILY!E:E,"Absent"))</f>
        <v/>
      </c>
      <c r="G427" s="5" t="e">
        <f t="shared" si="12"/>
        <v>#VALUE!</v>
      </c>
      <c r="H427" s="4" t="e">
        <f t="shared" si="13"/>
        <v>#VALUE!</v>
      </c>
    </row>
    <row r="428" spans="1:8" x14ac:dyDescent="0.3">
      <c r="A428" t="str">
        <f>IF(MASTER_REGISTER!E428="","",MASTER_REGISTER!E428)</f>
        <v/>
      </c>
      <c r="B428" t="str">
        <f>IF(A428="","",MASTER_REGISTER!F428)</f>
        <v/>
      </c>
      <c r="C428" t="str">
        <f>IF(A428="","",MASTER_REGISTER!C428)</f>
        <v/>
      </c>
      <c r="D428" t="str">
        <f>IF(A428="","",COUNTIF(ATTENDANCE_DAILY!C:C,A428))</f>
        <v/>
      </c>
      <c r="E428" t="str">
        <f>IF(A428="","",COUNTIFS(ATTENDANCE_DAILY!C:C,A428,ATTENDANCE_DAILY!E:E,"Present"))</f>
        <v/>
      </c>
      <c r="F428" t="str">
        <f>IF(A428="","",COUNTIFS(ATTENDANCE_DAILY!C:C,A428,ATTENDANCE_DAILY!E:E,"Absent"))</f>
        <v/>
      </c>
      <c r="G428" s="5" t="e">
        <f t="shared" si="12"/>
        <v>#VALUE!</v>
      </c>
      <c r="H428" s="4" t="e">
        <f t="shared" si="13"/>
        <v>#VALUE!</v>
      </c>
    </row>
    <row r="429" spans="1:8" x14ac:dyDescent="0.3">
      <c r="A429" t="str">
        <f>IF(MASTER_REGISTER!E429="","",MASTER_REGISTER!E429)</f>
        <v/>
      </c>
      <c r="B429" t="str">
        <f>IF(A429="","",MASTER_REGISTER!F429)</f>
        <v/>
      </c>
      <c r="C429" t="str">
        <f>IF(A429="","",MASTER_REGISTER!C429)</f>
        <v/>
      </c>
      <c r="D429" t="str">
        <f>IF(A429="","",COUNTIF(ATTENDANCE_DAILY!C:C,A429))</f>
        <v/>
      </c>
      <c r="E429" t="str">
        <f>IF(A429="","",COUNTIFS(ATTENDANCE_DAILY!C:C,A429,ATTENDANCE_DAILY!E:E,"Present"))</f>
        <v/>
      </c>
      <c r="F429" t="str">
        <f>IF(A429="","",COUNTIFS(ATTENDANCE_DAILY!C:C,A429,ATTENDANCE_DAILY!E:E,"Absent"))</f>
        <v/>
      </c>
      <c r="G429" s="5" t="e">
        <f t="shared" si="12"/>
        <v>#VALUE!</v>
      </c>
      <c r="H429" s="4" t="e">
        <f t="shared" si="13"/>
        <v>#VALUE!</v>
      </c>
    </row>
    <row r="430" spans="1:8" x14ac:dyDescent="0.3">
      <c r="A430" t="str">
        <f>IF(MASTER_REGISTER!E430="","",MASTER_REGISTER!E430)</f>
        <v/>
      </c>
      <c r="B430" t="str">
        <f>IF(A430="","",MASTER_REGISTER!F430)</f>
        <v/>
      </c>
      <c r="C430" t="str">
        <f>IF(A430="","",MASTER_REGISTER!C430)</f>
        <v/>
      </c>
      <c r="D430" t="str">
        <f>IF(A430="","",COUNTIF(ATTENDANCE_DAILY!C:C,A430))</f>
        <v/>
      </c>
      <c r="E430" t="str">
        <f>IF(A430="","",COUNTIFS(ATTENDANCE_DAILY!C:C,A430,ATTENDANCE_DAILY!E:E,"Present"))</f>
        <v/>
      </c>
      <c r="F430" t="str">
        <f>IF(A430="","",COUNTIFS(ATTENDANCE_DAILY!C:C,A430,ATTENDANCE_DAILY!E:E,"Absent"))</f>
        <v/>
      </c>
      <c r="G430" s="5" t="e">
        <f t="shared" si="12"/>
        <v>#VALUE!</v>
      </c>
      <c r="H430" s="4" t="e">
        <f t="shared" si="13"/>
        <v>#VALUE!</v>
      </c>
    </row>
    <row r="431" spans="1:8" x14ac:dyDescent="0.3">
      <c r="A431" t="str">
        <f>IF(MASTER_REGISTER!E431="","",MASTER_REGISTER!E431)</f>
        <v/>
      </c>
      <c r="B431" t="str">
        <f>IF(A431="","",MASTER_REGISTER!F431)</f>
        <v/>
      </c>
      <c r="C431" t="str">
        <f>IF(A431="","",MASTER_REGISTER!C431)</f>
        <v/>
      </c>
      <c r="D431" t="str">
        <f>IF(A431="","",COUNTIF(ATTENDANCE_DAILY!C:C,A431))</f>
        <v/>
      </c>
      <c r="E431" t="str">
        <f>IF(A431="","",COUNTIFS(ATTENDANCE_DAILY!C:C,A431,ATTENDANCE_DAILY!E:E,"Present"))</f>
        <v/>
      </c>
      <c r="F431" t="str">
        <f>IF(A431="","",COUNTIFS(ATTENDANCE_DAILY!C:C,A431,ATTENDANCE_DAILY!E:E,"Absent"))</f>
        <v/>
      </c>
      <c r="G431" s="5" t="e">
        <f t="shared" si="12"/>
        <v>#VALUE!</v>
      </c>
      <c r="H431" s="4" t="e">
        <f t="shared" si="13"/>
        <v>#VALUE!</v>
      </c>
    </row>
    <row r="432" spans="1:8" x14ac:dyDescent="0.3">
      <c r="A432" t="str">
        <f>IF(MASTER_REGISTER!E432="","",MASTER_REGISTER!E432)</f>
        <v/>
      </c>
      <c r="B432" t="str">
        <f>IF(A432="","",MASTER_REGISTER!F432)</f>
        <v/>
      </c>
      <c r="C432" t="str">
        <f>IF(A432="","",MASTER_REGISTER!C432)</f>
        <v/>
      </c>
      <c r="D432" t="str">
        <f>IF(A432="","",COUNTIF(ATTENDANCE_DAILY!C:C,A432))</f>
        <v/>
      </c>
      <c r="E432" t="str">
        <f>IF(A432="","",COUNTIFS(ATTENDANCE_DAILY!C:C,A432,ATTENDANCE_DAILY!E:E,"Present"))</f>
        <v/>
      </c>
      <c r="F432" t="str">
        <f>IF(A432="","",COUNTIFS(ATTENDANCE_DAILY!C:C,A432,ATTENDANCE_DAILY!E:E,"Absent"))</f>
        <v/>
      </c>
      <c r="G432" s="5" t="e">
        <f t="shared" si="12"/>
        <v>#VALUE!</v>
      </c>
      <c r="H432" s="4" t="e">
        <f t="shared" si="13"/>
        <v>#VALUE!</v>
      </c>
    </row>
    <row r="433" spans="1:8" x14ac:dyDescent="0.3">
      <c r="A433" t="str">
        <f>IF(MASTER_REGISTER!E433="","",MASTER_REGISTER!E433)</f>
        <v/>
      </c>
      <c r="B433" t="str">
        <f>IF(A433="","",MASTER_REGISTER!F433)</f>
        <v/>
      </c>
      <c r="C433" t="str">
        <f>IF(A433="","",MASTER_REGISTER!C433)</f>
        <v/>
      </c>
      <c r="D433" t="str">
        <f>IF(A433="","",COUNTIF(ATTENDANCE_DAILY!C:C,A433))</f>
        <v/>
      </c>
      <c r="E433" t="str">
        <f>IF(A433="","",COUNTIFS(ATTENDANCE_DAILY!C:C,A433,ATTENDANCE_DAILY!E:E,"Present"))</f>
        <v/>
      </c>
      <c r="F433" t="str">
        <f>IF(A433="","",COUNTIFS(ATTENDANCE_DAILY!C:C,A433,ATTENDANCE_DAILY!E:E,"Absent"))</f>
        <v/>
      </c>
      <c r="G433" s="5" t="e">
        <f t="shared" si="12"/>
        <v>#VALUE!</v>
      </c>
      <c r="H433" s="4" t="e">
        <f t="shared" si="13"/>
        <v>#VALUE!</v>
      </c>
    </row>
    <row r="434" spans="1:8" x14ac:dyDescent="0.3">
      <c r="A434" t="str">
        <f>IF(MASTER_REGISTER!E434="","",MASTER_REGISTER!E434)</f>
        <v/>
      </c>
      <c r="B434" t="str">
        <f>IF(A434="","",MASTER_REGISTER!F434)</f>
        <v/>
      </c>
      <c r="C434" t="str">
        <f>IF(A434="","",MASTER_REGISTER!C434)</f>
        <v/>
      </c>
      <c r="D434" t="str">
        <f>IF(A434="","",COUNTIF(ATTENDANCE_DAILY!C:C,A434))</f>
        <v/>
      </c>
      <c r="E434" t="str">
        <f>IF(A434="","",COUNTIFS(ATTENDANCE_DAILY!C:C,A434,ATTENDANCE_DAILY!E:E,"Present"))</f>
        <v/>
      </c>
      <c r="F434" t="str">
        <f>IF(A434="","",COUNTIFS(ATTENDANCE_DAILY!C:C,A434,ATTENDANCE_DAILY!E:E,"Absent"))</f>
        <v/>
      </c>
      <c r="G434" s="5" t="e">
        <f t="shared" si="12"/>
        <v>#VALUE!</v>
      </c>
      <c r="H434" s="4" t="e">
        <f t="shared" si="13"/>
        <v>#VALUE!</v>
      </c>
    </row>
    <row r="435" spans="1:8" x14ac:dyDescent="0.3">
      <c r="A435" t="str">
        <f>IF(MASTER_REGISTER!E435="","",MASTER_REGISTER!E435)</f>
        <v/>
      </c>
      <c r="B435" t="str">
        <f>IF(A435="","",MASTER_REGISTER!F435)</f>
        <v/>
      </c>
      <c r="C435" t="str">
        <f>IF(A435="","",MASTER_REGISTER!C435)</f>
        <v/>
      </c>
      <c r="D435" t="str">
        <f>IF(A435="","",COUNTIF(ATTENDANCE_DAILY!C:C,A435))</f>
        <v/>
      </c>
      <c r="E435" t="str">
        <f>IF(A435="","",COUNTIFS(ATTENDANCE_DAILY!C:C,A435,ATTENDANCE_DAILY!E:E,"Present"))</f>
        <v/>
      </c>
      <c r="F435" t="str">
        <f>IF(A435="","",COUNTIFS(ATTENDANCE_DAILY!C:C,A435,ATTENDANCE_DAILY!E:E,"Absent"))</f>
        <v/>
      </c>
      <c r="G435" s="5" t="e">
        <f t="shared" si="12"/>
        <v>#VALUE!</v>
      </c>
      <c r="H435" s="4" t="e">
        <f t="shared" si="13"/>
        <v>#VALUE!</v>
      </c>
    </row>
    <row r="436" spans="1:8" x14ac:dyDescent="0.3">
      <c r="A436" t="str">
        <f>IF(MASTER_REGISTER!E436="","",MASTER_REGISTER!E436)</f>
        <v/>
      </c>
      <c r="B436" t="str">
        <f>IF(A436="","",MASTER_REGISTER!F436)</f>
        <v/>
      </c>
      <c r="C436" t="str">
        <f>IF(A436="","",MASTER_REGISTER!C436)</f>
        <v/>
      </c>
      <c r="D436" t="str">
        <f>IF(A436="","",COUNTIF(ATTENDANCE_DAILY!C:C,A436))</f>
        <v/>
      </c>
      <c r="E436" t="str">
        <f>IF(A436="","",COUNTIFS(ATTENDANCE_DAILY!C:C,A436,ATTENDANCE_DAILY!E:E,"Present"))</f>
        <v/>
      </c>
      <c r="F436" t="str">
        <f>IF(A436="","",COUNTIFS(ATTENDANCE_DAILY!C:C,A436,ATTENDANCE_DAILY!E:E,"Absent"))</f>
        <v/>
      </c>
      <c r="G436" s="5" t="e">
        <f t="shared" si="12"/>
        <v>#VALUE!</v>
      </c>
      <c r="H436" s="4" t="e">
        <f t="shared" si="13"/>
        <v>#VALUE!</v>
      </c>
    </row>
    <row r="437" spans="1:8" x14ac:dyDescent="0.3">
      <c r="A437" t="str">
        <f>IF(MASTER_REGISTER!E437="","",MASTER_REGISTER!E437)</f>
        <v/>
      </c>
      <c r="B437" t="str">
        <f>IF(A437="","",MASTER_REGISTER!F437)</f>
        <v/>
      </c>
      <c r="C437" t="str">
        <f>IF(A437="","",MASTER_REGISTER!C437)</f>
        <v/>
      </c>
      <c r="D437" t="str">
        <f>IF(A437="","",COUNTIF(ATTENDANCE_DAILY!C:C,A437))</f>
        <v/>
      </c>
      <c r="E437" t="str">
        <f>IF(A437="","",COUNTIFS(ATTENDANCE_DAILY!C:C,A437,ATTENDANCE_DAILY!E:E,"Present"))</f>
        <v/>
      </c>
      <c r="F437" t="str">
        <f>IF(A437="","",COUNTIFS(ATTENDANCE_DAILY!C:C,A437,ATTENDANCE_DAILY!E:E,"Absent"))</f>
        <v/>
      </c>
      <c r="G437" s="5" t="e">
        <f t="shared" si="12"/>
        <v>#VALUE!</v>
      </c>
      <c r="H437" s="4" t="e">
        <f t="shared" si="13"/>
        <v>#VALUE!</v>
      </c>
    </row>
    <row r="438" spans="1:8" x14ac:dyDescent="0.3">
      <c r="A438" t="str">
        <f>IF(MASTER_REGISTER!E438="","",MASTER_REGISTER!E438)</f>
        <v/>
      </c>
      <c r="B438" t="str">
        <f>IF(A438="","",MASTER_REGISTER!F438)</f>
        <v/>
      </c>
      <c r="C438" t="str">
        <f>IF(A438="","",MASTER_REGISTER!C438)</f>
        <v/>
      </c>
      <c r="D438" t="str">
        <f>IF(A438="","",COUNTIF(ATTENDANCE_DAILY!C:C,A438))</f>
        <v/>
      </c>
      <c r="E438" t="str">
        <f>IF(A438="","",COUNTIFS(ATTENDANCE_DAILY!C:C,A438,ATTENDANCE_DAILY!E:E,"Present"))</f>
        <v/>
      </c>
      <c r="F438" t="str">
        <f>IF(A438="","",COUNTIFS(ATTENDANCE_DAILY!C:C,A438,ATTENDANCE_DAILY!E:E,"Absent"))</f>
        <v/>
      </c>
      <c r="G438" s="5" t="e">
        <f t="shared" si="12"/>
        <v>#VALUE!</v>
      </c>
      <c r="H438" s="4" t="e">
        <f t="shared" si="13"/>
        <v>#VALUE!</v>
      </c>
    </row>
    <row r="439" spans="1:8" x14ac:dyDescent="0.3">
      <c r="A439" t="str">
        <f>IF(MASTER_REGISTER!E439="","",MASTER_REGISTER!E439)</f>
        <v/>
      </c>
      <c r="B439" t="str">
        <f>IF(A439="","",MASTER_REGISTER!F439)</f>
        <v/>
      </c>
      <c r="C439" t="str">
        <f>IF(A439="","",MASTER_REGISTER!C439)</f>
        <v/>
      </c>
      <c r="D439" t="str">
        <f>IF(A439="","",COUNTIF(ATTENDANCE_DAILY!C:C,A439))</f>
        <v/>
      </c>
      <c r="E439" t="str">
        <f>IF(A439="","",COUNTIFS(ATTENDANCE_DAILY!C:C,A439,ATTENDANCE_DAILY!E:E,"Present"))</f>
        <v/>
      </c>
      <c r="F439" t="str">
        <f>IF(A439="","",COUNTIFS(ATTENDANCE_DAILY!C:C,A439,ATTENDANCE_DAILY!E:E,"Absent"))</f>
        <v/>
      </c>
      <c r="G439" s="5" t="e">
        <f t="shared" si="12"/>
        <v>#VALUE!</v>
      </c>
      <c r="H439" s="4" t="e">
        <f t="shared" si="13"/>
        <v>#VALUE!</v>
      </c>
    </row>
    <row r="440" spans="1:8" x14ac:dyDescent="0.3">
      <c r="A440" t="str">
        <f>IF(MASTER_REGISTER!E440="","",MASTER_REGISTER!E440)</f>
        <v/>
      </c>
      <c r="B440" t="str">
        <f>IF(A440="","",MASTER_REGISTER!F440)</f>
        <v/>
      </c>
      <c r="C440" t="str">
        <f>IF(A440="","",MASTER_REGISTER!C440)</f>
        <v/>
      </c>
      <c r="D440" t="str">
        <f>IF(A440="","",COUNTIF(ATTENDANCE_DAILY!C:C,A440))</f>
        <v/>
      </c>
      <c r="E440" t="str">
        <f>IF(A440="","",COUNTIFS(ATTENDANCE_DAILY!C:C,A440,ATTENDANCE_DAILY!E:E,"Present"))</f>
        <v/>
      </c>
      <c r="F440" t="str">
        <f>IF(A440="","",COUNTIFS(ATTENDANCE_DAILY!C:C,A440,ATTENDANCE_DAILY!E:E,"Absent"))</f>
        <v/>
      </c>
      <c r="G440" s="5" t="e">
        <f t="shared" si="12"/>
        <v>#VALUE!</v>
      </c>
      <c r="H440" s="4" t="e">
        <f t="shared" si="13"/>
        <v>#VALUE!</v>
      </c>
    </row>
    <row r="441" spans="1:8" x14ac:dyDescent="0.3">
      <c r="A441" t="str">
        <f>IF(MASTER_REGISTER!E441="","",MASTER_REGISTER!E441)</f>
        <v/>
      </c>
      <c r="B441" t="str">
        <f>IF(A441="","",MASTER_REGISTER!F441)</f>
        <v/>
      </c>
      <c r="C441" t="str">
        <f>IF(A441="","",MASTER_REGISTER!C441)</f>
        <v/>
      </c>
      <c r="D441" t="str">
        <f>IF(A441="","",COUNTIF(ATTENDANCE_DAILY!C:C,A441))</f>
        <v/>
      </c>
      <c r="E441" t="str">
        <f>IF(A441="","",COUNTIFS(ATTENDANCE_DAILY!C:C,A441,ATTENDANCE_DAILY!E:E,"Present"))</f>
        <v/>
      </c>
      <c r="F441" t="str">
        <f>IF(A441="","",COUNTIFS(ATTENDANCE_DAILY!C:C,A441,ATTENDANCE_DAILY!E:E,"Absent"))</f>
        <v/>
      </c>
      <c r="G441" s="5" t="e">
        <f t="shared" si="12"/>
        <v>#VALUE!</v>
      </c>
      <c r="H441" s="4" t="e">
        <f t="shared" si="13"/>
        <v>#VALUE!</v>
      </c>
    </row>
    <row r="442" spans="1:8" x14ac:dyDescent="0.3">
      <c r="A442" t="str">
        <f>IF(MASTER_REGISTER!E442="","",MASTER_REGISTER!E442)</f>
        <v/>
      </c>
      <c r="B442" t="str">
        <f>IF(A442="","",MASTER_REGISTER!F442)</f>
        <v/>
      </c>
      <c r="C442" t="str">
        <f>IF(A442="","",MASTER_REGISTER!C442)</f>
        <v/>
      </c>
      <c r="D442" t="str">
        <f>IF(A442="","",COUNTIF(ATTENDANCE_DAILY!C:C,A442))</f>
        <v/>
      </c>
      <c r="E442" t="str">
        <f>IF(A442="","",COUNTIFS(ATTENDANCE_DAILY!C:C,A442,ATTENDANCE_DAILY!E:E,"Present"))</f>
        <v/>
      </c>
      <c r="F442" t="str">
        <f>IF(A442="","",COUNTIFS(ATTENDANCE_DAILY!C:C,A442,ATTENDANCE_DAILY!E:E,"Absent"))</f>
        <v/>
      </c>
      <c r="G442" s="5" t="e">
        <f t="shared" si="12"/>
        <v>#VALUE!</v>
      </c>
      <c r="H442" s="4" t="e">
        <f t="shared" si="13"/>
        <v>#VALUE!</v>
      </c>
    </row>
    <row r="443" spans="1:8" x14ac:dyDescent="0.3">
      <c r="A443" t="str">
        <f>IF(MASTER_REGISTER!E443="","",MASTER_REGISTER!E443)</f>
        <v/>
      </c>
      <c r="B443" t="str">
        <f>IF(A443="","",MASTER_REGISTER!F443)</f>
        <v/>
      </c>
      <c r="C443" t="str">
        <f>IF(A443="","",MASTER_REGISTER!C443)</f>
        <v/>
      </c>
      <c r="D443" t="str">
        <f>IF(A443="","",COUNTIF(ATTENDANCE_DAILY!C:C,A443))</f>
        <v/>
      </c>
      <c r="E443" t="str">
        <f>IF(A443="","",COUNTIFS(ATTENDANCE_DAILY!C:C,A443,ATTENDANCE_DAILY!E:E,"Present"))</f>
        <v/>
      </c>
      <c r="F443" t="str">
        <f>IF(A443="","",COUNTIFS(ATTENDANCE_DAILY!C:C,A443,ATTENDANCE_DAILY!E:E,"Absent"))</f>
        <v/>
      </c>
      <c r="G443" s="5" t="e">
        <f t="shared" si="12"/>
        <v>#VALUE!</v>
      </c>
      <c r="H443" s="4" t="e">
        <f t="shared" si="13"/>
        <v>#VALUE!</v>
      </c>
    </row>
    <row r="444" spans="1:8" x14ac:dyDescent="0.3">
      <c r="A444" t="str">
        <f>IF(MASTER_REGISTER!E444="","",MASTER_REGISTER!E444)</f>
        <v/>
      </c>
      <c r="B444" t="str">
        <f>IF(A444="","",MASTER_REGISTER!F444)</f>
        <v/>
      </c>
      <c r="C444" t="str">
        <f>IF(A444="","",MASTER_REGISTER!C444)</f>
        <v/>
      </c>
      <c r="D444" t="str">
        <f>IF(A444="","",COUNTIF(ATTENDANCE_DAILY!C:C,A444))</f>
        <v/>
      </c>
      <c r="E444" t="str">
        <f>IF(A444="","",COUNTIFS(ATTENDANCE_DAILY!C:C,A444,ATTENDANCE_DAILY!E:E,"Present"))</f>
        <v/>
      </c>
      <c r="F444" t="str">
        <f>IF(A444="","",COUNTIFS(ATTENDANCE_DAILY!C:C,A444,ATTENDANCE_DAILY!E:E,"Absent"))</f>
        <v/>
      </c>
      <c r="G444" s="5" t="e">
        <f t="shared" si="12"/>
        <v>#VALUE!</v>
      </c>
      <c r="H444" s="4" t="e">
        <f t="shared" si="13"/>
        <v>#VALUE!</v>
      </c>
    </row>
    <row r="445" spans="1:8" x14ac:dyDescent="0.3">
      <c r="A445" t="str">
        <f>IF(MASTER_REGISTER!E445="","",MASTER_REGISTER!E445)</f>
        <v/>
      </c>
      <c r="B445" t="str">
        <f>IF(A445="","",MASTER_REGISTER!F445)</f>
        <v/>
      </c>
      <c r="C445" t="str">
        <f>IF(A445="","",MASTER_REGISTER!C445)</f>
        <v/>
      </c>
      <c r="D445" t="str">
        <f>IF(A445="","",COUNTIF(ATTENDANCE_DAILY!C:C,A445))</f>
        <v/>
      </c>
      <c r="E445" t="str">
        <f>IF(A445="","",COUNTIFS(ATTENDANCE_DAILY!C:C,A445,ATTENDANCE_DAILY!E:E,"Present"))</f>
        <v/>
      </c>
      <c r="F445" t="str">
        <f>IF(A445="","",COUNTIFS(ATTENDANCE_DAILY!C:C,A445,ATTENDANCE_DAILY!E:E,"Absent"))</f>
        <v/>
      </c>
      <c r="G445" s="5" t="e">
        <f t="shared" si="12"/>
        <v>#VALUE!</v>
      </c>
      <c r="H445" s="4" t="e">
        <f t="shared" si="13"/>
        <v>#VALUE!</v>
      </c>
    </row>
    <row r="446" spans="1:8" x14ac:dyDescent="0.3">
      <c r="A446" t="str">
        <f>IF(MASTER_REGISTER!E446="","",MASTER_REGISTER!E446)</f>
        <v/>
      </c>
      <c r="B446" t="str">
        <f>IF(A446="","",MASTER_REGISTER!F446)</f>
        <v/>
      </c>
      <c r="C446" t="str">
        <f>IF(A446="","",MASTER_REGISTER!C446)</f>
        <v/>
      </c>
      <c r="D446" t="str">
        <f>IF(A446="","",COUNTIF(ATTENDANCE_DAILY!C:C,A446))</f>
        <v/>
      </c>
      <c r="E446" t="str">
        <f>IF(A446="","",COUNTIFS(ATTENDANCE_DAILY!C:C,A446,ATTENDANCE_DAILY!E:E,"Present"))</f>
        <v/>
      </c>
      <c r="F446" t="str">
        <f>IF(A446="","",COUNTIFS(ATTENDANCE_DAILY!C:C,A446,ATTENDANCE_DAILY!E:E,"Absent"))</f>
        <v/>
      </c>
      <c r="G446" s="5" t="e">
        <f t="shared" si="12"/>
        <v>#VALUE!</v>
      </c>
      <c r="H446" s="4" t="e">
        <f t="shared" si="13"/>
        <v>#VALUE!</v>
      </c>
    </row>
    <row r="447" spans="1:8" x14ac:dyDescent="0.3">
      <c r="A447" t="str">
        <f>IF(MASTER_REGISTER!E447="","",MASTER_REGISTER!E447)</f>
        <v/>
      </c>
      <c r="B447" t="str">
        <f>IF(A447="","",MASTER_REGISTER!F447)</f>
        <v/>
      </c>
      <c r="C447" t="str">
        <f>IF(A447="","",MASTER_REGISTER!C447)</f>
        <v/>
      </c>
      <c r="D447" t="str">
        <f>IF(A447="","",COUNTIF(ATTENDANCE_DAILY!C:C,A447))</f>
        <v/>
      </c>
      <c r="E447" t="str">
        <f>IF(A447="","",COUNTIFS(ATTENDANCE_DAILY!C:C,A447,ATTENDANCE_DAILY!E:E,"Present"))</f>
        <v/>
      </c>
      <c r="F447" t="str">
        <f>IF(A447="","",COUNTIFS(ATTENDANCE_DAILY!C:C,A447,ATTENDANCE_DAILY!E:E,"Absent"))</f>
        <v/>
      </c>
      <c r="G447" s="5" t="e">
        <f t="shared" si="12"/>
        <v>#VALUE!</v>
      </c>
      <c r="H447" s="4" t="e">
        <f t="shared" si="13"/>
        <v>#VALUE!</v>
      </c>
    </row>
    <row r="448" spans="1:8" x14ac:dyDescent="0.3">
      <c r="A448" t="str">
        <f>IF(MASTER_REGISTER!E448="","",MASTER_REGISTER!E448)</f>
        <v/>
      </c>
      <c r="B448" t="str">
        <f>IF(A448="","",MASTER_REGISTER!F448)</f>
        <v/>
      </c>
      <c r="C448" t="str">
        <f>IF(A448="","",MASTER_REGISTER!C448)</f>
        <v/>
      </c>
      <c r="D448" t="str">
        <f>IF(A448="","",COUNTIF(ATTENDANCE_DAILY!C:C,A448))</f>
        <v/>
      </c>
      <c r="E448" t="str">
        <f>IF(A448="","",COUNTIFS(ATTENDANCE_DAILY!C:C,A448,ATTENDANCE_DAILY!E:E,"Present"))</f>
        <v/>
      </c>
      <c r="F448" t="str">
        <f>IF(A448="","",COUNTIFS(ATTENDANCE_DAILY!C:C,A448,ATTENDANCE_DAILY!E:E,"Absent"))</f>
        <v/>
      </c>
      <c r="G448" s="5" t="e">
        <f t="shared" si="12"/>
        <v>#VALUE!</v>
      </c>
      <c r="H448" s="4" t="e">
        <f t="shared" si="13"/>
        <v>#VALUE!</v>
      </c>
    </row>
    <row r="449" spans="1:8" x14ac:dyDescent="0.3">
      <c r="A449" t="str">
        <f>IF(MASTER_REGISTER!E449="","",MASTER_REGISTER!E449)</f>
        <v/>
      </c>
      <c r="B449" t="str">
        <f>IF(A449="","",MASTER_REGISTER!F449)</f>
        <v/>
      </c>
      <c r="C449" t="str">
        <f>IF(A449="","",MASTER_REGISTER!C449)</f>
        <v/>
      </c>
      <c r="D449" t="str">
        <f>IF(A449="","",COUNTIF(ATTENDANCE_DAILY!C:C,A449))</f>
        <v/>
      </c>
      <c r="E449" t="str">
        <f>IF(A449="","",COUNTIFS(ATTENDANCE_DAILY!C:C,A449,ATTENDANCE_DAILY!E:E,"Present"))</f>
        <v/>
      </c>
      <c r="F449" t="str">
        <f>IF(A449="","",COUNTIFS(ATTENDANCE_DAILY!C:C,A449,ATTENDANCE_DAILY!E:E,"Absent"))</f>
        <v/>
      </c>
      <c r="G449" s="5" t="e">
        <f t="shared" si="12"/>
        <v>#VALUE!</v>
      </c>
      <c r="H449" s="4" t="e">
        <f t="shared" si="13"/>
        <v>#VALUE!</v>
      </c>
    </row>
    <row r="450" spans="1:8" x14ac:dyDescent="0.3">
      <c r="A450" t="str">
        <f>IF(MASTER_REGISTER!E450="","",MASTER_REGISTER!E450)</f>
        <v/>
      </c>
      <c r="B450" t="str">
        <f>IF(A450="","",MASTER_REGISTER!F450)</f>
        <v/>
      </c>
      <c r="C450" t="str">
        <f>IF(A450="","",MASTER_REGISTER!C450)</f>
        <v/>
      </c>
      <c r="D450" t="str">
        <f>IF(A450="","",COUNTIF(ATTENDANCE_DAILY!C:C,A450))</f>
        <v/>
      </c>
      <c r="E450" t="str">
        <f>IF(A450="","",COUNTIFS(ATTENDANCE_DAILY!C:C,A450,ATTENDANCE_DAILY!E:E,"Present"))</f>
        <v/>
      </c>
      <c r="F450" t="str">
        <f>IF(A450="","",COUNTIFS(ATTENDANCE_DAILY!C:C,A450,ATTENDANCE_DAILY!E:E,"Absent"))</f>
        <v/>
      </c>
      <c r="G450" s="5" t="e">
        <f t="shared" ref="G450:G501" si="14">IF(D450=0,"",E450/D450)</f>
        <v>#VALUE!</v>
      </c>
      <c r="H450" s="4" t="e">
        <f t="shared" ref="H450:H513" si="15">IF(G450="","",IF(G450&lt;0.75,"Low Attendance","OK"))</f>
        <v>#VALUE!</v>
      </c>
    </row>
    <row r="451" spans="1:8" x14ac:dyDescent="0.3">
      <c r="A451" t="str">
        <f>IF(MASTER_REGISTER!E451="","",MASTER_REGISTER!E451)</f>
        <v/>
      </c>
      <c r="B451" t="str">
        <f>IF(A451="","",MASTER_REGISTER!F451)</f>
        <v/>
      </c>
      <c r="C451" t="str">
        <f>IF(A451="","",MASTER_REGISTER!C451)</f>
        <v/>
      </c>
      <c r="D451" t="str">
        <f>IF(A451="","",COUNTIF(ATTENDANCE_DAILY!C:C,A451))</f>
        <v/>
      </c>
      <c r="E451" t="str">
        <f>IF(A451="","",COUNTIFS(ATTENDANCE_DAILY!C:C,A451,ATTENDANCE_DAILY!E:E,"Present"))</f>
        <v/>
      </c>
      <c r="F451" t="str">
        <f>IF(A451="","",COUNTIFS(ATTENDANCE_DAILY!C:C,A451,ATTENDANCE_DAILY!E:E,"Absent"))</f>
        <v/>
      </c>
      <c r="G451" s="5" t="e">
        <f t="shared" si="14"/>
        <v>#VALUE!</v>
      </c>
      <c r="H451" s="4" t="e">
        <f t="shared" si="15"/>
        <v>#VALUE!</v>
      </c>
    </row>
    <row r="452" spans="1:8" x14ac:dyDescent="0.3">
      <c r="A452" t="str">
        <f>IF(MASTER_REGISTER!E452="","",MASTER_REGISTER!E452)</f>
        <v/>
      </c>
      <c r="B452" t="str">
        <f>IF(A452="","",MASTER_REGISTER!F452)</f>
        <v/>
      </c>
      <c r="C452" t="str">
        <f>IF(A452="","",MASTER_REGISTER!C452)</f>
        <v/>
      </c>
      <c r="D452" t="str">
        <f>IF(A452="","",COUNTIF(ATTENDANCE_DAILY!C:C,A452))</f>
        <v/>
      </c>
      <c r="E452" t="str">
        <f>IF(A452="","",COUNTIFS(ATTENDANCE_DAILY!C:C,A452,ATTENDANCE_DAILY!E:E,"Present"))</f>
        <v/>
      </c>
      <c r="F452" t="str">
        <f>IF(A452="","",COUNTIFS(ATTENDANCE_DAILY!C:C,A452,ATTENDANCE_DAILY!E:E,"Absent"))</f>
        <v/>
      </c>
      <c r="G452" s="5" t="e">
        <f t="shared" si="14"/>
        <v>#VALUE!</v>
      </c>
      <c r="H452" s="4" t="e">
        <f t="shared" si="15"/>
        <v>#VALUE!</v>
      </c>
    </row>
    <row r="453" spans="1:8" x14ac:dyDescent="0.3">
      <c r="A453" t="str">
        <f>IF(MASTER_REGISTER!E453="","",MASTER_REGISTER!E453)</f>
        <v/>
      </c>
      <c r="B453" t="str">
        <f>IF(A453="","",MASTER_REGISTER!F453)</f>
        <v/>
      </c>
      <c r="C453" t="str">
        <f>IF(A453="","",MASTER_REGISTER!C453)</f>
        <v/>
      </c>
      <c r="D453" t="str">
        <f>IF(A453="","",COUNTIF(ATTENDANCE_DAILY!C:C,A453))</f>
        <v/>
      </c>
      <c r="E453" t="str">
        <f>IF(A453="","",COUNTIFS(ATTENDANCE_DAILY!C:C,A453,ATTENDANCE_DAILY!E:E,"Present"))</f>
        <v/>
      </c>
      <c r="F453" t="str">
        <f>IF(A453="","",COUNTIFS(ATTENDANCE_DAILY!C:C,A453,ATTENDANCE_DAILY!E:E,"Absent"))</f>
        <v/>
      </c>
      <c r="G453" s="5" t="e">
        <f t="shared" si="14"/>
        <v>#VALUE!</v>
      </c>
      <c r="H453" s="4" t="e">
        <f t="shared" si="15"/>
        <v>#VALUE!</v>
      </c>
    </row>
    <row r="454" spans="1:8" x14ac:dyDescent="0.3">
      <c r="A454" t="str">
        <f>IF(MASTER_REGISTER!E454="","",MASTER_REGISTER!E454)</f>
        <v/>
      </c>
      <c r="B454" t="str">
        <f>IF(A454="","",MASTER_REGISTER!F454)</f>
        <v/>
      </c>
      <c r="C454" t="str">
        <f>IF(A454="","",MASTER_REGISTER!C454)</f>
        <v/>
      </c>
      <c r="D454" t="str">
        <f>IF(A454="","",COUNTIF(ATTENDANCE_DAILY!C:C,A454))</f>
        <v/>
      </c>
      <c r="E454" t="str">
        <f>IF(A454="","",COUNTIFS(ATTENDANCE_DAILY!C:C,A454,ATTENDANCE_DAILY!E:E,"Present"))</f>
        <v/>
      </c>
      <c r="F454" t="str">
        <f>IF(A454="","",COUNTIFS(ATTENDANCE_DAILY!C:C,A454,ATTENDANCE_DAILY!E:E,"Absent"))</f>
        <v/>
      </c>
      <c r="G454" s="5" t="e">
        <f t="shared" si="14"/>
        <v>#VALUE!</v>
      </c>
      <c r="H454" s="4" t="e">
        <f t="shared" si="15"/>
        <v>#VALUE!</v>
      </c>
    </row>
    <row r="455" spans="1:8" x14ac:dyDescent="0.3">
      <c r="A455" t="str">
        <f>IF(MASTER_REGISTER!E455="","",MASTER_REGISTER!E455)</f>
        <v/>
      </c>
      <c r="B455" t="str">
        <f>IF(A455="","",MASTER_REGISTER!F455)</f>
        <v/>
      </c>
      <c r="C455" t="str">
        <f>IF(A455="","",MASTER_REGISTER!C455)</f>
        <v/>
      </c>
      <c r="D455" t="str">
        <f>IF(A455="","",COUNTIF(ATTENDANCE_DAILY!C:C,A455))</f>
        <v/>
      </c>
      <c r="E455" t="str">
        <f>IF(A455="","",COUNTIFS(ATTENDANCE_DAILY!C:C,A455,ATTENDANCE_DAILY!E:E,"Present"))</f>
        <v/>
      </c>
      <c r="F455" t="str">
        <f>IF(A455="","",COUNTIFS(ATTENDANCE_DAILY!C:C,A455,ATTENDANCE_DAILY!E:E,"Absent"))</f>
        <v/>
      </c>
      <c r="G455" s="5" t="e">
        <f t="shared" si="14"/>
        <v>#VALUE!</v>
      </c>
      <c r="H455" s="4" t="e">
        <f t="shared" si="15"/>
        <v>#VALUE!</v>
      </c>
    </row>
    <row r="456" spans="1:8" x14ac:dyDescent="0.3">
      <c r="A456" t="str">
        <f>IF(MASTER_REGISTER!E456="","",MASTER_REGISTER!E456)</f>
        <v/>
      </c>
      <c r="B456" t="str">
        <f>IF(A456="","",MASTER_REGISTER!F456)</f>
        <v/>
      </c>
      <c r="C456" t="str">
        <f>IF(A456="","",MASTER_REGISTER!C456)</f>
        <v/>
      </c>
      <c r="D456" t="str">
        <f>IF(A456="","",COUNTIF(ATTENDANCE_DAILY!C:C,A456))</f>
        <v/>
      </c>
      <c r="E456" t="str">
        <f>IF(A456="","",COUNTIFS(ATTENDANCE_DAILY!C:C,A456,ATTENDANCE_DAILY!E:E,"Present"))</f>
        <v/>
      </c>
      <c r="F456" t="str">
        <f>IF(A456="","",COUNTIFS(ATTENDANCE_DAILY!C:C,A456,ATTENDANCE_DAILY!E:E,"Absent"))</f>
        <v/>
      </c>
      <c r="G456" s="5" t="e">
        <f t="shared" si="14"/>
        <v>#VALUE!</v>
      </c>
      <c r="H456" s="4" t="e">
        <f t="shared" si="15"/>
        <v>#VALUE!</v>
      </c>
    </row>
    <row r="457" spans="1:8" x14ac:dyDescent="0.3">
      <c r="A457" t="str">
        <f>IF(MASTER_REGISTER!E457="","",MASTER_REGISTER!E457)</f>
        <v/>
      </c>
      <c r="B457" t="str">
        <f>IF(A457="","",MASTER_REGISTER!F457)</f>
        <v/>
      </c>
      <c r="C457" t="str">
        <f>IF(A457="","",MASTER_REGISTER!C457)</f>
        <v/>
      </c>
      <c r="D457" t="str">
        <f>IF(A457="","",COUNTIF(ATTENDANCE_DAILY!C:C,A457))</f>
        <v/>
      </c>
      <c r="E457" t="str">
        <f>IF(A457="","",COUNTIFS(ATTENDANCE_DAILY!C:C,A457,ATTENDANCE_DAILY!E:E,"Present"))</f>
        <v/>
      </c>
      <c r="F457" t="str">
        <f>IF(A457="","",COUNTIFS(ATTENDANCE_DAILY!C:C,A457,ATTENDANCE_DAILY!E:E,"Absent"))</f>
        <v/>
      </c>
      <c r="G457" s="5" t="e">
        <f t="shared" si="14"/>
        <v>#VALUE!</v>
      </c>
      <c r="H457" s="4" t="e">
        <f t="shared" si="15"/>
        <v>#VALUE!</v>
      </c>
    </row>
    <row r="458" spans="1:8" x14ac:dyDescent="0.3">
      <c r="A458" t="str">
        <f>IF(MASTER_REGISTER!E458="","",MASTER_REGISTER!E458)</f>
        <v/>
      </c>
      <c r="B458" t="str">
        <f>IF(A458="","",MASTER_REGISTER!F458)</f>
        <v/>
      </c>
      <c r="C458" t="str">
        <f>IF(A458="","",MASTER_REGISTER!C458)</f>
        <v/>
      </c>
      <c r="D458" t="str">
        <f>IF(A458="","",COUNTIF(ATTENDANCE_DAILY!C:C,A458))</f>
        <v/>
      </c>
      <c r="E458" t="str">
        <f>IF(A458="","",COUNTIFS(ATTENDANCE_DAILY!C:C,A458,ATTENDANCE_DAILY!E:E,"Present"))</f>
        <v/>
      </c>
      <c r="F458" t="str">
        <f>IF(A458="","",COUNTIFS(ATTENDANCE_DAILY!C:C,A458,ATTENDANCE_DAILY!E:E,"Absent"))</f>
        <v/>
      </c>
      <c r="G458" s="5" t="e">
        <f t="shared" si="14"/>
        <v>#VALUE!</v>
      </c>
      <c r="H458" s="4" t="e">
        <f t="shared" si="15"/>
        <v>#VALUE!</v>
      </c>
    </row>
    <row r="459" spans="1:8" x14ac:dyDescent="0.3">
      <c r="A459" t="str">
        <f>IF(MASTER_REGISTER!E459="","",MASTER_REGISTER!E459)</f>
        <v/>
      </c>
      <c r="B459" t="str">
        <f>IF(A459="","",MASTER_REGISTER!F459)</f>
        <v/>
      </c>
      <c r="C459" t="str">
        <f>IF(A459="","",MASTER_REGISTER!C459)</f>
        <v/>
      </c>
      <c r="D459" t="str">
        <f>IF(A459="","",COUNTIF(ATTENDANCE_DAILY!C:C,A459))</f>
        <v/>
      </c>
      <c r="E459" t="str">
        <f>IF(A459="","",COUNTIFS(ATTENDANCE_DAILY!C:C,A459,ATTENDANCE_DAILY!E:E,"Present"))</f>
        <v/>
      </c>
      <c r="F459" t="str">
        <f>IF(A459="","",COUNTIFS(ATTENDANCE_DAILY!C:C,A459,ATTENDANCE_DAILY!E:E,"Absent"))</f>
        <v/>
      </c>
      <c r="G459" s="5" t="e">
        <f t="shared" si="14"/>
        <v>#VALUE!</v>
      </c>
      <c r="H459" s="4" t="e">
        <f t="shared" si="15"/>
        <v>#VALUE!</v>
      </c>
    </row>
    <row r="460" spans="1:8" x14ac:dyDescent="0.3">
      <c r="A460" t="str">
        <f>IF(MASTER_REGISTER!E460="","",MASTER_REGISTER!E460)</f>
        <v/>
      </c>
      <c r="B460" t="str">
        <f>IF(A460="","",MASTER_REGISTER!F460)</f>
        <v/>
      </c>
      <c r="C460" t="str">
        <f>IF(A460="","",MASTER_REGISTER!C460)</f>
        <v/>
      </c>
      <c r="D460" t="str">
        <f>IF(A460="","",COUNTIF(ATTENDANCE_DAILY!C:C,A460))</f>
        <v/>
      </c>
      <c r="E460" t="str">
        <f>IF(A460="","",COUNTIFS(ATTENDANCE_DAILY!C:C,A460,ATTENDANCE_DAILY!E:E,"Present"))</f>
        <v/>
      </c>
      <c r="F460" t="str">
        <f>IF(A460="","",COUNTIFS(ATTENDANCE_DAILY!C:C,A460,ATTENDANCE_DAILY!E:E,"Absent"))</f>
        <v/>
      </c>
      <c r="G460" s="5" t="e">
        <f t="shared" si="14"/>
        <v>#VALUE!</v>
      </c>
      <c r="H460" s="4" t="e">
        <f t="shared" si="15"/>
        <v>#VALUE!</v>
      </c>
    </row>
    <row r="461" spans="1:8" x14ac:dyDescent="0.3">
      <c r="A461" t="str">
        <f>IF(MASTER_REGISTER!E461="","",MASTER_REGISTER!E461)</f>
        <v/>
      </c>
      <c r="B461" t="str">
        <f>IF(A461="","",MASTER_REGISTER!F461)</f>
        <v/>
      </c>
      <c r="C461" t="str">
        <f>IF(A461="","",MASTER_REGISTER!C461)</f>
        <v/>
      </c>
      <c r="D461" t="str">
        <f>IF(A461="","",COUNTIF(ATTENDANCE_DAILY!C:C,A461))</f>
        <v/>
      </c>
      <c r="E461" t="str">
        <f>IF(A461="","",COUNTIFS(ATTENDANCE_DAILY!C:C,A461,ATTENDANCE_DAILY!E:E,"Present"))</f>
        <v/>
      </c>
      <c r="F461" t="str">
        <f>IF(A461="","",COUNTIFS(ATTENDANCE_DAILY!C:C,A461,ATTENDANCE_DAILY!E:E,"Absent"))</f>
        <v/>
      </c>
      <c r="G461" s="5" t="e">
        <f t="shared" si="14"/>
        <v>#VALUE!</v>
      </c>
      <c r="H461" s="4" t="e">
        <f t="shared" si="15"/>
        <v>#VALUE!</v>
      </c>
    </row>
    <row r="462" spans="1:8" x14ac:dyDescent="0.3">
      <c r="A462" t="str">
        <f>IF(MASTER_REGISTER!E462="","",MASTER_REGISTER!E462)</f>
        <v/>
      </c>
      <c r="B462" t="str">
        <f>IF(A462="","",MASTER_REGISTER!F462)</f>
        <v/>
      </c>
      <c r="C462" t="str">
        <f>IF(A462="","",MASTER_REGISTER!C462)</f>
        <v/>
      </c>
      <c r="D462" t="str">
        <f>IF(A462="","",COUNTIF(ATTENDANCE_DAILY!C:C,A462))</f>
        <v/>
      </c>
      <c r="E462" t="str">
        <f>IF(A462="","",COUNTIFS(ATTENDANCE_DAILY!C:C,A462,ATTENDANCE_DAILY!E:E,"Present"))</f>
        <v/>
      </c>
      <c r="F462" t="str">
        <f>IF(A462="","",COUNTIFS(ATTENDANCE_DAILY!C:C,A462,ATTENDANCE_DAILY!E:E,"Absent"))</f>
        <v/>
      </c>
      <c r="G462" s="5" t="e">
        <f t="shared" si="14"/>
        <v>#VALUE!</v>
      </c>
      <c r="H462" s="4" t="e">
        <f t="shared" si="15"/>
        <v>#VALUE!</v>
      </c>
    </row>
    <row r="463" spans="1:8" x14ac:dyDescent="0.3">
      <c r="A463" t="str">
        <f>IF(MASTER_REGISTER!E463="","",MASTER_REGISTER!E463)</f>
        <v/>
      </c>
      <c r="B463" t="str">
        <f>IF(A463="","",MASTER_REGISTER!F463)</f>
        <v/>
      </c>
      <c r="C463" t="str">
        <f>IF(A463="","",MASTER_REGISTER!C463)</f>
        <v/>
      </c>
      <c r="D463" t="str">
        <f>IF(A463="","",COUNTIF(ATTENDANCE_DAILY!C:C,A463))</f>
        <v/>
      </c>
      <c r="E463" t="str">
        <f>IF(A463="","",COUNTIFS(ATTENDANCE_DAILY!C:C,A463,ATTENDANCE_DAILY!E:E,"Present"))</f>
        <v/>
      </c>
      <c r="F463" t="str">
        <f>IF(A463="","",COUNTIFS(ATTENDANCE_DAILY!C:C,A463,ATTENDANCE_DAILY!E:E,"Absent"))</f>
        <v/>
      </c>
      <c r="G463" s="5" t="e">
        <f t="shared" si="14"/>
        <v>#VALUE!</v>
      </c>
      <c r="H463" s="4" t="e">
        <f t="shared" si="15"/>
        <v>#VALUE!</v>
      </c>
    </row>
    <row r="464" spans="1:8" x14ac:dyDescent="0.3">
      <c r="A464" t="str">
        <f>IF(MASTER_REGISTER!E464="","",MASTER_REGISTER!E464)</f>
        <v/>
      </c>
      <c r="B464" t="str">
        <f>IF(A464="","",MASTER_REGISTER!F464)</f>
        <v/>
      </c>
      <c r="C464" t="str">
        <f>IF(A464="","",MASTER_REGISTER!C464)</f>
        <v/>
      </c>
      <c r="D464" t="str">
        <f>IF(A464="","",COUNTIF(ATTENDANCE_DAILY!C:C,A464))</f>
        <v/>
      </c>
      <c r="E464" t="str">
        <f>IF(A464="","",COUNTIFS(ATTENDANCE_DAILY!C:C,A464,ATTENDANCE_DAILY!E:E,"Present"))</f>
        <v/>
      </c>
      <c r="F464" t="str">
        <f>IF(A464="","",COUNTIFS(ATTENDANCE_DAILY!C:C,A464,ATTENDANCE_DAILY!E:E,"Absent"))</f>
        <v/>
      </c>
      <c r="G464" s="5" t="e">
        <f t="shared" si="14"/>
        <v>#VALUE!</v>
      </c>
      <c r="H464" s="4" t="e">
        <f t="shared" si="15"/>
        <v>#VALUE!</v>
      </c>
    </row>
    <row r="465" spans="1:8" x14ac:dyDescent="0.3">
      <c r="A465" t="str">
        <f>IF(MASTER_REGISTER!E465="","",MASTER_REGISTER!E465)</f>
        <v/>
      </c>
      <c r="B465" t="str">
        <f>IF(A465="","",MASTER_REGISTER!F465)</f>
        <v/>
      </c>
      <c r="C465" t="str">
        <f>IF(A465="","",MASTER_REGISTER!C465)</f>
        <v/>
      </c>
      <c r="D465" t="str">
        <f>IF(A465="","",COUNTIF(ATTENDANCE_DAILY!C:C,A465))</f>
        <v/>
      </c>
      <c r="E465" t="str">
        <f>IF(A465="","",COUNTIFS(ATTENDANCE_DAILY!C:C,A465,ATTENDANCE_DAILY!E:E,"Present"))</f>
        <v/>
      </c>
      <c r="F465" t="str">
        <f>IF(A465="","",COUNTIFS(ATTENDANCE_DAILY!C:C,A465,ATTENDANCE_DAILY!E:E,"Absent"))</f>
        <v/>
      </c>
      <c r="G465" s="5" t="e">
        <f t="shared" si="14"/>
        <v>#VALUE!</v>
      </c>
      <c r="H465" s="4" t="e">
        <f t="shared" si="15"/>
        <v>#VALUE!</v>
      </c>
    </row>
    <row r="466" spans="1:8" x14ac:dyDescent="0.3">
      <c r="A466" t="str">
        <f>IF(MASTER_REGISTER!E466="","",MASTER_REGISTER!E466)</f>
        <v/>
      </c>
      <c r="B466" t="str">
        <f>IF(A466="","",MASTER_REGISTER!F466)</f>
        <v/>
      </c>
      <c r="C466" t="str">
        <f>IF(A466="","",MASTER_REGISTER!C466)</f>
        <v/>
      </c>
      <c r="D466" t="str">
        <f>IF(A466="","",COUNTIF(ATTENDANCE_DAILY!C:C,A466))</f>
        <v/>
      </c>
      <c r="E466" t="str">
        <f>IF(A466="","",COUNTIFS(ATTENDANCE_DAILY!C:C,A466,ATTENDANCE_DAILY!E:E,"Present"))</f>
        <v/>
      </c>
      <c r="F466" t="str">
        <f>IF(A466="","",COUNTIFS(ATTENDANCE_DAILY!C:C,A466,ATTENDANCE_DAILY!E:E,"Absent"))</f>
        <v/>
      </c>
      <c r="G466" s="5" t="e">
        <f t="shared" si="14"/>
        <v>#VALUE!</v>
      </c>
      <c r="H466" s="4" t="e">
        <f t="shared" si="15"/>
        <v>#VALUE!</v>
      </c>
    </row>
    <row r="467" spans="1:8" x14ac:dyDescent="0.3">
      <c r="A467" t="str">
        <f>IF(MASTER_REGISTER!E467="","",MASTER_REGISTER!E467)</f>
        <v/>
      </c>
      <c r="B467" t="str">
        <f>IF(A467="","",MASTER_REGISTER!F467)</f>
        <v/>
      </c>
      <c r="C467" t="str">
        <f>IF(A467="","",MASTER_REGISTER!C467)</f>
        <v/>
      </c>
      <c r="D467" t="str">
        <f>IF(A467="","",COUNTIF(ATTENDANCE_DAILY!C:C,A467))</f>
        <v/>
      </c>
      <c r="E467" t="str">
        <f>IF(A467="","",COUNTIFS(ATTENDANCE_DAILY!C:C,A467,ATTENDANCE_DAILY!E:E,"Present"))</f>
        <v/>
      </c>
      <c r="F467" t="str">
        <f>IF(A467="","",COUNTIFS(ATTENDANCE_DAILY!C:C,A467,ATTENDANCE_DAILY!E:E,"Absent"))</f>
        <v/>
      </c>
      <c r="G467" s="5" t="e">
        <f t="shared" si="14"/>
        <v>#VALUE!</v>
      </c>
      <c r="H467" s="4" t="e">
        <f t="shared" si="15"/>
        <v>#VALUE!</v>
      </c>
    </row>
    <row r="468" spans="1:8" x14ac:dyDescent="0.3">
      <c r="A468" t="str">
        <f>IF(MASTER_REGISTER!E468="","",MASTER_REGISTER!E468)</f>
        <v/>
      </c>
      <c r="B468" t="str">
        <f>IF(A468="","",MASTER_REGISTER!F468)</f>
        <v/>
      </c>
      <c r="C468" t="str">
        <f>IF(A468="","",MASTER_REGISTER!C468)</f>
        <v/>
      </c>
      <c r="D468" t="str">
        <f>IF(A468="","",COUNTIF(ATTENDANCE_DAILY!C:C,A468))</f>
        <v/>
      </c>
      <c r="E468" t="str">
        <f>IF(A468="","",COUNTIFS(ATTENDANCE_DAILY!C:C,A468,ATTENDANCE_DAILY!E:E,"Present"))</f>
        <v/>
      </c>
      <c r="F468" t="str">
        <f>IF(A468="","",COUNTIFS(ATTENDANCE_DAILY!C:C,A468,ATTENDANCE_DAILY!E:E,"Absent"))</f>
        <v/>
      </c>
      <c r="G468" s="5" t="e">
        <f t="shared" si="14"/>
        <v>#VALUE!</v>
      </c>
      <c r="H468" s="4" t="e">
        <f t="shared" si="15"/>
        <v>#VALUE!</v>
      </c>
    </row>
    <row r="469" spans="1:8" x14ac:dyDescent="0.3">
      <c r="A469" t="str">
        <f>IF(MASTER_REGISTER!E469="","",MASTER_REGISTER!E469)</f>
        <v/>
      </c>
      <c r="B469" t="str">
        <f>IF(A469="","",MASTER_REGISTER!F469)</f>
        <v/>
      </c>
      <c r="C469" t="str">
        <f>IF(A469="","",MASTER_REGISTER!C469)</f>
        <v/>
      </c>
      <c r="D469" t="str">
        <f>IF(A469="","",COUNTIF(ATTENDANCE_DAILY!C:C,A469))</f>
        <v/>
      </c>
      <c r="E469" t="str">
        <f>IF(A469="","",COUNTIFS(ATTENDANCE_DAILY!C:C,A469,ATTENDANCE_DAILY!E:E,"Present"))</f>
        <v/>
      </c>
      <c r="F469" t="str">
        <f>IF(A469="","",COUNTIFS(ATTENDANCE_DAILY!C:C,A469,ATTENDANCE_DAILY!E:E,"Absent"))</f>
        <v/>
      </c>
      <c r="G469" s="5" t="e">
        <f t="shared" si="14"/>
        <v>#VALUE!</v>
      </c>
      <c r="H469" s="4" t="e">
        <f t="shared" si="15"/>
        <v>#VALUE!</v>
      </c>
    </row>
    <row r="470" spans="1:8" x14ac:dyDescent="0.3">
      <c r="A470" t="str">
        <f>IF(MASTER_REGISTER!E470="","",MASTER_REGISTER!E470)</f>
        <v/>
      </c>
      <c r="B470" t="str">
        <f>IF(A470="","",MASTER_REGISTER!F470)</f>
        <v/>
      </c>
      <c r="C470" t="str">
        <f>IF(A470="","",MASTER_REGISTER!C470)</f>
        <v/>
      </c>
      <c r="D470" t="str">
        <f>IF(A470="","",COUNTIF(ATTENDANCE_DAILY!C:C,A470))</f>
        <v/>
      </c>
      <c r="E470" t="str">
        <f>IF(A470="","",COUNTIFS(ATTENDANCE_DAILY!C:C,A470,ATTENDANCE_DAILY!E:E,"Present"))</f>
        <v/>
      </c>
      <c r="F470" t="str">
        <f>IF(A470="","",COUNTIFS(ATTENDANCE_DAILY!C:C,A470,ATTENDANCE_DAILY!E:E,"Absent"))</f>
        <v/>
      </c>
      <c r="G470" s="5" t="e">
        <f t="shared" si="14"/>
        <v>#VALUE!</v>
      </c>
      <c r="H470" s="4" t="e">
        <f t="shared" si="15"/>
        <v>#VALUE!</v>
      </c>
    </row>
    <row r="471" spans="1:8" x14ac:dyDescent="0.3">
      <c r="A471" t="str">
        <f>IF(MASTER_REGISTER!E471="","",MASTER_REGISTER!E471)</f>
        <v/>
      </c>
      <c r="B471" t="str">
        <f>IF(A471="","",MASTER_REGISTER!F471)</f>
        <v/>
      </c>
      <c r="C471" t="str">
        <f>IF(A471="","",MASTER_REGISTER!C471)</f>
        <v/>
      </c>
      <c r="D471" t="str">
        <f>IF(A471="","",COUNTIF(ATTENDANCE_DAILY!C:C,A471))</f>
        <v/>
      </c>
      <c r="E471" t="str">
        <f>IF(A471="","",COUNTIFS(ATTENDANCE_DAILY!C:C,A471,ATTENDANCE_DAILY!E:E,"Present"))</f>
        <v/>
      </c>
      <c r="F471" t="str">
        <f>IF(A471="","",COUNTIFS(ATTENDANCE_DAILY!C:C,A471,ATTENDANCE_DAILY!E:E,"Absent"))</f>
        <v/>
      </c>
      <c r="G471" s="5" t="e">
        <f t="shared" si="14"/>
        <v>#VALUE!</v>
      </c>
      <c r="H471" s="4" t="e">
        <f t="shared" si="15"/>
        <v>#VALUE!</v>
      </c>
    </row>
    <row r="472" spans="1:8" x14ac:dyDescent="0.3">
      <c r="A472" t="str">
        <f>IF(MASTER_REGISTER!E472="","",MASTER_REGISTER!E472)</f>
        <v/>
      </c>
      <c r="B472" t="str">
        <f>IF(A472="","",MASTER_REGISTER!F472)</f>
        <v/>
      </c>
      <c r="C472" t="str">
        <f>IF(A472="","",MASTER_REGISTER!C472)</f>
        <v/>
      </c>
      <c r="D472" t="str">
        <f>IF(A472="","",COUNTIF(ATTENDANCE_DAILY!C:C,A472))</f>
        <v/>
      </c>
      <c r="E472" t="str">
        <f>IF(A472="","",COUNTIFS(ATTENDANCE_DAILY!C:C,A472,ATTENDANCE_DAILY!E:E,"Present"))</f>
        <v/>
      </c>
      <c r="F472" t="str">
        <f>IF(A472="","",COUNTIFS(ATTENDANCE_DAILY!C:C,A472,ATTENDANCE_DAILY!E:E,"Absent"))</f>
        <v/>
      </c>
      <c r="G472" s="5" t="e">
        <f t="shared" si="14"/>
        <v>#VALUE!</v>
      </c>
      <c r="H472" s="4" t="e">
        <f t="shared" si="15"/>
        <v>#VALUE!</v>
      </c>
    </row>
    <row r="473" spans="1:8" x14ac:dyDescent="0.3">
      <c r="A473" t="str">
        <f>IF(MASTER_REGISTER!E473="","",MASTER_REGISTER!E473)</f>
        <v/>
      </c>
      <c r="B473" t="str">
        <f>IF(A473="","",MASTER_REGISTER!F473)</f>
        <v/>
      </c>
      <c r="C473" t="str">
        <f>IF(A473="","",MASTER_REGISTER!C473)</f>
        <v/>
      </c>
      <c r="D473" t="str">
        <f>IF(A473="","",COUNTIF(ATTENDANCE_DAILY!C:C,A473))</f>
        <v/>
      </c>
      <c r="E473" t="str">
        <f>IF(A473="","",COUNTIFS(ATTENDANCE_DAILY!C:C,A473,ATTENDANCE_DAILY!E:E,"Present"))</f>
        <v/>
      </c>
      <c r="F473" t="str">
        <f>IF(A473="","",COUNTIFS(ATTENDANCE_DAILY!C:C,A473,ATTENDANCE_DAILY!E:E,"Absent"))</f>
        <v/>
      </c>
      <c r="G473" s="5" t="e">
        <f t="shared" si="14"/>
        <v>#VALUE!</v>
      </c>
      <c r="H473" s="4" t="e">
        <f t="shared" si="15"/>
        <v>#VALUE!</v>
      </c>
    </row>
    <row r="474" spans="1:8" x14ac:dyDescent="0.3">
      <c r="A474" t="str">
        <f>IF(MASTER_REGISTER!E474="","",MASTER_REGISTER!E474)</f>
        <v/>
      </c>
      <c r="B474" t="str">
        <f>IF(A474="","",MASTER_REGISTER!F474)</f>
        <v/>
      </c>
      <c r="C474" t="str">
        <f>IF(A474="","",MASTER_REGISTER!C474)</f>
        <v/>
      </c>
      <c r="D474" t="str">
        <f>IF(A474="","",COUNTIF(ATTENDANCE_DAILY!C:C,A474))</f>
        <v/>
      </c>
      <c r="E474" t="str">
        <f>IF(A474="","",COUNTIFS(ATTENDANCE_DAILY!C:C,A474,ATTENDANCE_DAILY!E:E,"Present"))</f>
        <v/>
      </c>
      <c r="F474" t="str">
        <f>IF(A474="","",COUNTIFS(ATTENDANCE_DAILY!C:C,A474,ATTENDANCE_DAILY!E:E,"Absent"))</f>
        <v/>
      </c>
      <c r="G474" s="5" t="e">
        <f t="shared" si="14"/>
        <v>#VALUE!</v>
      </c>
      <c r="H474" s="4" t="e">
        <f t="shared" si="15"/>
        <v>#VALUE!</v>
      </c>
    </row>
    <row r="475" spans="1:8" x14ac:dyDescent="0.3">
      <c r="A475" t="str">
        <f>IF(MASTER_REGISTER!E475="","",MASTER_REGISTER!E475)</f>
        <v/>
      </c>
      <c r="B475" t="str">
        <f>IF(A475="","",MASTER_REGISTER!F475)</f>
        <v/>
      </c>
      <c r="C475" t="str">
        <f>IF(A475="","",MASTER_REGISTER!C475)</f>
        <v/>
      </c>
      <c r="D475" t="str">
        <f>IF(A475="","",COUNTIF(ATTENDANCE_DAILY!C:C,A475))</f>
        <v/>
      </c>
      <c r="E475" t="str">
        <f>IF(A475="","",COUNTIFS(ATTENDANCE_DAILY!C:C,A475,ATTENDANCE_DAILY!E:E,"Present"))</f>
        <v/>
      </c>
      <c r="F475" t="str">
        <f>IF(A475="","",COUNTIFS(ATTENDANCE_DAILY!C:C,A475,ATTENDANCE_DAILY!E:E,"Absent"))</f>
        <v/>
      </c>
      <c r="G475" s="5" t="e">
        <f t="shared" si="14"/>
        <v>#VALUE!</v>
      </c>
      <c r="H475" s="4" t="e">
        <f t="shared" si="15"/>
        <v>#VALUE!</v>
      </c>
    </row>
    <row r="476" spans="1:8" x14ac:dyDescent="0.3">
      <c r="A476" t="str">
        <f>IF(MASTER_REGISTER!E476="","",MASTER_REGISTER!E476)</f>
        <v/>
      </c>
      <c r="B476" t="str">
        <f>IF(A476="","",MASTER_REGISTER!F476)</f>
        <v/>
      </c>
      <c r="C476" t="str">
        <f>IF(A476="","",MASTER_REGISTER!C476)</f>
        <v/>
      </c>
      <c r="D476" t="str">
        <f>IF(A476="","",COUNTIF(ATTENDANCE_DAILY!C:C,A476))</f>
        <v/>
      </c>
      <c r="E476" t="str">
        <f>IF(A476="","",COUNTIFS(ATTENDANCE_DAILY!C:C,A476,ATTENDANCE_DAILY!E:E,"Present"))</f>
        <v/>
      </c>
      <c r="F476" t="str">
        <f>IF(A476="","",COUNTIFS(ATTENDANCE_DAILY!C:C,A476,ATTENDANCE_DAILY!E:E,"Absent"))</f>
        <v/>
      </c>
      <c r="G476" s="5" t="e">
        <f t="shared" si="14"/>
        <v>#VALUE!</v>
      </c>
      <c r="H476" s="4" t="e">
        <f t="shared" si="15"/>
        <v>#VALUE!</v>
      </c>
    </row>
    <row r="477" spans="1:8" x14ac:dyDescent="0.3">
      <c r="A477" t="str">
        <f>IF(MASTER_REGISTER!E477="","",MASTER_REGISTER!E477)</f>
        <v/>
      </c>
      <c r="B477" t="str">
        <f>IF(A477="","",MASTER_REGISTER!F477)</f>
        <v/>
      </c>
      <c r="C477" t="str">
        <f>IF(A477="","",MASTER_REGISTER!C477)</f>
        <v/>
      </c>
      <c r="D477" t="str">
        <f>IF(A477="","",COUNTIF(ATTENDANCE_DAILY!C:C,A477))</f>
        <v/>
      </c>
      <c r="E477" t="str">
        <f>IF(A477="","",COUNTIFS(ATTENDANCE_DAILY!C:C,A477,ATTENDANCE_DAILY!E:E,"Present"))</f>
        <v/>
      </c>
      <c r="F477" t="str">
        <f>IF(A477="","",COUNTIFS(ATTENDANCE_DAILY!C:C,A477,ATTENDANCE_DAILY!E:E,"Absent"))</f>
        <v/>
      </c>
      <c r="G477" s="5" t="e">
        <f t="shared" si="14"/>
        <v>#VALUE!</v>
      </c>
      <c r="H477" s="4" t="e">
        <f t="shared" si="15"/>
        <v>#VALUE!</v>
      </c>
    </row>
    <row r="478" spans="1:8" x14ac:dyDescent="0.3">
      <c r="A478" t="str">
        <f>IF(MASTER_REGISTER!E478="","",MASTER_REGISTER!E478)</f>
        <v/>
      </c>
      <c r="B478" t="str">
        <f>IF(A478="","",MASTER_REGISTER!F478)</f>
        <v/>
      </c>
      <c r="C478" t="str">
        <f>IF(A478="","",MASTER_REGISTER!C478)</f>
        <v/>
      </c>
      <c r="D478" t="str">
        <f>IF(A478="","",COUNTIF(ATTENDANCE_DAILY!C:C,A478))</f>
        <v/>
      </c>
      <c r="E478" t="str">
        <f>IF(A478="","",COUNTIFS(ATTENDANCE_DAILY!C:C,A478,ATTENDANCE_DAILY!E:E,"Present"))</f>
        <v/>
      </c>
      <c r="F478" t="str">
        <f>IF(A478="","",COUNTIFS(ATTENDANCE_DAILY!C:C,A478,ATTENDANCE_DAILY!E:E,"Absent"))</f>
        <v/>
      </c>
      <c r="G478" s="5" t="e">
        <f t="shared" si="14"/>
        <v>#VALUE!</v>
      </c>
      <c r="H478" s="4" t="e">
        <f t="shared" si="15"/>
        <v>#VALUE!</v>
      </c>
    </row>
    <row r="479" spans="1:8" x14ac:dyDescent="0.3">
      <c r="A479" t="str">
        <f>IF(MASTER_REGISTER!E479="","",MASTER_REGISTER!E479)</f>
        <v/>
      </c>
      <c r="B479" t="str">
        <f>IF(A479="","",MASTER_REGISTER!F479)</f>
        <v/>
      </c>
      <c r="C479" t="str">
        <f>IF(A479="","",MASTER_REGISTER!C479)</f>
        <v/>
      </c>
      <c r="D479" t="str">
        <f>IF(A479="","",COUNTIF(ATTENDANCE_DAILY!C:C,A479))</f>
        <v/>
      </c>
      <c r="E479" t="str">
        <f>IF(A479="","",COUNTIFS(ATTENDANCE_DAILY!C:C,A479,ATTENDANCE_DAILY!E:E,"Present"))</f>
        <v/>
      </c>
      <c r="F479" t="str">
        <f>IF(A479="","",COUNTIFS(ATTENDANCE_DAILY!C:C,A479,ATTENDANCE_DAILY!E:E,"Absent"))</f>
        <v/>
      </c>
      <c r="G479" s="5" t="e">
        <f t="shared" si="14"/>
        <v>#VALUE!</v>
      </c>
      <c r="H479" s="4" t="e">
        <f t="shared" si="15"/>
        <v>#VALUE!</v>
      </c>
    </row>
    <row r="480" spans="1:8" x14ac:dyDescent="0.3">
      <c r="A480" t="str">
        <f>IF(MASTER_REGISTER!E480="","",MASTER_REGISTER!E480)</f>
        <v/>
      </c>
      <c r="B480" t="str">
        <f>IF(A480="","",MASTER_REGISTER!F480)</f>
        <v/>
      </c>
      <c r="C480" t="str">
        <f>IF(A480="","",MASTER_REGISTER!C480)</f>
        <v/>
      </c>
      <c r="D480" t="str">
        <f>IF(A480="","",COUNTIF(ATTENDANCE_DAILY!C:C,A480))</f>
        <v/>
      </c>
      <c r="E480" t="str">
        <f>IF(A480="","",COUNTIFS(ATTENDANCE_DAILY!C:C,A480,ATTENDANCE_DAILY!E:E,"Present"))</f>
        <v/>
      </c>
      <c r="F480" t="str">
        <f>IF(A480="","",COUNTIFS(ATTENDANCE_DAILY!C:C,A480,ATTENDANCE_DAILY!E:E,"Absent"))</f>
        <v/>
      </c>
      <c r="G480" s="5" t="e">
        <f t="shared" si="14"/>
        <v>#VALUE!</v>
      </c>
      <c r="H480" s="4" t="e">
        <f t="shared" si="15"/>
        <v>#VALUE!</v>
      </c>
    </row>
    <row r="481" spans="1:8" x14ac:dyDescent="0.3">
      <c r="A481" t="str">
        <f>IF(MASTER_REGISTER!E481="","",MASTER_REGISTER!E481)</f>
        <v/>
      </c>
      <c r="B481" t="str">
        <f>IF(A481="","",MASTER_REGISTER!F481)</f>
        <v/>
      </c>
      <c r="C481" t="str">
        <f>IF(A481="","",MASTER_REGISTER!C481)</f>
        <v/>
      </c>
      <c r="D481" t="str">
        <f>IF(A481="","",COUNTIF(ATTENDANCE_DAILY!C:C,A481))</f>
        <v/>
      </c>
      <c r="E481" t="str">
        <f>IF(A481="","",COUNTIFS(ATTENDANCE_DAILY!C:C,A481,ATTENDANCE_DAILY!E:E,"Present"))</f>
        <v/>
      </c>
      <c r="F481" t="str">
        <f>IF(A481="","",COUNTIFS(ATTENDANCE_DAILY!C:C,A481,ATTENDANCE_DAILY!E:E,"Absent"))</f>
        <v/>
      </c>
      <c r="G481" s="5" t="e">
        <f t="shared" si="14"/>
        <v>#VALUE!</v>
      </c>
      <c r="H481" s="4" t="e">
        <f t="shared" si="15"/>
        <v>#VALUE!</v>
      </c>
    </row>
    <row r="482" spans="1:8" x14ac:dyDescent="0.3">
      <c r="A482" t="str">
        <f>IF(MASTER_REGISTER!E482="","",MASTER_REGISTER!E482)</f>
        <v/>
      </c>
      <c r="B482" t="str">
        <f>IF(A482="","",MASTER_REGISTER!F482)</f>
        <v/>
      </c>
      <c r="C482" t="str">
        <f>IF(A482="","",MASTER_REGISTER!C482)</f>
        <v/>
      </c>
      <c r="D482" t="str">
        <f>IF(A482="","",COUNTIF(ATTENDANCE_DAILY!C:C,A482))</f>
        <v/>
      </c>
      <c r="E482" t="str">
        <f>IF(A482="","",COUNTIFS(ATTENDANCE_DAILY!C:C,A482,ATTENDANCE_DAILY!E:E,"Present"))</f>
        <v/>
      </c>
      <c r="F482" t="str">
        <f>IF(A482="","",COUNTIFS(ATTENDANCE_DAILY!C:C,A482,ATTENDANCE_DAILY!E:E,"Absent"))</f>
        <v/>
      </c>
      <c r="G482" s="5" t="e">
        <f t="shared" si="14"/>
        <v>#VALUE!</v>
      </c>
      <c r="H482" s="4" t="e">
        <f t="shared" si="15"/>
        <v>#VALUE!</v>
      </c>
    </row>
    <row r="483" spans="1:8" x14ac:dyDescent="0.3">
      <c r="A483" t="str">
        <f>IF(MASTER_REGISTER!E483="","",MASTER_REGISTER!E483)</f>
        <v/>
      </c>
      <c r="B483" t="str">
        <f>IF(A483="","",MASTER_REGISTER!F483)</f>
        <v/>
      </c>
      <c r="C483" t="str">
        <f>IF(A483="","",MASTER_REGISTER!C483)</f>
        <v/>
      </c>
      <c r="D483" t="str">
        <f>IF(A483="","",COUNTIF(ATTENDANCE_DAILY!C:C,A483))</f>
        <v/>
      </c>
      <c r="E483" t="str">
        <f>IF(A483="","",COUNTIFS(ATTENDANCE_DAILY!C:C,A483,ATTENDANCE_DAILY!E:E,"Present"))</f>
        <v/>
      </c>
      <c r="F483" t="str">
        <f>IF(A483="","",COUNTIFS(ATTENDANCE_DAILY!C:C,A483,ATTENDANCE_DAILY!E:E,"Absent"))</f>
        <v/>
      </c>
      <c r="G483" s="5" t="e">
        <f t="shared" si="14"/>
        <v>#VALUE!</v>
      </c>
      <c r="H483" s="4" t="e">
        <f t="shared" si="15"/>
        <v>#VALUE!</v>
      </c>
    </row>
    <row r="484" spans="1:8" x14ac:dyDescent="0.3">
      <c r="A484" t="str">
        <f>IF(MASTER_REGISTER!E484="","",MASTER_REGISTER!E484)</f>
        <v/>
      </c>
      <c r="B484" t="str">
        <f>IF(A484="","",MASTER_REGISTER!F484)</f>
        <v/>
      </c>
      <c r="C484" t="str">
        <f>IF(A484="","",MASTER_REGISTER!C484)</f>
        <v/>
      </c>
      <c r="D484" t="str">
        <f>IF(A484="","",COUNTIF(ATTENDANCE_DAILY!C:C,A484))</f>
        <v/>
      </c>
      <c r="E484" t="str">
        <f>IF(A484="","",COUNTIFS(ATTENDANCE_DAILY!C:C,A484,ATTENDANCE_DAILY!E:E,"Present"))</f>
        <v/>
      </c>
      <c r="F484" t="str">
        <f>IF(A484="","",COUNTIFS(ATTENDANCE_DAILY!C:C,A484,ATTENDANCE_DAILY!E:E,"Absent"))</f>
        <v/>
      </c>
      <c r="G484" s="5" t="e">
        <f t="shared" si="14"/>
        <v>#VALUE!</v>
      </c>
      <c r="H484" s="4" t="e">
        <f t="shared" si="15"/>
        <v>#VALUE!</v>
      </c>
    </row>
    <row r="485" spans="1:8" x14ac:dyDescent="0.3">
      <c r="A485" t="str">
        <f>IF(MASTER_REGISTER!E485="","",MASTER_REGISTER!E485)</f>
        <v/>
      </c>
      <c r="B485" t="str">
        <f>IF(A485="","",MASTER_REGISTER!F485)</f>
        <v/>
      </c>
      <c r="C485" t="str">
        <f>IF(A485="","",MASTER_REGISTER!C485)</f>
        <v/>
      </c>
      <c r="D485" t="str">
        <f>IF(A485="","",COUNTIF(ATTENDANCE_DAILY!C:C,A485))</f>
        <v/>
      </c>
      <c r="E485" t="str">
        <f>IF(A485="","",COUNTIFS(ATTENDANCE_DAILY!C:C,A485,ATTENDANCE_DAILY!E:E,"Present"))</f>
        <v/>
      </c>
      <c r="F485" t="str">
        <f>IF(A485="","",COUNTIFS(ATTENDANCE_DAILY!C:C,A485,ATTENDANCE_DAILY!E:E,"Absent"))</f>
        <v/>
      </c>
      <c r="G485" s="5" t="e">
        <f t="shared" si="14"/>
        <v>#VALUE!</v>
      </c>
      <c r="H485" s="4" t="e">
        <f t="shared" si="15"/>
        <v>#VALUE!</v>
      </c>
    </row>
    <row r="486" spans="1:8" x14ac:dyDescent="0.3">
      <c r="A486" t="str">
        <f>IF(MASTER_REGISTER!E486="","",MASTER_REGISTER!E486)</f>
        <v/>
      </c>
      <c r="B486" t="str">
        <f>IF(A486="","",MASTER_REGISTER!F486)</f>
        <v/>
      </c>
      <c r="C486" t="str">
        <f>IF(A486="","",MASTER_REGISTER!C486)</f>
        <v/>
      </c>
      <c r="D486" t="str">
        <f>IF(A486="","",COUNTIF(ATTENDANCE_DAILY!C:C,A486))</f>
        <v/>
      </c>
      <c r="E486" t="str">
        <f>IF(A486="","",COUNTIFS(ATTENDANCE_DAILY!C:C,A486,ATTENDANCE_DAILY!E:E,"Present"))</f>
        <v/>
      </c>
      <c r="F486" t="str">
        <f>IF(A486="","",COUNTIFS(ATTENDANCE_DAILY!C:C,A486,ATTENDANCE_DAILY!E:E,"Absent"))</f>
        <v/>
      </c>
      <c r="G486" s="5" t="e">
        <f t="shared" si="14"/>
        <v>#VALUE!</v>
      </c>
      <c r="H486" s="4" t="e">
        <f t="shared" si="15"/>
        <v>#VALUE!</v>
      </c>
    </row>
    <row r="487" spans="1:8" x14ac:dyDescent="0.3">
      <c r="A487" t="str">
        <f>IF(MASTER_REGISTER!E487="","",MASTER_REGISTER!E487)</f>
        <v/>
      </c>
      <c r="B487" t="str">
        <f>IF(A487="","",MASTER_REGISTER!F487)</f>
        <v/>
      </c>
      <c r="C487" t="str">
        <f>IF(A487="","",MASTER_REGISTER!C487)</f>
        <v/>
      </c>
      <c r="D487" t="str">
        <f>IF(A487="","",COUNTIF(ATTENDANCE_DAILY!C:C,A487))</f>
        <v/>
      </c>
      <c r="E487" t="str">
        <f>IF(A487="","",COUNTIFS(ATTENDANCE_DAILY!C:C,A487,ATTENDANCE_DAILY!E:E,"Present"))</f>
        <v/>
      </c>
      <c r="F487" t="str">
        <f>IF(A487="","",COUNTIFS(ATTENDANCE_DAILY!C:C,A487,ATTENDANCE_DAILY!E:E,"Absent"))</f>
        <v/>
      </c>
      <c r="G487" s="5" t="e">
        <f t="shared" si="14"/>
        <v>#VALUE!</v>
      </c>
      <c r="H487" s="4" t="e">
        <f t="shared" si="15"/>
        <v>#VALUE!</v>
      </c>
    </row>
    <row r="488" spans="1:8" x14ac:dyDescent="0.3">
      <c r="A488" t="str">
        <f>IF(MASTER_REGISTER!E488="","",MASTER_REGISTER!E488)</f>
        <v/>
      </c>
      <c r="B488" t="str">
        <f>IF(A488="","",MASTER_REGISTER!F488)</f>
        <v/>
      </c>
      <c r="C488" t="str">
        <f>IF(A488="","",MASTER_REGISTER!C488)</f>
        <v/>
      </c>
      <c r="D488" t="str">
        <f>IF(A488="","",COUNTIF(ATTENDANCE_DAILY!C:C,A488))</f>
        <v/>
      </c>
      <c r="E488" t="str">
        <f>IF(A488="","",COUNTIFS(ATTENDANCE_DAILY!C:C,A488,ATTENDANCE_DAILY!E:E,"Present"))</f>
        <v/>
      </c>
      <c r="F488" t="str">
        <f>IF(A488="","",COUNTIFS(ATTENDANCE_DAILY!C:C,A488,ATTENDANCE_DAILY!E:E,"Absent"))</f>
        <v/>
      </c>
      <c r="G488" s="5" t="e">
        <f t="shared" si="14"/>
        <v>#VALUE!</v>
      </c>
      <c r="H488" s="4" t="e">
        <f t="shared" si="15"/>
        <v>#VALUE!</v>
      </c>
    </row>
    <row r="489" spans="1:8" x14ac:dyDescent="0.3">
      <c r="A489" t="str">
        <f>IF(MASTER_REGISTER!E489="","",MASTER_REGISTER!E489)</f>
        <v/>
      </c>
      <c r="B489" t="str">
        <f>IF(A489="","",MASTER_REGISTER!F489)</f>
        <v/>
      </c>
      <c r="C489" t="str">
        <f>IF(A489="","",MASTER_REGISTER!C489)</f>
        <v/>
      </c>
      <c r="D489" t="str">
        <f>IF(A489="","",COUNTIF(ATTENDANCE_DAILY!C:C,A489))</f>
        <v/>
      </c>
      <c r="E489" t="str">
        <f>IF(A489="","",COUNTIFS(ATTENDANCE_DAILY!C:C,A489,ATTENDANCE_DAILY!E:E,"Present"))</f>
        <v/>
      </c>
      <c r="F489" t="str">
        <f>IF(A489="","",COUNTIFS(ATTENDANCE_DAILY!C:C,A489,ATTENDANCE_DAILY!E:E,"Absent"))</f>
        <v/>
      </c>
      <c r="G489" s="5" t="e">
        <f t="shared" si="14"/>
        <v>#VALUE!</v>
      </c>
      <c r="H489" s="4" t="e">
        <f t="shared" si="15"/>
        <v>#VALUE!</v>
      </c>
    </row>
    <row r="490" spans="1:8" x14ac:dyDescent="0.3">
      <c r="A490" t="str">
        <f>IF(MASTER_REGISTER!E490="","",MASTER_REGISTER!E490)</f>
        <v/>
      </c>
      <c r="B490" t="str">
        <f>IF(A490="","",MASTER_REGISTER!F490)</f>
        <v/>
      </c>
      <c r="C490" t="str">
        <f>IF(A490="","",MASTER_REGISTER!C490)</f>
        <v/>
      </c>
      <c r="D490" t="str">
        <f>IF(A490="","",COUNTIF(ATTENDANCE_DAILY!C:C,A490))</f>
        <v/>
      </c>
      <c r="E490" t="str">
        <f>IF(A490="","",COUNTIFS(ATTENDANCE_DAILY!C:C,A490,ATTENDANCE_DAILY!E:E,"Present"))</f>
        <v/>
      </c>
      <c r="F490" t="str">
        <f>IF(A490="","",COUNTIFS(ATTENDANCE_DAILY!C:C,A490,ATTENDANCE_DAILY!E:E,"Absent"))</f>
        <v/>
      </c>
      <c r="G490" s="5" t="e">
        <f t="shared" si="14"/>
        <v>#VALUE!</v>
      </c>
      <c r="H490" s="4" t="e">
        <f t="shared" si="15"/>
        <v>#VALUE!</v>
      </c>
    </row>
    <row r="491" spans="1:8" x14ac:dyDescent="0.3">
      <c r="A491" t="str">
        <f>IF(MASTER_REGISTER!E491="","",MASTER_REGISTER!E491)</f>
        <v/>
      </c>
      <c r="B491" t="str">
        <f>IF(A491="","",MASTER_REGISTER!F491)</f>
        <v/>
      </c>
      <c r="C491" t="str">
        <f>IF(A491="","",MASTER_REGISTER!C491)</f>
        <v/>
      </c>
      <c r="D491" t="str">
        <f>IF(A491="","",COUNTIF(ATTENDANCE_DAILY!C:C,A491))</f>
        <v/>
      </c>
      <c r="E491" t="str">
        <f>IF(A491="","",COUNTIFS(ATTENDANCE_DAILY!C:C,A491,ATTENDANCE_DAILY!E:E,"Present"))</f>
        <v/>
      </c>
      <c r="F491" t="str">
        <f>IF(A491="","",COUNTIFS(ATTENDANCE_DAILY!C:C,A491,ATTENDANCE_DAILY!E:E,"Absent"))</f>
        <v/>
      </c>
      <c r="G491" s="5" t="e">
        <f t="shared" si="14"/>
        <v>#VALUE!</v>
      </c>
      <c r="H491" s="4" t="e">
        <f t="shared" si="15"/>
        <v>#VALUE!</v>
      </c>
    </row>
    <row r="492" spans="1:8" x14ac:dyDescent="0.3">
      <c r="A492" t="str">
        <f>IF(MASTER_REGISTER!E492="","",MASTER_REGISTER!E492)</f>
        <v/>
      </c>
      <c r="B492" t="str">
        <f>IF(A492="","",MASTER_REGISTER!F492)</f>
        <v/>
      </c>
      <c r="C492" t="str">
        <f>IF(A492="","",MASTER_REGISTER!C492)</f>
        <v/>
      </c>
      <c r="D492" t="str">
        <f>IF(A492="","",COUNTIF(ATTENDANCE_DAILY!C:C,A492))</f>
        <v/>
      </c>
      <c r="E492" t="str">
        <f>IF(A492="","",COUNTIFS(ATTENDANCE_DAILY!C:C,A492,ATTENDANCE_DAILY!E:E,"Present"))</f>
        <v/>
      </c>
      <c r="F492" t="str">
        <f>IF(A492="","",COUNTIFS(ATTENDANCE_DAILY!C:C,A492,ATTENDANCE_DAILY!E:E,"Absent"))</f>
        <v/>
      </c>
      <c r="G492" s="5" t="e">
        <f t="shared" si="14"/>
        <v>#VALUE!</v>
      </c>
      <c r="H492" s="4" t="e">
        <f t="shared" si="15"/>
        <v>#VALUE!</v>
      </c>
    </row>
    <row r="493" spans="1:8" x14ac:dyDescent="0.3">
      <c r="A493" t="str">
        <f>IF(MASTER_REGISTER!E493="","",MASTER_REGISTER!E493)</f>
        <v/>
      </c>
      <c r="B493" t="str">
        <f>IF(A493="","",MASTER_REGISTER!F493)</f>
        <v/>
      </c>
      <c r="C493" t="str">
        <f>IF(A493="","",MASTER_REGISTER!C493)</f>
        <v/>
      </c>
      <c r="D493" t="str">
        <f>IF(A493="","",COUNTIF(ATTENDANCE_DAILY!C:C,A493))</f>
        <v/>
      </c>
      <c r="E493" t="str">
        <f>IF(A493="","",COUNTIFS(ATTENDANCE_DAILY!C:C,A493,ATTENDANCE_DAILY!E:E,"Present"))</f>
        <v/>
      </c>
      <c r="F493" t="str">
        <f>IF(A493="","",COUNTIFS(ATTENDANCE_DAILY!C:C,A493,ATTENDANCE_DAILY!E:E,"Absent"))</f>
        <v/>
      </c>
      <c r="G493" s="5" t="e">
        <f t="shared" si="14"/>
        <v>#VALUE!</v>
      </c>
      <c r="H493" s="4" t="e">
        <f t="shared" si="15"/>
        <v>#VALUE!</v>
      </c>
    </row>
    <row r="494" spans="1:8" x14ac:dyDescent="0.3">
      <c r="A494" t="str">
        <f>IF(MASTER_REGISTER!E494="","",MASTER_REGISTER!E494)</f>
        <v/>
      </c>
      <c r="B494" t="str">
        <f>IF(A494="","",MASTER_REGISTER!F494)</f>
        <v/>
      </c>
      <c r="C494" t="str">
        <f>IF(A494="","",MASTER_REGISTER!C494)</f>
        <v/>
      </c>
      <c r="D494" t="str">
        <f>IF(A494="","",COUNTIF(ATTENDANCE_DAILY!C:C,A494))</f>
        <v/>
      </c>
      <c r="E494" t="str">
        <f>IF(A494="","",COUNTIFS(ATTENDANCE_DAILY!C:C,A494,ATTENDANCE_DAILY!E:E,"Present"))</f>
        <v/>
      </c>
      <c r="F494" t="str">
        <f>IF(A494="","",COUNTIFS(ATTENDANCE_DAILY!C:C,A494,ATTENDANCE_DAILY!E:E,"Absent"))</f>
        <v/>
      </c>
      <c r="G494" s="5" t="e">
        <f t="shared" si="14"/>
        <v>#VALUE!</v>
      </c>
      <c r="H494" s="4" t="e">
        <f t="shared" si="15"/>
        <v>#VALUE!</v>
      </c>
    </row>
    <row r="495" spans="1:8" x14ac:dyDescent="0.3">
      <c r="A495" t="str">
        <f>IF(MASTER_REGISTER!E495="","",MASTER_REGISTER!E495)</f>
        <v/>
      </c>
      <c r="B495" t="str">
        <f>IF(A495="","",MASTER_REGISTER!F495)</f>
        <v/>
      </c>
      <c r="C495" t="str">
        <f>IF(A495="","",MASTER_REGISTER!C495)</f>
        <v/>
      </c>
      <c r="D495" t="str">
        <f>IF(A495="","",COUNTIF(ATTENDANCE_DAILY!C:C,A495))</f>
        <v/>
      </c>
      <c r="E495" t="str">
        <f>IF(A495="","",COUNTIFS(ATTENDANCE_DAILY!C:C,A495,ATTENDANCE_DAILY!E:E,"Present"))</f>
        <v/>
      </c>
      <c r="F495" t="str">
        <f>IF(A495="","",COUNTIFS(ATTENDANCE_DAILY!C:C,A495,ATTENDANCE_DAILY!E:E,"Absent"))</f>
        <v/>
      </c>
      <c r="G495" s="5" t="e">
        <f t="shared" si="14"/>
        <v>#VALUE!</v>
      </c>
      <c r="H495" s="4" t="e">
        <f t="shared" si="15"/>
        <v>#VALUE!</v>
      </c>
    </row>
    <row r="496" spans="1:8" x14ac:dyDescent="0.3">
      <c r="A496" t="str">
        <f>IF(MASTER_REGISTER!E496="","",MASTER_REGISTER!E496)</f>
        <v/>
      </c>
      <c r="B496" t="str">
        <f>IF(A496="","",MASTER_REGISTER!F496)</f>
        <v/>
      </c>
      <c r="C496" t="str">
        <f>IF(A496="","",MASTER_REGISTER!C496)</f>
        <v/>
      </c>
      <c r="D496" t="str">
        <f>IF(A496="","",COUNTIF(ATTENDANCE_DAILY!C:C,A496))</f>
        <v/>
      </c>
      <c r="E496" t="str">
        <f>IF(A496="","",COUNTIFS(ATTENDANCE_DAILY!C:C,A496,ATTENDANCE_DAILY!E:E,"Present"))</f>
        <v/>
      </c>
      <c r="F496" t="str">
        <f>IF(A496="","",COUNTIFS(ATTENDANCE_DAILY!C:C,A496,ATTENDANCE_DAILY!E:E,"Absent"))</f>
        <v/>
      </c>
      <c r="G496" s="5" t="e">
        <f t="shared" si="14"/>
        <v>#VALUE!</v>
      </c>
      <c r="H496" s="4" t="e">
        <f t="shared" si="15"/>
        <v>#VALUE!</v>
      </c>
    </row>
    <row r="497" spans="1:8" x14ac:dyDescent="0.3">
      <c r="A497" t="str">
        <f>IF(MASTER_REGISTER!E497="","",MASTER_REGISTER!E497)</f>
        <v/>
      </c>
      <c r="B497" t="str">
        <f>IF(A497="","",MASTER_REGISTER!F497)</f>
        <v/>
      </c>
      <c r="C497" t="str">
        <f>IF(A497="","",MASTER_REGISTER!C497)</f>
        <v/>
      </c>
      <c r="D497" t="str">
        <f>IF(A497="","",COUNTIF(ATTENDANCE_DAILY!C:C,A497))</f>
        <v/>
      </c>
      <c r="E497" t="str">
        <f>IF(A497="","",COUNTIFS(ATTENDANCE_DAILY!C:C,A497,ATTENDANCE_DAILY!E:E,"Present"))</f>
        <v/>
      </c>
      <c r="F497" t="str">
        <f>IF(A497="","",COUNTIFS(ATTENDANCE_DAILY!C:C,A497,ATTENDANCE_DAILY!E:E,"Absent"))</f>
        <v/>
      </c>
      <c r="G497" s="5" t="e">
        <f t="shared" si="14"/>
        <v>#VALUE!</v>
      </c>
      <c r="H497" s="4" t="e">
        <f t="shared" si="15"/>
        <v>#VALUE!</v>
      </c>
    </row>
    <row r="498" spans="1:8" x14ac:dyDescent="0.3">
      <c r="A498" t="str">
        <f>IF(MASTER_REGISTER!E498="","",MASTER_REGISTER!E498)</f>
        <v/>
      </c>
      <c r="B498" t="str">
        <f>IF(A498="","",MASTER_REGISTER!F498)</f>
        <v/>
      </c>
      <c r="C498" t="str">
        <f>IF(A498="","",MASTER_REGISTER!C498)</f>
        <v/>
      </c>
      <c r="D498" t="str">
        <f>IF(A498="","",COUNTIF(ATTENDANCE_DAILY!C:C,A498))</f>
        <v/>
      </c>
      <c r="E498" t="str">
        <f>IF(A498="","",COUNTIFS(ATTENDANCE_DAILY!C:C,A498,ATTENDANCE_DAILY!E:E,"Present"))</f>
        <v/>
      </c>
      <c r="F498" t="str">
        <f>IF(A498="","",COUNTIFS(ATTENDANCE_DAILY!C:C,A498,ATTENDANCE_DAILY!E:E,"Absent"))</f>
        <v/>
      </c>
      <c r="G498" s="5" t="e">
        <f t="shared" si="14"/>
        <v>#VALUE!</v>
      </c>
      <c r="H498" s="4" t="e">
        <f t="shared" si="15"/>
        <v>#VALUE!</v>
      </c>
    </row>
    <row r="499" spans="1:8" x14ac:dyDescent="0.3">
      <c r="A499" t="str">
        <f>IF(MASTER_REGISTER!E499="","",MASTER_REGISTER!E499)</f>
        <v/>
      </c>
      <c r="B499" t="str">
        <f>IF(A499="","",MASTER_REGISTER!F499)</f>
        <v/>
      </c>
      <c r="C499" t="str">
        <f>IF(A499="","",MASTER_REGISTER!C499)</f>
        <v/>
      </c>
      <c r="D499" t="str">
        <f>IF(A499="","",COUNTIF(ATTENDANCE_DAILY!C:C,A499))</f>
        <v/>
      </c>
      <c r="E499" t="str">
        <f>IF(A499="","",COUNTIFS(ATTENDANCE_DAILY!C:C,A499,ATTENDANCE_DAILY!E:E,"Present"))</f>
        <v/>
      </c>
      <c r="F499" t="str">
        <f>IF(A499="","",COUNTIFS(ATTENDANCE_DAILY!C:C,A499,ATTENDANCE_DAILY!E:E,"Absent"))</f>
        <v/>
      </c>
      <c r="G499" s="5" t="e">
        <f t="shared" si="14"/>
        <v>#VALUE!</v>
      </c>
      <c r="H499" s="4" t="e">
        <f t="shared" si="15"/>
        <v>#VALUE!</v>
      </c>
    </row>
    <row r="500" spans="1:8" x14ac:dyDescent="0.3">
      <c r="A500" t="str">
        <f>IF(MASTER_REGISTER!E500="","",MASTER_REGISTER!E500)</f>
        <v/>
      </c>
      <c r="B500" t="str">
        <f>IF(A500="","",MASTER_REGISTER!F500)</f>
        <v/>
      </c>
      <c r="C500" t="str">
        <f>IF(A500="","",MASTER_REGISTER!C500)</f>
        <v/>
      </c>
      <c r="D500" t="str">
        <f>IF(A500="","",COUNTIF(ATTENDANCE_DAILY!C:C,A500))</f>
        <v/>
      </c>
      <c r="E500" t="str">
        <f>IF(A500="","",COUNTIFS(ATTENDANCE_DAILY!C:C,A500,ATTENDANCE_DAILY!E:E,"Present"))</f>
        <v/>
      </c>
      <c r="F500" t="str">
        <f>IF(A500="","",COUNTIFS(ATTENDANCE_DAILY!C:C,A500,ATTENDANCE_DAILY!E:E,"Absent"))</f>
        <v/>
      </c>
      <c r="G500" s="5" t="e">
        <f t="shared" si="14"/>
        <v>#VALUE!</v>
      </c>
      <c r="H500" s="4" t="e">
        <f t="shared" si="15"/>
        <v>#VALUE!</v>
      </c>
    </row>
    <row r="501" spans="1:8" x14ac:dyDescent="0.3">
      <c r="A501" t="str">
        <f>IF(MASTER_REGISTER!E501="","",MASTER_REGISTER!E501)</f>
        <v/>
      </c>
      <c r="B501" t="str">
        <f>IF(A501="","",MASTER_REGISTER!F501)</f>
        <v/>
      </c>
      <c r="C501" t="str">
        <f>IF(A501="","",MASTER_REGISTER!C501)</f>
        <v/>
      </c>
      <c r="D501" t="str">
        <f>IF(A501="","",COUNTIF(ATTENDANCE_DAILY!C:C,A501))</f>
        <v/>
      </c>
      <c r="E501" t="str">
        <f>IF(A501="","",COUNTIFS(ATTENDANCE_DAILY!C:C,A501,ATTENDANCE_DAILY!E:E,"Present"))</f>
        <v/>
      </c>
      <c r="F501" t="str">
        <f>IF(A501="","",COUNTIFS(ATTENDANCE_DAILY!C:C,A501,ATTENDANCE_DAILY!E:E,"Absent"))</f>
        <v/>
      </c>
      <c r="G501" s="5" t="e">
        <f t="shared" si="14"/>
        <v>#VALUE!</v>
      </c>
      <c r="H501" s="4" t="e">
        <f t="shared" si="15"/>
        <v>#VALUE!</v>
      </c>
    </row>
  </sheetData>
  <conditionalFormatting sqref="H2:H501">
    <cfRule type="cellIs" dxfId="3" priority="1" operator="equal">
      <formula>"Low Attendance"</formula>
    </cfRule>
    <cfRule type="cellIs" dxfId="2" priority="2" operator="equal">
      <formula>"OK"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00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18" customWidth="1"/>
    <col min="4" max="4" width="22" customWidth="1"/>
    <col min="5" max="5" width="16" customWidth="1"/>
    <col min="6" max="6" width="14" customWidth="1"/>
    <col min="7" max="7" width="26" customWidth="1"/>
  </cols>
  <sheetData>
    <row r="1" spans="1:7" x14ac:dyDescent="0.3">
      <c r="A1" s="3" t="s">
        <v>35</v>
      </c>
      <c r="B1" s="3" t="s">
        <v>36</v>
      </c>
      <c r="C1" s="3" t="s">
        <v>24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3">
      <c r="A2" s="6" t="s">
        <v>392</v>
      </c>
      <c r="B2" t="s">
        <v>393</v>
      </c>
      <c r="C2" t="s">
        <v>50</v>
      </c>
      <c r="D2" t="s">
        <v>51</v>
      </c>
      <c r="E2">
        <v>316.93</v>
      </c>
      <c r="F2" t="s">
        <v>394</v>
      </c>
      <c r="G2" t="s">
        <v>395</v>
      </c>
    </row>
    <row r="3" spans="1:7" x14ac:dyDescent="0.3">
      <c r="A3" s="6" t="s">
        <v>396</v>
      </c>
      <c r="B3" t="s">
        <v>397</v>
      </c>
      <c r="C3" t="s">
        <v>50</v>
      </c>
      <c r="D3" t="s">
        <v>51</v>
      </c>
      <c r="E3">
        <v>185.38</v>
      </c>
      <c r="F3" t="s">
        <v>398</v>
      </c>
      <c r="G3" t="s">
        <v>399</v>
      </c>
    </row>
    <row r="4" spans="1:7" x14ac:dyDescent="0.3">
      <c r="A4" s="6" t="s">
        <v>400</v>
      </c>
      <c r="B4" t="s">
        <v>401</v>
      </c>
      <c r="C4" t="s">
        <v>50</v>
      </c>
      <c r="D4" t="s">
        <v>51</v>
      </c>
      <c r="E4">
        <v>174.28</v>
      </c>
      <c r="F4" t="s">
        <v>394</v>
      </c>
      <c r="G4" t="s">
        <v>402</v>
      </c>
    </row>
    <row r="5" spans="1:7" x14ac:dyDescent="0.3">
      <c r="A5" s="6" t="s">
        <v>403</v>
      </c>
      <c r="B5" t="s">
        <v>404</v>
      </c>
      <c r="C5" t="s">
        <v>50</v>
      </c>
      <c r="D5" t="s">
        <v>51</v>
      </c>
      <c r="E5">
        <v>243.93</v>
      </c>
      <c r="F5" t="s">
        <v>394</v>
      </c>
      <c r="G5" t="s">
        <v>405</v>
      </c>
    </row>
    <row r="6" spans="1:7" x14ac:dyDescent="0.3">
      <c r="A6" s="6" t="s">
        <v>137</v>
      </c>
      <c r="B6" t="s">
        <v>406</v>
      </c>
      <c r="C6" t="s">
        <v>58</v>
      </c>
      <c r="D6" t="s">
        <v>59</v>
      </c>
      <c r="E6">
        <v>179.92</v>
      </c>
      <c r="F6" t="s">
        <v>407</v>
      </c>
      <c r="G6" t="s">
        <v>395</v>
      </c>
    </row>
    <row r="7" spans="1:7" x14ac:dyDescent="0.3">
      <c r="A7" s="6" t="s">
        <v>408</v>
      </c>
      <c r="B7" t="s">
        <v>409</v>
      </c>
      <c r="C7" t="s">
        <v>58</v>
      </c>
      <c r="D7" t="s">
        <v>59</v>
      </c>
      <c r="E7">
        <v>190.17</v>
      </c>
      <c r="F7" t="s">
        <v>407</v>
      </c>
      <c r="G7" t="s">
        <v>399</v>
      </c>
    </row>
    <row r="8" spans="1:7" x14ac:dyDescent="0.3">
      <c r="A8" s="6" t="s">
        <v>410</v>
      </c>
      <c r="B8" t="s">
        <v>411</v>
      </c>
      <c r="C8" t="s">
        <v>58</v>
      </c>
      <c r="D8" t="s">
        <v>59</v>
      </c>
      <c r="E8">
        <v>179.56</v>
      </c>
      <c r="F8" t="s">
        <v>394</v>
      </c>
      <c r="G8" t="s">
        <v>412</v>
      </c>
    </row>
    <row r="9" spans="1:7" x14ac:dyDescent="0.3">
      <c r="A9" s="6" t="s">
        <v>400</v>
      </c>
      <c r="B9" t="s">
        <v>413</v>
      </c>
      <c r="C9" t="s">
        <v>58</v>
      </c>
      <c r="D9" t="s">
        <v>59</v>
      </c>
      <c r="E9">
        <v>201.28</v>
      </c>
      <c r="F9" t="s">
        <v>407</v>
      </c>
      <c r="G9" t="s">
        <v>402</v>
      </c>
    </row>
    <row r="10" spans="1:7" x14ac:dyDescent="0.3">
      <c r="A10" s="6" t="s">
        <v>403</v>
      </c>
      <c r="B10" t="s">
        <v>414</v>
      </c>
      <c r="C10" t="s">
        <v>58</v>
      </c>
      <c r="D10" t="s">
        <v>59</v>
      </c>
      <c r="E10">
        <v>235.37</v>
      </c>
      <c r="F10" t="s">
        <v>398</v>
      </c>
      <c r="G10" t="s">
        <v>405</v>
      </c>
    </row>
    <row r="11" spans="1:7" x14ac:dyDescent="0.3">
      <c r="A11" s="6" t="s">
        <v>415</v>
      </c>
      <c r="B11" t="s">
        <v>416</v>
      </c>
      <c r="C11" t="s">
        <v>58</v>
      </c>
      <c r="D11" t="s">
        <v>59</v>
      </c>
      <c r="E11">
        <v>286.95999999999998</v>
      </c>
      <c r="F11" t="s">
        <v>407</v>
      </c>
      <c r="G11" t="s">
        <v>417</v>
      </c>
    </row>
    <row r="12" spans="1:7" x14ac:dyDescent="0.3">
      <c r="A12" s="6" t="s">
        <v>418</v>
      </c>
      <c r="B12" t="s">
        <v>419</v>
      </c>
      <c r="C12" t="s">
        <v>58</v>
      </c>
      <c r="D12" t="s">
        <v>59</v>
      </c>
      <c r="E12">
        <v>185.02</v>
      </c>
      <c r="F12" t="s">
        <v>394</v>
      </c>
      <c r="G12" t="s">
        <v>420</v>
      </c>
    </row>
    <row r="13" spans="1:7" x14ac:dyDescent="0.3">
      <c r="A13" s="6" t="s">
        <v>392</v>
      </c>
      <c r="B13" t="s">
        <v>421</v>
      </c>
      <c r="C13" t="s">
        <v>64</v>
      </c>
      <c r="D13" t="s">
        <v>65</v>
      </c>
      <c r="E13">
        <v>156.35</v>
      </c>
      <c r="F13" t="s">
        <v>398</v>
      </c>
      <c r="G13" t="s">
        <v>395</v>
      </c>
    </row>
    <row r="14" spans="1:7" x14ac:dyDescent="0.3">
      <c r="A14" s="6" t="s">
        <v>400</v>
      </c>
      <c r="B14" t="s">
        <v>422</v>
      </c>
      <c r="C14" t="s">
        <v>64</v>
      </c>
      <c r="D14" t="s">
        <v>65</v>
      </c>
      <c r="E14">
        <v>252.62</v>
      </c>
      <c r="F14" t="s">
        <v>398</v>
      </c>
      <c r="G14" t="s">
        <v>402</v>
      </c>
    </row>
    <row r="15" spans="1:7" x14ac:dyDescent="0.3">
      <c r="A15" s="6" t="s">
        <v>418</v>
      </c>
      <c r="B15" t="s">
        <v>423</v>
      </c>
      <c r="C15" t="s">
        <v>64</v>
      </c>
      <c r="D15" t="s">
        <v>65</v>
      </c>
      <c r="E15">
        <v>156.29</v>
      </c>
      <c r="F15" t="s">
        <v>398</v>
      </c>
      <c r="G15" t="s">
        <v>420</v>
      </c>
    </row>
    <row r="16" spans="1:7" x14ac:dyDescent="0.3">
      <c r="A16" s="6" t="s">
        <v>424</v>
      </c>
      <c r="B16" t="s">
        <v>425</v>
      </c>
      <c r="C16" t="s">
        <v>64</v>
      </c>
      <c r="D16" t="s">
        <v>65</v>
      </c>
      <c r="E16">
        <v>327.89</v>
      </c>
      <c r="F16" t="s">
        <v>394</v>
      </c>
      <c r="G16" t="s">
        <v>426</v>
      </c>
    </row>
    <row r="17" spans="1:7" x14ac:dyDescent="0.3">
      <c r="A17" s="6" t="s">
        <v>127</v>
      </c>
      <c r="B17" t="s">
        <v>427</v>
      </c>
      <c r="C17" t="s">
        <v>70</v>
      </c>
      <c r="D17" t="s">
        <v>71</v>
      </c>
      <c r="E17">
        <v>234.55</v>
      </c>
      <c r="F17" t="s">
        <v>398</v>
      </c>
      <c r="G17" t="s">
        <v>395</v>
      </c>
    </row>
    <row r="18" spans="1:7" x14ac:dyDescent="0.3">
      <c r="A18" s="6" t="s">
        <v>428</v>
      </c>
      <c r="B18" t="s">
        <v>429</v>
      </c>
      <c r="C18" t="s">
        <v>70</v>
      </c>
      <c r="D18" t="s">
        <v>71</v>
      </c>
      <c r="E18">
        <v>256.92</v>
      </c>
      <c r="F18" t="s">
        <v>407</v>
      </c>
      <c r="G18" t="s">
        <v>399</v>
      </c>
    </row>
    <row r="19" spans="1:7" x14ac:dyDescent="0.3">
      <c r="A19" s="6" t="s">
        <v>430</v>
      </c>
      <c r="B19" t="s">
        <v>431</v>
      </c>
      <c r="C19" t="s">
        <v>70</v>
      </c>
      <c r="D19" t="s">
        <v>71</v>
      </c>
      <c r="E19">
        <v>288.66000000000003</v>
      </c>
      <c r="F19" t="s">
        <v>407</v>
      </c>
      <c r="G19" t="s">
        <v>432</v>
      </c>
    </row>
    <row r="20" spans="1:7" x14ac:dyDescent="0.3">
      <c r="A20" s="6" t="s">
        <v>433</v>
      </c>
      <c r="B20" t="s">
        <v>434</v>
      </c>
      <c r="C20" t="s">
        <v>70</v>
      </c>
      <c r="D20" t="s">
        <v>71</v>
      </c>
      <c r="E20">
        <v>201.37</v>
      </c>
      <c r="F20" t="s">
        <v>394</v>
      </c>
      <c r="G20" t="s">
        <v>435</v>
      </c>
    </row>
    <row r="21" spans="1:7" x14ac:dyDescent="0.3">
      <c r="A21" s="6" t="s">
        <v>436</v>
      </c>
      <c r="B21" t="s">
        <v>437</v>
      </c>
      <c r="C21" t="s">
        <v>70</v>
      </c>
      <c r="D21" t="s">
        <v>71</v>
      </c>
      <c r="E21">
        <v>283.43</v>
      </c>
      <c r="F21" t="s">
        <v>407</v>
      </c>
      <c r="G21" t="s">
        <v>412</v>
      </c>
    </row>
    <row r="22" spans="1:7" x14ac:dyDescent="0.3">
      <c r="A22" s="6" t="s">
        <v>403</v>
      </c>
      <c r="B22" t="s">
        <v>438</v>
      </c>
      <c r="C22" t="s">
        <v>70</v>
      </c>
      <c r="D22" t="s">
        <v>71</v>
      </c>
      <c r="E22">
        <v>344.67</v>
      </c>
      <c r="F22" t="s">
        <v>394</v>
      </c>
      <c r="G22" t="s">
        <v>405</v>
      </c>
    </row>
    <row r="23" spans="1:7" x14ac:dyDescent="0.3">
      <c r="A23" s="6" t="s">
        <v>439</v>
      </c>
      <c r="B23" t="s">
        <v>440</v>
      </c>
      <c r="C23" t="s">
        <v>70</v>
      </c>
      <c r="D23" t="s">
        <v>71</v>
      </c>
      <c r="E23">
        <v>242.99</v>
      </c>
      <c r="F23" t="s">
        <v>398</v>
      </c>
      <c r="G23" t="s">
        <v>417</v>
      </c>
    </row>
    <row r="24" spans="1:7" x14ac:dyDescent="0.3">
      <c r="A24" s="6" t="s">
        <v>424</v>
      </c>
      <c r="B24" t="s">
        <v>441</v>
      </c>
      <c r="C24" t="s">
        <v>70</v>
      </c>
      <c r="D24" t="s">
        <v>71</v>
      </c>
      <c r="E24">
        <v>159.82</v>
      </c>
      <c r="F24" t="s">
        <v>394</v>
      </c>
      <c r="G24" t="s">
        <v>426</v>
      </c>
    </row>
    <row r="25" spans="1:7" x14ac:dyDescent="0.3">
      <c r="A25" s="6" t="s">
        <v>162</v>
      </c>
      <c r="B25" t="s">
        <v>442</v>
      </c>
      <c r="C25" t="s">
        <v>76</v>
      </c>
      <c r="D25" t="s">
        <v>77</v>
      </c>
      <c r="E25">
        <v>459.13</v>
      </c>
      <c r="F25" t="s">
        <v>398</v>
      </c>
      <c r="G25" t="s">
        <v>395</v>
      </c>
    </row>
    <row r="26" spans="1:7" x14ac:dyDescent="0.3">
      <c r="A26" s="6" t="s">
        <v>443</v>
      </c>
      <c r="B26" t="s">
        <v>444</v>
      </c>
      <c r="C26" t="s">
        <v>76</v>
      </c>
      <c r="D26" t="s">
        <v>77</v>
      </c>
      <c r="E26">
        <v>391.17</v>
      </c>
      <c r="F26" t="s">
        <v>398</v>
      </c>
      <c r="G26" t="s">
        <v>399</v>
      </c>
    </row>
    <row r="27" spans="1:7" x14ac:dyDescent="0.3">
      <c r="A27" s="6" t="s">
        <v>445</v>
      </c>
      <c r="B27" t="s">
        <v>446</v>
      </c>
      <c r="C27" t="s">
        <v>76</v>
      </c>
      <c r="D27" t="s">
        <v>77</v>
      </c>
      <c r="E27">
        <v>206.39</v>
      </c>
      <c r="F27" t="s">
        <v>398</v>
      </c>
      <c r="G27" t="s">
        <v>432</v>
      </c>
    </row>
    <row r="28" spans="1:7" x14ac:dyDescent="0.3">
      <c r="A28" s="6" t="s">
        <v>447</v>
      </c>
      <c r="B28" t="s">
        <v>448</v>
      </c>
      <c r="C28" t="s">
        <v>76</v>
      </c>
      <c r="D28" t="s">
        <v>77</v>
      </c>
      <c r="E28">
        <v>489.12</v>
      </c>
      <c r="F28" t="s">
        <v>394</v>
      </c>
      <c r="G28" t="s">
        <v>412</v>
      </c>
    </row>
    <row r="29" spans="1:7" x14ac:dyDescent="0.3">
      <c r="A29" s="6" t="s">
        <v>449</v>
      </c>
      <c r="B29" t="s">
        <v>450</v>
      </c>
      <c r="C29" t="s">
        <v>76</v>
      </c>
      <c r="D29" t="s">
        <v>77</v>
      </c>
      <c r="E29">
        <v>284.93</v>
      </c>
      <c r="F29" t="s">
        <v>394</v>
      </c>
      <c r="G29" t="s">
        <v>402</v>
      </c>
    </row>
    <row r="30" spans="1:7" x14ac:dyDescent="0.3">
      <c r="A30" s="6" t="s">
        <v>451</v>
      </c>
      <c r="B30" t="s">
        <v>452</v>
      </c>
      <c r="C30" t="s">
        <v>76</v>
      </c>
      <c r="D30" t="s">
        <v>77</v>
      </c>
      <c r="E30">
        <v>373.29</v>
      </c>
      <c r="F30" t="s">
        <v>407</v>
      </c>
      <c r="G30" t="s">
        <v>405</v>
      </c>
    </row>
    <row r="31" spans="1:7" x14ac:dyDescent="0.3">
      <c r="A31" s="6" t="s">
        <v>375</v>
      </c>
      <c r="B31" t="s">
        <v>453</v>
      </c>
      <c r="C31" t="s">
        <v>76</v>
      </c>
      <c r="D31" t="s">
        <v>77</v>
      </c>
      <c r="E31">
        <v>389.08</v>
      </c>
      <c r="F31" t="s">
        <v>398</v>
      </c>
      <c r="G31" t="s">
        <v>420</v>
      </c>
    </row>
    <row r="32" spans="1:7" x14ac:dyDescent="0.3">
      <c r="A32" s="6" t="s">
        <v>454</v>
      </c>
      <c r="B32" t="s">
        <v>455</v>
      </c>
      <c r="C32" t="s">
        <v>76</v>
      </c>
      <c r="D32" t="s">
        <v>77</v>
      </c>
      <c r="E32">
        <v>266.3</v>
      </c>
      <c r="F32" t="s">
        <v>398</v>
      </c>
      <c r="G32" t="s">
        <v>426</v>
      </c>
    </row>
    <row r="33" spans="1:7" x14ac:dyDescent="0.3">
      <c r="A33" s="6" t="s">
        <v>456</v>
      </c>
      <c r="B33" t="s">
        <v>457</v>
      </c>
      <c r="C33" t="s">
        <v>82</v>
      </c>
      <c r="D33" t="s">
        <v>83</v>
      </c>
      <c r="E33">
        <v>235.49</v>
      </c>
      <c r="F33" t="s">
        <v>407</v>
      </c>
      <c r="G33" t="s">
        <v>395</v>
      </c>
    </row>
    <row r="34" spans="1:7" x14ac:dyDescent="0.3">
      <c r="A34" s="6" t="s">
        <v>410</v>
      </c>
      <c r="B34" t="s">
        <v>458</v>
      </c>
      <c r="C34" t="s">
        <v>82</v>
      </c>
      <c r="D34" t="s">
        <v>83</v>
      </c>
      <c r="E34">
        <v>144.77000000000001</v>
      </c>
      <c r="F34" t="s">
        <v>394</v>
      </c>
      <c r="G34" t="s">
        <v>412</v>
      </c>
    </row>
    <row r="35" spans="1:7" x14ac:dyDescent="0.3">
      <c r="A35" s="6" t="s">
        <v>365</v>
      </c>
      <c r="B35" t="s">
        <v>459</v>
      </c>
      <c r="C35" t="s">
        <v>82</v>
      </c>
      <c r="D35" t="s">
        <v>83</v>
      </c>
      <c r="E35">
        <v>355.64</v>
      </c>
      <c r="F35" t="s">
        <v>394</v>
      </c>
      <c r="G35" t="s">
        <v>402</v>
      </c>
    </row>
    <row r="36" spans="1:7" x14ac:dyDescent="0.3">
      <c r="A36" s="6" t="s">
        <v>451</v>
      </c>
      <c r="B36" t="s">
        <v>460</v>
      </c>
      <c r="C36" t="s">
        <v>82</v>
      </c>
      <c r="D36" t="s">
        <v>83</v>
      </c>
      <c r="E36">
        <v>239.44</v>
      </c>
      <c r="F36" t="s">
        <v>398</v>
      </c>
      <c r="G36" t="s">
        <v>405</v>
      </c>
    </row>
    <row r="37" spans="1:7" x14ac:dyDescent="0.3">
      <c r="A37" s="6" t="s">
        <v>461</v>
      </c>
      <c r="B37" t="s">
        <v>462</v>
      </c>
      <c r="C37" t="s">
        <v>82</v>
      </c>
      <c r="D37" t="s">
        <v>83</v>
      </c>
      <c r="E37">
        <v>265.16000000000003</v>
      </c>
      <c r="F37" t="s">
        <v>394</v>
      </c>
      <c r="G37" t="s">
        <v>417</v>
      </c>
    </row>
    <row r="38" spans="1:7" x14ac:dyDescent="0.3">
      <c r="A38" s="6" t="s">
        <v>463</v>
      </c>
      <c r="B38" t="s">
        <v>464</v>
      </c>
      <c r="C38" t="s">
        <v>82</v>
      </c>
      <c r="D38" t="s">
        <v>83</v>
      </c>
      <c r="E38">
        <v>348.13</v>
      </c>
      <c r="F38" t="s">
        <v>398</v>
      </c>
      <c r="G38" t="s">
        <v>420</v>
      </c>
    </row>
    <row r="39" spans="1:7" x14ac:dyDescent="0.3">
      <c r="A39" s="6" t="s">
        <v>137</v>
      </c>
      <c r="B39" t="s">
        <v>465</v>
      </c>
      <c r="C39" t="s">
        <v>88</v>
      </c>
      <c r="D39" t="s">
        <v>89</v>
      </c>
      <c r="E39">
        <v>236.83</v>
      </c>
      <c r="F39" t="s">
        <v>394</v>
      </c>
      <c r="G39" t="s">
        <v>395</v>
      </c>
    </row>
    <row r="40" spans="1:7" x14ac:dyDescent="0.3">
      <c r="A40" s="6" t="s">
        <v>447</v>
      </c>
      <c r="B40" t="s">
        <v>466</v>
      </c>
      <c r="C40" t="s">
        <v>88</v>
      </c>
      <c r="D40" t="s">
        <v>89</v>
      </c>
      <c r="E40">
        <v>222.76</v>
      </c>
      <c r="F40" t="s">
        <v>394</v>
      </c>
      <c r="G40" t="s">
        <v>412</v>
      </c>
    </row>
    <row r="41" spans="1:7" x14ac:dyDescent="0.3">
      <c r="A41" s="6" t="s">
        <v>467</v>
      </c>
      <c r="B41" t="s">
        <v>468</v>
      </c>
      <c r="C41" t="s">
        <v>88</v>
      </c>
      <c r="D41" t="s">
        <v>89</v>
      </c>
      <c r="E41">
        <v>189.38</v>
      </c>
      <c r="F41" t="s">
        <v>394</v>
      </c>
      <c r="G41" t="s">
        <v>402</v>
      </c>
    </row>
    <row r="42" spans="1:7" x14ac:dyDescent="0.3">
      <c r="A42" s="6" t="s">
        <v>451</v>
      </c>
      <c r="B42" t="s">
        <v>469</v>
      </c>
      <c r="C42" t="s">
        <v>88</v>
      </c>
      <c r="D42" t="s">
        <v>89</v>
      </c>
      <c r="E42">
        <v>166.2</v>
      </c>
      <c r="F42" t="s">
        <v>398</v>
      </c>
      <c r="G42" t="s">
        <v>405</v>
      </c>
    </row>
    <row r="43" spans="1:7" x14ac:dyDescent="0.3">
      <c r="A43" s="6" t="s">
        <v>470</v>
      </c>
      <c r="B43" t="s">
        <v>471</v>
      </c>
      <c r="C43" t="s">
        <v>88</v>
      </c>
      <c r="D43" t="s">
        <v>89</v>
      </c>
      <c r="E43">
        <v>354.35</v>
      </c>
      <c r="F43" t="s">
        <v>398</v>
      </c>
      <c r="G43" t="s">
        <v>420</v>
      </c>
    </row>
    <row r="44" spans="1:7" x14ac:dyDescent="0.3">
      <c r="A44" s="6" t="s">
        <v>137</v>
      </c>
      <c r="B44" t="s">
        <v>472</v>
      </c>
      <c r="C44" t="s">
        <v>94</v>
      </c>
      <c r="D44" t="s">
        <v>95</v>
      </c>
      <c r="E44">
        <v>429.39</v>
      </c>
      <c r="F44" t="s">
        <v>407</v>
      </c>
      <c r="G44" t="s">
        <v>395</v>
      </c>
    </row>
    <row r="45" spans="1:7" x14ac:dyDescent="0.3">
      <c r="A45" s="6" t="s">
        <v>473</v>
      </c>
      <c r="B45" t="s">
        <v>474</v>
      </c>
      <c r="C45" t="s">
        <v>94</v>
      </c>
      <c r="D45" t="s">
        <v>95</v>
      </c>
      <c r="E45">
        <v>449.48</v>
      </c>
      <c r="F45" t="s">
        <v>398</v>
      </c>
      <c r="G45" t="s">
        <v>432</v>
      </c>
    </row>
    <row r="46" spans="1:7" x14ac:dyDescent="0.3">
      <c r="A46" s="6" t="s">
        <v>433</v>
      </c>
      <c r="B46" t="s">
        <v>475</v>
      </c>
      <c r="C46" t="s">
        <v>94</v>
      </c>
      <c r="D46" t="s">
        <v>95</v>
      </c>
      <c r="E46">
        <v>285.64</v>
      </c>
      <c r="F46" t="s">
        <v>398</v>
      </c>
      <c r="G46" t="s">
        <v>435</v>
      </c>
    </row>
    <row r="47" spans="1:7" x14ac:dyDescent="0.3">
      <c r="A47" s="6" t="s">
        <v>463</v>
      </c>
      <c r="B47" t="s">
        <v>476</v>
      </c>
      <c r="C47" t="s">
        <v>94</v>
      </c>
      <c r="D47" t="s">
        <v>95</v>
      </c>
      <c r="E47">
        <v>321.06</v>
      </c>
      <c r="F47" t="s">
        <v>394</v>
      </c>
      <c r="G47" t="s">
        <v>420</v>
      </c>
    </row>
    <row r="48" spans="1:7" x14ac:dyDescent="0.3">
      <c r="A48" s="6" t="s">
        <v>477</v>
      </c>
      <c r="B48" t="s">
        <v>478</v>
      </c>
      <c r="C48" t="s">
        <v>94</v>
      </c>
      <c r="D48" t="s">
        <v>95</v>
      </c>
      <c r="E48">
        <v>272.06</v>
      </c>
      <c r="F48" t="s">
        <v>407</v>
      </c>
      <c r="G48" t="s">
        <v>426</v>
      </c>
    </row>
    <row r="49" spans="1:7" x14ac:dyDescent="0.3">
      <c r="A49" s="6" t="s">
        <v>162</v>
      </c>
      <c r="B49" t="s">
        <v>479</v>
      </c>
      <c r="C49" t="s">
        <v>100</v>
      </c>
      <c r="D49" t="s">
        <v>101</v>
      </c>
      <c r="E49">
        <v>304.45</v>
      </c>
      <c r="F49" t="s">
        <v>394</v>
      </c>
      <c r="G49" t="s">
        <v>395</v>
      </c>
    </row>
    <row r="50" spans="1:7" x14ac:dyDescent="0.3">
      <c r="A50" s="6" t="s">
        <v>443</v>
      </c>
      <c r="B50" t="s">
        <v>480</v>
      </c>
      <c r="C50" t="s">
        <v>100</v>
      </c>
      <c r="D50" t="s">
        <v>101</v>
      </c>
      <c r="E50">
        <v>311.45</v>
      </c>
      <c r="F50" t="s">
        <v>398</v>
      </c>
      <c r="G50" t="s">
        <v>399</v>
      </c>
    </row>
    <row r="51" spans="1:7" x14ac:dyDescent="0.3">
      <c r="A51" s="6" t="s">
        <v>481</v>
      </c>
      <c r="B51" t="s">
        <v>482</v>
      </c>
      <c r="C51" t="s">
        <v>100</v>
      </c>
      <c r="D51" t="s">
        <v>101</v>
      </c>
      <c r="E51">
        <v>411.93</v>
      </c>
      <c r="F51" t="s">
        <v>398</v>
      </c>
      <c r="G51" t="s">
        <v>435</v>
      </c>
    </row>
    <row r="52" spans="1:7" x14ac:dyDescent="0.3">
      <c r="A52" s="6" t="s">
        <v>447</v>
      </c>
      <c r="B52" t="s">
        <v>483</v>
      </c>
      <c r="C52" t="s">
        <v>100</v>
      </c>
      <c r="D52" t="s">
        <v>101</v>
      </c>
      <c r="E52">
        <v>491.41</v>
      </c>
      <c r="F52" t="s">
        <v>394</v>
      </c>
      <c r="G52" t="s">
        <v>412</v>
      </c>
    </row>
    <row r="53" spans="1:7" x14ac:dyDescent="0.3">
      <c r="A53" s="6" t="s">
        <v>467</v>
      </c>
      <c r="B53" t="s">
        <v>484</v>
      </c>
      <c r="C53" t="s">
        <v>100</v>
      </c>
      <c r="D53" t="s">
        <v>101</v>
      </c>
      <c r="E53">
        <v>258.64</v>
      </c>
      <c r="F53" t="s">
        <v>407</v>
      </c>
      <c r="G53" t="s">
        <v>402</v>
      </c>
    </row>
    <row r="54" spans="1:7" x14ac:dyDescent="0.3">
      <c r="A54" s="6" t="s">
        <v>463</v>
      </c>
      <c r="B54" t="s">
        <v>485</v>
      </c>
      <c r="C54" t="s">
        <v>100</v>
      </c>
      <c r="D54" t="s">
        <v>101</v>
      </c>
      <c r="E54">
        <v>237.17</v>
      </c>
      <c r="F54" t="s">
        <v>407</v>
      </c>
      <c r="G54" t="s">
        <v>420</v>
      </c>
    </row>
    <row r="55" spans="1:7" x14ac:dyDescent="0.3">
      <c r="A55" s="6" t="s">
        <v>443</v>
      </c>
      <c r="B55" t="s">
        <v>486</v>
      </c>
      <c r="C55" t="s">
        <v>106</v>
      </c>
      <c r="D55" t="s">
        <v>107</v>
      </c>
      <c r="E55">
        <v>217.58</v>
      </c>
      <c r="F55" t="s">
        <v>407</v>
      </c>
      <c r="G55" t="s">
        <v>399</v>
      </c>
    </row>
    <row r="56" spans="1:7" x14ac:dyDescent="0.3">
      <c r="A56" s="6" t="s">
        <v>487</v>
      </c>
      <c r="B56" t="s">
        <v>488</v>
      </c>
      <c r="C56" t="s">
        <v>106</v>
      </c>
      <c r="D56" t="s">
        <v>107</v>
      </c>
      <c r="E56">
        <v>363.1</v>
      </c>
      <c r="F56" t="s">
        <v>398</v>
      </c>
      <c r="G56" t="s">
        <v>435</v>
      </c>
    </row>
    <row r="57" spans="1:7" x14ac:dyDescent="0.3">
      <c r="A57" s="6" t="s">
        <v>436</v>
      </c>
      <c r="B57" t="s">
        <v>489</v>
      </c>
      <c r="C57" t="s">
        <v>106</v>
      </c>
      <c r="D57" t="s">
        <v>107</v>
      </c>
      <c r="E57">
        <v>424.15</v>
      </c>
      <c r="F57" t="s">
        <v>398</v>
      </c>
      <c r="G57" t="s">
        <v>412</v>
      </c>
    </row>
    <row r="58" spans="1:7" x14ac:dyDescent="0.3">
      <c r="A58" s="6" t="s">
        <v>365</v>
      </c>
      <c r="B58" t="s">
        <v>490</v>
      </c>
      <c r="C58" t="s">
        <v>106</v>
      </c>
      <c r="D58" t="s">
        <v>107</v>
      </c>
      <c r="E58">
        <v>409.21</v>
      </c>
      <c r="F58" t="s">
        <v>407</v>
      </c>
      <c r="G58" t="s">
        <v>402</v>
      </c>
    </row>
    <row r="59" spans="1:7" x14ac:dyDescent="0.3">
      <c r="A59" s="6" t="s">
        <v>368</v>
      </c>
      <c r="B59" t="s">
        <v>491</v>
      </c>
      <c r="C59" t="s">
        <v>106</v>
      </c>
      <c r="D59" t="s">
        <v>107</v>
      </c>
      <c r="E59">
        <v>225.41</v>
      </c>
      <c r="F59" t="s">
        <v>398</v>
      </c>
      <c r="G59" t="s">
        <v>405</v>
      </c>
    </row>
    <row r="60" spans="1:7" x14ac:dyDescent="0.3">
      <c r="A60" s="6" t="s">
        <v>492</v>
      </c>
      <c r="B60" t="s">
        <v>493</v>
      </c>
      <c r="C60" t="s">
        <v>106</v>
      </c>
      <c r="D60" t="s">
        <v>107</v>
      </c>
      <c r="E60">
        <v>394.69</v>
      </c>
      <c r="F60" t="s">
        <v>398</v>
      </c>
      <c r="G60" t="s">
        <v>417</v>
      </c>
    </row>
    <row r="61" spans="1:7" x14ac:dyDescent="0.3">
      <c r="A61" s="6" t="s">
        <v>494</v>
      </c>
      <c r="B61" t="s">
        <v>495</v>
      </c>
      <c r="C61" t="s">
        <v>112</v>
      </c>
      <c r="D61" t="s">
        <v>113</v>
      </c>
      <c r="E61">
        <v>303.81</v>
      </c>
      <c r="F61" t="s">
        <v>398</v>
      </c>
      <c r="G61" t="s">
        <v>412</v>
      </c>
    </row>
    <row r="62" spans="1:7" x14ac:dyDescent="0.3">
      <c r="A62" s="6" t="s">
        <v>467</v>
      </c>
      <c r="B62" t="s">
        <v>496</v>
      </c>
      <c r="C62" t="s">
        <v>112</v>
      </c>
      <c r="D62" t="s">
        <v>113</v>
      </c>
      <c r="E62">
        <v>373.65</v>
      </c>
      <c r="F62" t="s">
        <v>394</v>
      </c>
      <c r="G62" t="s">
        <v>402</v>
      </c>
    </row>
    <row r="63" spans="1:7" x14ac:dyDescent="0.3">
      <c r="A63" s="6" t="s">
        <v>470</v>
      </c>
      <c r="B63" t="s">
        <v>497</v>
      </c>
      <c r="C63" t="s">
        <v>112</v>
      </c>
      <c r="D63" t="s">
        <v>113</v>
      </c>
      <c r="E63">
        <v>407.47</v>
      </c>
      <c r="F63" t="s">
        <v>407</v>
      </c>
      <c r="G63" t="s">
        <v>420</v>
      </c>
    </row>
    <row r="64" spans="1:7" x14ac:dyDescent="0.3">
      <c r="A64" s="6" t="s">
        <v>498</v>
      </c>
      <c r="B64" t="s">
        <v>499</v>
      </c>
      <c r="C64" t="s">
        <v>112</v>
      </c>
      <c r="D64" t="s">
        <v>113</v>
      </c>
      <c r="E64">
        <v>432.93</v>
      </c>
      <c r="F64" t="s">
        <v>394</v>
      </c>
      <c r="G64" t="s">
        <v>426</v>
      </c>
    </row>
    <row r="65" spans="1:7" x14ac:dyDescent="0.3">
      <c r="A65" s="6" t="s">
        <v>162</v>
      </c>
      <c r="B65" t="s">
        <v>500</v>
      </c>
      <c r="C65" t="s">
        <v>118</v>
      </c>
      <c r="D65" t="s">
        <v>119</v>
      </c>
      <c r="E65">
        <v>313.72000000000003</v>
      </c>
      <c r="F65" t="s">
        <v>398</v>
      </c>
      <c r="G65" t="s">
        <v>395</v>
      </c>
    </row>
    <row r="66" spans="1:7" x14ac:dyDescent="0.3">
      <c r="A66" s="6" t="s">
        <v>353</v>
      </c>
      <c r="B66" t="s">
        <v>501</v>
      </c>
      <c r="C66" t="s">
        <v>118</v>
      </c>
      <c r="D66" t="s">
        <v>119</v>
      </c>
      <c r="E66">
        <v>213.61</v>
      </c>
      <c r="F66" t="s">
        <v>407</v>
      </c>
      <c r="G66" t="s">
        <v>432</v>
      </c>
    </row>
    <row r="67" spans="1:7" x14ac:dyDescent="0.3">
      <c r="A67" s="6" t="s">
        <v>494</v>
      </c>
      <c r="B67" t="s">
        <v>502</v>
      </c>
      <c r="C67" t="s">
        <v>118</v>
      </c>
      <c r="D67" t="s">
        <v>119</v>
      </c>
      <c r="E67">
        <v>289.94</v>
      </c>
      <c r="F67" t="s">
        <v>398</v>
      </c>
      <c r="G67" t="s">
        <v>412</v>
      </c>
    </row>
    <row r="68" spans="1:7" x14ac:dyDescent="0.3">
      <c r="A68" s="6" t="s">
        <v>400</v>
      </c>
      <c r="B68" t="s">
        <v>503</v>
      </c>
      <c r="C68" t="s">
        <v>118</v>
      </c>
      <c r="D68" t="s">
        <v>119</v>
      </c>
      <c r="E68">
        <v>315.45</v>
      </c>
      <c r="F68" t="s">
        <v>398</v>
      </c>
      <c r="G68" t="s">
        <v>402</v>
      </c>
    </row>
    <row r="69" spans="1:7" x14ac:dyDescent="0.3">
      <c r="A69" s="6" t="s">
        <v>504</v>
      </c>
      <c r="B69" t="s">
        <v>505</v>
      </c>
      <c r="C69" t="s">
        <v>118</v>
      </c>
      <c r="D69" t="s">
        <v>119</v>
      </c>
      <c r="E69">
        <v>286.31</v>
      </c>
      <c r="F69" t="s">
        <v>407</v>
      </c>
      <c r="G69" t="s">
        <v>405</v>
      </c>
    </row>
    <row r="70" spans="1:7" x14ac:dyDescent="0.3">
      <c r="A70" s="6" t="s">
        <v>415</v>
      </c>
      <c r="B70" t="s">
        <v>506</v>
      </c>
      <c r="C70" t="s">
        <v>118</v>
      </c>
      <c r="D70" t="s">
        <v>119</v>
      </c>
      <c r="E70">
        <v>287.39</v>
      </c>
      <c r="F70" t="s">
        <v>398</v>
      </c>
      <c r="G70" t="s">
        <v>417</v>
      </c>
    </row>
    <row r="71" spans="1:7" x14ac:dyDescent="0.3">
      <c r="A71" s="6" t="s">
        <v>375</v>
      </c>
      <c r="B71" t="s">
        <v>507</v>
      </c>
      <c r="C71" t="s">
        <v>118</v>
      </c>
      <c r="D71" t="s">
        <v>119</v>
      </c>
      <c r="E71">
        <v>164.17</v>
      </c>
      <c r="F71" t="s">
        <v>394</v>
      </c>
      <c r="G71" t="s">
        <v>420</v>
      </c>
    </row>
    <row r="72" spans="1:7" x14ac:dyDescent="0.3">
      <c r="A72" s="6" t="s">
        <v>498</v>
      </c>
      <c r="B72" t="s">
        <v>508</v>
      </c>
      <c r="C72" t="s">
        <v>118</v>
      </c>
      <c r="D72" t="s">
        <v>119</v>
      </c>
      <c r="E72">
        <v>211.05</v>
      </c>
      <c r="F72" t="s">
        <v>394</v>
      </c>
      <c r="G72" t="s">
        <v>426</v>
      </c>
    </row>
    <row r="73" spans="1:7" x14ac:dyDescent="0.3">
      <c r="A73" s="6" t="s">
        <v>127</v>
      </c>
      <c r="B73" t="s">
        <v>509</v>
      </c>
      <c r="C73" t="s">
        <v>123</v>
      </c>
      <c r="D73" t="s">
        <v>124</v>
      </c>
      <c r="E73">
        <v>242.37</v>
      </c>
      <c r="F73" t="s">
        <v>398</v>
      </c>
      <c r="G73" t="s">
        <v>395</v>
      </c>
    </row>
    <row r="74" spans="1:7" x14ac:dyDescent="0.3">
      <c r="A74" s="6" t="s">
        <v>510</v>
      </c>
      <c r="B74" t="s">
        <v>511</v>
      </c>
      <c r="C74" t="s">
        <v>123</v>
      </c>
      <c r="D74" t="s">
        <v>124</v>
      </c>
      <c r="E74">
        <v>186</v>
      </c>
      <c r="F74" t="s">
        <v>398</v>
      </c>
      <c r="G74" t="s">
        <v>435</v>
      </c>
    </row>
    <row r="75" spans="1:7" x14ac:dyDescent="0.3">
      <c r="A75" s="6" t="s">
        <v>494</v>
      </c>
      <c r="B75" t="s">
        <v>512</v>
      </c>
      <c r="C75" t="s">
        <v>123</v>
      </c>
      <c r="D75" t="s">
        <v>124</v>
      </c>
      <c r="E75">
        <v>250.79</v>
      </c>
      <c r="F75" t="s">
        <v>394</v>
      </c>
      <c r="G75" t="s">
        <v>412</v>
      </c>
    </row>
    <row r="76" spans="1:7" x14ac:dyDescent="0.3">
      <c r="A76" s="6" t="s">
        <v>370</v>
      </c>
      <c r="B76" t="s">
        <v>513</v>
      </c>
      <c r="C76" t="s">
        <v>123</v>
      </c>
      <c r="D76" t="s">
        <v>124</v>
      </c>
      <c r="E76">
        <v>285.70999999999998</v>
      </c>
      <c r="F76" t="s">
        <v>394</v>
      </c>
      <c r="G76" t="s">
        <v>417</v>
      </c>
    </row>
    <row r="77" spans="1:7" x14ac:dyDescent="0.3">
      <c r="A77" s="6" t="s">
        <v>424</v>
      </c>
      <c r="B77" t="s">
        <v>514</v>
      </c>
      <c r="C77" t="s">
        <v>123</v>
      </c>
      <c r="D77" t="s">
        <v>124</v>
      </c>
      <c r="E77">
        <v>312.14</v>
      </c>
      <c r="F77" t="s">
        <v>394</v>
      </c>
      <c r="G77" t="s">
        <v>426</v>
      </c>
    </row>
    <row r="78" spans="1:7" x14ac:dyDescent="0.3">
      <c r="A78" s="6" t="s">
        <v>127</v>
      </c>
      <c r="B78" t="s">
        <v>515</v>
      </c>
      <c r="C78" t="s">
        <v>128</v>
      </c>
      <c r="D78" t="s">
        <v>129</v>
      </c>
      <c r="E78">
        <v>343.68</v>
      </c>
      <c r="F78" t="s">
        <v>407</v>
      </c>
      <c r="G78" t="s">
        <v>395</v>
      </c>
    </row>
    <row r="79" spans="1:7" x14ac:dyDescent="0.3">
      <c r="A79" s="6" t="s">
        <v>516</v>
      </c>
      <c r="B79" t="s">
        <v>517</v>
      </c>
      <c r="C79" t="s">
        <v>128</v>
      </c>
      <c r="D79" t="s">
        <v>129</v>
      </c>
      <c r="E79">
        <v>366.53</v>
      </c>
      <c r="F79" t="s">
        <v>398</v>
      </c>
      <c r="G79" t="s">
        <v>399</v>
      </c>
    </row>
    <row r="80" spans="1:7" x14ac:dyDescent="0.3">
      <c r="A80" s="6" t="s">
        <v>360</v>
      </c>
      <c r="B80" t="s">
        <v>518</v>
      </c>
      <c r="C80" t="s">
        <v>128</v>
      </c>
      <c r="D80" t="s">
        <v>129</v>
      </c>
      <c r="E80">
        <v>301.08999999999997</v>
      </c>
      <c r="F80" t="s">
        <v>407</v>
      </c>
      <c r="G80" t="s">
        <v>412</v>
      </c>
    </row>
    <row r="81" spans="1:7" x14ac:dyDescent="0.3">
      <c r="A81" s="6" t="s">
        <v>415</v>
      </c>
      <c r="B81" t="s">
        <v>519</v>
      </c>
      <c r="C81" t="s">
        <v>128</v>
      </c>
      <c r="D81" t="s">
        <v>129</v>
      </c>
      <c r="E81">
        <v>453.39</v>
      </c>
      <c r="F81" t="s">
        <v>398</v>
      </c>
      <c r="G81" t="s">
        <v>417</v>
      </c>
    </row>
    <row r="82" spans="1:7" x14ac:dyDescent="0.3">
      <c r="A82" s="6" t="s">
        <v>470</v>
      </c>
      <c r="B82" t="s">
        <v>520</v>
      </c>
      <c r="C82" t="s">
        <v>128</v>
      </c>
      <c r="D82" t="s">
        <v>129</v>
      </c>
      <c r="E82">
        <v>458.15</v>
      </c>
      <c r="F82" t="s">
        <v>398</v>
      </c>
      <c r="G82" t="s">
        <v>420</v>
      </c>
    </row>
    <row r="83" spans="1:7" x14ac:dyDescent="0.3">
      <c r="A83" s="6" t="s">
        <v>516</v>
      </c>
      <c r="B83" t="s">
        <v>521</v>
      </c>
      <c r="C83" t="s">
        <v>133</v>
      </c>
      <c r="D83" t="s">
        <v>134</v>
      </c>
      <c r="E83">
        <v>277.20999999999998</v>
      </c>
      <c r="F83" t="s">
        <v>407</v>
      </c>
      <c r="G83" t="s">
        <v>399</v>
      </c>
    </row>
    <row r="84" spans="1:7" x14ac:dyDescent="0.3">
      <c r="A84" s="6" t="s">
        <v>522</v>
      </c>
      <c r="B84" t="s">
        <v>523</v>
      </c>
      <c r="C84" t="s">
        <v>133</v>
      </c>
      <c r="D84" t="s">
        <v>134</v>
      </c>
      <c r="E84">
        <v>422.34</v>
      </c>
      <c r="F84" t="s">
        <v>394</v>
      </c>
      <c r="G84" t="s">
        <v>432</v>
      </c>
    </row>
    <row r="85" spans="1:7" x14ac:dyDescent="0.3">
      <c r="A85" s="6" t="s">
        <v>524</v>
      </c>
      <c r="B85" t="s">
        <v>525</v>
      </c>
      <c r="C85" t="s">
        <v>133</v>
      </c>
      <c r="D85" t="s">
        <v>134</v>
      </c>
      <c r="E85">
        <v>306.77</v>
      </c>
      <c r="F85" t="s">
        <v>398</v>
      </c>
      <c r="G85" t="s">
        <v>435</v>
      </c>
    </row>
    <row r="86" spans="1:7" x14ac:dyDescent="0.3">
      <c r="A86" s="6" t="s">
        <v>366</v>
      </c>
      <c r="B86" t="s">
        <v>526</v>
      </c>
      <c r="C86" t="s">
        <v>133</v>
      </c>
      <c r="D86" t="s">
        <v>134</v>
      </c>
      <c r="E86">
        <v>246.34</v>
      </c>
      <c r="F86" t="s">
        <v>394</v>
      </c>
      <c r="G86" t="s">
        <v>405</v>
      </c>
    </row>
    <row r="87" spans="1:7" x14ac:dyDescent="0.3">
      <c r="A87" s="6" t="s">
        <v>461</v>
      </c>
      <c r="B87" t="s">
        <v>527</v>
      </c>
      <c r="C87" t="s">
        <v>133</v>
      </c>
      <c r="D87" t="s">
        <v>134</v>
      </c>
      <c r="E87">
        <v>416.35</v>
      </c>
      <c r="F87" t="s">
        <v>398</v>
      </c>
      <c r="G87" t="s">
        <v>417</v>
      </c>
    </row>
    <row r="88" spans="1:7" x14ac:dyDescent="0.3">
      <c r="A88" s="6" t="s">
        <v>418</v>
      </c>
      <c r="B88" t="s">
        <v>528</v>
      </c>
      <c r="C88" t="s">
        <v>133</v>
      </c>
      <c r="D88" t="s">
        <v>134</v>
      </c>
      <c r="E88">
        <v>223.65</v>
      </c>
      <c r="F88" t="s">
        <v>407</v>
      </c>
      <c r="G88" t="s">
        <v>420</v>
      </c>
    </row>
    <row r="89" spans="1:7" x14ac:dyDescent="0.3">
      <c r="A89" s="6" t="s">
        <v>454</v>
      </c>
      <c r="B89" t="s">
        <v>529</v>
      </c>
      <c r="C89" t="s">
        <v>133</v>
      </c>
      <c r="D89" t="s">
        <v>134</v>
      </c>
      <c r="E89">
        <v>370.04</v>
      </c>
      <c r="F89" t="s">
        <v>407</v>
      </c>
      <c r="G89" t="s">
        <v>426</v>
      </c>
    </row>
    <row r="90" spans="1:7" x14ac:dyDescent="0.3">
      <c r="A90" s="6" t="s">
        <v>510</v>
      </c>
      <c r="B90" t="s">
        <v>530</v>
      </c>
      <c r="C90" t="s">
        <v>138</v>
      </c>
      <c r="D90" t="s">
        <v>139</v>
      </c>
      <c r="E90">
        <v>348.35</v>
      </c>
      <c r="F90" t="s">
        <v>394</v>
      </c>
      <c r="G90" t="s">
        <v>435</v>
      </c>
    </row>
    <row r="91" spans="1:7" x14ac:dyDescent="0.3">
      <c r="A91" s="6" t="s">
        <v>531</v>
      </c>
      <c r="B91" t="s">
        <v>532</v>
      </c>
      <c r="C91" t="s">
        <v>138</v>
      </c>
      <c r="D91" t="s">
        <v>139</v>
      </c>
      <c r="E91">
        <v>226.16</v>
      </c>
      <c r="F91" t="s">
        <v>394</v>
      </c>
      <c r="G91" t="s">
        <v>405</v>
      </c>
    </row>
    <row r="92" spans="1:7" x14ac:dyDescent="0.3">
      <c r="A92" s="6" t="s">
        <v>492</v>
      </c>
      <c r="B92" t="s">
        <v>533</v>
      </c>
      <c r="C92" t="s">
        <v>138</v>
      </c>
      <c r="D92" t="s">
        <v>139</v>
      </c>
      <c r="E92">
        <v>208.5</v>
      </c>
      <c r="F92" t="s">
        <v>407</v>
      </c>
      <c r="G92" t="s">
        <v>417</v>
      </c>
    </row>
    <row r="93" spans="1:7" x14ac:dyDescent="0.3">
      <c r="A93" s="6" t="s">
        <v>470</v>
      </c>
      <c r="B93" t="s">
        <v>534</v>
      </c>
      <c r="C93" t="s">
        <v>138</v>
      </c>
      <c r="D93" t="s">
        <v>139</v>
      </c>
      <c r="E93">
        <v>260.26</v>
      </c>
      <c r="F93" t="s">
        <v>398</v>
      </c>
      <c r="G93" t="s">
        <v>420</v>
      </c>
    </row>
    <row r="94" spans="1:7" x14ac:dyDescent="0.3">
      <c r="A94" s="6" t="s">
        <v>162</v>
      </c>
      <c r="B94" t="s">
        <v>535</v>
      </c>
      <c r="C94" t="s">
        <v>143</v>
      </c>
      <c r="D94" t="s">
        <v>144</v>
      </c>
      <c r="E94">
        <v>216.6</v>
      </c>
      <c r="F94" t="s">
        <v>398</v>
      </c>
      <c r="G94" t="s">
        <v>395</v>
      </c>
    </row>
    <row r="95" spans="1:7" x14ac:dyDescent="0.3">
      <c r="A95" s="6" t="s">
        <v>408</v>
      </c>
      <c r="B95" t="s">
        <v>536</v>
      </c>
      <c r="C95" t="s">
        <v>143</v>
      </c>
      <c r="D95" t="s">
        <v>144</v>
      </c>
      <c r="E95">
        <v>300.42</v>
      </c>
      <c r="F95" t="s">
        <v>407</v>
      </c>
      <c r="G95" t="s">
        <v>399</v>
      </c>
    </row>
    <row r="96" spans="1:7" x14ac:dyDescent="0.3">
      <c r="A96" s="6" t="s">
        <v>430</v>
      </c>
      <c r="B96" t="s">
        <v>537</v>
      </c>
      <c r="C96" t="s">
        <v>143</v>
      </c>
      <c r="D96" t="s">
        <v>144</v>
      </c>
      <c r="E96">
        <v>355.84</v>
      </c>
      <c r="F96" t="s">
        <v>398</v>
      </c>
      <c r="G96" t="s">
        <v>432</v>
      </c>
    </row>
    <row r="97" spans="1:7" x14ac:dyDescent="0.3">
      <c r="A97" s="6" t="s">
        <v>487</v>
      </c>
      <c r="B97" t="s">
        <v>538</v>
      </c>
      <c r="C97" t="s">
        <v>143</v>
      </c>
      <c r="D97" t="s">
        <v>144</v>
      </c>
      <c r="E97">
        <v>339.9</v>
      </c>
      <c r="F97" t="s">
        <v>398</v>
      </c>
      <c r="G97" t="s">
        <v>435</v>
      </c>
    </row>
    <row r="98" spans="1:7" x14ac:dyDescent="0.3">
      <c r="A98" s="6" t="s">
        <v>360</v>
      </c>
      <c r="B98" t="s">
        <v>539</v>
      </c>
      <c r="C98" t="s">
        <v>143</v>
      </c>
      <c r="D98" t="s">
        <v>144</v>
      </c>
      <c r="E98">
        <v>287.20999999999998</v>
      </c>
      <c r="F98" t="s">
        <v>394</v>
      </c>
      <c r="G98" t="s">
        <v>412</v>
      </c>
    </row>
    <row r="99" spans="1:7" x14ac:dyDescent="0.3">
      <c r="A99" s="6" t="s">
        <v>540</v>
      </c>
      <c r="B99" t="s">
        <v>541</v>
      </c>
      <c r="C99" t="s">
        <v>143</v>
      </c>
      <c r="D99" t="s">
        <v>144</v>
      </c>
      <c r="E99">
        <v>236.58</v>
      </c>
      <c r="F99" t="s">
        <v>407</v>
      </c>
      <c r="G99" t="s">
        <v>417</v>
      </c>
    </row>
    <row r="100" spans="1:7" x14ac:dyDescent="0.3">
      <c r="A100" s="6" t="s">
        <v>418</v>
      </c>
      <c r="B100" t="s">
        <v>542</v>
      </c>
      <c r="C100" t="s">
        <v>143</v>
      </c>
      <c r="D100" t="s">
        <v>144</v>
      </c>
      <c r="E100">
        <v>154.86000000000001</v>
      </c>
      <c r="F100" t="s">
        <v>407</v>
      </c>
      <c r="G100" t="s">
        <v>420</v>
      </c>
    </row>
    <row r="101" spans="1:7" x14ac:dyDescent="0.3">
      <c r="A101" s="6" t="s">
        <v>454</v>
      </c>
      <c r="B101" t="s">
        <v>543</v>
      </c>
      <c r="C101" t="s">
        <v>143</v>
      </c>
      <c r="D101" t="s">
        <v>144</v>
      </c>
      <c r="E101">
        <v>189.72</v>
      </c>
      <c r="F101" t="s">
        <v>407</v>
      </c>
      <c r="G101" t="s">
        <v>426</v>
      </c>
    </row>
    <row r="102" spans="1:7" x14ac:dyDescent="0.3">
      <c r="A102" s="6" t="s">
        <v>127</v>
      </c>
      <c r="B102" t="s">
        <v>544</v>
      </c>
      <c r="C102" t="s">
        <v>148</v>
      </c>
      <c r="D102" t="s">
        <v>149</v>
      </c>
      <c r="E102">
        <v>305.79000000000002</v>
      </c>
      <c r="F102" t="s">
        <v>394</v>
      </c>
      <c r="G102" t="s">
        <v>395</v>
      </c>
    </row>
    <row r="103" spans="1:7" x14ac:dyDescent="0.3">
      <c r="A103" s="6" t="s">
        <v>545</v>
      </c>
      <c r="B103" t="s">
        <v>546</v>
      </c>
      <c r="C103" t="s">
        <v>148</v>
      </c>
      <c r="D103" t="s">
        <v>149</v>
      </c>
      <c r="E103">
        <v>192.43</v>
      </c>
      <c r="F103" t="s">
        <v>394</v>
      </c>
      <c r="G103" t="s">
        <v>432</v>
      </c>
    </row>
    <row r="104" spans="1:7" x14ac:dyDescent="0.3">
      <c r="A104" s="6" t="s">
        <v>547</v>
      </c>
      <c r="B104" t="s">
        <v>548</v>
      </c>
      <c r="C104" t="s">
        <v>148</v>
      </c>
      <c r="D104" t="s">
        <v>149</v>
      </c>
      <c r="E104">
        <v>152.69999999999999</v>
      </c>
      <c r="F104" t="s">
        <v>394</v>
      </c>
      <c r="G104" t="s">
        <v>435</v>
      </c>
    </row>
    <row r="105" spans="1:7" x14ac:dyDescent="0.3">
      <c r="A105" s="6" t="s">
        <v>549</v>
      </c>
      <c r="B105" t="s">
        <v>550</v>
      </c>
      <c r="C105" t="s">
        <v>148</v>
      </c>
      <c r="D105" t="s">
        <v>149</v>
      </c>
      <c r="E105">
        <v>187.06</v>
      </c>
      <c r="F105" t="s">
        <v>394</v>
      </c>
      <c r="G105" t="s">
        <v>412</v>
      </c>
    </row>
    <row r="106" spans="1:7" x14ac:dyDescent="0.3">
      <c r="A106" s="6" t="s">
        <v>531</v>
      </c>
      <c r="B106" t="s">
        <v>551</v>
      </c>
      <c r="C106" t="s">
        <v>148</v>
      </c>
      <c r="D106" t="s">
        <v>149</v>
      </c>
      <c r="E106">
        <v>176.91</v>
      </c>
      <c r="F106" t="s">
        <v>394</v>
      </c>
      <c r="G106" t="s">
        <v>405</v>
      </c>
    </row>
    <row r="107" spans="1:7" x14ac:dyDescent="0.3">
      <c r="A107" s="6" t="s">
        <v>477</v>
      </c>
      <c r="B107" t="s">
        <v>552</v>
      </c>
      <c r="C107" t="s">
        <v>148</v>
      </c>
      <c r="D107" t="s">
        <v>149</v>
      </c>
      <c r="E107">
        <v>288.60000000000002</v>
      </c>
      <c r="F107" t="s">
        <v>398</v>
      </c>
      <c r="G107" t="s">
        <v>426</v>
      </c>
    </row>
    <row r="108" spans="1:7" x14ac:dyDescent="0.3">
      <c r="A108" s="6" t="s">
        <v>428</v>
      </c>
      <c r="B108" t="s">
        <v>553</v>
      </c>
      <c r="C108" t="s">
        <v>153</v>
      </c>
      <c r="D108" t="s">
        <v>154</v>
      </c>
      <c r="E108">
        <v>352.17</v>
      </c>
      <c r="F108" t="s">
        <v>398</v>
      </c>
      <c r="G108" t="s">
        <v>399</v>
      </c>
    </row>
    <row r="109" spans="1:7" x14ac:dyDescent="0.3">
      <c r="A109" s="6" t="s">
        <v>410</v>
      </c>
      <c r="B109" t="s">
        <v>554</v>
      </c>
      <c r="C109" t="s">
        <v>153</v>
      </c>
      <c r="D109" t="s">
        <v>154</v>
      </c>
      <c r="E109">
        <v>312</v>
      </c>
      <c r="F109" t="s">
        <v>394</v>
      </c>
      <c r="G109" t="s">
        <v>412</v>
      </c>
    </row>
    <row r="110" spans="1:7" x14ac:dyDescent="0.3">
      <c r="A110" s="6" t="s">
        <v>467</v>
      </c>
      <c r="B110" t="s">
        <v>555</v>
      </c>
      <c r="C110" t="s">
        <v>153</v>
      </c>
      <c r="D110" t="s">
        <v>154</v>
      </c>
      <c r="E110">
        <v>167.35</v>
      </c>
      <c r="F110" t="s">
        <v>394</v>
      </c>
      <c r="G110" t="s">
        <v>402</v>
      </c>
    </row>
    <row r="111" spans="1:7" x14ac:dyDescent="0.3">
      <c r="A111" s="6" t="s">
        <v>492</v>
      </c>
      <c r="B111" t="s">
        <v>556</v>
      </c>
      <c r="C111" t="s">
        <v>153</v>
      </c>
      <c r="D111" t="s">
        <v>154</v>
      </c>
      <c r="E111">
        <v>268.37</v>
      </c>
      <c r="F111" t="s">
        <v>407</v>
      </c>
      <c r="G111" t="s">
        <v>417</v>
      </c>
    </row>
    <row r="112" spans="1:7" x14ac:dyDescent="0.3">
      <c r="A112" s="6" t="s">
        <v>470</v>
      </c>
      <c r="B112" t="s">
        <v>557</v>
      </c>
      <c r="C112" t="s">
        <v>153</v>
      </c>
      <c r="D112" t="s">
        <v>154</v>
      </c>
      <c r="E112">
        <v>347.36</v>
      </c>
      <c r="F112" t="s">
        <v>394</v>
      </c>
      <c r="G112" t="s">
        <v>420</v>
      </c>
    </row>
    <row r="113" spans="1:7" x14ac:dyDescent="0.3">
      <c r="A113" s="6" t="s">
        <v>443</v>
      </c>
      <c r="B113" t="s">
        <v>558</v>
      </c>
      <c r="C113" t="s">
        <v>158</v>
      </c>
      <c r="D113" t="s">
        <v>159</v>
      </c>
      <c r="E113">
        <v>464.19</v>
      </c>
      <c r="F113" t="s">
        <v>398</v>
      </c>
      <c r="G113" t="s">
        <v>399</v>
      </c>
    </row>
    <row r="114" spans="1:7" x14ac:dyDescent="0.3">
      <c r="A114" s="6" t="s">
        <v>487</v>
      </c>
      <c r="B114" t="s">
        <v>559</v>
      </c>
      <c r="C114" t="s">
        <v>158</v>
      </c>
      <c r="D114" t="s">
        <v>159</v>
      </c>
      <c r="E114">
        <v>447.65</v>
      </c>
      <c r="F114" t="s">
        <v>398</v>
      </c>
      <c r="G114" t="s">
        <v>435</v>
      </c>
    </row>
    <row r="115" spans="1:7" x14ac:dyDescent="0.3">
      <c r="A115" s="6" t="s">
        <v>560</v>
      </c>
      <c r="B115" t="s">
        <v>561</v>
      </c>
      <c r="C115" t="s">
        <v>158</v>
      </c>
      <c r="D115" t="s">
        <v>159</v>
      </c>
      <c r="E115">
        <v>310.24</v>
      </c>
      <c r="F115" t="s">
        <v>407</v>
      </c>
      <c r="G115" t="s">
        <v>402</v>
      </c>
    </row>
    <row r="116" spans="1:7" x14ac:dyDescent="0.3">
      <c r="A116" s="6" t="s">
        <v>498</v>
      </c>
      <c r="B116" t="s">
        <v>562</v>
      </c>
      <c r="C116" t="s">
        <v>158</v>
      </c>
      <c r="D116" t="s">
        <v>159</v>
      </c>
      <c r="E116">
        <v>317.39</v>
      </c>
      <c r="F116" t="s">
        <v>398</v>
      </c>
      <c r="G116" t="s">
        <v>426</v>
      </c>
    </row>
    <row r="117" spans="1:7" x14ac:dyDescent="0.3">
      <c r="A117" s="6" t="s">
        <v>456</v>
      </c>
      <c r="B117" t="s">
        <v>563</v>
      </c>
      <c r="C117" t="s">
        <v>163</v>
      </c>
      <c r="D117" t="s">
        <v>164</v>
      </c>
      <c r="E117">
        <v>336.58</v>
      </c>
      <c r="F117" t="s">
        <v>407</v>
      </c>
      <c r="G117" t="s">
        <v>395</v>
      </c>
    </row>
    <row r="118" spans="1:7" x14ac:dyDescent="0.3">
      <c r="A118" s="6" t="s">
        <v>353</v>
      </c>
      <c r="B118" t="s">
        <v>564</v>
      </c>
      <c r="C118" t="s">
        <v>163</v>
      </c>
      <c r="D118" t="s">
        <v>164</v>
      </c>
      <c r="E118">
        <v>177.05</v>
      </c>
      <c r="F118" t="s">
        <v>394</v>
      </c>
      <c r="G118" t="s">
        <v>432</v>
      </c>
    </row>
    <row r="119" spans="1:7" x14ac:dyDescent="0.3">
      <c r="A119" s="6" t="s">
        <v>547</v>
      </c>
      <c r="B119" t="s">
        <v>565</v>
      </c>
      <c r="C119" t="s">
        <v>163</v>
      </c>
      <c r="D119" t="s">
        <v>164</v>
      </c>
      <c r="E119">
        <v>256.7</v>
      </c>
      <c r="F119" t="s">
        <v>398</v>
      </c>
      <c r="G119" t="s">
        <v>435</v>
      </c>
    </row>
    <row r="120" spans="1:7" x14ac:dyDescent="0.3">
      <c r="A120" s="6" t="s">
        <v>403</v>
      </c>
      <c r="B120" t="s">
        <v>566</v>
      </c>
      <c r="C120" t="s">
        <v>163</v>
      </c>
      <c r="D120" t="s">
        <v>164</v>
      </c>
      <c r="E120">
        <v>277.04000000000002</v>
      </c>
      <c r="F120" t="s">
        <v>398</v>
      </c>
      <c r="G120" t="s">
        <v>405</v>
      </c>
    </row>
    <row r="121" spans="1:7" x14ac:dyDescent="0.3">
      <c r="A121" s="6" t="s">
        <v>461</v>
      </c>
      <c r="B121" t="s">
        <v>567</v>
      </c>
      <c r="C121" t="s">
        <v>163</v>
      </c>
      <c r="D121" t="s">
        <v>164</v>
      </c>
      <c r="E121">
        <v>244.41</v>
      </c>
      <c r="F121" t="s">
        <v>398</v>
      </c>
      <c r="G121" t="s">
        <v>417</v>
      </c>
    </row>
    <row r="122" spans="1:7" x14ac:dyDescent="0.3">
      <c r="A122" s="6" t="s">
        <v>568</v>
      </c>
      <c r="B122" t="s">
        <v>569</v>
      </c>
      <c r="C122" t="s">
        <v>163</v>
      </c>
      <c r="D122" t="s">
        <v>164</v>
      </c>
      <c r="E122">
        <v>201.97</v>
      </c>
      <c r="F122" t="s">
        <v>394</v>
      </c>
      <c r="G122" t="s">
        <v>426</v>
      </c>
    </row>
    <row r="123" spans="1:7" x14ac:dyDescent="0.3">
      <c r="A123" s="6" t="s">
        <v>481</v>
      </c>
      <c r="B123" t="s">
        <v>570</v>
      </c>
      <c r="C123" t="s">
        <v>168</v>
      </c>
      <c r="D123" t="s">
        <v>169</v>
      </c>
      <c r="E123">
        <v>378.37</v>
      </c>
      <c r="F123" t="s">
        <v>398</v>
      </c>
      <c r="G123" t="s">
        <v>435</v>
      </c>
    </row>
    <row r="124" spans="1:7" x14ac:dyDescent="0.3">
      <c r="A124" s="6" t="s">
        <v>494</v>
      </c>
      <c r="B124" t="s">
        <v>571</v>
      </c>
      <c r="C124" t="s">
        <v>168</v>
      </c>
      <c r="D124" t="s">
        <v>169</v>
      </c>
      <c r="E124">
        <v>306.94</v>
      </c>
      <c r="F124" t="s">
        <v>407</v>
      </c>
      <c r="G124" t="s">
        <v>412</v>
      </c>
    </row>
    <row r="125" spans="1:7" x14ac:dyDescent="0.3">
      <c r="A125" s="6" t="s">
        <v>403</v>
      </c>
      <c r="B125" t="s">
        <v>572</v>
      </c>
      <c r="C125" t="s">
        <v>168</v>
      </c>
      <c r="D125" t="s">
        <v>169</v>
      </c>
      <c r="E125">
        <v>259.64</v>
      </c>
      <c r="F125" t="s">
        <v>394</v>
      </c>
      <c r="G125" t="s">
        <v>405</v>
      </c>
    </row>
    <row r="126" spans="1:7" x14ac:dyDescent="0.3">
      <c r="A126" s="6" t="s">
        <v>492</v>
      </c>
      <c r="B126" t="s">
        <v>573</v>
      </c>
      <c r="C126" t="s">
        <v>168</v>
      </c>
      <c r="D126" t="s">
        <v>169</v>
      </c>
      <c r="E126">
        <v>448.14</v>
      </c>
      <c r="F126" t="s">
        <v>407</v>
      </c>
      <c r="G126" t="s">
        <v>417</v>
      </c>
    </row>
    <row r="127" spans="1:7" x14ac:dyDescent="0.3">
      <c r="A127" s="6" t="s">
        <v>137</v>
      </c>
      <c r="B127" t="s">
        <v>574</v>
      </c>
      <c r="C127" t="s">
        <v>173</v>
      </c>
      <c r="D127" t="s">
        <v>174</v>
      </c>
      <c r="E127">
        <v>299.54000000000002</v>
      </c>
      <c r="F127" t="s">
        <v>407</v>
      </c>
      <c r="G127" t="s">
        <v>395</v>
      </c>
    </row>
    <row r="128" spans="1:7" x14ac:dyDescent="0.3">
      <c r="A128" s="6" t="s">
        <v>428</v>
      </c>
      <c r="B128" t="s">
        <v>575</v>
      </c>
      <c r="C128" t="s">
        <v>173</v>
      </c>
      <c r="D128" t="s">
        <v>174</v>
      </c>
      <c r="E128">
        <v>307.76</v>
      </c>
      <c r="F128" t="s">
        <v>398</v>
      </c>
      <c r="G128" t="s">
        <v>399</v>
      </c>
    </row>
    <row r="129" spans="1:7" x14ac:dyDescent="0.3">
      <c r="A129" s="6" t="s">
        <v>494</v>
      </c>
      <c r="B129" t="s">
        <v>576</v>
      </c>
      <c r="C129" t="s">
        <v>173</v>
      </c>
      <c r="D129" t="s">
        <v>174</v>
      </c>
      <c r="E129">
        <v>283.52</v>
      </c>
      <c r="F129" t="s">
        <v>407</v>
      </c>
      <c r="G129" t="s">
        <v>412</v>
      </c>
    </row>
    <row r="130" spans="1:7" x14ac:dyDescent="0.3">
      <c r="A130" s="6" t="s">
        <v>461</v>
      </c>
      <c r="B130" t="s">
        <v>577</v>
      </c>
      <c r="C130" t="s">
        <v>173</v>
      </c>
      <c r="D130" t="s">
        <v>174</v>
      </c>
      <c r="E130">
        <v>315.27</v>
      </c>
      <c r="F130" t="s">
        <v>394</v>
      </c>
      <c r="G130" t="s">
        <v>417</v>
      </c>
    </row>
    <row r="131" spans="1:7" x14ac:dyDescent="0.3">
      <c r="A131" s="6" t="s">
        <v>375</v>
      </c>
      <c r="B131" t="s">
        <v>578</v>
      </c>
      <c r="C131" t="s">
        <v>173</v>
      </c>
      <c r="D131" t="s">
        <v>174</v>
      </c>
      <c r="E131">
        <v>191.86</v>
      </c>
      <c r="F131" t="s">
        <v>398</v>
      </c>
      <c r="G131" t="s">
        <v>420</v>
      </c>
    </row>
    <row r="132" spans="1:7" x14ac:dyDescent="0.3">
      <c r="A132" s="6" t="s">
        <v>579</v>
      </c>
      <c r="B132" t="s">
        <v>580</v>
      </c>
      <c r="C132" t="s">
        <v>173</v>
      </c>
      <c r="D132" t="s">
        <v>174</v>
      </c>
      <c r="E132">
        <v>210.14</v>
      </c>
      <c r="F132" t="s">
        <v>398</v>
      </c>
      <c r="G132" t="s">
        <v>426</v>
      </c>
    </row>
    <row r="133" spans="1:7" x14ac:dyDescent="0.3">
      <c r="A133" s="6" t="s">
        <v>524</v>
      </c>
      <c r="B133" t="s">
        <v>581</v>
      </c>
      <c r="C133" t="s">
        <v>178</v>
      </c>
      <c r="D133" t="s">
        <v>179</v>
      </c>
      <c r="E133">
        <v>219.99</v>
      </c>
      <c r="F133" t="s">
        <v>407</v>
      </c>
      <c r="G133" t="s">
        <v>435</v>
      </c>
    </row>
    <row r="134" spans="1:7" x14ac:dyDescent="0.3">
      <c r="A134" s="6" t="s">
        <v>447</v>
      </c>
      <c r="B134" t="s">
        <v>582</v>
      </c>
      <c r="C134" t="s">
        <v>178</v>
      </c>
      <c r="D134" t="s">
        <v>179</v>
      </c>
      <c r="E134">
        <v>210.23</v>
      </c>
      <c r="F134" t="s">
        <v>394</v>
      </c>
      <c r="G134" t="s">
        <v>412</v>
      </c>
    </row>
    <row r="135" spans="1:7" x14ac:dyDescent="0.3">
      <c r="A135" s="6" t="s">
        <v>560</v>
      </c>
      <c r="B135" t="s">
        <v>583</v>
      </c>
      <c r="C135" t="s">
        <v>178</v>
      </c>
      <c r="D135" t="s">
        <v>179</v>
      </c>
      <c r="E135">
        <v>299.8</v>
      </c>
      <c r="F135" t="s">
        <v>407</v>
      </c>
      <c r="G135" t="s">
        <v>402</v>
      </c>
    </row>
    <row r="136" spans="1:7" x14ac:dyDescent="0.3">
      <c r="A136" s="6" t="s">
        <v>439</v>
      </c>
      <c r="B136" t="s">
        <v>584</v>
      </c>
      <c r="C136" t="s">
        <v>178</v>
      </c>
      <c r="D136" t="s">
        <v>179</v>
      </c>
      <c r="E136">
        <v>304.45999999999998</v>
      </c>
      <c r="F136" t="s">
        <v>398</v>
      </c>
      <c r="G136" t="s">
        <v>417</v>
      </c>
    </row>
    <row r="137" spans="1:7" x14ac:dyDescent="0.3">
      <c r="A137" s="6" t="s">
        <v>418</v>
      </c>
      <c r="B137" t="s">
        <v>585</v>
      </c>
      <c r="C137" t="s">
        <v>178</v>
      </c>
      <c r="D137" t="s">
        <v>179</v>
      </c>
      <c r="E137">
        <v>185.37</v>
      </c>
      <c r="F137" t="s">
        <v>398</v>
      </c>
      <c r="G137" t="s">
        <v>420</v>
      </c>
    </row>
    <row r="138" spans="1:7" x14ac:dyDescent="0.3">
      <c r="A138" s="6" t="s">
        <v>477</v>
      </c>
      <c r="B138" t="s">
        <v>586</v>
      </c>
      <c r="C138" t="s">
        <v>178</v>
      </c>
      <c r="D138" t="s">
        <v>179</v>
      </c>
      <c r="E138">
        <v>203.72</v>
      </c>
      <c r="F138" t="s">
        <v>398</v>
      </c>
      <c r="G138" t="s">
        <v>426</v>
      </c>
    </row>
    <row r="139" spans="1:7" x14ac:dyDescent="0.3">
      <c r="A139" s="6" t="s">
        <v>396</v>
      </c>
      <c r="B139" t="s">
        <v>587</v>
      </c>
      <c r="C139" t="s">
        <v>183</v>
      </c>
      <c r="D139" t="s">
        <v>184</v>
      </c>
      <c r="E139">
        <v>279.05</v>
      </c>
      <c r="F139" t="s">
        <v>398</v>
      </c>
      <c r="G139" t="s">
        <v>399</v>
      </c>
    </row>
    <row r="140" spans="1:7" x14ac:dyDescent="0.3">
      <c r="A140" s="6" t="s">
        <v>445</v>
      </c>
      <c r="B140" t="s">
        <v>588</v>
      </c>
      <c r="C140" t="s">
        <v>183</v>
      </c>
      <c r="D140" t="s">
        <v>184</v>
      </c>
      <c r="E140">
        <v>228.46</v>
      </c>
      <c r="F140" t="s">
        <v>394</v>
      </c>
      <c r="G140" t="s">
        <v>432</v>
      </c>
    </row>
    <row r="141" spans="1:7" x14ac:dyDescent="0.3">
      <c r="A141" s="6" t="s">
        <v>487</v>
      </c>
      <c r="B141" t="s">
        <v>589</v>
      </c>
      <c r="C141" t="s">
        <v>183</v>
      </c>
      <c r="D141" t="s">
        <v>184</v>
      </c>
      <c r="E141">
        <v>351.37</v>
      </c>
      <c r="F141" t="s">
        <v>398</v>
      </c>
      <c r="G141" t="s">
        <v>435</v>
      </c>
    </row>
    <row r="142" spans="1:7" x14ac:dyDescent="0.3">
      <c r="A142" s="6" t="s">
        <v>549</v>
      </c>
      <c r="B142" t="s">
        <v>590</v>
      </c>
      <c r="C142" t="s">
        <v>183</v>
      </c>
      <c r="D142" t="s">
        <v>184</v>
      </c>
      <c r="E142">
        <v>375.71</v>
      </c>
      <c r="F142" t="s">
        <v>407</v>
      </c>
      <c r="G142" t="s">
        <v>412</v>
      </c>
    </row>
    <row r="143" spans="1:7" x14ac:dyDescent="0.3">
      <c r="A143" s="6" t="s">
        <v>560</v>
      </c>
      <c r="B143" t="s">
        <v>591</v>
      </c>
      <c r="C143" t="s">
        <v>183</v>
      </c>
      <c r="D143" t="s">
        <v>184</v>
      </c>
      <c r="E143">
        <v>443.34</v>
      </c>
      <c r="F143" t="s">
        <v>398</v>
      </c>
      <c r="G143" t="s">
        <v>402</v>
      </c>
    </row>
    <row r="144" spans="1:7" x14ac:dyDescent="0.3">
      <c r="A144" s="6" t="s">
        <v>403</v>
      </c>
      <c r="B144" t="s">
        <v>592</v>
      </c>
      <c r="C144" t="s">
        <v>183</v>
      </c>
      <c r="D144" t="s">
        <v>184</v>
      </c>
      <c r="E144">
        <v>327.19</v>
      </c>
      <c r="F144" t="s">
        <v>407</v>
      </c>
      <c r="G144" t="s">
        <v>405</v>
      </c>
    </row>
    <row r="145" spans="1:7" x14ac:dyDescent="0.3">
      <c r="A145" s="6" t="s">
        <v>492</v>
      </c>
      <c r="B145" t="s">
        <v>593</v>
      </c>
      <c r="C145" t="s">
        <v>183</v>
      </c>
      <c r="D145" t="s">
        <v>184</v>
      </c>
      <c r="E145">
        <v>245.1</v>
      </c>
      <c r="F145" t="s">
        <v>394</v>
      </c>
      <c r="G145" t="s">
        <v>417</v>
      </c>
    </row>
    <row r="146" spans="1:7" x14ac:dyDescent="0.3">
      <c r="A146" s="6" t="s">
        <v>454</v>
      </c>
      <c r="B146" t="s">
        <v>594</v>
      </c>
      <c r="C146" t="s">
        <v>183</v>
      </c>
      <c r="D146" t="s">
        <v>184</v>
      </c>
      <c r="E146">
        <v>463.03</v>
      </c>
      <c r="F146" t="s">
        <v>407</v>
      </c>
      <c r="G146" t="s">
        <v>426</v>
      </c>
    </row>
    <row r="147" spans="1:7" x14ac:dyDescent="0.3">
      <c r="A147" s="6" t="s">
        <v>595</v>
      </c>
      <c r="B147" t="s">
        <v>596</v>
      </c>
      <c r="C147" t="s">
        <v>188</v>
      </c>
      <c r="D147" t="s">
        <v>189</v>
      </c>
      <c r="E147">
        <v>373.28</v>
      </c>
      <c r="F147" t="s">
        <v>394</v>
      </c>
      <c r="G147" t="s">
        <v>395</v>
      </c>
    </row>
    <row r="148" spans="1:7" x14ac:dyDescent="0.3">
      <c r="A148" s="6" t="s">
        <v>396</v>
      </c>
      <c r="B148" t="s">
        <v>597</v>
      </c>
      <c r="C148" t="s">
        <v>188</v>
      </c>
      <c r="D148" t="s">
        <v>189</v>
      </c>
      <c r="E148">
        <v>234.97</v>
      </c>
      <c r="F148" t="s">
        <v>398</v>
      </c>
      <c r="G148" t="s">
        <v>399</v>
      </c>
    </row>
    <row r="149" spans="1:7" x14ac:dyDescent="0.3">
      <c r="A149" s="6" t="s">
        <v>403</v>
      </c>
      <c r="B149" t="s">
        <v>598</v>
      </c>
      <c r="C149" t="s">
        <v>188</v>
      </c>
      <c r="D149" t="s">
        <v>189</v>
      </c>
      <c r="E149">
        <v>216.53</v>
      </c>
      <c r="F149" t="s">
        <v>394</v>
      </c>
      <c r="G149" t="s">
        <v>405</v>
      </c>
    </row>
    <row r="150" spans="1:7" x14ac:dyDescent="0.3">
      <c r="A150" s="6" t="s">
        <v>439</v>
      </c>
      <c r="B150" t="s">
        <v>599</v>
      </c>
      <c r="C150" t="s">
        <v>188</v>
      </c>
      <c r="D150" t="s">
        <v>189</v>
      </c>
      <c r="E150">
        <v>352.73</v>
      </c>
      <c r="F150" t="s">
        <v>407</v>
      </c>
      <c r="G150" t="s">
        <v>417</v>
      </c>
    </row>
    <row r="151" spans="1:7" x14ac:dyDescent="0.3">
      <c r="A151" s="6" t="s">
        <v>428</v>
      </c>
      <c r="B151" t="s">
        <v>600</v>
      </c>
      <c r="C151" t="s">
        <v>193</v>
      </c>
      <c r="D151" t="s">
        <v>194</v>
      </c>
      <c r="E151">
        <v>220.2</v>
      </c>
      <c r="F151" t="s">
        <v>398</v>
      </c>
      <c r="G151" t="s">
        <v>399</v>
      </c>
    </row>
    <row r="152" spans="1:7" x14ac:dyDescent="0.3">
      <c r="A152" s="6" t="s">
        <v>353</v>
      </c>
      <c r="B152" t="s">
        <v>601</v>
      </c>
      <c r="C152" t="s">
        <v>193</v>
      </c>
      <c r="D152" t="s">
        <v>194</v>
      </c>
      <c r="E152">
        <v>130.97</v>
      </c>
      <c r="F152" t="s">
        <v>394</v>
      </c>
      <c r="G152" t="s">
        <v>432</v>
      </c>
    </row>
    <row r="153" spans="1:7" x14ac:dyDescent="0.3">
      <c r="A153" s="6" t="s">
        <v>547</v>
      </c>
      <c r="B153" t="s">
        <v>602</v>
      </c>
      <c r="C153" t="s">
        <v>193</v>
      </c>
      <c r="D153" t="s">
        <v>194</v>
      </c>
      <c r="E153">
        <v>150.09</v>
      </c>
      <c r="F153" t="s">
        <v>398</v>
      </c>
      <c r="G153" t="s">
        <v>435</v>
      </c>
    </row>
    <row r="154" spans="1:7" x14ac:dyDescent="0.3">
      <c r="A154" s="6" t="s">
        <v>560</v>
      </c>
      <c r="B154" t="s">
        <v>603</v>
      </c>
      <c r="C154" t="s">
        <v>193</v>
      </c>
      <c r="D154" t="s">
        <v>194</v>
      </c>
      <c r="E154">
        <v>140.86000000000001</v>
      </c>
      <c r="F154" t="s">
        <v>394</v>
      </c>
      <c r="G154" t="s">
        <v>402</v>
      </c>
    </row>
    <row r="155" spans="1:7" x14ac:dyDescent="0.3">
      <c r="A155" s="6" t="s">
        <v>531</v>
      </c>
      <c r="B155" t="s">
        <v>604</v>
      </c>
      <c r="C155" t="s">
        <v>193</v>
      </c>
      <c r="D155" t="s">
        <v>194</v>
      </c>
      <c r="E155">
        <v>126.84</v>
      </c>
      <c r="F155" t="s">
        <v>394</v>
      </c>
      <c r="G155" t="s">
        <v>405</v>
      </c>
    </row>
    <row r="156" spans="1:7" x14ac:dyDescent="0.3">
      <c r="A156" s="6" t="s">
        <v>461</v>
      </c>
      <c r="B156" t="s">
        <v>605</v>
      </c>
      <c r="C156" t="s">
        <v>193</v>
      </c>
      <c r="D156" t="s">
        <v>194</v>
      </c>
      <c r="E156">
        <v>191.04</v>
      </c>
      <c r="F156" t="s">
        <v>398</v>
      </c>
      <c r="G156" t="s">
        <v>417</v>
      </c>
    </row>
    <row r="157" spans="1:7" x14ac:dyDescent="0.3">
      <c r="A157" s="6" t="s">
        <v>470</v>
      </c>
      <c r="B157" t="s">
        <v>606</v>
      </c>
      <c r="C157" t="s">
        <v>193</v>
      </c>
      <c r="D157" t="s">
        <v>194</v>
      </c>
      <c r="E157">
        <v>163.81</v>
      </c>
      <c r="F157" t="s">
        <v>394</v>
      </c>
      <c r="G157" t="s">
        <v>420</v>
      </c>
    </row>
    <row r="158" spans="1:7" x14ac:dyDescent="0.3">
      <c r="A158" s="6" t="s">
        <v>454</v>
      </c>
      <c r="B158" t="s">
        <v>607</v>
      </c>
      <c r="C158" t="s">
        <v>193</v>
      </c>
      <c r="D158" t="s">
        <v>194</v>
      </c>
      <c r="E158">
        <v>234.89</v>
      </c>
      <c r="F158" t="s">
        <v>398</v>
      </c>
      <c r="G158" t="s">
        <v>426</v>
      </c>
    </row>
    <row r="159" spans="1:7" x14ac:dyDescent="0.3">
      <c r="A159" s="6" t="s">
        <v>408</v>
      </c>
      <c r="B159" t="s">
        <v>608</v>
      </c>
      <c r="C159" t="s">
        <v>198</v>
      </c>
      <c r="D159" t="s">
        <v>199</v>
      </c>
      <c r="E159">
        <v>133.63</v>
      </c>
      <c r="F159" t="s">
        <v>394</v>
      </c>
      <c r="G159" t="s">
        <v>399</v>
      </c>
    </row>
    <row r="160" spans="1:7" x14ac:dyDescent="0.3">
      <c r="A160" s="6" t="s">
        <v>547</v>
      </c>
      <c r="B160" t="s">
        <v>609</v>
      </c>
      <c r="C160" t="s">
        <v>198</v>
      </c>
      <c r="D160" t="s">
        <v>199</v>
      </c>
      <c r="E160">
        <v>139.47999999999999</v>
      </c>
      <c r="F160" t="s">
        <v>407</v>
      </c>
      <c r="G160" t="s">
        <v>435</v>
      </c>
    </row>
    <row r="161" spans="1:7" x14ac:dyDescent="0.3">
      <c r="A161" s="6" t="s">
        <v>549</v>
      </c>
      <c r="B161" t="s">
        <v>610</v>
      </c>
      <c r="C161" t="s">
        <v>198</v>
      </c>
      <c r="D161" t="s">
        <v>199</v>
      </c>
      <c r="E161">
        <v>126.21</v>
      </c>
      <c r="F161" t="s">
        <v>394</v>
      </c>
      <c r="G161" t="s">
        <v>412</v>
      </c>
    </row>
    <row r="162" spans="1:7" x14ac:dyDescent="0.3">
      <c r="A162" s="6" t="s">
        <v>467</v>
      </c>
      <c r="B162" t="s">
        <v>611</v>
      </c>
      <c r="C162" t="s">
        <v>198</v>
      </c>
      <c r="D162" t="s">
        <v>199</v>
      </c>
      <c r="E162">
        <v>215.75</v>
      </c>
      <c r="F162" t="s">
        <v>398</v>
      </c>
      <c r="G162" t="s">
        <v>402</v>
      </c>
    </row>
    <row r="163" spans="1:7" x14ac:dyDescent="0.3">
      <c r="A163" s="6" t="s">
        <v>403</v>
      </c>
      <c r="B163" t="s">
        <v>612</v>
      </c>
      <c r="C163" t="s">
        <v>198</v>
      </c>
      <c r="D163" t="s">
        <v>199</v>
      </c>
      <c r="E163">
        <v>189.1</v>
      </c>
      <c r="F163" t="s">
        <v>407</v>
      </c>
      <c r="G163" t="s">
        <v>405</v>
      </c>
    </row>
    <row r="164" spans="1:7" x14ac:dyDescent="0.3">
      <c r="A164" s="6" t="s">
        <v>540</v>
      </c>
      <c r="B164" t="s">
        <v>613</v>
      </c>
      <c r="C164" t="s">
        <v>198</v>
      </c>
      <c r="D164" t="s">
        <v>199</v>
      </c>
      <c r="E164">
        <v>166</v>
      </c>
      <c r="F164" t="s">
        <v>407</v>
      </c>
      <c r="G164" t="s">
        <v>417</v>
      </c>
    </row>
    <row r="165" spans="1:7" x14ac:dyDescent="0.3">
      <c r="A165" s="6" t="s">
        <v>454</v>
      </c>
      <c r="B165" t="s">
        <v>614</v>
      </c>
      <c r="C165" t="s">
        <v>198</v>
      </c>
      <c r="D165" t="s">
        <v>199</v>
      </c>
      <c r="E165">
        <v>199.58</v>
      </c>
      <c r="F165" t="s">
        <v>407</v>
      </c>
      <c r="G165" t="s">
        <v>426</v>
      </c>
    </row>
    <row r="166" spans="1:7" x14ac:dyDescent="0.3">
      <c r="A166" s="6" t="s">
        <v>127</v>
      </c>
      <c r="B166" t="s">
        <v>615</v>
      </c>
      <c r="C166" t="s">
        <v>202</v>
      </c>
      <c r="D166" t="s">
        <v>203</v>
      </c>
      <c r="E166">
        <v>218.3</v>
      </c>
      <c r="F166" t="s">
        <v>398</v>
      </c>
      <c r="G166" t="s">
        <v>395</v>
      </c>
    </row>
    <row r="167" spans="1:7" x14ac:dyDescent="0.3">
      <c r="A167" s="6" t="s">
        <v>428</v>
      </c>
      <c r="B167" t="s">
        <v>616</v>
      </c>
      <c r="C167" t="s">
        <v>202</v>
      </c>
      <c r="D167" t="s">
        <v>203</v>
      </c>
      <c r="E167">
        <v>361.09</v>
      </c>
      <c r="F167" t="s">
        <v>394</v>
      </c>
      <c r="G167" t="s">
        <v>399</v>
      </c>
    </row>
    <row r="168" spans="1:7" x14ac:dyDescent="0.3">
      <c r="A168" s="6" t="s">
        <v>353</v>
      </c>
      <c r="B168" t="s">
        <v>617</v>
      </c>
      <c r="C168" t="s">
        <v>202</v>
      </c>
      <c r="D168" t="s">
        <v>203</v>
      </c>
      <c r="E168">
        <v>428.57</v>
      </c>
      <c r="F168" t="s">
        <v>398</v>
      </c>
      <c r="G168" t="s">
        <v>432</v>
      </c>
    </row>
    <row r="169" spans="1:7" x14ac:dyDescent="0.3">
      <c r="A169" s="6" t="s">
        <v>410</v>
      </c>
      <c r="B169" t="s">
        <v>618</v>
      </c>
      <c r="C169" t="s">
        <v>202</v>
      </c>
      <c r="D169" t="s">
        <v>203</v>
      </c>
      <c r="E169">
        <v>411.78</v>
      </c>
      <c r="F169" t="s">
        <v>394</v>
      </c>
      <c r="G169" t="s">
        <v>412</v>
      </c>
    </row>
    <row r="170" spans="1:7" x14ac:dyDescent="0.3">
      <c r="A170" s="6" t="s">
        <v>400</v>
      </c>
      <c r="B170" t="s">
        <v>619</v>
      </c>
      <c r="C170" t="s">
        <v>202</v>
      </c>
      <c r="D170" t="s">
        <v>203</v>
      </c>
      <c r="E170">
        <v>341.46</v>
      </c>
      <c r="F170" t="s">
        <v>407</v>
      </c>
      <c r="G170" t="s">
        <v>402</v>
      </c>
    </row>
    <row r="171" spans="1:7" x14ac:dyDescent="0.3">
      <c r="A171" s="6" t="s">
        <v>403</v>
      </c>
      <c r="B171" t="s">
        <v>620</v>
      </c>
      <c r="C171" t="s">
        <v>202</v>
      </c>
      <c r="D171" t="s">
        <v>203</v>
      </c>
      <c r="E171">
        <v>244.27</v>
      </c>
      <c r="F171" t="s">
        <v>398</v>
      </c>
      <c r="G171" t="s">
        <v>405</v>
      </c>
    </row>
    <row r="172" spans="1:7" x14ac:dyDescent="0.3">
      <c r="A172" s="6" t="s">
        <v>461</v>
      </c>
      <c r="B172" t="s">
        <v>621</v>
      </c>
      <c r="C172" t="s">
        <v>202</v>
      </c>
      <c r="D172" t="s">
        <v>203</v>
      </c>
      <c r="E172">
        <v>374.82</v>
      </c>
      <c r="F172" t="s">
        <v>407</v>
      </c>
      <c r="G172" t="s">
        <v>417</v>
      </c>
    </row>
    <row r="173" spans="1:7" x14ac:dyDescent="0.3">
      <c r="A173" s="6" t="s">
        <v>545</v>
      </c>
      <c r="B173" t="s">
        <v>622</v>
      </c>
      <c r="C173" t="s">
        <v>206</v>
      </c>
      <c r="D173" t="s">
        <v>207</v>
      </c>
      <c r="E173">
        <v>228.59</v>
      </c>
      <c r="F173" t="s">
        <v>394</v>
      </c>
      <c r="G173" t="s">
        <v>432</v>
      </c>
    </row>
    <row r="174" spans="1:7" x14ac:dyDescent="0.3">
      <c r="A174" s="6" t="s">
        <v>467</v>
      </c>
      <c r="B174" t="s">
        <v>623</v>
      </c>
      <c r="C174" t="s">
        <v>206</v>
      </c>
      <c r="D174" t="s">
        <v>207</v>
      </c>
      <c r="E174">
        <v>184.39</v>
      </c>
      <c r="F174" t="s">
        <v>407</v>
      </c>
      <c r="G174" t="s">
        <v>402</v>
      </c>
    </row>
    <row r="175" spans="1:7" x14ac:dyDescent="0.3">
      <c r="A175" s="6" t="s">
        <v>403</v>
      </c>
      <c r="B175" t="s">
        <v>624</v>
      </c>
      <c r="C175" t="s">
        <v>206</v>
      </c>
      <c r="D175" t="s">
        <v>207</v>
      </c>
      <c r="E175">
        <v>227.3</v>
      </c>
      <c r="F175" t="s">
        <v>407</v>
      </c>
      <c r="G175" t="s">
        <v>405</v>
      </c>
    </row>
    <row r="176" spans="1:7" x14ac:dyDescent="0.3">
      <c r="A176" s="6" t="s">
        <v>415</v>
      </c>
      <c r="B176" t="s">
        <v>625</v>
      </c>
      <c r="C176" t="s">
        <v>206</v>
      </c>
      <c r="D176" t="s">
        <v>207</v>
      </c>
      <c r="E176">
        <v>120.28</v>
      </c>
      <c r="F176" t="s">
        <v>394</v>
      </c>
      <c r="G176" t="s">
        <v>417</v>
      </c>
    </row>
    <row r="177" spans="1:7" x14ac:dyDescent="0.3">
      <c r="A177" s="6" t="s">
        <v>626</v>
      </c>
      <c r="B177" t="s">
        <v>627</v>
      </c>
      <c r="C177" t="s">
        <v>210</v>
      </c>
      <c r="D177" t="s">
        <v>211</v>
      </c>
      <c r="E177">
        <v>381.41</v>
      </c>
      <c r="F177" t="s">
        <v>398</v>
      </c>
      <c r="G177" t="s">
        <v>399</v>
      </c>
    </row>
    <row r="178" spans="1:7" x14ac:dyDescent="0.3">
      <c r="A178" s="6" t="s">
        <v>481</v>
      </c>
      <c r="B178" t="s">
        <v>628</v>
      </c>
      <c r="C178" t="s">
        <v>210</v>
      </c>
      <c r="D178" t="s">
        <v>211</v>
      </c>
      <c r="E178">
        <v>311.02</v>
      </c>
      <c r="F178" t="s">
        <v>394</v>
      </c>
      <c r="G178" t="s">
        <v>435</v>
      </c>
    </row>
    <row r="179" spans="1:7" x14ac:dyDescent="0.3">
      <c r="A179" s="6" t="s">
        <v>360</v>
      </c>
      <c r="B179" t="s">
        <v>629</v>
      </c>
      <c r="C179" t="s">
        <v>210</v>
      </c>
      <c r="D179" t="s">
        <v>211</v>
      </c>
      <c r="E179">
        <v>296.19</v>
      </c>
      <c r="F179" t="s">
        <v>407</v>
      </c>
      <c r="G179" t="s">
        <v>412</v>
      </c>
    </row>
    <row r="180" spans="1:7" x14ac:dyDescent="0.3">
      <c r="A180" s="6" t="s">
        <v>365</v>
      </c>
      <c r="B180" t="s">
        <v>630</v>
      </c>
      <c r="C180" t="s">
        <v>210</v>
      </c>
      <c r="D180" t="s">
        <v>211</v>
      </c>
      <c r="E180">
        <v>319.31</v>
      </c>
      <c r="F180" t="s">
        <v>394</v>
      </c>
      <c r="G180" t="s">
        <v>402</v>
      </c>
    </row>
    <row r="181" spans="1:7" x14ac:dyDescent="0.3">
      <c r="A181" s="6" t="s">
        <v>504</v>
      </c>
      <c r="B181" t="s">
        <v>631</v>
      </c>
      <c r="C181" t="s">
        <v>210</v>
      </c>
      <c r="D181" t="s">
        <v>211</v>
      </c>
      <c r="E181">
        <v>268.91000000000003</v>
      </c>
      <c r="F181" t="s">
        <v>394</v>
      </c>
      <c r="G181" t="s">
        <v>405</v>
      </c>
    </row>
    <row r="182" spans="1:7" x14ac:dyDescent="0.3">
      <c r="A182" s="6" t="s">
        <v>454</v>
      </c>
      <c r="B182" t="s">
        <v>632</v>
      </c>
      <c r="C182" t="s">
        <v>210</v>
      </c>
      <c r="D182" t="s">
        <v>211</v>
      </c>
      <c r="E182">
        <v>318.18</v>
      </c>
      <c r="F182" t="s">
        <v>398</v>
      </c>
      <c r="G182" t="s">
        <v>426</v>
      </c>
    </row>
    <row r="183" spans="1:7" x14ac:dyDescent="0.3">
      <c r="A183" s="6" t="s">
        <v>595</v>
      </c>
      <c r="B183" t="s">
        <v>633</v>
      </c>
      <c r="C183" t="s">
        <v>214</v>
      </c>
      <c r="D183" t="s">
        <v>144</v>
      </c>
      <c r="E183">
        <v>309.5</v>
      </c>
      <c r="F183" t="s">
        <v>394</v>
      </c>
      <c r="G183" t="s">
        <v>395</v>
      </c>
    </row>
    <row r="184" spans="1:7" x14ac:dyDescent="0.3">
      <c r="A184" s="6" t="s">
        <v>626</v>
      </c>
      <c r="B184" t="s">
        <v>634</v>
      </c>
      <c r="C184" t="s">
        <v>214</v>
      </c>
      <c r="D184" t="s">
        <v>144</v>
      </c>
      <c r="E184">
        <v>324.89999999999998</v>
      </c>
      <c r="F184" t="s">
        <v>394</v>
      </c>
      <c r="G184" t="s">
        <v>399</v>
      </c>
    </row>
    <row r="185" spans="1:7" x14ac:dyDescent="0.3">
      <c r="A185" s="6" t="s">
        <v>353</v>
      </c>
      <c r="B185" t="s">
        <v>635</v>
      </c>
      <c r="C185" t="s">
        <v>214</v>
      </c>
      <c r="D185" t="s">
        <v>144</v>
      </c>
      <c r="E185">
        <v>431.66</v>
      </c>
      <c r="F185" t="s">
        <v>407</v>
      </c>
      <c r="G185" t="s">
        <v>432</v>
      </c>
    </row>
    <row r="186" spans="1:7" x14ac:dyDescent="0.3">
      <c r="A186" s="6" t="s">
        <v>547</v>
      </c>
      <c r="B186" t="s">
        <v>636</v>
      </c>
      <c r="C186" t="s">
        <v>214</v>
      </c>
      <c r="D186" t="s">
        <v>144</v>
      </c>
      <c r="E186">
        <v>276.06</v>
      </c>
      <c r="F186" t="s">
        <v>398</v>
      </c>
      <c r="G186" t="s">
        <v>435</v>
      </c>
    </row>
    <row r="187" spans="1:7" x14ac:dyDescent="0.3">
      <c r="A187" s="6" t="s">
        <v>467</v>
      </c>
      <c r="B187" t="s">
        <v>637</v>
      </c>
      <c r="C187" t="s">
        <v>214</v>
      </c>
      <c r="D187" t="s">
        <v>144</v>
      </c>
      <c r="E187">
        <v>311.66000000000003</v>
      </c>
      <c r="F187" t="s">
        <v>407</v>
      </c>
      <c r="G187" t="s">
        <v>402</v>
      </c>
    </row>
    <row r="188" spans="1:7" x14ac:dyDescent="0.3">
      <c r="A188" s="6" t="s">
        <v>470</v>
      </c>
      <c r="B188" t="s">
        <v>638</v>
      </c>
      <c r="C188" t="s">
        <v>214</v>
      </c>
      <c r="D188" t="s">
        <v>144</v>
      </c>
      <c r="E188">
        <v>262.19</v>
      </c>
      <c r="F188" t="s">
        <v>398</v>
      </c>
      <c r="G188" t="s">
        <v>420</v>
      </c>
    </row>
    <row r="189" spans="1:7" x14ac:dyDescent="0.3">
      <c r="A189" s="6" t="s">
        <v>579</v>
      </c>
      <c r="B189" t="s">
        <v>639</v>
      </c>
      <c r="C189" t="s">
        <v>214</v>
      </c>
      <c r="D189" t="s">
        <v>144</v>
      </c>
      <c r="E189">
        <v>302.47000000000003</v>
      </c>
      <c r="F189" t="s">
        <v>398</v>
      </c>
      <c r="G189" t="s">
        <v>426</v>
      </c>
    </row>
    <row r="190" spans="1:7" x14ac:dyDescent="0.3">
      <c r="A190" s="6" t="s">
        <v>392</v>
      </c>
      <c r="B190" t="s">
        <v>640</v>
      </c>
      <c r="C190" t="s">
        <v>217</v>
      </c>
      <c r="D190" t="s">
        <v>218</v>
      </c>
      <c r="E190">
        <v>238.15</v>
      </c>
      <c r="F190" t="s">
        <v>398</v>
      </c>
      <c r="G190" t="s">
        <v>395</v>
      </c>
    </row>
    <row r="191" spans="1:7" x14ac:dyDescent="0.3">
      <c r="A191" s="6" t="s">
        <v>428</v>
      </c>
      <c r="B191" t="s">
        <v>641</v>
      </c>
      <c r="C191" t="s">
        <v>217</v>
      </c>
      <c r="D191" t="s">
        <v>218</v>
      </c>
      <c r="E191">
        <v>284.81</v>
      </c>
      <c r="F191" t="s">
        <v>407</v>
      </c>
      <c r="G191" t="s">
        <v>399</v>
      </c>
    </row>
    <row r="192" spans="1:7" x14ac:dyDescent="0.3">
      <c r="A192" s="6" t="s">
        <v>430</v>
      </c>
      <c r="B192" t="s">
        <v>642</v>
      </c>
      <c r="C192" t="s">
        <v>217</v>
      </c>
      <c r="D192" t="s">
        <v>218</v>
      </c>
      <c r="E192">
        <v>190.36</v>
      </c>
      <c r="F192" t="s">
        <v>407</v>
      </c>
      <c r="G192" t="s">
        <v>432</v>
      </c>
    </row>
    <row r="193" spans="1:7" x14ac:dyDescent="0.3">
      <c r="A193" s="6" t="s">
        <v>524</v>
      </c>
      <c r="B193" t="s">
        <v>643</v>
      </c>
      <c r="C193" t="s">
        <v>217</v>
      </c>
      <c r="D193" t="s">
        <v>218</v>
      </c>
      <c r="E193">
        <v>170.85</v>
      </c>
      <c r="F193" t="s">
        <v>398</v>
      </c>
      <c r="G193" t="s">
        <v>435</v>
      </c>
    </row>
    <row r="194" spans="1:7" x14ac:dyDescent="0.3">
      <c r="A194" s="6" t="s">
        <v>494</v>
      </c>
      <c r="B194" t="s">
        <v>644</v>
      </c>
      <c r="C194" t="s">
        <v>217</v>
      </c>
      <c r="D194" t="s">
        <v>218</v>
      </c>
      <c r="E194">
        <v>191.86</v>
      </c>
      <c r="F194" t="s">
        <v>407</v>
      </c>
      <c r="G194" t="s">
        <v>412</v>
      </c>
    </row>
    <row r="195" spans="1:7" x14ac:dyDescent="0.3">
      <c r="A195" s="6" t="s">
        <v>504</v>
      </c>
      <c r="B195" t="s">
        <v>645</v>
      </c>
      <c r="C195" t="s">
        <v>217</v>
      </c>
      <c r="D195" t="s">
        <v>218</v>
      </c>
      <c r="E195">
        <v>281.70999999999998</v>
      </c>
      <c r="F195" t="s">
        <v>394</v>
      </c>
      <c r="G195" t="s">
        <v>405</v>
      </c>
    </row>
    <row r="196" spans="1:7" x14ac:dyDescent="0.3">
      <c r="A196" s="6" t="s">
        <v>415</v>
      </c>
      <c r="B196" t="s">
        <v>646</v>
      </c>
      <c r="C196" t="s">
        <v>217</v>
      </c>
      <c r="D196" t="s">
        <v>218</v>
      </c>
      <c r="E196">
        <v>179.49</v>
      </c>
      <c r="F196" t="s">
        <v>407</v>
      </c>
      <c r="G196" t="s">
        <v>417</v>
      </c>
    </row>
    <row r="197" spans="1:7" x14ac:dyDescent="0.3">
      <c r="A197" s="6" t="s">
        <v>424</v>
      </c>
      <c r="B197" t="s">
        <v>647</v>
      </c>
      <c r="C197" t="s">
        <v>217</v>
      </c>
      <c r="D197" t="s">
        <v>218</v>
      </c>
      <c r="E197">
        <v>168.41</v>
      </c>
      <c r="F197" t="s">
        <v>407</v>
      </c>
      <c r="G197" t="s">
        <v>426</v>
      </c>
    </row>
    <row r="198" spans="1:7" x14ac:dyDescent="0.3">
      <c r="A198" s="6" t="s">
        <v>127</v>
      </c>
      <c r="B198" t="s">
        <v>648</v>
      </c>
      <c r="C198" t="s">
        <v>221</v>
      </c>
      <c r="D198" t="s">
        <v>222</v>
      </c>
      <c r="E198">
        <v>263.49</v>
      </c>
      <c r="F198" t="s">
        <v>407</v>
      </c>
      <c r="G198" t="s">
        <v>395</v>
      </c>
    </row>
    <row r="199" spans="1:7" x14ac:dyDescent="0.3">
      <c r="A199" s="6" t="s">
        <v>626</v>
      </c>
      <c r="B199" t="s">
        <v>649</v>
      </c>
      <c r="C199" t="s">
        <v>221</v>
      </c>
      <c r="D199" t="s">
        <v>222</v>
      </c>
      <c r="E199">
        <v>203.94</v>
      </c>
      <c r="F199" t="s">
        <v>407</v>
      </c>
      <c r="G199" t="s">
        <v>399</v>
      </c>
    </row>
    <row r="200" spans="1:7" x14ac:dyDescent="0.3">
      <c r="A200" s="6" t="s">
        <v>522</v>
      </c>
      <c r="B200" t="s">
        <v>650</v>
      </c>
      <c r="C200" t="s">
        <v>221</v>
      </c>
      <c r="D200" t="s">
        <v>222</v>
      </c>
      <c r="E200">
        <v>237.54</v>
      </c>
      <c r="F200" t="s">
        <v>407</v>
      </c>
      <c r="G200" t="s">
        <v>432</v>
      </c>
    </row>
    <row r="201" spans="1:7" x14ac:dyDescent="0.3">
      <c r="A201" s="6" t="s">
        <v>436</v>
      </c>
      <c r="B201" t="s">
        <v>651</v>
      </c>
      <c r="C201" t="s">
        <v>221</v>
      </c>
      <c r="D201" t="s">
        <v>222</v>
      </c>
      <c r="E201">
        <v>279.86</v>
      </c>
      <c r="F201" t="s">
        <v>394</v>
      </c>
      <c r="G201" t="s">
        <v>412</v>
      </c>
    </row>
    <row r="202" spans="1:7" x14ac:dyDescent="0.3">
      <c r="A202" s="6" t="s">
        <v>368</v>
      </c>
      <c r="B202" t="s">
        <v>652</v>
      </c>
      <c r="C202" t="s">
        <v>221</v>
      </c>
      <c r="D202" t="s">
        <v>222</v>
      </c>
      <c r="E202">
        <v>247.64</v>
      </c>
      <c r="F202" t="s">
        <v>407</v>
      </c>
      <c r="G202" t="s">
        <v>405</v>
      </c>
    </row>
    <row r="203" spans="1:7" x14ac:dyDescent="0.3">
      <c r="A203" s="6" t="s">
        <v>492</v>
      </c>
      <c r="B203" t="s">
        <v>653</v>
      </c>
      <c r="C203" t="s">
        <v>221</v>
      </c>
      <c r="D203" t="s">
        <v>222</v>
      </c>
      <c r="E203">
        <v>220.58</v>
      </c>
      <c r="F203" t="s">
        <v>407</v>
      </c>
      <c r="G203" t="s">
        <v>417</v>
      </c>
    </row>
    <row r="204" spans="1:7" x14ac:dyDescent="0.3">
      <c r="A204" s="6" t="s">
        <v>654</v>
      </c>
      <c r="B204" t="s">
        <v>655</v>
      </c>
      <c r="C204" t="s">
        <v>221</v>
      </c>
      <c r="D204" t="s">
        <v>222</v>
      </c>
      <c r="E204">
        <v>127.73</v>
      </c>
      <c r="F204" t="s">
        <v>407</v>
      </c>
      <c r="G204" t="s">
        <v>420</v>
      </c>
    </row>
    <row r="205" spans="1:7" x14ac:dyDescent="0.3">
      <c r="A205" s="6" t="s">
        <v>456</v>
      </c>
      <c r="B205" t="s">
        <v>656</v>
      </c>
      <c r="C205" t="s">
        <v>225</v>
      </c>
      <c r="D205" t="s">
        <v>226</v>
      </c>
      <c r="E205">
        <v>389.11</v>
      </c>
      <c r="F205" t="s">
        <v>407</v>
      </c>
      <c r="G205" t="s">
        <v>395</v>
      </c>
    </row>
    <row r="206" spans="1:7" x14ac:dyDescent="0.3">
      <c r="A206" s="6" t="s">
        <v>433</v>
      </c>
      <c r="B206" t="s">
        <v>657</v>
      </c>
      <c r="C206" t="s">
        <v>225</v>
      </c>
      <c r="D206" t="s">
        <v>226</v>
      </c>
      <c r="E206">
        <v>407.07</v>
      </c>
      <c r="F206" t="s">
        <v>407</v>
      </c>
      <c r="G206" t="s">
        <v>435</v>
      </c>
    </row>
    <row r="207" spans="1:7" x14ac:dyDescent="0.3">
      <c r="A207" s="6" t="s">
        <v>410</v>
      </c>
      <c r="B207" t="s">
        <v>658</v>
      </c>
      <c r="C207" t="s">
        <v>225</v>
      </c>
      <c r="D207" t="s">
        <v>226</v>
      </c>
      <c r="E207">
        <v>410.99</v>
      </c>
      <c r="F207" t="s">
        <v>398</v>
      </c>
      <c r="G207" t="s">
        <v>412</v>
      </c>
    </row>
    <row r="208" spans="1:7" x14ac:dyDescent="0.3">
      <c r="A208" s="6" t="s">
        <v>560</v>
      </c>
      <c r="B208" t="s">
        <v>659</v>
      </c>
      <c r="C208" t="s">
        <v>225</v>
      </c>
      <c r="D208" t="s">
        <v>226</v>
      </c>
      <c r="E208">
        <v>319.77999999999997</v>
      </c>
      <c r="F208" t="s">
        <v>398</v>
      </c>
      <c r="G208" t="s">
        <v>402</v>
      </c>
    </row>
    <row r="209" spans="1:7" x14ac:dyDescent="0.3">
      <c r="A209" s="6" t="s">
        <v>403</v>
      </c>
      <c r="B209" t="s">
        <v>660</v>
      </c>
      <c r="C209" t="s">
        <v>225</v>
      </c>
      <c r="D209" t="s">
        <v>226</v>
      </c>
      <c r="E209">
        <v>452.19</v>
      </c>
      <c r="F209" t="s">
        <v>394</v>
      </c>
      <c r="G209" t="s">
        <v>405</v>
      </c>
    </row>
    <row r="210" spans="1:7" x14ac:dyDescent="0.3">
      <c r="A210" s="6" t="s">
        <v>492</v>
      </c>
      <c r="B210" t="s">
        <v>661</v>
      </c>
      <c r="C210" t="s">
        <v>225</v>
      </c>
      <c r="D210" t="s">
        <v>226</v>
      </c>
      <c r="E210">
        <v>421.29</v>
      </c>
      <c r="F210" t="s">
        <v>407</v>
      </c>
      <c r="G210" t="s">
        <v>417</v>
      </c>
    </row>
    <row r="211" spans="1:7" x14ac:dyDescent="0.3">
      <c r="A211" s="6" t="s">
        <v>375</v>
      </c>
      <c r="B211" t="s">
        <v>662</v>
      </c>
      <c r="C211" t="s">
        <v>225</v>
      </c>
      <c r="D211" t="s">
        <v>226</v>
      </c>
      <c r="E211">
        <v>299.95</v>
      </c>
      <c r="F211" t="s">
        <v>394</v>
      </c>
      <c r="G211" t="s">
        <v>420</v>
      </c>
    </row>
    <row r="212" spans="1:7" x14ac:dyDescent="0.3">
      <c r="A212" s="6" t="s">
        <v>579</v>
      </c>
      <c r="B212" t="s">
        <v>663</v>
      </c>
      <c r="C212" t="s">
        <v>225</v>
      </c>
      <c r="D212" t="s">
        <v>226</v>
      </c>
      <c r="E212">
        <v>344.98</v>
      </c>
      <c r="F212" t="s">
        <v>398</v>
      </c>
      <c r="G212" t="s">
        <v>426</v>
      </c>
    </row>
    <row r="213" spans="1:7" x14ac:dyDescent="0.3">
      <c r="A213" s="6" t="s">
        <v>428</v>
      </c>
      <c r="B213" t="s">
        <v>664</v>
      </c>
      <c r="C213" t="s">
        <v>229</v>
      </c>
      <c r="D213" t="s">
        <v>230</v>
      </c>
      <c r="E213">
        <v>230.82</v>
      </c>
      <c r="F213" t="s">
        <v>407</v>
      </c>
      <c r="G213" t="s">
        <v>399</v>
      </c>
    </row>
    <row r="214" spans="1:7" x14ac:dyDescent="0.3">
      <c r="A214" s="6" t="s">
        <v>445</v>
      </c>
      <c r="B214" t="s">
        <v>665</v>
      </c>
      <c r="C214" t="s">
        <v>229</v>
      </c>
      <c r="D214" t="s">
        <v>230</v>
      </c>
      <c r="E214">
        <v>138.47</v>
      </c>
      <c r="F214" t="s">
        <v>407</v>
      </c>
      <c r="G214" t="s">
        <v>432</v>
      </c>
    </row>
    <row r="215" spans="1:7" x14ac:dyDescent="0.3">
      <c r="A215" s="6" t="s">
        <v>547</v>
      </c>
      <c r="B215" t="s">
        <v>666</v>
      </c>
      <c r="C215" t="s">
        <v>229</v>
      </c>
      <c r="D215" t="s">
        <v>230</v>
      </c>
      <c r="E215">
        <v>157.43</v>
      </c>
      <c r="F215" t="s">
        <v>407</v>
      </c>
      <c r="G215" t="s">
        <v>435</v>
      </c>
    </row>
    <row r="216" spans="1:7" x14ac:dyDescent="0.3">
      <c r="A216" s="6" t="s">
        <v>436</v>
      </c>
      <c r="B216" t="s">
        <v>667</v>
      </c>
      <c r="C216" t="s">
        <v>229</v>
      </c>
      <c r="D216" t="s">
        <v>230</v>
      </c>
      <c r="E216">
        <v>115.61</v>
      </c>
      <c r="F216" t="s">
        <v>407</v>
      </c>
      <c r="G216" t="s">
        <v>412</v>
      </c>
    </row>
    <row r="217" spans="1:7" x14ac:dyDescent="0.3">
      <c r="A217" s="6" t="s">
        <v>454</v>
      </c>
      <c r="B217" t="s">
        <v>668</v>
      </c>
      <c r="C217" t="s">
        <v>229</v>
      </c>
      <c r="D217" t="s">
        <v>230</v>
      </c>
      <c r="E217">
        <v>229.87</v>
      </c>
      <c r="F217" t="s">
        <v>394</v>
      </c>
      <c r="G217" t="s">
        <v>426</v>
      </c>
    </row>
    <row r="218" spans="1:7" x14ac:dyDescent="0.3">
      <c r="A218" s="6" t="s">
        <v>494</v>
      </c>
      <c r="B218" t="s">
        <v>669</v>
      </c>
      <c r="C218" t="s">
        <v>233</v>
      </c>
      <c r="D218" t="s">
        <v>234</v>
      </c>
      <c r="E218">
        <v>232.04</v>
      </c>
      <c r="F218" t="s">
        <v>407</v>
      </c>
      <c r="G218" t="s">
        <v>412</v>
      </c>
    </row>
    <row r="219" spans="1:7" x14ac:dyDescent="0.3">
      <c r="A219" s="6" t="s">
        <v>467</v>
      </c>
      <c r="B219" t="s">
        <v>670</v>
      </c>
      <c r="C219" t="s">
        <v>233</v>
      </c>
      <c r="D219" t="s">
        <v>234</v>
      </c>
      <c r="E219">
        <v>148.07</v>
      </c>
      <c r="F219" t="s">
        <v>407</v>
      </c>
      <c r="G219" t="s">
        <v>402</v>
      </c>
    </row>
    <row r="220" spans="1:7" x14ac:dyDescent="0.3">
      <c r="A220" s="6" t="s">
        <v>461</v>
      </c>
      <c r="B220" t="s">
        <v>671</v>
      </c>
      <c r="C220" t="s">
        <v>233</v>
      </c>
      <c r="D220" t="s">
        <v>234</v>
      </c>
      <c r="E220">
        <v>132.24</v>
      </c>
      <c r="F220" t="s">
        <v>407</v>
      </c>
      <c r="G220" t="s">
        <v>417</v>
      </c>
    </row>
    <row r="221" spans="1:7" x14ac:dyDescent="0.3">
      <c r="A221" s="6" t="s">
        <v>672</v>
      </c>
      <c r="B221" t="s">
        <v>673</v>
      </c>
      <c r="C221" t="s">
        <v>233</v>
      </c>
      <c r="D221" t="s">
        <v>234</v>
      </c>
      <c r="E221">
        <v>175.38</v>
      </c>
      <c r="F221" t="s">
        <v>407</v>
      </c>
      <c r="G221" t="s">
        <v>420</v>
      </c>
    </row>
    <row r="222" spans="1:7" x14ac:dyDescent="0.3">
      <c r="A222" s="6" t="s">
        <v>595</v>
      </c>
      <c r="B222" t="s">
        <v>674</v>
      </c>
      <c r="C222" t="s">
        <v>237</v>
      </c>
      <c r="D222" t="s">
        <v>238</v>
      </c>
      <c r="E222">
        <v>406.61</v>
      </c>
      <c r="F222" t="s">
        <v>407</v>
      </c>
      <c r="G222" t="s">
        <v>395</v>
      </c>
    </row>
    <row r="223" spans="1:7" x14ac:dyDescent="0.3">
      <c r="A223" s="6" t="s">
        <v>549</v>
      </c>
      <c r="B223" t="s">
        <v>675</v>
      </c>
      <c r="C223" t="s">
        <v>237</v>
      </c>
      <c r="D223" t="s">
        <v>238</v>
      </c>
      <c r="E223">
        <v>366.83</v>
      </c>
      <c r="F223" t="s">
        <v>407</v>
      </c>
      <c r="G223" t="s">
        <v>412</v>
      </c>
    </row>
    <row r="224" spans="1:7" x14ac:dyDescent="0.3">
      <c r="A224" s="6" t="s">
        <v>504</v>
      </c>
      <c r="B224" t="s">
        <v>676</v>
      </c>
      <c r="C224" t="s">
        <v>237</v>
      </c>
      <c r="D224" t="s">
        <v>238</v>
      </c>
      <c r="E224">
        <v>375.35</v>
      </c>
      <c r="F224" t="s">
        <v>398</v>
      </c>
      <c r="G224" t="s">
        <v>405</v>
      </c>
    </row>
    <row r="225" spans="1:7" x14ac:dyDescent="0.3">
      <c r="A225" s="6" t="s">
        <v>492</v>
      </c>
      <c r="B225" t="s">
        <v>677</v>
      </c>
      <c r="C225" t="s">
        <v>237</v>
      </c>
      <c r="D225" t="s">
        <v>238</v>
      </c>
      <c r="E225">
        <v>387.2</v>
      </c>
      <c r="F225" t="s">
        <v>398</v>
      </c>
      <c r="G225" t="s">
        <v>417</v>
      </c>
    </row>
    <row r="226" spans="1:7" x14ac:dyDescent="0.3">
      <c r="A226" s="6" t="s">
        <v>654</v>
      </c>
      <c r="B226" t="s">
        <v>678</v>
      </c>
      <c r="C226" t="s">
        <v>237</v>
      </c>
      <c r="D226" t="s">
        <v>238</v>
      </c>
      <c r="E226">
        <v>388.09</v>
      </c>
      <c r="F226" t="s">
        <v>394</v>
      </c>
      <c r="G226" t="s">
        <v>420</v>
      </c>
    </row>
    <row r="227" spans="1:7" x14ac:dyDescent="0.3">
      <c r="A227" s="6" t="s">
        <v>498</v>
      </c>
      <c r="B227" t="s">
        <v>679</v>
      </c>
      <c r="C227" t="s">
        <v>237</v>
      </c>
      <c r="D227" t="s">
        <v>238</v>
      </c>
      <c r="E227">
        <v>219.98</v>
      </c>
      <c r="F227" t="s">
        <v>398</v>
      </c>
      <c r="G227" t="s">
        <v>426</v>
      </c>
    </row>
    <row r="228" spans="1:7" x14ac:dyDescent="0.3">
      <c r="A228" s="6" t="s">
        <v>392</v>
      </c>
      <c r="B228" t="s">
        <v>680</v>
      </c>
      <c r="C228" t="s">
        <v>241</v>
      </c>
      <c r="D228" t="s">
        <v>101</v>
      </c>
      <c r="E228">
        <v>239.23</v>
      </c>
      <c r="F228" t="s">
        <v>394</v>
      </c>
      <c r="G228" t="s">
        <v>395</v>
      </c>
    </row>
    <row r="229" spans="1:7" x14ac:dyDescent="0.3">
      <c r="A229" s="6" t="s">
        <v>447</v>
      </c>
      <c r="B229" t="s">
        <v>681</v>
      </c>
      <c r="C229" t="s">
        <v>241</v>
      </c>
      <c r="D229" t="s">
        <v>101</v>
      </c>
      <c r="E229">
        <v>169.87</v>
      </c>
      <c r="F229" t="s">
        <v>407</v>
      </c>
      <c r="G229" t="s">
        <v>412</v>
      </c>
    </row>
    <row r="230" spans="1:7" x14ac:dyDescent="0.3">
      <c r="A230" s="6" t="s">
        <v>370</v>
      </c>
      <c r="B230" t="s">
        <v>682</v>
      </c>
      <c r="C230" t="s">
        <v>241</v>
      </c>
      <c r="D230" t="s">
        <v>101</v>
      </c>
      <c r="E230">
        <v>148.34</v>
      </c>
      <c r="F230" t="s">
        <v>398</v>
      </c>
      <c r="G230" t="s">
        <v>417</v>
      </c>
    </row>
    <row r="231" spans="1:7" x14ac:dyDescent="0.3">
      <c r="A231" s="6" t="s">
        <v>454</v>
      </c>
      <c r="B231" t="s">
        <v>683</v>
      </c>
      <c r="C231" t="s">
        <v>241</v>
      </c>
      <c r="D231" t="s">
        <v>101</v>
      </c>
      <c r="E231">
        <v>204.78</v>
      </c>
      <c r="F231" t="s">
        <v>407</v>
      </c>
      <c r="G231" t="s">
        <v>426</v>
      </c>
    </row>
    <row r="232" spans="1:7" x14ac:dyDescent="0.3">
      <c r="A232" s="6" t="s">
        <v>522</v>
      </c>
      <c r="B232" t="s">
        <v>684</v>
      </c>
      <c r="C232" t="s">
        <v>244</v>
      </c>
      <c r="D232" t="s">
        <v>245</v>
      </c>
      <c r="E232">
        <v>326.88</v>
      </c>
      <c r="F232" t="s">
        <v>394</v>
      </c>
      <c r="G232" t="s">
        <v>432</v>
      </c>
    </row>
    <row r="233" spans="1:7" x14ac:dyDescent="0.3">
      <c r="A233" s="6" t="s">
        <v>549</v>
      </c>
      <c r="B233" t="s">
        <v>685</v>
      </c>
      <c r="C233" t="s">
        <v>244</v>
      </c>
      <c r="D233" t="s">
        <v>245</v>
      </c>
      <c r="E233">
        <v>409.2</v>
      </c>
      <c r="F233" t="s">
        <v>394</v>
      </c>
      <c r="G233" t="s">
        <v>412</v>
      </c>
    </row>
    <row r="234" spans="1:7" x14ac:dyDescent="0.3">
      <c r="A234" s="6" t="s">
        <v>365</v>
      </c>
      <c r="B234" t="s">
        <v>686</v>
      </c>
      <c r="C234" t="s">
        <v>244</v>
      </c>
      <c r="D234" t="s">
        <v>245</v>
      </c>
      <c r="E234">
        <v>400.57</v>
      </c>
      <c r="F234" t="s">
        <v>407</v>
      </c>
      <c r="G234" t="s">
        <v>402</v>
      </c>
    </row>
    <row r="235" spans="1:7" x14ac:dyDescent="0.3">
      <c r="A235" s="6" t="s">
        <v>415</v>
      </c>
      <c r="B235" t="s">
        <v>687</v>
      </c>
      <c r="C235" t="s">
        <v>244</v>
      </c>
      <c r="D235" t="s">
        <v>245</v>
      </c>
      <c r="E235">
        <v>297.33999999999997</v>
      </c>
      <c r="F235" t="s">
        <v>407</v>
      </c>
      <c r="G235" t="s">
        <v>417</v>
      </c>
    </row>
    <row r="236" spans="1:7" x14ac:dyDescent="0.3">
      <c r="A236" s="6" t="s">
        <v>424</v>
      </c>
      <c r="B236" t="s">
        <v>688</v>
      </c>
      <c r="C236" t="s">
        <v>244</v>
      </c>
      <c r="D236" t="s">
        <v>245</v>
      </c>
      <c r="E236">
        <v>268.16000000000003</v>
      </c>
      <c r="F236" t="s">
        <v>394</v>
      </c>
      <c r="G236" t="s">
        <v>426</v>
      </c>
    </row>
    <row r="237" spans="1:7" x14ac:dyDescent="0.3">
      <c r="A237" s="6" t="s">
        <v>456</v>
      </c>
      <c r="B237" t="s">
        <v>689</v>
      </c>
      <c r="C237" t="s">
        <v>248</v>
      </c>
      <c r="D237" t="s">
        <v>249</v>
      </c>
      <c r="E237">
        <v>259.33999999999997</v>
      </c>
      <c r="F237" t="s">
        <v>394</v>
      </c>
      <c r="G237" t="s">
        <v>395</v>
      </c>
    </row>
    <row r="238" spans="1:7" x14ac:dyDescent="0.3">
      <c r="A238" s="6" t="s">
        <v>445</v>
      </c>
      <c r="B238" t="s">
        <v>690</v>
      </c>
      <c r="C238" t="s">
        <v>248</v>
      </c>
      <c r="D238" t="s">
        <v>249</v>
      </c>
      <c r="E238">
        <v>446.66</v>
      </c>
      <c r="F238" t="s">
        <v>398</v>
      </c>
      <c r="G238" t="s">
        <v>432</v>
      </c>
    </row>
    <row r="239" spans="1:7" x14ac:dyDescent="0.3">
      <c r="A239" s="6" t="s">
        <v>447</v>
      </c>
      <c r="B239" t="s">
        <v>691</v>
      </c>
      <c r="C239" t="s">
        <v>248</v>
      </c>
      <c r="D239" t="s">
        <v>249</v>
      </c>
      <c r="E239">
        <v>455.59</v>
      </c>
      <c r="F239" t="s">
        <v>394</v>
      </c>
      <c r="G239" t="s">
        <v>412</v>
      </c>
    </row>
    <row r="240" spans="1:7" x14ac:dyDescent="0.3">
      <c r="A240" s="6" t="s">
        <v>365</v>
      </c>
      <c r="B240" t="s">
        <v>692</v>
      </c>
      <c r="C240" t="s">
        <v>248</v>
      </c>
      <c r="D240" t="s">
        <v>249</v>
      </c>
      <c r="E240">
        <v>210.21</v>
      </c>
      <c r="F240" t="s">
        <v>407</v>
      </c>
      <c r="G240" t="s">
        <v>402</v>
      </c>
    </row>
    <row r="241" spans="1:7" x14ac:dyDescent="0.3">
      <c r="A241" s="6" t="s">
        <v>451</v>
      </c>
      <c r="B241" t="s">
        <v>693</v>
      </c>
      <c r="C241" t="s">
        <v>248</v>
      </c>
      <c r="D241" t="s">
        <v>249</v>
      </c>
      <c r="E241">
        <v>279.02999999999997</v>
      </c>
      <c r="F241" t="s">
        <v>407</v>
      </c>
      <c r="G241" t="s">
        <v>405</v>
      </c>
    </row>
    <row r="242" spans="1:7" x14ac:dyDescent="0.3">
      <c r="A242" s="6" t="s">
        <v>439</v>
      </c>
      <c r="B242" t="s">
        <v>694</v>
      </c>
      <c r="C242" t="s">
        <v>248</v>
      </c>
      <c r="D242" t="s">
        <v>249</v>
      </c>
      <c r="E242">
        <v>232.26</v>
      </c>
      <c r="F242" t="s">
        <v>394</v>
      </c>
      <c r="G242" t="s">
        <v>417</v>
      </c>
    </row>
    <row r="243" spans="1:7" x14ac:dyDescent="0.3">
      <c r="A243" s="6" t="s">
        <v>454</v>
      </c>
      <c r="B243" t="s">
        <v>695</v>
      </c>
      <c r="C243" t="s">
        <v>248</v>
      </c>
      <c r="D243" t="s">
        <v>249</v>
      </c>
      <c r="E243">
        <v>478.83</v>
      </c>
      <c r="F243" t="s">
        <v>394</v>
      </c>
      <c r="G243" t="s">
        <v>426</v>
      </c>
    </row>
    <row r="244" spans="1:7" x14ac:dyDescent="0.3">
      <c r="A244" s="6" t="s">
        <v>473</v>
      </c>
      <c r="B244" t="s">
        <v>696</v>
      </c>
      <c r="C244" t="s">
        <v>252</v>
      </c>
      <c r="D244" t="s">
        <v>253</v>
      </c>
      <c r="E244">
        <v>177.44</v>
      </c>
      <c r="F244" t="s">
        <v>398</v>
      </c>
      <c r="G244" t="s">
        <v>432</v>
      </c>
    </row>
    <row r="245" spans="1:7" x14ac:dyDescent="0.3">
      <c r="A245" s="6" t="s">
        <v>547</v>
      </c>
      <c r="B245" t="s">
        <v>697</v>
      </c>
      <c r="C245" t="s">
        <v>252</v>
      </c>
      <c r="D245" t="s">
        <v>253</v>
      </c>
      <c r="E245">
        <v>275.76</v>
      </c>
      <c r="F245" t="s">
        <v>407</v>
      </c>
      <c r="G245" t="s">
        <v>435</v>
      </c>
    </row>
    <row r="246" spans="1:7" x14ac:dyDescent="0.3">
      <c r="A246" s="6" t="s">
        <v>672</v>
      </c>
      <c r="B246" t="s">
        <v>698</v>
      </c>
      <c r="C246" t="s">
        <v>252</v>
      </c>
      <c r="D246" t="s">
        <v>253</v>
      </c>
      <c r="E246">
        <v>240.93</v>
      </c>
      <c r="F246" t="s">
        <v>394</v>
      </c>
      <c r="G246" t="s">
        <v>420</v>
      </c>
    </row>
    <row r="247" spans="1:7" x14ac:dyDescent="0.3">
      <c r="A247" s="6" t="s">
        <v>477</v>
      </c>
      <c r="B247" t="s">
        <v>699</v>
      </c>
      <c r="C247" t="s">
        <v>252</v>
      </c>
      <c r="D247" t="s">
        <v>253</v>
      </c>
      <c r="E247">
        <v>225.99</v>
      </c>
      <c r="F247" t="s">
        <v>407</v>
      </c>
      <c r="G247" t="s">
        <v>426</v>
      </c>
    </row>
    <row r="248" spans="1:7" x14ac:dyDescent="0.3">
      <c r="A248" s="6" t="s">
        <v>137</v>
      </c>
      <c r="B248" t="s">
        <v>700</v>
      </c>
      <c r="C248" t="s">
        <v>256</v>
      </c>
      <c r="D248" t="s">
        <v>257</v>
      </c>
      <c r="E248">
        <v>438.37</v>
      </c>
      <c r="F248" t="s">
        <v>394</v>
      </c>
      <c r="G248" t="s">
        <v>395</v>
      </c>
    </row>
    <row r="249" spans="1:7" x14ac:dyDescent="0.3">
      <c r="A249" s="6" t="s">
        <v>516</v>
      </c>
      <c r="B249" t="s">
        <v>701</v>
      </c>
      <c r="C249" t="s">
        <v>256</v>
      </c>
      <c r="D249" t="s">
        <v>257</v>
      </c>
      <c r="E249">
        <v>297.79000000000002</v>
      </c>
      <c r="F249" t="s">
        <v>398</v>
      </c>
      <c r="G249" t="s">
        <v>399</v>
      </c>
    </row>
    <row r="250" spans="1:7" x14ac:dyDescent="0.3">
      <c r="A250" s="6" t="s">
        <v>545</v>
      </c>
      <c r="B250" t="s">
        <v>702</v>
      </c>
      <c r="C250" t="s">
        <v>256</v>
      </c>
      <c r="D250" t="s">
        <v>257</v>
      </c>
      <c r="E250">
        <v>209.44</v>
      </c>
      <c r="F250" t="s">
        <v>407</v>
      </c>
      <c r="G250" t="s">
        <v>432</v>
      </c>
    </row>
    <row r="251" spans="1:7" x14ac:dyDescent="0.3">
      <c r="A251" s="6" t="s">
        <v>433</v>
      </c>
      <c r="B251" t="s">
        <v>703</v>
      </c>
      <c r="C251" t="s">
        <v>256</v>
      </c>
      <c r="D251" t="s">
        <v>257</v>
      </c>
      <c r="E251">
        <v>470.84</v>
      </c>
      <c r="F251" t="s">
        <v>407</v>
      </c>
      <c r="G251" t="s">
        <v>435</v>
      </c>
    </row>
    <row r="252" spans="1:7" x14ac:dyDescent="0.3">
      <c r="A252" s="6" t="s">
        <v>410</v>
      </c>
      <c r="B252" t="s">
        <v>704</v>
      </c>
      <c r="C252" t="s">
        <v>256</v>
      </c>
      <c r="D252" t="s">
        <v>257</v>
      </c>
      <c r="E252">
        <v>382.88</v>
      </c>
      <c r="F252" t="s">
        <v>398</v>
      </c>
      <c r="G252" t="s">
        <v>412</v>
      </c>
    </row>
    <row r="253" spans="1:7" x14ac:dyDescent="0.3">
      <c r="A253" s="6" t="s">
        <v>365</v>
      </c>
      <c r="B253" t="s">
        <v>705</v>
      </c>
      <c r="C253" t="s">
        <v>256</v>
      </c>
      <c r="D253" t="s">
        <v>257</v>
      </c>
      <c r="E253">
        <v>363.98</v>
      </c>
      <c r="F253" t="s">
        <v>394</v>
      </c>
      <c r="G253" t="s">
        <v>402</v>
      </c>
    </row>
    <row r="254" spans="1:7" x14ac:dyDescent="0.3">
      <c r="A254" s="6" t="s">
        <v>366</v>
      </c>
      <c r="B254" t="s">
        <v>706</v>
      </c>
      <c r="C254" t="s">
        <v>256</v>
      </c>
      <c r="D254" t="s">
        <v>257</v>
      </c>
      <c r="E254">
        <v>418.6</v>
      </c>
      <c r="F254" t="s">
        <v>394</v>
      </c>
      <c r="G254" t="s">
        <v>405</v>
      </c>
    </row>
    <row r="255" spans="1:7" x14ac:dyDescent="0.3">
      <c r="A255" s="6" t="s">
        <v>418</v>
      </c>
      <c r="B255" t="s">
        <v>707</v>
      </c>
      <c r="C255" t="s">
        <v>256</v>
      </c>
      <c r="D255" t="s">
        <v>257</v>
      </c>
      <c r="E255">
        <v>418.65</v>
      </c>
      <c r="F255" t="s">
        <v>394</v>
      </c>
      <c r="G255" t="s">
        <v>420</v>
      </c>
    </row>
    <row r="256" spans="1:7" x14ac:dyDescent="0.3">
      <c r="A256" s="6" t="s">
        <v>433</v>
      </c>
      <c r="B256" t="s">
        <v>708</v>
      </c>
      <c r="C256" t="s">
        <v>260</v>
      </c>
      <c r="D256" t="s">
        <v>261</v>
      </c>
      <c r="E256">
        <v>286.63</v>
      </c>
      <c r="F256" t="s">
        <v>394</v>
      </c>
      <c r="G256" t="s">
        <v>435</v>
      </c>
    </row>
    <row r="257" spans="1:7" x14ac:dyDescent="0.3">
      <c r="A257" s="6" t="s">
        <v>531</v>
      </c>
      <c r="B257" t="s">
        <v>709</v>
      </c>
      <c r="C257" t="s">
        <v>260</v>
      </c>
      <c r="D257" t="s">
        <v>261</v>
      </c>
      <c r="E257">
        <v>192.82</v>
      </c>
      <c r="F257" t="s">
        <v>394</v>
      </c>
      <c r="G257" t="s">
        <v>405</v>
      </c>
    </row>
    <row r="258" spans="1:7" x14ac:dyDescent="0.3">
      <c r="A258" s="6" t="s">
        <v>418</v>
      </c>
      <c r="B258" t="s">
        <v>710</v>
      </c>
      <c r="C258" t="s">
        <v>260</v>
      </c>
      <c r="D258" t="s">
        <v>261</v>
      </c>
      <c r="E258">
        <v>347.58</v>
      </c>
      <c r="F258" t="s">
        <v>394</v>
      </c>
      <c r="G258" t="s">
        <v>420</v>
      </c>
    </row>
    <row r="259" spans="1:7" x14ac:dyDescent="0.3">
      <c r="A259" s="6" t="s">
        <v>424</v>
      </c>
      <c r="B259" t="s">
        <v>711</v>
      </c>
      <c r="C259" t="s">
        <v>260</v>
      </c>
      <c r="D259" t="s">
        <v>261</v>
      </c>
      <c r="E259">
        <v>382.38</v>
      </c>
      <c r="F259" t="s">
        <v>394</v>
      </c>
      <c r="G259" t="s">
        <v>426</v>
      </c>
    </row>
    <row r="260" spans="1:7" x14ac:dyDescent="0.3">
      <c r="A260" s="6" t="s">
        <v>127</v>
      </c>
      <c r="B260" t="s">
        <v>712</v>
      </c>
      <c r="C260" t="s">
        <v>264</v>
      </c>
      <c r="D260" t="s">
        <v>265</v>
      </c>
      <c r="E260">
        <v>242.18</v>
      </c>
      <c r="F260" t="s">
        <v>394</v>
      </c>
      <c r="G260" t="s">
        <v>395</v>
      </c>
    </row>
    <row r="261" spans="1:7" x14ac:dyDescent="0.3">
      <c r="A261" s="6" t="s">
        <v>430</v>
      </c>
      <c r="B261" t="s">
        <v>713</v>
      </c>
      <c r="C261" t="s">
        <v>264</v>
      </c>
      <c r="D261" t="s">
        <v>265</v>
      </c>
      <c r="E261">
        <v>405.61</v>
      </c>
      <c r="F261" t="s">
        <v>398</v>
      </c>
      <c r="G261" t="s">
        <v>432</v>
      </c>
    </row>
    <row r="262" spans="1:7" x14ac:dyDescent="0.3">
      <c r="A262" s="6" t="s">
        <v>487</v>
      </c>
      <c r="B262" t="s">
        <v>714</v>
      </c>
      <c r="C262" t="s">
        <v>264</v>
      </c>
      <c r="D262" t="s">
        <v>265</v>
      </c>
      <c r="E262">
        <v>406.75</v>
      </c>
      <c r="F262" t="s">
        <v>407</v>
      </c>
      <c r="G262" t="s">
        <v>435</v>
      </c>
    </row>
    <row r="263" spans="1:7" x14ac:dyDescent="0.3">
      <c r="A263" s="6" t="s">
        <v>494</v>
      </c>
      <c r="B263" t="s">
        <v>715</v>
      </c>
      <c r="C263" t="s">
        <v>264</v>
      </c>
      <c r="D263" t="s">
        <v>265</v>
      </c>
      <c r="E263">
        <v>416.07</v>
      </c>
      <c r="F263" t="s">
        <v>398</v>
      </c>
      <c r="G263" t="s">
        <v>412</v>
      </c>
    </row>
    <row r="264" spans="1:7" x14ac:dyDescent="0.3">
      <c r="A264" s="6" t="s">
        <v>716</v>
      </c>
      <c r="B264" t="s">
        <v>717</v>
      </c>
      <c r="C264" t="s">
        <v>264</v>
      </c>
      <c r="D264" t="s">
        <v>265</v>
      </c>
      <c r="E264">
        <v>223.41</v>
      </c>
      <c r="F264" t="s">
        <v>398</v>
      </c>
      <c r="G264" t="s">
        <v>402</v>
      </c>
    </row>
    <row r="265" spans="1:7" x14ac:dyDescent="0.3">
      <c r="A265" s="6" t="s">
        <v>127</v>
      </c>
      <c r="B265" t="s">
        <v>718</v>
      </c>
      <c r="C265" t="s">
        <v>268</v>
      </c>
      <c r="D265" t="s">
        <v>269</v>
      </c>
      <c r="E265">
        <v>124.4</v>
      </c>
      <c r="F265" t="s">
        <v>407</v>
      </c>
      <c r="G265" t="s">
        <v>395</v>
      </c>
    </row>
    <row r="266" spans="1:7" x14ac:dyDescent="0.3">
      <c r="A266" s="6" t="s">
        <v>481</v>
      </c>
      <c r="B266" t="s">
        <v>719</v>
      </c>
      <c r="C266" t="s">
        <v>268</v>
      </c>
      <c r="D266" t="s">
        <v>269</v>
      </c>
      <c r="E266">
        <v>186.89</v>
      </c>
      <c r="F266" t="s">
        <v>394</v>
      </c>
      <c r="G266" t="s">
        <v>435</v>
      </c>
    </row>
    <row r="267" spans="1:7" x14ac:dyDescent="0.3">
      <c r="A267" s="6" t="s">
        <v>494</v>
      </c>
      <c r="B267" t="s">
        <v>720</v>
      </c>
      <c r="C267" t="s">
        <v>268</v>
      </c>
      <c r="D267" t="s">
        <v>269</v>
      </c>
      <c r="E267">
        <v>235.82</v>
      </c>
      <c r="F267" t="s">
        <v>407</v>
      </c>
      <c r="G267" t="s">
        <v>412</v>
      </c>
    </row>
    <row r="268" spans="1:7" x14ac:dyDescent="0.3">
      <c r="A268" s="6" t="s">
        <v>560</v>
      </c>
      <c r="B268" t="s">
        <v>721</v>
      </c>
      <c r="C268" t="s">
        <v>268</v>
      </c>
      <c r="D268" t="s">
        <v>269</v>
      </c>
      <c r="E268">
        <v>267.77</v>
      </c>
      <c r="F268" t="s">
        <v>407</v>
      </c>
      <c r="G268" t="s">
        <v>402</v>
      </c>
    </row>
    <row r="269" spans="1:7" x14ac:dyDescent="0.3">
      <c r="A269" s="6" t="s">
        <v>568</v>
      </c>
      <c r="B269" t="s">
        <v>722</v>
      </c>
      <c r="C269" t="s">
        <v>268</v>
      </c>
      <c r="D269" t="s">
        <v>269</v>
      </c>
      <c r="E269">
        <v>139.37</v>
      </c>
      <c r="F269" t="s">
        <v>394</v>
      </c>
      <c r="G269" t="s">
        <v>426</v>
      </c>
    </row>
    <row r="270" spans="1:7" x14ac:dyDescent="0.3">
      <c r="A270" s="6" t="s">
        <v>524</v>
      </c>
      <c r="B270" t="s">
        <v>723</v>
      </c>
      <c r="C270" t="s">
        <v>272</v>
      </c>
      <c r="D270" t="s">
        <v>273</v>
      </c>
      <c r="E270">
        <v>322.67</v>
      </c>
      <c r="F270" t="s">
        <v>398</v>
      </c>
      <c r="G270" t="s">
        <v>435</v>
      </c>
    </row>
    <row r="271" spans="1:7" x14ac:dyDescent="0.3">
      <c r="A271" s="6" t="s">
        <v>494</v>
      </c>
      <c r="B271" t="s">
        <v>724</v>
      </c>
      <c r="C271" t="s">
        <v>272</v>
      </c>
      <c r="D271" t="s">
        <v>273</v>
      </c>
      <c r="E271">
        <v>220.56</v>
      </c>
      <c r="F271" t="s">
        <v>398</v>
      </c>
      <c r="G271" t="s">
        <v>412</v>
      </c>
    </row>
    <row r="272" spans="1:7" x14ac:dyDescent="0.3">
      <c r="A272" s="6" t="s">
        <v>560</v>
      </c>
      <c r="B272" t="s">
        <v>725</v>
      </c>
      <c r="C272" t="s">
        <v>272</v>
      </c>
      <c r="D272" t="s">
        <v>273</v>
      </c>
      <c r="E272">
        <v>437.6</v>
      </c>
      <c r="F272" t="s">
        <v>398</v>
      </c>
      <c r="G272" t="s">
        <v>402</v>
      </c>
    </row>
    <row r="273" spans="1:7" x14ac:dyDescent="0.3">
      <c r="A273" s="6" t="s">
        <v>415</v>
      </c>
      <c r="B273" t="s">
        <v>726</v>
      </c>
      <c r="C273" t="s">
        <v>272</v>
      </c>
      <c r="D273" t="s">
        <v>273</v>
      </c>
      <c r="E273">
        <v>399.6</v>
      </c>
      <c r="F273" t="s">
        <v>394</v>
      </c>
      <c r="G273" t="s">
        <v>417</v>
      </c>
    </row>
    <row r="274" spans="1:7" x14ac:dyDescent="0.3">
      <c r="A274" s="6" t="s">
        <v>470</v>
      </c>
      <c r="B274" t="s">
        <v>727</v>
      </c>
      <c r="C274" t="s">
        <v>272</v>
      </c>
      <c r="D274" t="s">
        <v>273</v>
      </c>
      <c r="E274">
        <v>322.05</v>
      </c>
      <c r="F274" t="s">
        <v>394</v>
      </c>
      <c r="G274" t="s">
        <v>420</v>
      </c>
    </row>
    <row r="275" spans="1:7" x14ac:dyDescent="0.3">
      <c r="A275" s="6" t="s">
        <v>477</v>
      </c>
      <c r="B275" t="s">
        <v>728</v>
      </c>
      <c r="C275" t="s">
        <v>272</v>
      </c>
      <c r="D275" t="s">
        <v>273</v>
      </c>
      <c r="E275">
        <v>289.61</v>
      </c>
      <c r="F275" t="s">
        <v>407</v>
      </c>
      <c r="G275" t="s">
        <v>426</v>
      </c>
    </row>
    <row r="276" spans="1:7" x14ac:dyDescent="0.3">
      <c r="A276" s="6" t="s">
        <v>396</v>
      </c>
      <c r="B276" t="s">
        <v>729</v>
      </c>
      <c r="C276" t="s">
        <v>276</v>
      </c>
      <c r="D276" t="s">
        <v>277</v>
      </c>
      <c r="E276">
        <v>231.45</v>
      </c>
      <c r="F276" t="s">
        <v>407</v>
      </c>
      <c r="G276" t="s">
        <v>399</v>
      </c>
    </row>
    <row r="277" spans="1:7" x14ac:dyDescent="0.3">
      <c r="A277" s="6" t="s">
        <v>522</v>
      </c>
      <c r="B277" t="s">
        <v>730</v>
      </c>
      <c r="C277" t="s">
        <v>276</v>
      </c>
      <c r="D277" t="s">
        <v>277</v>
      </c>
      <c r="E277">
        <v>129.6</v>
      </c>
      <c r="F277" t="s">
        <v>394</v>
      </c>
      <c r="G277" t="s">
        <v>432</v>
      </c>
    </row>
    <row r="278" spans="1:7" x14ac:dyDescent="0.3">
      <c r="A278" s="6" t="s">
        <v>487</v>
      </c>
      <c r="B278" t="s">
        <v>731</v>
      </c>
      <c r="C278" t="s">
        <v>276</v>
      </c>
      <c r="D278" t="s">
        <v>277</v>
      </c>
      <c r="E278">
        <v>187.85</v>
      </c>
      <c r="F278" t="s">
        <v>398</v>
      </c>
      <c r="G278" t="s">
        <v>435</v>
      </c>
    </row>
    <row r="279" spans="1:7" x14ac:dyDescent="0.3">
      <c r="A279" s="6" t="s">
        <v>436</v>
      </c>
      <c r="B279" t="s">
        <v>732</v>
      </c>
      <c r="C279" t="s">
        <v>276</v>
      </c>
      <c r="D279" t="s">
        <v>277</v>
      </c>
      <c r="E279">
        <v>177.72</v>
      </c>
      <c r="F279" t="s">
        <v>394</v>
      </c>
      <c r="G279" t="s">
        <v>412</v>
      </c>
    </row>
    <row r="280" spans="1:7" x14ac:dyDescent="0.3">
      <c r="A280" s="6" t="s">
        <v>716</v>
      </c>
      <c r="B280" t="s">
        <v>733</v>
      </c>
      <c r="C280" t="s">
        <v>276</v>
      </c>
      <c r="D280" t="s">
        <v>277</v>
      </c>
      <c r="E280">
        <v>124.26</v>
      </c>
      <c r="F280" t="s">
        <v>398</v>
      </c>
      <c r="G280" t="s">
        <v>402</v>
      </c>
    </row>
    <row r="281" spans="1:7" x14ac:dyDescent="0.3">
      <c r="A281" s="6" t="s">
        <v>531</v>
      </c>
      <c r="B281" t="s">
        <v>734</v>
      </c>
      <c r="C281" t="s">
        <v>276</v>
      </c>
      <c r="D281" t="s">
        <v>277</v>
      </c>
      <c r="E281">
        <v>170.37</v>
      </c>
      <c r="F281" t="s">
        <v>394</v>
      </c>
      <c r="G281" t="s">
        <v>405</v>
      </c>
    </row>
    <row r="282" spans="1:7" x14ac:dyDescent="0.3">
      <c r="A282" s="6" t="s">
        <v>461</v>
      </c>
      <c r="B282" t="s">
        <v>735</v>
      </c>
      <c r="C282" t="s">
        <v>276</v>
      </c>
      <c r="D282" t="s">
        <v>277</v>
      </c>
      <c r="E282">
        <v>174.47</v>
      </c>
      <c r="F282" t="s">
        <v>398</v>
      </c>
      <c r="G282" t="s">
        <v>417</v>
      </c>
    </row>
    <row r="283" spans="1:7" x14ac:dyDescent="0.3">
      <c r="A283" s="6" t="s">
        <v>137</v>
      </c>
      <c r="B283" t="s">
        <v>736</v>
      </c>
      <c r="C283" t="s">
        <v>280</v>
      </c>
      <c r="D283" t="s">
        <v>281</v>
      </c>
      <c r="E283">
        <v>381.14</v>
      </c>
      <c r="F283" t="s">
        <v>394</v>
      </c>
      <c r="G283" t="s">
        <v>395</v>
      </c>
    </row>
    <row r="284" spans="1:7" x14ac:dyDescent="0.3">
      <c r="A284" s="6" t="s">
        <v>626</v>
      </c>
      <c r="B284" t="s">
        <v>737</v>
      </c>
      <c r="C284" t="s">
        <v>280</v>
      </c>
      <c r="D284" t="s">
        <v>281</v>
      </c>
      <c r="E284">
        <v>292.83</v>
      </c>
      <c r="F284" t="s">
        <v>398</v>
      </c>
      <c r="G284" t="s">
        <v>399</v>
      </c>
    </row>
    <row r="285" spans="1:7" x14ac:dyDescent="0.3">
      <c r="A285" s="6" t="s">
        <v>545</v>
      </c>
      <c r="B285" t="s">
        <v>738</v>
      </c>
      <c r="C285" t="s">
        <v>280</v>
      </c>
      <c r="D285" t="s">
        <v>281</v>
      </c>
      <c r="E285">
        <v>225.09</v>
      </c>
      <c r="F285" t="s">
        <v>407</v>
      </c>
      <c r="G285" t="s">
        <v>432</v>
      </c>
    </row>
    <row r="286" spans="1:7" x14ac:dyDescent="0.3">
      <c r="A286" s="6" t="s">
        <v>360</v>
      </c>
      <c r="B286" t="s">
        <v>739</v>
      </c>
      <c r="C286" t="s">
        <v>280</v>
      </c>
      <c r="D286" t="s">
        <v>281</v>
      </c>
      <c r="E286">
        <v>257.13</v>
      </c>
      <c r="F286" t="s">
        <v>407</v>
      </c>
      <c r="G286" t="s">
        <v>412</v>
      </c>
    </row>
    <row r="287" spans="1:7" x14ac:dyDescent="0.3">
      <c r="A287" s="6" t="s">
        <v>415</v>
      </c>
      <c r="B287" t="s">
        <v>740</v>
      </c>
      <c r="C287" t="s">
        <v>280</v>
      </c>
      <c r="D287" t="s">
        <v>281</v>
      </c>
      <c r="E287">
        <v>472.67</v>
      </c>
      <c r="F287" t="s">
        <v>398</v>
      </c>
      <c r="G287" t="s">
        <v>417</v>
      </c>
    </row>
    <row r="288" spans="1:7" x14ac:dyDescent="0.3">
      <c r="A288" s="6" t="s">
        <v>672</v>
      </c>
      <c r="B288" t="s">
        <v>741</v>
      </c>
      <c r="C288" t="s">
        <v>280</v>
      </c>
      <c r="D288" t="s">
        <v>281</v>
      </c>
      <c r="E288">
        <v>386.39</v>
      </c>
      <c r="F288" t="s">
        <v>398</v>
      </c>
      <c r="G288" t="s">
        <v>420</v>
      </c>
    </row>
    <row r="289" spans="1:7" x14ac:dyDescent="0.3">
      <c r="A289" s="6" t="s">
        <v>424</v>
      </c>
      <c r="B289" t="s">
        <v>742</v>
      </c>
      <c r="C289" t="s">
        <v>280</v>
      </c>
      <c r="D289" t="s">
        <v>281</v>
      </c>
      <c r="E289">
        <v>367.39</v>
      </c>
      <c r="F289" t="s">
        <v>398</v>
      </c>
      <c r="G289" t="s">
        <v>426</v>
      </c>
    </row>
    <row r="290" spans="1:7" x14ac:dyDescent="0.3">
      <c r="A290" s="6" t="s">
        <v>392</v>
      </c>
      <c r="B290" t="s">
        <v>743</v>
      </c>
      <c r="C290" t="s">
        <v>284</v>
      </c>
      <c r="D290" t="s">
        <v>285</v>
      </c>
      <c r="E290">
        <v>193.76</v>
      </c>
      <c r="F290" t="s">
        <v>394</v>
      </c>
      <c r="G290" t="s">
        <v>395</v>
      </c>
    </row>
    <row r="291" spans="1:7" x14ac:dyDescent="0.3">
      <c r="A291" s="6" t="s">
        <v>445</v>
      </c>
      <c r="B291" t="s">
        <v>744</v>
      </c>
      <c r="C291" t="s">
        <v>284</v>
      </c>
      <c r="D291" t="s">
        <v>285</v>
      </c>
      <c r="E291">
        <v>381.32</v>
      </c>
      <c r="F291" t="s">
        <v>394</v>
      </c>
      <c r="G291" t="s">
        <v>432</v>
      </c>
    </row>
    <row r="292" spans="1:7" x14ac:dyDescent="0.3">
      <c r="A292" s="6" t="s">
        <v>549</v>
      </c>
      <c r="B292" t="s">
        <v>745</v>
      </c>
      <c r="C292" t="s">
        <v>284</v>
      </c>
      <c r="D292" t="s">
        <v>285</v>
      </c>
      <c r="E292">
        <v>405.4</v>
      </c>
      <c r="F292" t="s">
        <v>394</v>
      </c>
      <c r="G292" t="s">
        <v>412</v>
      </c>
    </row>
    <row r="293" spans="1:7" x14ac:dyDescent="0.3">
      <c r="A293" s="6" t="s">
        <v>560</v>
      </c>
      <c r="B293" t="s">
        <v>746</v>
      </c>
      <c r="C293" t="s">
        <v>284</v>
      </c>
      <c r="D293" t="s">
        <v>285</v>
      </c>
      <c r="E293">
        <v>406.88</v>
      </c>
      <c r="F293" t="s">
        <v>394</v>
      </c>
      <c r="G293" t="s">
        <v>402</v>
      </c>
    </row>
    <row r="294" spans="1:7" x14ac:dyDescent="0.3">
      <c r="A294" s="6" t="s">
        <v>368</v>
      </c>
      <c r="B294" t="s">
        <v>747</v>
      </c>
      <c r="C294" t="s">
        <v>284</v>
      </c>
      <c r="D294" t="s">
        <v>285</v>
      </c>
      <c r="E294">
        <v>312.91000000000003</v>
      </c>
      <c r="F294" t="s">
        <v>407</v>
      </c>
      <c r="G294" t="s">
        <v>405</v>
      </c>
    </row>
    <row r="295" spans="1:7" x14ac:dyDescent="0.3">
      <c r="A295" s="6" t="s">
        <v>418</v>
      </c>
      <c r="B295" t="s">
        <v>748</v>
      </c>
      <c r="C295" t="s">
        <v>284</v>
      </c>
      <c r="D295" t="s">
        <v>285</v>
      </c>
      <c r="E295">
        <v>298.58</v>
      </c>
      <c r="F295" t="s">
        <v>398</v>
      </c>
      <c r="G295" t="s">
        <v>420</v>
      </c>
    </row>
    <row r="296" spans="1:7" x14ac:dyDescent="0.3">
      <c r="A296" s="6" t="s">
        <v>127</v>
      </c>
      <c r="B296" t="s">
        <v>749</v>
      </c>
      <c r="C296" t="s">
        <v>288</v>
      </c>
      <c r="D296" t="s">
        <v>289</v>
      </c>
      <c r="E296">
        <v>386.1</v>
      </c>
      <c r="F296" t="s">
        <v>407</v>
      </c>
      <c r="G296" t="s">
        <v>395</v>
      </c>
    </row>
    <row r="297" spans="1:7" x14ac:dyDescent="0.3">
      <c r="A297" s="6" t="s">
        <v>408</v>
      </c>
      <c r="B297" t="s">
        <v>750</v>
      </c>
      <c r="C297" t="s">
        <v>288</v>
      </c>
      <c r="D297" t="s">
        <v>289</v>
      </c>
      <c r="E297">
        <v>382.64</v>
      </c>
      <c r="F297" t="s">
        <v>407</v>
      </c>
      <c r="G297" t="s">
        <v>399</v>
      </c>
    </row>
    <row r="298" spans="1:7" x14ac:dyDescent="0.3">
      <c r="A298" s="6" t="s">
        <v>360</v>
      </c>
      <c r="B298" t="s">
        <v>751</v>
      </c>
      <c r="C298" t="s">
        <v>288</v>
      </c>
      <c r="D298" t="s">
        <v>289</v>
      </c>
      <c r="E298">
        <v>319.31</v>
      </c>
      <c r="F298" t="s">
        <v>407</v>
      </c>
      <c r="G298" t="s">
        <v>412</v>
      </c>
    </row>
    <row r="299" spans="1:7" x14ac:dyDescent="0.3">
      <c r="A299" s="6" t="s">
        <v>504</v>
      </c>
      <c r="B299" t="s">
        <v>752</v>
      </c>
      <c r="C299" t="s">
        <v>288</v>
      </c>
      <c r="D299" t="s">
        <v>289</v>
      </c>
      <c r="E299">
        <v>409.42</v>
      </c>
      <c r="F299" t="s">
        <v>394</v>
      </c>
      <c r="G299" t="s">
        <v>405</v>
      </c>
    </row>
    <row r="300" spans="1:7" x14ac:dyDescent="0.3">
      <c r="A300" s="6" t="s">
        <v>375</v>
      </c>
      <c r="B300" t="s">
        <v>753</v>
      </c>
      <c r="C300" t="s">
        <v>288</v>
      </c>
      <c r="D300" t="s">
        <v>289</v>
      </c>
      <c r="E300">
        <v>315.82</v>
      </c>
      <c r="F300" t="s">
        <v>407</v>
      </c>
      <c r="G300" t="s">
        <v>420</v>
      </c>
    </row>
    <row r="301" spans="1:7" x14ac:dyDescent="0.3">
      <c r="A301" s="6" t="s">
        <v>498</v>
      </c>
      <c r="B301" t="s">
        <v>754</v>
      </c>
      <c r="C301" t="s">
        <v>288</v>
      </c>
      <c r="D301" t="s">
        <v>289</v>
      </c>
      <c r="E301">
        <v>387.4</v>
      </c>
      <c r="F301" t="s">
        <v>407</v>
      </c>
      <c r="G301" t="s">
        <v>426</v>
      </c>
    </row>
    <row r="302" spans="1:7" x14ac:dyDescent="0.3">
      <c r="A302" s="6" t="s">
        <v>392</v>
      </c>
      <c r="B302" t="s">
        <v>755</v>
      </c>
      <c r="C302" t="s">
        <v>292</v>
      </c>
      <c r="D302" t="s">
        <v>293</v>
      </c>
      <c r="E302">
        <v>275.64999999999998</v>
      </c>
      <c r="F302" t="s">
        <v>394</v>
      </c>
      <c r="G302" t="s">
        <v>395</v>
      </c>
    </row>
    <row r="303" spans="1:7" x14ac:dyDescent="0.3">
      <c r="A303" s="6" t="s">
        <v>524</v>
      </c>
      <c r="B303" t="s">
        <v>756</v>
      </c>
      <c r="C303" t="s">
        <v>292</v>
      </c>
      <c r="D303" t="s">
        <v>293</v>
      </c>
      <c r="E303">
        <v>163.5</v>
      </c>
      <c r="F303" t="s">
        <v>394</v>
      </c>
      <c r="G303" t="s">
        <v>435</v>
      </c>
    </row>
    <row r="304" spans="1:7" x14ac:dyDescent="0.3">
      <c r="A304" s="6" t="s">
        <v>410</v>
      </c>
      <c r="B304" t="s">
        <v>757</v>
      </c>
      <c r="C304" t="s">
        <v>292</v>
      </c>
      <c r="D304" t="s">
        <v>293</v>
      </c>
      <c r="E304">
        <v>199.05</v>
      </c>
      <c r="F304" t="s">
        <v>407</v>
      </c>
      <c r="G304" t="s">
        <v>412</v>
      </c>
    </row>
    <row r="305" spans="1:7" x14ac:dyDescent="0.3">
      <c r="A305" s="6" t="s">
        <v>449</v>
      </c>
      <c r="B305" t="s">
        <v>758</v>
      </c>
      <c r="C305" t="s">
        <v>292</v>
      </c>
      <c r="D305" t="s">
        <v>293</v>
      </c>
      <c r="E305">
        <v>136.09</v>
      </c>
      <c r="F305" t="s">
        <v>398</v>
      </c>
      <c r="G305" t="s">
        <v>402</v>
      </c>
    </row>
    <row r="306" spans="1:7" x14ac:dyDescent="0.3">
      <c r="A306" s="6" t="s">
        <v>451</v>
      </c>
      <c r="B306" t="s">
        <v>759</v>
      </c>
      <c r="C306" t="s">
        <v>292</v>
      </c>
      <c r="D306" t="s">
        <v>293</v>
      </c>
      <c r="E306">
        <v>153.35</v>
      </c>
      <c r="F306" t="s">
        <v>398</v>
      </c>
      <c r="G306" t="s">
        <v>405</v>
      </c>
    </row>
    <row r="307" spans="1:7" x14ac:dyDescent="0.3">
      <c r="A307" s="6" t="s">
        <v>540</v>
      </c>
      <c r="B307" t="s">
        <v>760</v>
      </c>
      <c r="C307" t="s">
        <v>292</v>
      </c>
      <c r="D307" t="s">
        <v>293</v>
      </c>
      <c r="E307">
        <v>251.86</v>
      </c>
      <c r="F307" t="s">
        <v>394</v>
      </c>
      <c r="G307" t="s">
        <v>417</v>
      </c>
    </row>
    <row r="308" spans="1:7" x14ac:dyDescent="0.3">
      <c r="A308" s="6" t="s">
        <v>470</v>
      </c>
      <c r="B308" t="s">
        <v>761</v>
      </c>
      <c r="C308" t="s">
        <v>292</v>
      </c>
      <c r="D308" t="s">
        <v>293</v>
      </c>
      <c r="E308">
        <v>261.36</v>
      </c>
      <c r="F308" t="s">
        <v>394</v>
      </c>
      <c r="G308" t="s">
        <v>420</v>
      </c>
    </row>
    <row r="309" spans="1:7" x14ac:dyDescent="0.3">
      <c r="A309" s="6" t="s">
        <v>477</v>
      </c>
      <c r="B309" t="s">
        <v>762</v>
      </c>
      <c r="C309" t="s">
        <v>292</v>
      </c>
      <c r="D309" t="s">
        <v>293</v>
      </c>
      <c r="E309">
        <v>117.2</v>
      </c>
      <c r="F309" t="s">
        <v>394</v>
      </c>
      <c r="G309" t="s">
        <v>426</v>
      </c>
    </row>
    <row r="310" spans="1:7" x14ac:dyDescent="0.3">
      <c r="A310" s="6" t="s">
        <v>524</v>
      </c>
      <c r="B310" t="s">
        <v>763</v>
      </c>
      <c r="C310" t="s">
        <v>296</v>
      </c>
      <c r="D310" t="s">
        <v>297</v>
      </c>
      <c r="E310">
        <v>225.17</v>
      </c>
      <c r="F310" t="s">
        <v>394</v>
      </c>
      <c r="G310" t="s">
        <v>435</v>
      </c>
    </row>
    <row r="311" spans="1:7" x14ac:dyDescent="0.3">
      <c r="A311" s="6" t="s">
        <v>467</v>
      </c>
      <c r="B311" t="s">
        <v>764</v>
      </c>
      <c r="C311" t="s">
        <v>296</v>
      </c>
      <c r="D311" t="s">
        <v>297</v>
      </c>
      <c r="E311">
        <v>241.5</v>
      </c>
      <c r="F311" t="s">
        <v>398</v>
      </c>
      <c r="G311" t="s">
        <v>402</v>
      </c>
    </row>
    <row r="312" spans="1:7" x14ac:dyDescent="0.3">
      <c r="A312" s="6" t="s">
        <v>368</v>
      </c>
      <c r="B312" t="s">
        <v>765</v>
      </c>
      <c r="C312" t="s">
        <v>296</v>
      </c>
      <c r="D312" t="s">
        <v>297</v>
      </c>
      <c r="E312">
        <v>431.62</v>
      </c>
      <c r="F312" t="s">
        <v>407</v>
      </c>
      <c r="G312" t="s">
        <v>405</v>
      </c>
    </row>
    <row r="313" spans="1:7" x14ac:dyDescent="0.3">
      <c r="A313" s="6" t="s">
        <v>439</v>
      </c>
      <c r="B313" t="s">
        <v>766</v>
      </c>
      <c r="C313" t="s">
        <v>296</v>
      </c>
      <c r="D313" t="s">
        <v>297</v>
      </c>
      <c r="E313">
        <v>317.77</v>
      </c>
      <c r="F313" t="s">
        <v>394</v>
      </c>
      <c r="G313" t="s">
        <v>417</v>
      </c>
    </row>
    <row r="314" spans="1:7" x14ac:dyDescent="0.3">
      <c r="A314" s="6" t="s">
        <v>418</v>
      </c>
      <c r="B314" t="s">
        <v>767</v>
      </c>
      <c r="C314" t="s">
        <v>296</v>
      </c>
      <c r="D314" t="s">
        <v>297</v>
      </c>
      <c r="E314">
        <v>317.47000000000003</v>
      </c>
      <c r="F314" t="s">
        <v>407</v>
      </c>
      <c r="G314" t="s">
        <v>420</v>
      </c>
    </row>
    <row r="315" spans="1:7" x14ac:dyDescent="0.3">
      <c r="A315" s="6" t="s">
        <v>568</v>
      </c>
      <c r="B315" t="s">
        <v>768</v>
      </c>
      <c r="C315" t="s">
        <v>296</v>
      </c>
      <c r="D315" t="s">
        <v>297</v>
      </c>
      <c r="E315">
        <v>214.65</v>
      </c>
      <c r="F315" t="s">
        <v>407</v>
      </c>
      <c r="G315" t="s">
        <v>426</v>
      </c>
    </row>
    <row r="316" spans="1:7" x14ac:dyDescent="0.3">
      <c r="A316" s="6" t="s">
        <v>595</v>
      </c>
      <c r="B316" t="s">
        <v>769</v>
      </c>
      <c r="C316" t="s">
        <v>300</v>
      </c>
      <c r="D316" t="s">
        <v>301</v>
      </c>
      <c r="E316">
        <v>338.87</v>
      </c>
      <c r="F316" t="s">
        <v>407</v>
      </c>
      <c r="G316" t="s">
        <v>395</v>
      </c>
    </row>
    <row r="317" spans="1:7" x14ac:dyDescent="0.3">
      <c r="A317" s="6" t="s">
        <v>545</v>
      </c>
      <c r="B317" t="s">
        <v>770</v>
      </c>
      <c r="C317" t="s">
        <v>300</v>
      </c>
      <c r="D317" t="s">
        <v>301</v>
      </c>
      <c r="E317">
        <v>401.49</v>
      </c>
      <c r="F317" t="s">
        <v>398</v>
      </c>
      <c r="G317" t="s">
        <v>432</v>
      </c>
    </row>
    <row r="318" spans="1:7" x14ac:dyDescent="0.3">
      <c r="A318" s="6" t="s">
        <v>433</v>
      </c>
      <c r="B318" t="s">
        <v>771</v>
      </c>
      <c r="C318" t="s">
        <v>300</v>
      </c>
      <c r="D318" t="s">
        <v>301</v>
      </c>
      <c r="E318">
        <v>260.05</v>
      </c>
      <c r="F318" t="s">
        <v>394</v>
      </c>
      <c r="G318" t="s">
        <v>435</v>
      </c>
    </row>
    <row r="319" spans="1:7" x14ac:dyDescent="0.3">
      <c r="A319" s="6" t="s">
        <v>447</v>
      </c>
      <c r="B319" t="s">
        <v>772</v>
      </c>
      <c r="C319" t="s">
        <v>300</v>
      </c>
      <c r="D319" t="s">
        <v>301</v>
      </c>
      <c r="E319">
        <v>248.81</v>
      </c>
      <c r="F319" t="s">
        <v>398</v>
      </c>
      <c r="G319" t="s">
        <v>412</v>
      </c>
    </row>
    <row r="320" spans="1:7" x14ac:dyDescent="0.3">
      <c r="A320" s="6" t="s">
        <v>449</v>
      </c>
      <c r="B320" t="s">
        <v>773</v>
      </c>
      <c r="C320" t="s">
        <v>300</v>
      </c>
      <c r="D320" t="s">
        <v>301</v>
      </c>
      <c r="E320">
        <v>410.94</v>
      </c>
      <c r="F320" t="s">
        <v>398</v>
      </c>
      <c r="G320" t="s">
        <v>402</v>
      </c>
    </row>
    <row r="321" spans="1:7" x14ac:dyDescent="0.3">
      <c r="A321" s="6" t="s">
        <v>366</v>
      </c>
      <c r="B321" t="s">
        <v>774</v>
      </c>
      <c r="C321" t="s">
        <v>300</v>
      </c>
      <c r="D321" t="s">
        <v>301</v>
      </c>
      <c r="E321">
        <v>243.02</v>
      </c>
      <c r="F321" t="s">
        <v>398</v>
      </c>
      <c r="G321" t="s">
        <v>405</v>
      </c>
    </row>
    <row r="322" spans="1:7" x14ac:dyDescent="0.3">
      <c r="A322" s="6" t="s">
        <v>408</v>
      </c>
      <c r="B322" t="s">
        <v>775</v>
      </c>
      <c r="C322" t="s">
        <v>304</v>
      </c>
      <c r="D322" t="s">
        <v>305</v>
      </c>
      <c r="E322">
        <v>211.67</v>
      </c>
      <c r="F322" t="s">
        <v>407</v>
      </c>
      <c r="G322" t="s">
        <v>399</v>
      </c>
    </row>
    <row r="323" spans="1:7" x14ac:dyDescent="0.3">
      <c r="A323" s="6" t="s">
        <v>353</v>
      </c>
      <c r="B323" t="s">
        <v>776</v>
      </c>
      <c r="C323" t="s">
        <v>304</v>
      </c>
      <c r="D323" t="s">
        <v>305</v>
      </c>
      <c r="E323">
        <v>279.20999999999998</v>
      </c>
      <c r="F323" t="s">
        <v>407</v>
      </c>
      <c r="G323" t="s">
        <v>432</v>
      </c>
    </row>
    <row r="324" spans="1:7" x14ac:dyDescent="0.3">
      <c r="A324" s="6" t="s">
        <v>716</v>
      </c>
      <c r="B324" t="s">
        <v>777</v>
      </c>
      <c r="C324" t="s">
        <v>304</v>
      </c>
      <c r="D324" t="s">
        <v>305</v>
      </c>
      <c r="E324">
        <v>208.18</v>
      </c>
      <c r="F324" t="s">
        <v>398</v>
      </c>
      <c r="G324" t="s">
        <v>402</v>
      </c>
    </row>
    <row r="325" spans="1:7" x14ac:dyDescent="0.3">
      <c r="A325" s="6" t="s">
        <v>366</v>
      </c>
      <c r="B325" t="s">
        <v>778</v>
      </c>
      <c r="C325" t="s">
        <v>304</v>
      </c>
      <c r="D325" t="s">
        <v>305</v>
      </c>
      <c r="E325">
        <v>281.39999999999998</v>
      </c>
      <c r="F325" t="s">
        <v>407</v>
      </c>
      <c r="G325" t="s">
        <v>405</v>
      </c>
    </row>
    <row r="326" spans="1:7" x14ac:dyDescent="0.3">
      <c r="A326" s="6" t="s">
        <v>439</v>
      </c>
      <c r="B326" t="s">
        <v>779</v>
      </c>
      <c r="C326" t="s">
        <v>304</v>
      </c>
      <c r="D326" t="s">
        <v>305</v>
      </c>
      <c r="E326">
        <v>208.38</v>
      </c>
      <c r="F326" t="s">
        <v>407</v>
      </c>
      <c r="G326" t="s">
        <v>417</v>
      </c>
    </row>
    <row r="327" spans="1:7" x14ac:dyDescent="0.3">
      <c r="A327" s="6" t="s">
        <v>463</v>
      </c>
      <c r="B327" t="s">
        <v>780</v>
      </c>
      <c r="C327" t="s">
        <v>304</v>
      </c>
      <c r="D327" t="s">
        <v>305</v>
      </c>
      <c r="E327">
        <v>377.66</v>
      </c>
      <c r="F327" t="s">
        <v>394</v>
      </c>
      <c r="G327" t="s">
        <v>420</v>
      </c>
    </row>
    <row r="328" spans="1:7" x14ac:dyDescent="0.3">
      <c r="A328" s="6" t="s">
        <v>568</v>
      </c>
      <c r="B328" t="s">
        <v>781</v>
      </c>
      <c r="C328" t="s">
        <v>304</v>
      </c>
      <c r="D328" t="s">
        <v>305</v>
      </c>
      <c r="E328">
        <v>363.09</v>
      </c>
      <c r="F328" t="s">
        <v>407</v>
      </c>
      <c r="G328" t="s">
        <v>426</v>
      </c>
    </row>
    <row r="329" spans="1:7" x14ac:dyDescent="0.3">
      <c r="A329" s="6" t="s">
        <v>595</v>
      </c>
      <c r="B329" t="s">
        <v>782</v>
      </c>
      <c r="C329" t="s">
        <v>308</v>
      </c>
      <c r="D329" t="s">
        <v>269</v>
      </c>
      <c r="E329">
        <v>328.98</v>
      </c>
      <c r="F329" t="s">
        <v>394</v>
      </c>
      <c r="G329" t="s">
        <v>395</v>
      </c>
    </row>
    <row r="330" spans="1:7" x14ac:dyDescent="0.3">
      <c r="A330" s="6" t="s">
        <v>626</v>
      </c>
      <c r="B330" t="s">
        <v>783</v>
      </c>
      <c r="C330" t="s">
        <v>308</v>
      </c>
      <c r="D330" t="s">
        <v>269</v>
      </c>
      <c r="E330">
        <v>321.75</v>
      </c>
      <c r="F330" t="s">
        <v>407</v>
      </c>
      <c r="G330" t="s">
        <v>399</v>
      </c>
    </row>
    <row r="331" spans="1:7" x14ac:dyDescent="0.3">
      <c r="A331" s="6" t="s">
        <v>353</v>
      </c>
      <c r="B331" t="s">
        <v>784</v>
      </c>
      <c r="C331" t="s">
        <v>308</v>
      </c>
      <c r="D331" t="s">
        <v>269</v>
      </c>
      <c r="E331">
        <v>216.29</v>
      </c>
      <c r="F331" t="s">
        <v>398</v>
      </c>
      <c r="G331" t="s">
        <v>432</v>
      </c>
    </row>
    <row r="332" spans="1:7" x14ac:dyDescent="0.3">
      <c r="A332" s="6" t="s">
        <v>433</v>
      </c>
      <c r="B332" t="s">
        <v>785</v>
      </c>
      <c r="C332" t="s">
        <v>308</v>
      </c>
      <c r="D332" t="s">
        <v>269</v>
      </c>
      <c r="E332">
        <v>203.27</v>
      </c>
      <c r="F332" t="s">
        <v>398</v>
      </c>
      <c r="G332" t="s">
        <v>435</v>
      </c>
    </row>
    <row r="333" spans="1:7" x14ac:dyDescent="0.3">
      <c r="A333" s="6" t="s">
        <v>494</v>
      </c>
      <c r="B333" t="s">
        <v>786</v>
      </c>
      <c r="C333" t="s">
        <v>308</v>
      </c>
      <c r="D333" t="s">
        <v>269</v>
      </c>
      <c r="E333">
        <v>477.4</v>
      </c>
      <c r="F333" t="s">
        <v>398</v>
      </c>
      <c r="G333" t="s">
        <v>412</v>
      </c>
    </row>
    <row r="334" spans="1:7" x14ac:dyDescent="0.3">
      <c r="A334" s="6" t="s">
        <v>672</v>
      </c>
      <c r="B334" t="s">
        <v>787</v>
      </c>
      <c r="C334" t="s">
        <v>308</v>
      </c>
      <c r="D334" t="s">
        <v>269</v>
      </c>
      <c r="E334">
        <v>367.62</v>
      </c>
      <c r="F334" t="s">
        <v>407</v>
      </c>
      <c r="G334" t="s">
        <v>420</v>
      </c>
    </row>
    <row r="335" spans="1:7" x14ac:dyDescent="0.3">
      <c r="A335" s="6" t="s">
        <v>454</v>
      </c>
      <c r="B335" t="s">
        <v>788</v>
      </c>
      <c r="C335" t="s">
        <v>308</v>
      </c>
      <c r="D335" t="s">
        <v>269</v>
      </c>
      <c r="E335">
        <v>456.37</v>
      </c>
      <c r="F335" t="s">
        <v>407</v>
      </c>
      <c r="G335" t="s">
        <v>426</v>
      </c>
    </row>
    <row r="336" spans="1:7" x14ac:dyDescent="0.3">
      <c r="A336" s="6" t="s">
        <v>392</v>
      </c>
      <c r="B336" t="s">
        <v>789</v>
      </c>
      <c r="C336" t="s">
        <v>311</v>
      </c>
      <c r="D336" t="s">
        <v>312</v>
      </c>
      <c r="E336">
        <v>264.57</v>
      </c>
      <c r="F336" t="s">
        <v>398</v>
      </c>
      <c r="G336" t="s">
        <v>395</v>
      </c>
    </row>
    <row r="337" spans="1:7" x14ac:dyDescent="0.3">
      <c r="A337" s="6" t="s">
        <v>445</v>
      </c>
      <c r="B337" t="s">
        <v>790</v>
      </c>
      <c r="C337" t="s">
        <v>311</v>
      </c>
      <c r="D337" t="s">
        <v>312</v>
      </c>
      <c r="E337">
        <v>443.5</v>
      </c>
      <c r="F337" t="s">
        <v>407</v>
      </c>
      <c r="G337" t="s">
        <v>432</v>
      </c>
    </row>
    <row r="338" spans="1:7" x14ac:dyDescent="0.3">
      <c r="A338" s="6" t="s">
        <v>487</v>
      </c>
      <c r="B338" t="s">
        <v>791</v>
      </c>
      <c r="C338" t="s">
        <v>311</v>
      </c>
      <c r="D338" t="s">
        <v>312</v>
      </c>
      <c r="E338">
        <v>359.83</v>
      </c>
      <c r="F338" t="s">
        <v>394</v>
      </c>
      <c r="G338" t="s">
        <v>435</v>
      </c>
    </row>
    <row r="339" spans="1:7" x14ac:dyDescent="0.3">
      <c r="A339" s="6" t="s">
        <v>467</v>
      </c>
      <c r="B339" t="s">
        <v>792</v>
      </c>
      <c r="C339" t="s">
        <v>311</v>
      </c>
      <c r="D339" t="s">
        <v>312</v>
      </c>
      <c r="E339">
        <v>281.35000000000002</v>
      </c>
      <c r="F339" t="s">
        <v>398</v>
      </c>
      <c r="G339" t="s">
        <v>402</v>
      </c>
    </row>
    <row r="340" spans="1:7" x14ac:dyDescent="0.3">
      <c r="A340" s="6" t="s">
        <v>451</v>
      </c>
      <c r="B340" t="s">
        <v>793</v>
      </c>
      <c r="C340" t="s">
        <v>311</v>
      </c>
      <c r="D340" t="s">
        <v>312</v>
      </c>
      <c r="E340">
        <v>382.69</v>
      </c>
      <c r="F340" t="s">
        <v>394</v>
      </c>
      <c r="G340" t="s">
        <v>405</v>
      </c>
    </row>
    <row r="341" spans="1:7" x14ac:dyDescent="0.3">
      <c r="A341" s="6" t="s">
        <v>672</v>
      </c>
      <c r="B341" t="s">
        <v>794</v>
      </c>
      <c r="C341" t="s">
        <v>311</v>
      </c>
      <c r="D341" t="s">
        <v>312</v>
      </c>
      <c r="E341">
        <v>396.14</v>
      </c>
      <c r="F341" t="s">
        <v>394</v>
      </c>
      <c r="G341" t="s">
        <v>420</v>
      </c>
    </row>
    <row r="342" spans="1:7" x14ac:dyDescent="0.3">
      <c r="A342" s="6" t="s">
        <v>454</v>
      </c>
      <c r="B342" t="s">
        <v>795</v>
      </c>
      <c r="C342" t="s">
        <v>311</v>
      </c>
      <c r="D342" t="s">
        <v>312</v>
      </c>
      <c r="E342">
        <v>352.97</v>
      </c>
      <c r="F342" t="s">
        <v>398</v>
      </c>
      <c r="G342" t="s">
        <v>426</v>
      </c>
    </row>
    <row r="343" spans="1:7" x14ac:dyDescent="0.3">
      <c r="A343" s="6" t="s">
        <v>428</v>
      </c>
      <c r="B343" t="s">
        <v>796</v>
      </c>
      <c r="C343" t="s">
        <v>315</v>
      </c>
      <c r="D343" t="s">
        <v>316</v>
      </c>
      <c r="E343">
        <v>296.20999999999998</v>
      </c>
      <c r="F343" t="s">
        <v>407</v>
      </c>
      <c r="G343" t="s">
        <v>399</v>
      </c>
    </row>
    <row r="344" spans="1:7" x14ac:dyDescent="0.3">
      <c r="A344" s="6" t="s">
        <v>545</v>
      </c>
      <c r="B344" t="s">
        <v>797</v>
      </c>
      <c r="C344" t="s">
        <v>315</v>
      </c>
      <c r="D344" t="s">
        <v>316</v>
      </c>
      <c r="E344">
        <v>243.92</v>
      </c>
      <c r="F344" t="s">
        <v>394</v>
      </c>
      <c r="G344" t="s">
        <v>432</v>
      </c>
    </row>
    <row r="345" spans="1:7" x14ac:dyDescent="0.3">
      <c r="A345" s="6" t="s">
        <v>524</v>
      </c>
      <c r="B345" t="s">
        <v>798</v>
      </c>
      <c r="C345" t="s">
        <v>315</v>
      </c>
      <c r="D345" t="s">
        <v>316</v>
      </c>
      <c r="E345">
        <v>464.93</v>
      </c>
      <c r="F345" t="s">
        <v>407</v>
      </c>
      <c r="G345" t="s">
        <v>435</v>
      </c>
    </row>
    <row r="346" spans="1:7" x14ac:dyDescent="0.3">
      <c r="A346" s="6" t="s">
        <v>449</v>
      </c>
      <c r="B346" t="s">
        <v>799</v>
      </c>
      <c r="C346" t="s">
        <v>315</v>
      </c>
      <c r="D346" t="s">
        <v>316</v>
      </c>
      <c r="E346">
        <v>257.24</v>
      </c>
      <c r="F346" t="s">
        <v>394</v>
      </c>
      <c r="G346" t="s">
        <v>402</v>
      </c>
    </row>
    <row r="347" spans="1:7" x14ac:dyDescent="0.3">
      <c r="A347" s="6" t="s">
        <v>504</v>
      </c>
      <c r="B347" t="s">
        <v>800</v>
      </c>
      <c r="C347" t="s">
        <v>315</v>
      </c>
      <c r="D347" t="s">
        <v>316</v>
      </c>
      <c r="E347">
        <v>214.22</v>
      </c>
      <c r="F347" t="s">
        <v>394</v>
      </c>
      <c r="G347" t="s">
        <v>405</v>
      </c>
    </row>
    <row r="348" spans="1:7" x14ac:dyDescent="0.3">
      <c r="A348" s="6" t="s">
        <v>672</v>
      </c>
      <c r="B348" t="s">
        <v>801</v>
      </c>
      <c r="C348" t="s">
        <v>315</v>
      </c>
      <c r="D348" t="s">
        <v>316</v>
      </c>
      <c r="E348">
        <v>414.01</v>
      </c>
      <c r="F348" t="s">
        <v>398</v>
      </c>
      <c r="G348" t="s">
        <v>420</v>
      </c>
    </row>
    <row r="349" spans="1:7" x14ac:dyDescent="0.3">
      <c r="A349" s="6" t="s">
        <v>456</v>
      </c>
      <c r="B349" t="s">
        <v>802</v>
      </c>
      <c r="C349" t="s">
        <v>319</v>
      </c>
      <c r="D349" t="s">
        <v>320</v>
      </c>
      <c r="E349">
        <v>414.08</v>
      </c>
      <c r="F349" t="s">
        <v>394</v>
      </c>
      <c r="G349" t="s">
        <v>395</v>
      </c>
    </row>
    <row r="350" spans="1:7" x14ac:dyDescent="0.3">
      <c r="A350" s="6" t="s">
        <v>516</v>
      </c>
      <c r="B350" t="s">
        <v>803</v>
      </c>
      <c r="C350" t="s">
        <v>319</v>
      </c>
      <c r="D350" t="s">
        <v>320</v>
      </c>
      <c r="E350">
        <v>318.05</v>
      </c>
      <c r="F350" t="s">
        <v>407</v>
      </c>
      <c r="G350" t="s">
        <v>399</v>
      </c>
    </row>
    <row r="351" spans="1:7" x14ac:dyDescent="0.3">
      <c r="A351" s="6" t="s">
        <v>545</v>
      </c>
      <c r="B351" t="s">
        <v>804</v>
      </c>
      <c r="C351" t="s">
        <v>319</v>
      </c>
      <c r="D351" t="s">
        <v>320</v>
      </c>
      <c r="E351">
        <v>386.79</v>
      </c>
      <c r="F351" t="s">
        <v>394</v>
      </c>
      <c r="G351" t="s">
        <v>432</v>
      </c>
    </row>
    <row r="352" spans="1:7" x14ac:dyDescent="0.3">
      <c r="A352" s="6" t="s">
        <v>481</v>
      </c>
      <c r="B352" t="s">
        <v>805</v>
      </c>
      <c r="C352" t="s">
        <v>319</v>
      </c>
      <c r="D352" t="s">
        <v>320</v>
      </c>
      <c r="E352">
        <v>367.85</v>
      </c>
      <c r="F352" t="s">
        <v>398</v>
      </c>
      <c r="G352" t="s">
        <v>435</v>
      </c>
    </row>
    <row r="353" spans="1:7" x14ac:dyDescent="0.3">
      <c r="A353" s="6" t="s">
        <v>494</v>
      </c>
      <c r="B353" t="s">
        <v>806</v>
      </c>
      <c r="C353" t="s">
        <v>319</v>
      </c>
      <c r="D353" t="s">
        <v>320</v>
      </c>
      <c r="E353">
        <v>259.39</v>
      </c>
      <c r="F353" t="s">
        <v>394</v>
      </c>
      <c r="G353" t="s">
        <v>412</v>
      </c>
    </row>
    <row r="354" spans="1:7" x14ac:dyDescent="0.3">
      <c r="A354" s="6" t="s">
        <v>467</v>
      </c>
      <c r="B354" t="s">
        <v>807</v>
      </c>
      <c r="C354" t="s">
        <v>319</v>
      </c>
      <c r="D354" t="s">
        <v>320</v>
      </c>
      <c r="E354">
        <v>470.09</v>
      </c>
      <c r="F354" t="s">
        <v>407</v>
      </c>
      <c r="G354" t="s">
        <v>402</v>
      </c>
    </row>
    <row r="355" spans="1:7" x14ac:dyDescent="0.3">
      <c r="A355" s="6" t="s">
        <v>504</v>
      </c>
      <c r="B355" t="s">
        <v>808</v>
      </c>
      <c r="C355" t="s">
        <v>319</v>
      </c>
      <c r="D355" t="s">
        <v>320</v>
      </c>
      <c r="E355">
        <v>297.94</v>
      </c>
      <c r="F355" t="s">
        <v>398</v>
      </c>
      <c r="G355" t="s">
        <v>405</v>
      </c>
    </row>
    <row r="356" spans="1:7" x14ac:dyDescent="0.3">
      <c r="A356" s="6" t="s">
        <v>477</v>
      </c>
      <c r="B356" t="s">
        <v>809</v>
      </c>
      <c r="C356" t="s">
        <v>319</v>
      </c>
      <c r="D356" t="s">
        <v>320</v>
      </c>
      <c r="E356">
        <v>324.95999999999998</v>
      </c>
      <c r="F356" t="s">
        <v>407</v>
      </c>
      <c r="G356" t="s">
        <v>426</v>
      </c>
    </row>
    <row r="357" spans="1:7" x14ac:dyDescent="0.3">
      <c r="A357" s="6" t="s">
        <v>443</v>
      </c>
      <c r="B357" t="s">
        <v>810</v>
      </c>
      <c r="C357" t="s">
        <v>323</v>
      </c>
      <c r="D357" t="s">
        <v>324</v>
      </c>
      <c r="E357">
        <v>122.92</v>
      </c>
      <c r="F357" t="s">
        <v>407</v>
      </c>
      <c r="G357" t="s">
        <v>399</v>
      </c>
    </row>
    <row r="358" spans="1:7" x14ac:dyDescent="0.3">
      <c r="A358" s="6" t="s">
        <v>447</v>
      </c>
      <c r="B358" t="s">
        <v>811</v>
      </c>
      <c r="C358" t="s">
        <v>323</v>
      </c>
      <c r="D358" t="s">
        <v>324</v>
      </c>
      <c r="E358">
        <v>208.83</v>
      </c>
      <c r="F358" t="s">
        <v>394</v>
      </c>
      <c r="G358" t="s">
        <v>412</v>
      </c>
    </row>
    <row r="359" spans="1:7" x14ac:dyDescent="0.3">
      <c r="A359" s="6" t="s">
        <v>365</v>
      </c>
      <c r="B359" t="s">
        <v>812</v>
      </c>
      <c r="C359" t="s">
        <v>323</v>
      </c>
      <c r="D359" t="s">
        <v>324</v>
      </c>
      <c r="E359">
        <v>258.64999999999998</v>
      </c>
      <c r="F359" t="s">
        <v>394</v>
      </c>
      <c r="G359" t="s">
        <v>402</v>
      </c>
    </row>
    <row r="360" spans="1:7" x14ac:dyDescent="0.3">
      <c r="A360" s="6" t="s">
        <v>403</v>
      </c>
      <c r="B360" t="s">
        <v>813</v>
      </c>
      <c r="C360" t="s">
        <v>323</v>
      </c>
      <c r="D360" t="s">
        <v>324</v>
      </c>
      <c r="E360">
        <v>128.34</v>
      </c>
      <c r="F360" t="s">
        <v>394</v>
      </c>
      <c r="G360" t="s">
        <v>405</v>
      </c>
    </row>
    <row r="361" spans="1:7" x14ac:dyDescent="0.3">
      <c r="A361" s="6" t="s">
        <v>492</v>
      </c>
      <c r="B361" t="s">
        <v>814</v>
      </c>
      <c r="C361" t="s">
        <v>323</v>
      </c>
      <c r="D361" t="s">
        <v>324</v>
      </c>
      <c r="E361">
        <v>190.83</v>
      </c>
      <c r="F361" t="s">
        <v>398</v>
      </c>
      <c r="G361" t="s">
        <v>417</v>
      </c>
    </row>
    <row r="362" spans="1:7" x14ac:dyDescent="0.3">
      <c r="A362" s="6" t="s">
        <v>418</v>
      </c>
      <c r="B362" t="s">
        <v>815</v>
      </c>
      <c r="C362" t="s">
        <v>323</v>
      </c>
      <c r="D362" t="s">
        <v>324</v>
      </c>
      <c r="E362">
        <v>256.11</v>
      </c>
      <c r="F362" t="s">
        <v>394</v>
      </c>
      <c r="G362" t="s">
        <v>420</v>
      </c>
    </row>
    <row r="363" spans="1:7" x14ac:dyDescent="0.3">
      <c r="A363" s="6" t="s">
        <v>579</v>
      </c>
      <c r="B363" t="s">
        <v>816</v>
      </c>
      <c r="C363" t="s">
        <v>323</v>
      </c>
      <c r="D363" t="s">
        <v>324</v>
      </c>
      <c r="E363">
        <v>253.66</v>
      </c>
      <c r="F363" t="s">
        <v>407</v>
      </c>
      <c r="G363" t="s">
        <v>426</v>
      </c>
    </row>
    <row r="364" spans="1:7" x14ac:dyDescent="0.3">
      <c r="A364" s="6"/>
    </row>
    <row r="365" spans="1:7" x14ac:dyDescent="0.3">
      <c r="A365" s="6"/>
    </row>
    <row r="366" spans="1:7" x14ac:dyDescent="0.3">
      <c r="A366" s="6"/>
    </row>
    <row r="367" spans="1:7" x14ac:dyDescent="0.3">
      <c r="A367" s="6"/>
    </row>
    <row r="368" spans="1:7" x14ac:dyDescent="0.3">
      <c r="A368" s="6"/>
    </row>
    <row r="369" spans="1:1" x14ac:dyDescent="0.3">
      <c r="A369" s="6"/>
    </row>
    <row r="370" spans="1:1" x14ac:dyDescent="0.3">
      <c r="A370" s="6"/>
    </row>
    <row r="371" spans="1:1" x14ac:dyDescent="0.3">
      <c r="A371" s="6"/>
    </row>
    <row r="372" spans="1:1" x14ac:dyDescent="0.3">
      <c r="A372" s="6"/>
    </row>
    <row r="373" spans="1:1" x14ac:dyDescent="0.3">
      <c r="A373" s="6"/>
    </row>
    <row r="374" spans="1:1" x14ac:dyDescent="0.3">
      <c r="A374" s="6"/>
    </row>
    <row r="375" spans="1:1" x14ac:dyDescent="0.3">
      <c r="A375" s="6"/>
    </row>
    <row r="376" spans="1:1" x14ac:dyDescent="0.3">
      <c r="A376" s="6"/>
    </row>
    <row r="377" spans="1:1" x14ac:dyDescent="0.3">
      <c r="A377" s="6"/>
    </row>
    <row r="378" spans="1:1" x14ac:dyDescent="0.3">
      <c r="A378" s="6"/>
    </row>
    <row r="379" spans="1:1" x14ac:dyDescent="0.3">
      <c r="A379" s="6"/>
    </row>
    <row r="380" spans="1:1" x14ac:dyDescent="0.3">
      <c r="A380" s="6"/>
    </row>
    <row r="381" spans="1:1" x14ac:dyDescent="0.3">
      <c r="A381" s="6"/>
    </row>
    <row r="382" spans="1:1" x14ac:dyDescent="0.3">
      <c r="A382" s="6"/>
    </row>
    <row r="383" spans="1:1" x14ac:dyDescent="0.3">
      <c r="A383" s="6"/>
    </row>
    <row r="384" spans="1:1" x14ac:dyDescent="0.3">
      <c r="A384" s="6"/>
    </row>
    <row r="385" spans="1:1" x14ac:dyDescent="0.3">
      <c r="A385" s="6"/>
    </row>
    <row r="386" spans="1:1" x14ac:dyDescent="0.3">
      <c r="A386" s="6"/>
    </row>
    <row r="387" spans="1:1" x14ac:dyDescent="0.3">
      <c r="A387" s="6"/>
    </row>
    <row r="388" spans="1:1" x14ac:dyDescent="0.3">
      <c r="A388" s="6"/>
    </row>
    <row r="389" spans="1:1" x14ac:dyDescent="0.3">
      <c r="A389" s="6"/>
    </row>
    <row r="390" spans="1:1" x14ac:dyDescent="0.3">
      <c r="A390" s="6"/>
    </row>
    <row r="391" spans="1:1" x14ac:dyDescent="0.3">
      <c r="A391" s="6"/>
    </row>
    <row r="392" spans="1:1" x14ac:dyDescent="0.3">
      <c r="A392" s="6"/>
    </row>
    <row r="393" spans="1:1" x14ac:dyDescent="0.3">
      <c r="A393" s="6"/>
    </row>
    <row r="394" spans="1:1" x14ac:dyDescent="0.3">
      <c r="A394" s="6"/>
    </row>
    <row r="395" spans="1:1" x14ac:dyDescent="0.3">
      <c r="A395" s="6"/>
    </row>
    <row r="396" spans="1:1" x14ac:dyDescent="0.3">
      <c r="A396" s="6"/>
    </row>
    <row r="397" spans="1:1" x14ac:dyDescent="0.3">
      <c r="A397" s="6"/>
    </row>
    <row r="398" spans="1:1" x14ac:dyDescent="0.3">
      <c r="A398" s="6"/>
    </row>
    <row r="399" spans="1:1" x14ac:dyDescent="0.3">
      <c r="A399" s="6"/>
    </row>
    <row r="400" spans="1:1" x14ac:dyDescent="0.3">
      <c r="A400" s="6"/>
    </row>
    <row r="401" spans="1:1" x14ac:dyDescent="0.3">
      <c r="A401" s="6"/>
    </row>
    <row r="402" spans="1:1" x14ac:dyDescent="0.3">
      <c r="A402" s="6"/>
    </row>
    <row r="403" spans="1:1" x14ac:dyDescent="0.3">
      <c r="A403" s="6"/>
    </row>
    <row r="404" spans="1:1" x14ac:dyDescent="0.3">
      <c r="A404" s="6"/>
    </row>
    <row r="405" spans="1:1" x14ac:dyDescent="0.3">
      <c r="A405" s="6"/>
    </row>
    <row r="406" spans="1:1" x14ac:dyDescent="0.3">
      <c r="A406" s="6"/>
    </row>
    <row r="407" spans="1:1" x14ac:dyDescent="0.3">
      <c r="A407" s="6"/>
    </row>
    <row r="408" spans="1:1" x14ac:dyDescent="0.3">
      <c r="A408" s="6"/>
    </row>
    <row r="409" spans="1:1" x14ac:dyDescent="0.3">
      <c r="A409" s="6"/>
    </row>
    <row r="410" spans="1:1" x14ac:dyDescent="0.3">
      <c r="A410" s="6"/>
    </row>
    <row r="411" spans="1:1" x14ac:dyDescent="0.3">
      <c r="A411" s="6"/>
    </row>
    <row r="412" spans="1:1" x14ac:dyDescent="0.3">
      <c r="A412" s="6"/>
    </row>
    <row r="413" spans="1:1" x14ac:dyDescent="0.3">
      <c r="A413" s="6"/>
    </row>
    <row r="414" spans="1:1" x14ac:dyDescent="0.3">
      <c r="A414" s="6"/>
    </row>
    <row r="415" spans="1:1" x14ac:dyDescent="0.3">
      <c r="A415" s="6"/>
    </row>
    <row r="416" spans="1:1" x14ac:dyDescent="0.3">
      <c r="A416" s="6"/>
    </row>
    <row r="417" spans="1:1" x14ac:dyDescent="0.3">
      <c r="A417" s="6"/>
    </row>
    <row r="418" spans="1:1" x14ac:dyDescent="0.3">
      <c r="A418" s="6"/>
    </row>
    <row r="419" spans="1:1" x14ac:dyDescent="0.3">
      <c r="A419" s="6"/>
    </row>
    <row r="420" spans="1:1" x14ac:dyDescent="0.3">
      <c r="A420" s="6"/>
    </row>
    <row r="421" spans="1:1" x14ac:dyDescent="0.3">
      <c r="A421" s="6"/>
    </row>
    <row r="422" spans="1:1" x14ac:dyDescent="0.3">
      <c r="A422" s="6"/>
    </row>
    <row r="423" spans="1:1" x14ac:dyDescent="0.3">
      <c r="A423" s="6"/>
    </row>
    <row r="424" spans="1:1" x14ac:dyDescent="0.3">
      <c r="A424" s="6"/>
    </row>
    <row r="425" spans="1:1" x14ac:dyDescent="0.3">
      <c r="A425" s="6"/>
    </row>
    <row r="426" spans="1:1" x14ac:dyDescent="0.3">
      <c r="A426" s="6"/>
    </row>
    <row r="427" spans="1:1" x14ac:dyDescent="0.3">
      <c r="A427" s="6"/>
    </row>
    <row r="428" spans="1:1" x14ac:dyDescent="0.3">
      <c r="A428" s="6"/>
    </row>
    <row r="429" spans="1:1" x14ac:dyDescent="0.3">
      <c r="A429" s="6"/>
    </row>
    <row r="430" spans="1:1" x14ac:dyDescent="0.3">
      <c r="A430" s="6"/>
    </row>
    <row r="431" spans="1:1" x14ac:dyDescent="0.3">
      <c r="A431" s="6"/>
    </row>
    <row r="432" spans="1:1" x14ac:dyDescent="0.3">
      <c r="A432" s="6"/>
    </row>
    <row r="433" spans="1:1" x14ac:dyDescent="0.3">
      <c r="A433" s="6"/>
    </row>
    <row r="434" spans="1:1" x14ac:dyDescent="0.3">
      <c r="A434" s="6"/>
    </row>
    <row r="435" spans="1:1" x14ac:dyDescent="0.3">
      <c r="A435" s="6"/>
    </row>
    <row r="436" spans="1:1" x14ac:dyDescent="0.3">
      <c r="A436" s="6"/>
    </row>
    <row r="437" spans="1:1" x14ac:dyDescent="0.3">
      <c r="A437" s="6"/>
    </row>
    <row r="438" spans="1:1" x14ac:dyDescent="0.3">
      <c r="A438" s="6"/>
    </row>
    <row r="439" spans="1:1" x14ac:dyDescent="0.3">
      <c r="A439" s="6"/>
    </row>
    <row r="440" spans="1:1" x14ac:dyDescent="0.3">
      <c r="A440" s="6"/>
    </row>
    <row r="441" spans="1:1" x14ac:dyDescent="0.3">
      <c r="A441" s="6"/>
    </row>
    <row r="442" spans="1:1" x14ac:dyDescent="0.3">
      <c r="A442" s="6"/>
    </row>
    <row r="443" spans="1:1" x14ac:dyDescent="0.3">
      <c r="A443" s="6"/>
    </row>
    <row r="444" spans="1:1" x14ac:dyDescent="0.3">
      <c r="A444" s="6"/>
    </row>
    <row r="445" spans="1:1" x14ac:dyDescent="0.3">
      <c r="A445" s="6"/>
    </row>
    <row r="446" spans="1:1" x14ac:dyDescent="0.3">
      <c r="A446" s="6"/>
    </row>
    <row r="447" spans="1:1" x14ac:dyDescent="0.3">
      <c r="A447" s="6"/>
    </row>
    <row r="448" spans="1:1" x14ac:dyDescent="0.3">
      <c r="A448" s="6"/>
    </row>
    <row r="449" spans="1:1" x14ac:dyDescent="0.3">
      <c r="A449" s="6"/>
    </row>
    <row r="450" spans="1:1" x14ac:dyDescent="0.3">
      <c r="A450" s="6"/>
    </row>
    <row r="451" spans="1:1" x14ac:dyDescent="0.3">
      <c r="A451" s="6"/>
    </row>
    <row r="452" spans="1:1" x14ac:dyDescent="0.3">
      <c r="A452" s="6"/>
    </row>
    <row r="453" spans="1:1" x14ac:dyDescent="0.3">
      <c r="A453" s="6"/>
    </row>
    <row r="454" spans="1:1" x14ac:dyDescent="0.3">
      <c r="A454" s="6"/>
    </row>
    <row r="455" spans="1:1" x14ac:dyDescent="0.3">
      <c r="A455" s="6"/>
    </row>
    <row r="456" spans="1:1" x14ac:dyDescent="0.3">
      <c r="A456" s="6"/>
    </row>
    <row r="457" spans="1:1" x14ac:dyDescent="0.3">
      <c r="A457" s="6"/>
    </row>
    <row r="458" spans="1:1" x14ac:dyDescent="0.3">
      <c r="A458" s="6"/>
    </row>
    <row r="459" spans="1:1" x14ac:dyDescent="0.3">
      <c r="A459" s="6"/>
    </row>
    <row r="460" spans="1:1" x14ac:dyDescent="0.3">
      <c r="A460" s="6"/>
    </row>
    <row r="461" spans="1:1" x14ac:dyDescent="0.3">
      <c r="A461" s="6"/>
    </row>
    <row r="462" spans="1:1" x14ac:dyDescent="0.3">
      <c r="A462" s="6"/>
    </row>
    <row r="463" spans="1:1" x14ac:dyDescent="0.3">
      <c r="A463" s="6"/>
    </row>
    <row r="464" spans="1:1" x14ac:dyDescent="0.3">
      <c r="A464" s="6"/>
    </row>
    <row r="465" spans="1:1" x14ac:dyDescent="0.3">
      <c r="A465" s="6"/>
    </row>
    <row r="466" spans="1:1" x14ac:dyDescent="0.3">
      <c r="A466" s="6"/>
    </row>
    <row r="467" spans="1:1" x14ac:dyDescent="0.3">
      <c r="A467" s="6"/>
    </row>
    <row r="468" spans="1:1" x14ac:dyDescent="0.3">
      <c r="A468" s="6"/>
    </row>
    <row r="469" spans="1:1" x14ac:dyDescent="0.3">
      <c r="A469" s="6"/>
    </row>
    <row r="470" spans="1:1" x14ac:dyDescent="0.3">
      <c r="A470" s="6"/>
    </row>
    <row r="471" spans="1:1" x14ac:dyDescent="0.3">
      <c r="A471" s="6"/>
    </row>
    <row r="472" spans="1:1" x14ac:dyDescent="0.3">
      <c r="A472" s="6"/>
    </row>
    <row r="473" spans="1:1" x14ac:dyDescent="0.3">
      <c r="A473" s="6"/>
    </row>
    <row r="474" spans="1:1" x14ac:dyDescent="0.3">
      <c r="A474" s="6"/>
    </row>
    <row r="475" spans="1:1" x14ac:dyDescent="0.3">
      <c r="A475" s="6"/>
    </row>
    <row r="476" spans="1:1" x14ac:dyDescent="0.3">
      <c r="A476" s="6"/>
    </row>
    <row r="477" spans="1:1" x14ac:dyDescent="0.3">
      <c r="A477" s="6"/>
    </row>
    <row r="478" spans="1:1" x14ac:dyDescent="0.3">
      <c r="A478" s="6"/>
    </row>
    <row r="479" spans="1:1" x14ac:dyDescent="0.3">
      <c r="A479" s="6"/>
    </row>
    <row r="480" spans="1:1" x14ac:dyDescent="0.3">
      <c r="A480" s="6"/>
    </row>
    <row r="481" spans="1:1" x14ac:dyDescent="0.3">
      <c r="A481" s="6"/>
    </row>
    <row r="482" spans="1:1" x14ac:dyDescent="0.3">
      <c r="A482" s="6"/>
    </row>
    <row r="483" spans="1:1" x14ac:dyDescent="0.3">
      <c r="A483" s="6"/>
    </row>
    <row r="484" spans="1:1" x14ac:dyDescent="0.3">
      <c r="A484" s="6"/>
    </row>
    <row r="485" spans="1:1" x14ac:dyDescent="0.3">
      <c r="A485" s="6"/>
    </row>
    <row r="486" spans="1:1" x14ac:dyDescent="0.3">
      <c r="A486" s="6"/>
    </row>
    <row r="487" spans="1:1" x14ac:dyDescent="0.3">
      <c r="A487" s="6"/>
    </row>
    <row r="488" spans="1:1" x14ac:dyDescent="0.3">
      <c r="A488" s="6"/>
    </row>
    <row r="489" spans="1:1" x14ac:dyDescent="0.3">
      <c r="A489" s="6"/>
    </row>
    <row r="490" spans="1:1" x14ac:dyDescent="0.3">
      <c r="A490" s="6"/>
    </row>
    <row r="491" spans="1:1" x14ac:dyDescent="0.3">
      <c r="A491" s="6"/>
    </row>
    <row r="492" spans="1:1" x14ac:dyDescent="0.3">
      <c r="A492" s="6"/>
    </row>
    <row r="493" spans="1:1" x14ac:dyDescent="0.3">
      <c r="A493" s="6"/>
    </row>
    <row r="494" spans="1:1" x14ac:dyDescent="0.3">
      <c r="A494" s="6"/>
    </row>
    <row r="495" spans="1:1" x14ac:dyDescent="0.3">
      <c r="A495" s="6"/>
    </row>
    <row r="496" spans="1:1" x14ac:dyDescent="0.3">
      <c r="A496" s="6"/>
    </row>
    <row r="497" spans="1:1" x14ac:dyDescent="0.3">
      <c r="A497" s="6"/>
    </row>
    <row r="498" spans="1:1" x14ac:dyDescent="0.3">
      <c r="A498" s="6"/>
    </row>
    <row r="499" spans="1:1" x14ac:dyDescent="0.3">
      <c r="A499" s="6"/>
    </row>
    <row r="500" spans="1:1" x14ac:dyDescent="0.3">
      <c r="A500" s="6"/>
    </row>
    <row r="501" spans="1:1" x14ac:dyDescent="0.3">
      <c r="A501" s="6"/>
    </row>
    <row r="502" spans="1:1" x14ac:dyDescent="0.3">
      <c r="A502" s="6"/>
    </row>
    <row r="503" spans="1:1" x14ac:dyDescent="0.3">
      <c r="A503" s="6"/>
    </row>
    <row r="504" spans="1:1" x14ac:dyDescent="0.3">
      <c r="A504" s="6"/>
    </row>
    <row r="505" spans="1:1" x14ac:dyDescent="0.3">
      <c r="A505" s="6"/>
    </row>
    <row r="506" spans="1:1" x14ac:dyDescent="0.3">
      <c r="A506" s="6"/>
    </row>
    <row r="507" spans="1:1" x14ac:dyDescent="0.3">
      <c r="A507" s="6"/>
    </row>
    <row r="508" spans="1:1" x14ac:dyDescent="0.3">
      <c r="A508" s="6"/>
    </row>
    <row r="509" spans="1:1" x14ac:dyDescent="0.3">
      <c r="A509" s="6"/>
    </row>
    <row r="510" spans="1:1" x14ac:dyDescent="0.3">
      <c r="A510" s="6"/>
    </row>
    <row r="511" spans="1:1" x14ac:dyDescent="0.3">
      <c r="A511" s="6"/>
    </row>
    <row r="512" spans="1:1" x14ac:dyDescent="0.3">
      <c r="A512" s="6"/>
    </row>
    <row r="513" spans="1:1" x14ac:dyDescent="0.3">
      <c r="A513" s="6"/>
    </row>
    <row r="514" spans="1:1" x14ac:dyDescent="0.3">
      <c r="A514" s="6"/>
    </row>
    <row r="515" spans="1:1" x14ac:dyDescent="0.3">
      <c r="A515" s="6"/>
    </row>
    <row r="516" spans="1:1" x14ac:dyDescent="0.3">
      <c r="A516" s="6"/>
    </row>
    <row r="517" spans="1:1" x14ac:dyDescent="0.3">
      <c r="A517" s="6"/>
    </row>
    <row r="518" spans="1:1" x14ac:dyDescent="0.3">
      <c r="A518" s="6"/>
    </row>
    <row r="519" spans="1:1" x14ac:dyDescent="0.3">
      <c r="A519" s="6"/>
    </row>
    <row r="520" spans="1:1" x14ac:dyDescent="0.3">
      <c r="A520" s="6"/>
    </row>
    <row r="521" spans="1:1" x14ac:dyDescent="0.3">
      <c r="A521" s="6"/>
    </row>
    <row r="522" spans="1:1" x14ac:dyDescent="0.3">
      <c r="A522" s="6"/>
    </row>
    <row r="523" spans="1:1" x14ac:dyDescent="0.3">
      <c r="A523" s="6"/>
    </row>
    <row r="524" spans="1:1" x14ac:dyDescent="0.3">
      <c r="A524" s="6"/>
    </row>
    <row r="525" spans="1:1" x14ac:dyDescent="0.3">
      <c r="A525" s="6"/>
    </row>
    <row r="526" spans="1:1" x14ac:dyDescent="0.3">
      <c r="A526" s="6"/>
    </row>
    <row r="527" spans="1:1" x14ac:dyDescent="0.3">
      <c r="A527" s="6"/>
    </row>
    <row r="528" spans="1:1" x14ac:dyDescent="0.3">
      <c r="A528" s="6"/>
    </row>
    <row r="529" spans="1:1" x14ac:dyDescent="0.3">
      <c r="A529" s="6"/>
    </row>
    <row r="530" spans="1:1" x14ac:dyDescent="0.3">
      <c r="A530" s="6"/>
    </row>
    <row r="531" spans="1:1" x14ac:dyDescent="0.3">
      <c r="A531" s="6"/>
    </row>
    <row r="532" spans="1:1" x14ac:dyDescent="0.3">
      <c r="A532" s="6"/>
    </row>
    <row r="533" spans="1:1" x14ac:dyDescent="0.3">
      <c r="A533" s="6"/>
    </row>
    <row r="534" spans="1:1" x14ac:dyDescent="0.3">
      <c r="A534" s="6"/>
    </row>
    <row r="535" spans="1:1" x14ac:dyDescent="0.3">
      <c r="A535" s="6"/>
    </row>
    <row r="536" spans="1:1" x14ac:dyDescent="0.3">
      <c r="A536" s="6"/>
    </row>
    <row r="537" spans="1:1" x14ac:dyDescent="0.3">
      <c r="A537" s="6"/>
    </row>
    <row r="538" spans="1:1" x14ac:dyDescent="0.3">
      <c r="A538" s="6"/>
    </row>
    <row r="539" spans="1:1" x14ac:dyDescent="0.3">
      <c r="A539" s="6"/>
    </row>
    <row r="540" spans="1:1" x14ac:dyDescent="0.3">
      <c r="A540" s="6"/>
    </row>
    <row r="541" spans="1:1" x14ac:dyDescent="0.3">
      <c r="A541" s="6"/>
    </row>
    <row r="542" spans="1:1" x14ac:dyDescent="0.3">
      <c r="A542" s="6"/>
    </row>
    <row r="543" spans="1:1" x14ac:dyDescent="0.3">
      <c r="A543" s="6"/>
    </row>
    <row r="544" spans="1:1" x14ac:dyDescent="0.3">
      <c r="A544" s="6"/>
    </row>
    <row r="545" spans="1:1" x14ac:dyDescent="0.3">
      <c r="A545" s="6"/>
    </row>
    <row r="546" spans="1:1" x14ac:dyDescent="0.3">
      <c r="A546" s="6"/>
    </row>
    <row r="547" spans="1:1" x14ac:dyDescent="0.3">
      <c r="A547" s="6"/>
    </row>
    <row r="548" spans="1:1" x14ac:dyDescent="0.3">
      <c r="A548" s="6"/>
    </row>
    <row r="549" spans="1:1" x14ac:dyDescent="0.3">
      <c r="A549" s="6"/>
    </row>
    <row r="550" spans="1:1" x14ac:dyDescent="0.3">
      <c r="A550" s="6"/>
    </row>
    <row r="551" spans="1:1" x14ac:dyDescent="0.3">
      <c r="A551" s="6"/>
    </row>
    <row r="552" spans="1:1" x14ac:dyDescent="0.3">
      <c r="A552" s="6"/>
    </row>
    <row r="553" spans="1:1" x14ac:dyDescent="0.3">
      <c r="A553" s="6"/>
    </row>
    <row r="554" spans="1:1" x14ac:dyDescent="0.3">
      <c r="A554" s="6"/>
    </row>
    <row r="555" spans="1:1" x14ac:dyDescent="0.3">
      <c r="A555" s="6"/>
    </row>
    <row r="556" spans="1:1" x14ac:dyDescent="0.3">
      <c r="A556" s="6"/>
    </row>
    <row r="557" spans="1:1" x14ac:dyDescent="0.3">
      <c r="A557" s="6"/>
    </row>
    <row r="558" spans="1:1" x14ac:dyDescent="0.3">
      <c r="A558" s="6"/>
    </row>
    <row r="559" spans="1:1" x14ac:dyDescent="0.3">
      <c r="A559" s="6"/>
    </row>
    <row r="560" spans="1:1" x14ac:dyDescent="0.3">
      <c r="A560" s="6"/>
    </row>
    <row r="561" spans="1:1" x14ac:dyDescent="0.3">
      <c r="A561" s="6"/>
    </row>
    <row r="562" spans="1:1" x14ac:dyDescent="0.3">
      <c r="A562" s="6"/>
    </row>
    <row r="563" spans="1:1" x14ac:dyDescent="0.3">
      <c r="A563" s="6"/>
    </row>
    <row r="564" spans="1:1" x14ac:dyDescent="0.3">
      <c r="A564" s="6"/>
    </row>
    <row r="565" spans="1:1" x14ac:dyDescent="0.3">
      <c r="A565" s="6"/>
    </row>
    <row r="566" spans="1:1" x14ac:dyDescent="0.3">
      <c r="A566" s="6"/>
    </row>
    <row r="567" spans="1:1" x14ac:dyDescent="0.3">
      <c r="A567" s="6"/>
    </row>
    <row r="568" spans="1:1" x14ac:dyDescent="0.3">
      <c r="A568" s="6"/>
    </row>
    <row r="569" spans="1:1" x14ac:dyDescent="0.3">
      <c r="A569" s="6"/>
    </row>
    <row r="570" spans="1:1" x14ac:dyDescent="0.3">
      <c r="A570" s="6"/>
    </row>
    <row r="571" spans="1:1" x14ac:dyDescent="0.3">
      <c r="A571" s="6"/>
    </row>
    <row r="572" spans="1:1" x14ac:dyDescent="0.3">
      <c r="A572" s="6"/>
    </row>
    <row r="573" spans="1:1" x14ac:dyDescent="0.3">
      <c r="A573" s="6"/>
    </row>
    <row r="574" spans="1:1" x14ac:dyDescent="0.3">
      <c r="A574" s="6"/>
    </row>
    <row r="575" spans="1:1" x14ac:dyDescent="0.3">
      <c r="A575" s="6"/>
    </row>
    <row r="576" spans="1:1" x14ac:dyDescent="0.3">
      <c r="A576" s="6"/>
    </row>
    <row r="577" spans="1:1" x14ac:dyDescent="0.3">
      <c r="A577" s="6"/>
    </row>
    <row r="578" spans="1:1" x14ac:dyDescent="0.3">
      <c r="A578" s="6"/>
    </row>
    <row r="579" spans="1:1" x14ac:dyDescent="0.3">
      <c r="A579" s="6"/>
    </row>
    <row r="580" spans="1:1" x14ac:dyDescent="0.3">
      <c r="A580" s="6"/>
    </row>
    <row r="581" spans="1:1" x14ac:dyDescent="0.3">
      <c r="A581" s="6"/>
    </row>
    <row r="582" spans="1:1" x14ac:dyDescent="0.3">
      <c r="A582" s="6"/>
    </row>
    <row r="583" spans="1:1" x14ac:dyDescent="0.3">
      <c r="A583" s="6"/>
    </row>
    <row r="584" spans="1:1" x14ac:dyDescent="0.3">
      <c r="A584" s="6"/>
    </row>
    <row r="585" spans="1:1" x14ac:dyDescent="0.3">
      <c r="A585" s="6"/>
    </row>
    <row r="586" spans="1:1" x14ac:dyDescent="0.3">
      <c r="A586" s="6"/>
    </row>
    <row r="587" spans="1:1" x14ac:dyDescent="0.3">
      <c r="A587" s="6"/>
    </row>
    <row r="588" spans="1:1" x14ac:dyDescent="0.3">
      <c r="A588" s="6"/>
    </row>
    <row r="589" spans="1:1" x14ac:dyDescent="0.3">
      <c r="A589" s="6"/>
    </row>
    <row r="590" spans="1:1" x14ac:dyDescent="0.3">
      <c r="A590" s="6"/>
    </row>
    <row r="591" spans="1:1" x14ac:dyDescent="0.3">
      <c r="A591" s="6"/>
    </row>
    <row r="592" spans="1:1" x14ac:dyDescent="0.3">
      <c r="A592" s="6"/>
    </row>
    <row r="593" spans="1:1" x14ac:dyDescent="0.3">
      <c r="A593" s="6"/>
    </row>
    <row r="594" spans="1:1" x14ac:dyDescent="0.3">
      <c r="A594" s="6"/>
    </row>
    <row r="595" spans="1:1" x14ac:dyDescent="0.3">
      <c r="A595" s="6"/>
    </row>
    <row r="596" spans="1:1" x14ac:dyDescent="0.3">
      <c r="A596" s="6"/>
    </row>
    <row r="597" spans="1:1" x14ac:dyDescent="0.3">
      <c r="A597" s="6"/>
    </row>
    <row r="598" spans="1:1" x14ac:dyDescent="0.3">
      <c r="A598" s="6"/>
    </row>
    <row r="599" spans="1:1" x14ac:dyDescent="0.3">
      <c r="A599" s="6"/>
    </row>
    <row r="600" spans="1:1" x14ac:dyDescent="0.3">
      <c r="A600" s="6"/>
    </row>
    <row r="601" spans="1:1" x14ac:dyDescent="0.3">
      <c r="A601" s="6"/>
    </row>
    <row r="602" spans="1:1" x14ac:dyDescent="0.3">
      <c r="A602" s="6"/>
    </row>
    <row r="603" spans="1:1" x14ac:dyDescent="0.3">
      <c r="A603" s="6"/>
    </row>
    <row r="604" spans="1:1" x14ac:dyDescent="0.3">
      <c r="A604" s="6"/>
    </row>
    <row r="605" spans="1:1" x14ac:dyDescent="0.3">
      <c r="A605" s="6"/>
    </row>
    <row r="606" spans="1:1" x14ac:dyDescent="0.3">
      <c r="A606" s="6"/>
    </row>
    <row r="607" spans="1:1" x14ac:dyDescent="0.3">
      <c r="A607" s="6"/>
    </row>
    <row r="608" spans="1:1" x14ac:dyDescent="0.3">
      <c r="A608" s="6"/>
    </row>
    <row r="609" spans="1:1" x14ac:dyDescent="0.3">
      <c r="A609" s="6"/>
    </row>
    <row r="610" spans="1:1" x14ac:dyDescent="0.3">
      <c r="A610" s="6"/>
    </row>
    <row r="611" spans="1:1" x14ac:dyDescent="0.3">
      <c r="A611" s="6"/>
    </row>
    <row r="612" spans="1:1" x14ac:dyDescent="0.3">
      <c r="A612" s="6"/>
    </row>
    <row r="613" spans="1:1" x14ac:dyDescent="0.3">
      <c r="A613" s="6"/>
    </row>
    <row r="614" spans="1:1" x14ac:dyDescent="0.3">
      <c r="A614" s="6"/>
    </row>
    <row r="615" spans="1:1" x14ac:dyDescent="0.3">
      <c r="A615" s="6"/>
    </row>
    <row r="616" spans="1:1" x14ac:dyDescent="0.3">
      <c r="A616" s="6"/>
    </row>
    <row r="617" spans="1:1" x14ac:dyDescent="0.3">
      <c r="A617" s="6"/>
    </row>
    <row r="618" spans="1:1" x14ac:dyDescent="0.3">
      <c r="A618" s="6"/>
    </row>
    <row r="619" spans="1:1" x14ac:dyDescent="0.3">
      <c r="A619" s="6"/>
    </row>
    <row r="620" spans="1:1" x14ac:dyDescent="0.3">
      <c r="A620" s="6"/>
    </row>
    <row r="621" spans="1:1" x14ac:dyDescent="0.3">
      <c r="A621" s="6"/>
    </row>
    <row r="622" spans="1:1" x14ac:dyDescent="0.3">
      <c r="A622" s="6"/>
    </row>
    <row r="623" spans="1:1" x14ac:dyDescent="0.3">
      <c r="A623" s="6"/>
    </row>
    <row r="624" spans="1:1" x14ac:dyDescent="0.3">
      <c r="A624" s="6"/>
    </row>
    <row r="625" spans="1:1" x14ac:dyDescent="0.3">
      <c r="A625" s="6"/>
    </row>
    <row r="626" spans="1:1" x14ac:dyDescent="0.3">
      <c r="A626" s="6"/>
    </row>
    <row r="627" spans="1:1" x14ac:dyDescent="0.3">
      <c r="A627" s="6"/>
    </row>
    <row r="628" spans="1:1" x14ac:dyDescent="0.3">
      <c r="A628" s="6"/>
    </row>
    <row r="629" spans="1:1" x14ac:dyDescent="0.3">
      <c r="A629" s="6"/>
    </row>
    <row r="630" spans="1:1" x14ac:dyDescent="0.3">
      <c r="A630" s="6"/>
    </row>
    <row r="631" spans="1:1" x14ac:dyDescent="0.3">
      <c r="A631" s="6"/>
    </row>
    <row r="632" spans="1:1" x14ac:dyDescent="0.3">
      <c r="A632" s="6"/>
    </row>
    <row r="633" spans="1:1" x14ac:dyDescent="0.3">
      <c r="A633" s="6"/>
    </row>
    <row r="634" spans="1:1" x14ac:dyDescent="0.3">
      <c r="A634" s="6"/>
    </row>
    <row r="635" spans="1:1" x14ac:dyDescent="0.3">
      <c r="A635" s="6"/>
    </row>
    <row r="636" spans="1:1" x14ac:dyDescent="0.3">
      <c r="A636" s="6"/>
    </row>
    <row r="637" spans="1:1" x14ac:dyDescent="0.3">
      <c r="A637" s="6"/>
    </row>
    <row r="638" spans="1:1" x14ac:dyDescent="0.3">
      <c r="A638" s="6"/>
    </row>
    <row r="639" spans="1:1" x14ac:dyDescent="0.3">
      <c r="A639" s="6"/>
    </row>
    <row r="640" spans="1:1" x14ac:dyDescent="0.3">
      <c r="A640" s="6"/>
    </row>
    <row r="641" spans="1:1" x14ac:dyDescent="0.3">
      <c r="A641" s="6"/>
    </row>
    <row r="642" spans="1:1" x14ac:dyDescent="0.3">
      <c r="A642" s="6"/>
    </row>
    <row r="643" spans="1:1" x14ac:dyDescent="0.3">
      <c r="A643" s="6"/>
    </row>
    <row r="644" spans="1:1" x14ac:dyDescent="0.3">
      <c r="A644" s="6"/>
    </row>
    <row r="645" spans="1:1" x14ac:dyDescent="0.3">
      <c r="A645" s="6"/>
    </row>
    <row r="646" spans="1:1" x14ac:dyDescent="0.3">
      <c r="A646" s="6"/>
    </row>
    <row r="647" spans="1:1" x14ac:dyDescent="0.3">
      <c r="A647" s="6"/>
    </row>
    <row r="648" spans="1:1" x14ac:dyDescent="0.3">
      <c r="A648" s="6"/>
    </row>
    <row r="649" spans="1:1" x14ac:dyDescent="0.3">
      <c r="A649" s="6"/>
    </row>
    <row r="650" spans="1:1" x14ac:dyDescent="0.3">
      <c r="A650" s="6"/>
    </row>
    <row r="651" spans="1:1" x14ac:dyDescent="0.3">
      <c r="A651" s="6"/>
    </row>
    <row r="652" spans="1:1" x14ac:dyDescent="0.3">
      <c r="A652" s="6"/>
    </row>
    <row r="653" spans="1:1" x14ac:dyDescent="0.3">
      <c r="A653" s="6"/>
    </row>
    <row r="654" spans="1:1" x14ac:dyDescent="0.3">
      <c r="A654" s="6"/>
    </row>
    <row r="655" spans="1:1" x14ac:dyDescent="0.3">
      <c r="A655" s="6"/>
    </row>
    <row r="656" spans="1:1" x14ac:dyDescent="0.3">
      <c r="A656" s="6"/>
    </row>
    <row r="657" spans="1:1" x14ac:dyDescent="0.3">
      <c r="A657" s="6"/>
    </row>
    <row r="658" spans="1:1" x14ac:dyDescent="0.3">
      <c r="A658" s="6"/>
    </row>
    <row r="659" spans="1:1" x14ac:dyDescent="0.3">
      <c r="A659" s="6"/>
    </row>
    <row r="660" spans="1:1" x14ac:dyDescent="0.3">
      <c r="A660" s="6"/>
    </row>
    <row r="661" spans="1:1" x14ac:dyDescent="0.3">
      <c r="A661" s="6"/>
    </row>
    <row r="662" spans="1:1" x14ac:dyDescent="0.3">
      <c r="A662" s="6"/>
    </row>
    <row r="663" spans="1:1" x14ac:dyDescent="0.3">
      <c r="A663" s="6"/>
    </row>
    <row r="664" spans="1:1" x14ac:dyDescent="0.3">
      <c r="A664" s="6"/>
    </row>
    <row r="665" spans="1:1" x14ac:dyDescent="0.3">
      <c r="A665" s="6"/>
    </row>
    <row r="666" spans="1:1" x14ac:dyDescent="0.3">
      <c r="A666" s="6"/>
    </row>
    <row r="667" spans="1:1" x14ac:dyDescent="0.3">
      <c r="A667" s="6"/>
    </row>
    <row r="668" spans="1:1" x14ac:dyDescent="0.3">
      <c r="A668" s="6"/>
    </row>
    <row r="669" spans="1:1" x14ac:dyDescent="0.3">
      <c r="A669" s="6"/>
    </row>
    <row r="670" spans="1:1" x14ac:dyDescent="0.3">
      <c r="A670" s="6"/>
    </row>
    <row r="671" spans="1:1" x14ac:dyDescent="0.3">
      <c r="A671" s="6"/>
    </row>
    <row r="672" spans="1:1" x14ac:dyDescent="0.3">
      <c r="A672" s="6"/>
    </row>
    <row r="673" spans="1:1" x14ac:dyDescent="0.3">
      <c r="A673" s="6"/>
    </row>
    <row r="674" spans="1:1" x14ac:dyDescent="0.3">
      <c r="A674" s="6"/>
    </row>
    <row r="675" spans="1:1" x14ac:dyDescent="0.3">
      <c r="A675" s="6"/>
    </row>
    <row r="676" spans="1:1" x14ac:dyDescent="0.3">
      <c r="A676" s="6"/>
    </row>
    <row r="677" spans="1:1" x14ac:dyDescent="0.3">
      <c r="A677" s="6"/>
    </row>
    <row r="678" spans="1:1" x14ac:dyDescent="0.3">
      <c r="A678" s="6"/>
    </row>
    <row r="679" spans="1:1" x14ac:dyDescent="0.3">
      <c r="A679" s="6"/>
    </row>
    <row r="680" spans="1:1" x14ac:dyDescent="0.3">
      <c r="A680" s="6"/>
    </row>
    <row r="681" spans="1:1" x14ac:dyDescent="0.3">
      <c r="A681" s="6"/>
    </row>
    <row r="682" spans="1:1" x14ac:dyDescent="0.3">
      <c r="A682" s="6"/>
    </row>
    <row r="683" spans="1:1" x14ac:dyDescent="0.3">
      <c r="A683" s="6"/>
    </row>
    <row r="684" spans="1:1" x14ac:dyDescent="0.3">
      <c r="A684" s="6"/>
    </row>
    <row r="685" spans="1:1" x14ac:dyDescent="0.3">
      <c r="A685" s="6"/>
    </row>
    <row r="686" spans="1:1" x14ac:dyDescent="0.3">
      <c r="A686" s="6"/>
    </row>
    <row r="687" spans="1:1" x14ac:dyDescent="0.3">
      <c r="A687" s="6"/>
    </row>
    <row r="688" spans="1:1" x14ac:dyDescent="0.3">
      <c r="A688" s="6"/>
    </row>
    <row r="689" spans="1:1" x14ac:dyDescent="0.3">
      <c r="A689" s="6"/>
    </row>
    <row r="690" spans="1:1" x14ac:dyDescent="0.3">
      <c r="A690" s="6"/>
    </row>
    <row r="691" spans="1:1" x14ac:dyDescent="0.3">
      <c r="A691" s="6"/>
    </row>
    <row r="692" spans="1:1" x14ac:dyDescent="0.3">
      <c r="A692" s="6"/>
    </row>
    <row r="693" spans="1:1" x14ac:dyDescent="0.3">
      <c r="A693" s="6"/>
    </row>
    <row r="694" spans="1:1" x14ac:dyDescent="0.3">
      <c r="A694" s="6"/>
    </row>
    <row r="695" spans="1:1" x14ac:dyDescent="0.3">
      <c r="A695" s="6"/>
    </row>
    <row r="696" spans="1:1" x14ac:dyDescent="0.3">
      <c r="A696" s="6"/>
    </row>
    <row r="697" spans="1:1" x14ac:dyDescent="0.3">
      <c r="A697" s="6"/>
    </row>
    <row r="698" spans="1:1" x14ac:dyDescent="0.3">
      <c r="A698" s="6"/>
    </row>
    <row r="699" spans="1:1" x14ac:dyDescent="0.3">
      <c r="A699" s="6"/>
    </row>
    <row r="700" spans="1:1" x14ac:dyDescent="0.3">
      <c r="A700" s="6"/>
    </row>
    <row r="701" spans="1:1" x14ac:dyDescent="0.3">
      <c r="A701" s="6"/>
    </row>
    <row r="702" spans="1:1" x14ac:dyDescent="0.3">
      <c r="A702" s="6"/>
    </row>
    <row r="703" spans="1:1" x14ac:dyDescent="0.3">
      <c r="A703" s="6"/>
    </row>
    <row r="704" spans="1:1" x14ac:dyDescent="0.3">
      <c r="A704" s="6"/>
    </row>
    <row r="705" spans="1:1" x14ac:dyDescent="0.3">
      <c r="A705" s="6"/>
    </row>
    <row r="706" spans="1:1" x14ac:dyDescent="0.3">
      <c r="A706" s="6"/>
    </row>
    <row r="707" spans="1:1" x14ac:dyDescent="0.3">
      <c r="A707" s="6"/>
    </row>
    <row r="708" spans="1:1" x14ac:dyDescent="0.3">
      <c r="A708" s="6"/>
    </row>
    <row r="709" spans="1:1" x14ac:dyDescent="0.3">
      <c r="A709" s="6"/>
    </row>
    <row r="710" spans="1:1" x14ac:dyDescent="0.3">
      <c r="A710" s="6"/>
    </row>
    <row r="711" spans="1:1" x14ac:dyDescent="0.3">
      <c r="A711" s="6"/>
    </row>
    <row r="712" spans="1:1" x14ac:dyDescent="0.3">
      <c r="A712" s="6"/>
    </row>
    <row r="713" spans="1:1" x14ac:dyDescent="0.3">
      <c r="A713" s="6"/>
    </row>
    <row r="714" spans="1:1" x14ac:dyDescent="0.3">
      <c r="A714" s="6"/>
    </row>
    <row r="715" spans="1:1" x14ac:dyDescent="0.3">
      <c r="A715" s="6"/>
    </row>
    <row r="716" spans="1:1" x14ac:dyDescent="0.3">
      <c r="A716" s="6"/>
    </row>
    <row r="717" spans="1:1" x14ac:dyDescent="0.3">
      <c r="A717" s="6"/>
    </row>
    <row r="718" spans="1:1" x14ac:dyDescent="0.3">
      <c r="A718" s="6"/>
    </row>
    <row r="719" spans="1:1" x14ac:dyDescent="0.3">
      <c r="A719" s="6"/>
    </row>
    <row r="720" spans="1:1" x14ac:dyDescent="0.3">
      <c r="A720" s="6"/>
    </row>
    <row r="721" spans="1:1" x14ac:dyDescent="0.3">
      <c r="A721" s="6"/>
    </row>
    <row r="722" spans="1:1" x14ac:dyDescent="0.3">
      <c r="A722" s="6"/>
    </row>
    <row r="723" spans="1:1" x14ac:dyDescent="0.3">
      <c r="A723" s="6"/>
    </row>
    <row r="724" spans="1:1" x14ac:dyDescent="0.3">
      <c r="A724" s="6"/>
    </row>
    <row r="725" spans="1:1" x14ac:dyDescent="0.3">
      <c r="A725" s="6"/>
    </row>
    <row r="726" spans="1:1" x14ac:dyDescent="0.3">
      <c r="A726" s="6"/>
    </row>
    <row r="727" spans="1:1" x14ac:dyDescent="0.3">
      <c r="A727" s="6"/>
    </row>
    <row r="728" spans="1:1" x14ac:dyDescent="0.3">
      <c r="A728" s="6"/>
    </row>
    <row r="729" spans="1:1" x14ac:dyDescent="0.3">
      <c r="A729" s="6"/>
    </row>
    <row r="730" spans="1:1" x14ac:dyDescent="0.3">
      <c r="A730" s="6"/>
    </row>
    <row r="731" spans="1:1" x14ac:dyDescent="0.3">
      <c r="A731" s="6"/>
    </row>
    <row r="732" spans="1:1" x14ac:dyDescent="0.3">
      <c r="A732" s="6"/>
    </row>
    <row r="733" spans="1:1" x14ac:dyDescent="0.3">
      <c r="A733" s="6"/>
    </row>
    <row r="734" spans="1:1" x14ac:dyDescent="0.3">
      <c r="A734" s="6"/>
    </row>
    <row r="735" spans="1:1" x14ac:dyDescent="0.3">
      <c r="A735" s="6"/>
    </row>
    <row r="736" spans="1:1" x14ac:dyDescent="0.3">
      <c r="A736" s="6"/>
    </row>
    <row r="737" spans="1:1" x14ac:dyDescent="0.3">
      <c r="A737" s="6"/>
    </row>
    <row r="738" spans="1:1" x14ac:dyDescent="0.3">
      <c r="A738" s="6"/>
    </row>
    <row r="739" spans="1:1" x14ac:dyDescent="0.3">
      <c r="A739" s="6"/>
    </row>
    <row r="740" spans="1:1" x14ac:dyDescent="0.3">
      <c r="A740" s="6"/>
    </row>
    <row r="741" spans="1:1" x14ac:dyDescent="0.3">
      <c r="A741" s="6"/>
    </row>
    <row r="742" spans="1:1" x14ac:dyDescent="0.3">
      <c r="A742" s="6"/>
    </row>
    <row r="743" spans="1:1" x14ac:dyDescent="0.3">
      <c r="A743" s="6"/>
    </row>
    <row r="744" spans="1:1" x14ac:dyDescent="0.3">
      <c r="A744" s="6"/>
    </row>
    <row r="745" spans="1:1" x14ac:dyDescent="0.3">
      <c r="A745" s="6"/>
    </row>
    <row r="746" spans="1:1" x14ac:dyDescent="0.3">
      <c r="A746" s="6"/>
    </row>
    <row r="747" spans="1:1" x14ac:dyDescent="0.3">
      <c r="A747" s="6"/>
    </row>
    <row r="748" spans="1:1" x14ac:dyDescent="0.3">
      <c r="A748" s="6"/>
    </row>
    <row r="749" spans="1:1" x14ac:dyDescent="0.3">
      <c r="A749" s="6"/>
    </row>
    <row r="750" spans="1:1" x14ac:dyDescent="0.3">
      <c r="A750" s="6"/>
    </row>
    <row r="751" spans="1:1" x14ac:dyDescent="0.3">
      <c r="A751" s="6"/>
    </row>
    <row r="752" spans="1:1" x14ac:dyDescent="0.3">
      <c r="A752" s="6"/>
    </row>
    <row r="753" spans="1:1" x14ac:dyDescent="0.3">
      <c r="A753" s="6"/>
    </row>
    <row r="754" spans="1:1" x14ac:dyDescent="0.3">
      <c r="A754" s="6"/>
    </row>
    <row r="755" spans="1:1" x14ac:dyDescent="0.3">
      <c r="A755" s="6"/>
    </row>
    <row r="756" spans="1:1" x14ac:dyDescent="0.3">
      <c r="A756" s="6"/>
    </row>
    <row r="757" spans="1:1" x14ac:dyDescent="0.3">
      <c r="A757" s="6"/>
    </row>
    <row r="758" spans="1:1" x14ac:dyDescent="0.3">
      <c r="A758" s="6"/>
    </row>
    <row r="759" spans="1:1" x14ac:dyDescent="0.3">
      <c r="A759" s="6"/>
    </row>
    <row r="760" spans="1:1" x14ac:dyDescent="0.3">
      <c r="A760" s="6"/>
    </row>
    <row r="761" spans="1:1" x14ac:dyDescent="0.3">
      <c r="A761" s="6"/>
    </row>
    <row r="762" spans="1:1" x14ac:dyDescent="0.3">
      <c r="A762" s="6"/>
    </row>
    <row r="763" spans="1:1" x14ac:dyDescent="0.3">
      <c r="A763" s="6"/>
    </row>
    <row r="764" spans="1:1" x14ac:dyDescent="0.3">
      <c r="A764" s="6"/>
    </row>
    <row r="765" spans="1:1" x14ac:dyDescent="0.3">
      <c r="A765" s="6"/>
    </row>
    <row r="766" spans="1:1" x14ac:dyDescent="0.3">
      <c r="A766" s="6"/>
    </row>
    <row r="767" spans="1:1" x14ac:dyDescent="0.3">
      <c r="A767" s="6"/>
    </row>
    <row r="768" spans="1:1" x14ac:dyDescent="0.3">
      <c r="A768" s="6"/>
    </row>
    <row r="769" spans="1:1" x14ac:dyDescent="0.3">
      <c r="A769" s="6"/>
    </row>
    <row r="770" spans="1:1" x14ac:dyDescent="0.3">
      <c r="A770" s="6"/>
    </row>
    <row r="771" spans="1:1" x14ac:dyDescent="0.3">
      <c r="A771" s="6"/>
    </row>
    <row r="772" spans="1:1" x14ac:dyDescent="0.3">
      <c r="A772" s="6"/>
    </row>
    <row r="773" spans="1:1" x14ac:dyDescent="0.3">
      <c r="A773" s="6"/>
    </row>
    <row r="774" spans="1:1" x14ac:dyDescent="0.3">
      <c r="A774" s="6"/>
    </row>
    <row r="775" spans="1:1" x14ac:dyDescent="0.3">
      <c r="A775" s="6"/>
    </row>
    <row r="776" spans="1:1" x14ac:dyDescent="0.3">
      <c r="A776" s="6"/>
    </row>
    <row r="777" spans="1:1" x14ac:dyDescent="0.3">
      <c r="A777" s="6"/>
    </row>
    <row r="778" spans="1:1" x14ac:dyDescent="0.3">
      <c r="A778" s="6"/>
    </row>
    <row r="779" spans="1:1" x14ac:dyDescent="0.3">
      <c r="A779" s="6"/>
    </row>
    <row r="780" spans="1:1" x14ac:dyDescent="0.3">
      <c r="A780" s="6"/>
    </row>
    <row r="781" spans="1:1" x14ac:dyDescent="0.3">
      <c r="A781" s="6"/>
    </row>
    <row r="782" spans="1:1" x14ac:dyDescent="0.3">
      <c r="A782" s="6"/>
    </row>
    <row r="783" spans="1:1" x14ac:dyDescent="0.3">
      <c r="A783" s="6"/>
    </row>
    <row r="784" spans="1:1" x14ac:dyDescent="0.3">
      <c r="A784" s="6"/>
    </row>
    <row r="785" spans="1:1" x14ac:dyDescent="0.3">
      <c r="A785" s="6"/>
    </row>
    <row r="786" spans="1:1" x14ac:dyDescent="0.3">
      <c r="A786" s="6"/>
    </row>
    <row r="787" spans="1:1" x14ac:dyDescent="0.3">
      <c r="A787" s="6"/>
    </row>
    <row r="788" spans="1:1" x14ac:dyDescent="0.3">
      <c r="A788" s="6"/>
    </row>
    <row r="789" spans="1:1" x14ac:dyDescent="0.3">
      <c r="A789" s="6"/>
    </row>
    <row r="790" spans="1:1" x14ac:dyDescent="0.3">
      <c r="A790" s="6"/>
    </row>
    <row r="791" spans="1:1" x14ac:dyDescent="0.3">
      <c r="A791" s="6"/>
    </row>
    <row r="792" spans="1:1" x14ac:dyDescent="0.3">
      <c r="A792" s="6"/>
    </row>
    <row r="793" spans="1:1" x14ac:dyDescent="0.3">
      <c r="A793" s="6"/>
    </row>
    <row r="794" spans="1:1" x14ac:dyDescent="0.3">
      <c r="A794" s="6"/>
    </row>
    <row r="795" spans="1:1" x14ac:dyDescent="0.3">
      <c r="A795" s="6"/>
    </row>
    <row r="796" spans="1:1" x14ac:dyDescent="0.3">
      <c r="A796" s="6"/>
    </row>
    <row r="797" spans="1:1" x14ac:dyDescent="0.3">
      <c r="A797" s="6"/>
    </row>
    <row r="798" spans="1:1" x14ac:dyDescent="0.3">
      <c r="A798" s="6"/>
    </row>
    <row r="799" spans="1:1" x14ac:dyDescent="0.3">
      <c r="A799" s="6"/>
    </row>
    <row r="800" spans="1:1" x14ac:dyDescent="0.3">
      <c r="A800" s="6"/>
    </row>
    <row r="801" spans="1:1" x14ac:dyDescent="0.3">
      <c r="A801" s="6"/>
    </row>
    <row r="802" spans="1:1" x14ac:dyDescent="0.3">
      <c r="A802" s="6"/>
    </row>
    <row r="803" spans="1:1" x14ac:dyDescent="0.3">
      <c r="A803" s="6"/>
    </row>
    <row r="804" spans="1:1" x14ac:dyDescent="0.3">
      <c r="A804" s="6"/>
    </row>
    <row r="805" spans="1:1" x14ac:dyDescent="0.3">
      <c r="A805" s="6"/>
    </row>
    <row r="806" spans="1:1" x14ac:dyDescent="0.3">
      <c r="A806" s="6"/>
    </row>
    <row r="807" spans="1:1" x14ac:dyDescent="0.3">
      <c r="A807" s="6"/>
    </row>
    <row r="808" spans="1:1" x14ac:dyDescent="0.3">
      <c r="A808" s="6"/>
    </row>
    <row r="809" spans="1:1" x14ac:dyDescent="0.3">
      <c r="A809" s="6"/>
    </row>
    <row r="810" spans="1:1" x14ac:dyDescent="0.3">
      <c r="A810" s="6"/>
    </row>
    <row r="811" spans="1:1" x14ac:dyDescent="0.3">
      <c r="A811" s="6"/>
    </row>
    <row r="812" spans="1:1" x14ac:dyDescent="0.3">
      <c r="A812" s="6"/>
    </row>
    <row r="813" spans="1:1" x14ac:dyDescent="0.3">
      <c r="A813" s="6"/>
    </row>
    <row r="814" spans="1:1" x14ac:dyDescent="0.3">
      <c r="A814" s="6"/>
    </row>
    <row r="815" spans="1:1" x14ac:dyDescent="0.3">
      <c r="A815" s="6"/>
    </row>
    <row r="816" spans="1:1" x14ac:dyDescent="0.3">
      <c r="A816" s="6"/>
    </row>
    <row r="817" spans="1:1" x14ac:dyDescent="0.3">
      <c r="A817" s="6"/>
    </row>
    <row r="818" spans="1:1" x14ac:dyDescent="0.3">
      <c r="A818" s="6"/>
    </row>
    <row r="819" spans="1:1" x14ac:dyDescent="0.3">
      <c r="A819" s="6"/>
    </row>
    <row r="820" spans="1:1" x14ac:dyDescent="0.3">
      <c r="A820" s="6"/>
    </row>
    <row r="821" spans="1:1" x14ac:dyDescent="0.3">
      <c r="A821" s="6"/>
    </row>
    <row r="822" spans="1:1" x14ac:dyDescent="0.3">
      <c r="A822" s="6"/>
    </row>
    <row r="823" spans="1:1" x14ac:dyDescent="0.3">
      <c r="A823" s="6"/>
    </row>
    <row r="824" spans="1:1" x14ac:dyDescent="0.3">
      <c r="A824" s="6"/>
    </row>
    <row r="825" spans="1:1" x14ac:dyDescent="0.3">
      <c r="A825" s="6"/>
    </row>
    <row r="826" spans="1:1" x14ac:dyDescent="0.3">
      <c r="A826" s="6"/>
    </row>
    <row r="827" spans="1:1" x14ac:dyDescent="0.3">
      <c r="A827" s="6"/>
    </row>
    <row r="828" spans="1:1" x14ac:dyDescent="0.3">
      <c r="A828" s="6"/>
    </row>
    <row r="829" spans="1:1" x14ac:dyDescent="0.3">
      <c r="A829" s="6"/>
    </row>
    <row r="830" spans="1:1" x14ac:dyDescent="0.3">
      <c r="A830" s="6"/>
    </row>
    <row r="831" spans="1:1" x14ac:dyDescent="0.3">
      <c r="A831" s="6"/>
    </row>
    <row r="832" spans="1:1" x14ac:dyDescent="0.3">
      <c r="A832" s="6"/>
    </row>
    <row r="833" spans="1:1" x14ac:dyDescent="0.3">
      <c r="A833" s="6"/>
    </row>
    <row r="834" spans="1:1" x14ac:dyDescent="0.3">
      <c r="A834" s="6"/>
    </row>
    <row r="835" spans="1:1" x14ac:dyDescent="0.3">
      <c r="A835" s="6"/>
    </row>
    <row r="836" spans="1:1" x14ac:dyDescent="0.3">
      <c r="A836" s="6"/>
    </row>
    <row r="837" spans="1:1" x14ac:dyDescent="0.3">
      <c r="A837" s="6"/>
    </row>
    <row r="838" spans="1:1" x14ac:dyDescent="0.3">
      <c r="A838" s="6"/>
    </row>
    <row r="839" spans="1:1" x14ac:dyDescent="0.3">
      <c r="A839" s="6"/>
    </row>
    <row r="840" spans="1:1" x14ac:dyDescent="0.3">
      <c r="A840" s="6"/>
    </row>
    <row r="841" spans="1:1" x14ac:dyDescent="0.3">
      <c r="A841" s="6"/>
    </row>
    <row r="842" spans="1:1" x14ac:dyDescent="0.3">
      <c r="A842" s="6"/>
    </row>
    <row r="843" spans="1:1" x14ac:dyDescent="0.3">
      <c r="A843" s="6"/>
    </row>
    <row r="844" spans="1:1" x14ac:dyDescent="0.3">
      <c r="A844" s="6"/>
    </row>
    <row r="845" spans="1:1" x14ac:dyDescent="0.3">
      <c r="A845" s="6"/>
    </row>
    <row r="846" spans="1:1" x14ac:dyDescent="0.3">
      <c r="A846" s="6"/>
    </row>
    <row r="847" spans="1:1" x14ac:dyDescent="0.3">
      <c r="A847" s="6"/>
    </row>
    <row r="848" spans="1:1" x14ac:dyDescent="0.3">
      <c r="A848" s="6"/>
    </row>
    <row r="849" spans="1:1" x14ac:dyDescent="0.3">
      <c r="A849" s="6"/>
    </row>
    <row r="850" spans="1:1" x14ac:dyDescent="0.3">
      <c r="A850" s="6"/>
    </row>
    <row r="851" spans="1:1" x14ac:dyDescent="0.3">
      <c r="A851" s="6"/>
    </row>
    <row r="852" spans="1:1" x14ac:dyDescent="0.3">
      <c r="A852" s="6"/>
    </row>
    <row r="853" spans="1:1" x14ac:dyDescent="0.3">
      <c r="A853" s="6"/>
    </row>
    <row r="854" spans="1:1" x14ac:dyDescent="0.3">
      <c r="A854" s="6"/>
    </row>
    <row r="855" spans="1:1" x14ac:dyDescent="0.3">
      <c r="A855" s="6"/>
    </row>
    <row r="856" spans="1:1" x14ac:dyDescent="0.3">
      <c r="A856" s="6"/>
    </row>
    <row r="857" spans="1:1" x14ac:dyDescent="0.3">
      <c r="A857" s="6"/>
    </row>
    <row r="858" spans="1:1" x14ac:dyDescent="0.3">
      <c r="A858" s="6"/>
    </row>
    <row r="859" spans="1:1" x14ac:dyDescent="0.3">
      <c r="A859" s="6"/>
    </row>
    <row r="860" spans="1:1" x14ac:dyDescent="0.3">
      <c r="A860" s="6"/>
    </row>
    <row r="861" spans="1:1" x14ac:dyDescent="0.3">
      <c r="A861" s="6"/>
    </row>
    <row r="862" spans="1:1" x14ac:dyDescent="0.3">
      <c r="A862" s="6"/>
    </row>
    <row r="863" spans="1:1" x14ac:dyDescent="0.3">
      <c r="A863" s="6"/>
    </row>
    <row r="864" spans="1:1" x14ac:dyDescent="0.3">
      <c r="A864" s="6"/>
    </row>
    <row r="865" spans="1:1" x14ac:dyDescent="0.3">
      <c r="A865" s="6"/>
    </row>
    <row r="866" spans="1:1" x14ac:dyDescent="0.3">
      <c r="A866" s="6"/>
    </row>
    <row r="867" spans="1:1" x14ac:dyDescent="0.3">
      <c r="A867" s="6"/>
    </row>
    <row r="868" spans="1:1" x14ac:dyDescent="0.3">
      <c r="A868" s="6"/>
    </row>
    <row r="869" spans="1:1" x14ac:dyDescent="0.3">
      <c r="A869" s="6"/>
    </row>
    <row r="870" spans="1:1" x14ac:dyDescent="0.3">
      <c r="A870" s="6"/>
    </row>
    <row r="871" spans="1:1" x14ac:dyDescent="0.3">
      <c r="A871" s="6"/>
    </row>
    <row r="872" spans="1:1" x14ac:dyDescent="0.3">
      <c r="A872" s="6"/>
    </row>
    <row r="873" spans="1:1" x14ac:dyDescent="0.3">
      <c r="A873" s="6"/>
    </row>
    <row r="874" spans="1:1" x14ac:dyDescent="0.3">
      <c r="A874" s="6"/>
    </row>
    <row r="875" spans="1:1" x14ac:dyDescent="0.3">
      <c r="A875" s="6"/>
    </row>
    <row r="876" spans="1:1" x14ac:dyDescent="0.3">
      <c r="A876" s="6"/>
    </row>
    <row r="877" spans="1:1" x14ac:dyDescent="0.3">
      <c r="A877" s="6"/>
    </row>
    <row r="878" spans="1:1" x14ac:dyDescent="0.3">
      <c r="A878" s="6"/>
    </row>
    <row r="879" spans="1:1" x14ac:dyDescent="0.3">
      <c r="A879" s="6"/>
    </row>
    <row r="880" spans="1:1" x14ac:dyDescent="0.3">
      <c r="A880" s="6"/>
    </row>
    <row r="881" spans="1:1" x14ac:dyDescent="0.3">
      <c r="A881" s="6"/>
    </row>
    <row r="882" spans="1:1" x14ac:dyDescent="0.3">
      <c r="A882" s="6"/>
    </row>
    <row r="883" spans="1:1" x14ac:dyDescent="0.3">
      <c r="A883" s="6"/>
    </row>
    <row r="884" spans="1:1" x14ac:dyDescent="0.3">
      <c r="A884" s="6"/>
    </row>
    <row r="885" spans="1:1" x14ac:dyDescent="0.3">
      <c r="A885" s="6"/>
    </row>
    <row r="886" spans="1:1" x14ac:dyDescent="0.3">
      <c r="A886" s="6"/>
    </row>
    <row r="887" spans="1:1" x14ac:dyDescent="0.3">
      <c r="A887" s="6"/>
    </row>
    <row r="888" spans="1:1" x14ac:dyDescent="0.3">
      <c r="A888" s="6"/>
    </row>
    <row r="889" spans="1:1" x14ac:dyDescent="0.3">
      <c r="A889" s="6"/>
    </row>
    <row r="890" spans="1:1" x14ac:dyDescent="0.3">
      <c r="A890" s="6"/>
    </row>
    <row r="891" spans="1:1" x14ac:dyDescent="0.3">
      <c r="A891" s="6"/>
    </row>
    <row r="892" spans="1:1" x14ac:dyDescent="0.3">
      <c r="A892" s="6"/>
    </row>
    <row r="893" spans="1:1" x14ac:dyDescent="0.3">
      <c r="A893" s="6"/>
    </row>
    <row r="894" spans="1:1" x14ac:dyDescent="0.3">
      <c r="A894" s="6"/>
    </row>
    <row r="895" spans="1:1" x14ac:dyDescent="0.3">
      <c r="A895" s="6"/>
    </row>
    <row r="896" spans="1:1" x14ac:dyDescent="0.3">
      <c r="A896" s="6"/>
    </row>
    <row r="897" spans="1:1" x14ac:dyDescent="0.3">
      <c r="A897" s="6"/>
    </row>
    <row r="898" spans="1:1" x14ac:dyDescent="0.3">
      <c r="A898" s="6"/>
    </row>
    <row r="899" spans="1:1" x14ac:dyDescent="0.3">
      <c r="A899" s="6"/>
    </row>
    <row r="900" spans="1:1" x14ac:dyDescent="0.3">
      <c r="A900" s="6"/>
    </row>
    <row r="901" spans="1:1" x14ac:dyDescent="0.3">
      <c r="A901" s="6"/>
    </row>
    <row r="902" spans="1:1" x14ac:dyDescent="0.3">
      <c r="A902" s="6"/>
    </row>
    <row r="903" spans="1:1" x14ac:dyDescent="0.3">
      <c r="A903" s="6"/>
    </row>
    <row r="904" spans="1:1" x14ac:dyDescent="0.3">
      <c r="A904" s="6"/>
    </row>
    <row r="905" spans="1:1" x14ac:dyDescent="0.3">
      <c r="A905" s="6"/>
    </row>
    <row r="906" spans="1:1" x14ac:dyDescent="0.3">
      <c r="A906" s="6"/>
    </row>
    <row r="907" spans="1:1" x14ac:dyDescent="0.3">
      <c r="A907" s="6"/>
    </row>
    <row r="908" spans="1:1" x14ac:dyDescent="0.3">
      <c r="A908" s="6"/>
    </row>
    <row r="909" spans="1:1" x14ac:dyDescent="0.3">
      <c r="A909" s="6"/>
    </row>
    <row r="910" spans="1:1" x14ac:dyDescent="0.3">
      <c r="A910" s="6"/>
    </row>
    <row r="911" spans="1:1" x14ac:dyDescent="0.3">
      <c r="A911" s="6"/>
    </row>
    <row r="912" spans="1:1" x14ac:dyDescent="0.3">
      <c r="A912" s="6"/>
    </row>
    <row r="913" spans="1:1" x14ac:dyDescent="0.3">
      <c r="A913" s="6"/>
    </row>
    <row r="914" spans="1:1" x14ac:dyDescent="0.3">
      <c r="A914" s="6"/>
    </row>
    <row r="915" spans="1:1" x14ac:dyDescent="0.3">
      <c r="A915" s="6"/>
    </row>
    <row r="916" spans="1:1" x14ac:dyDescent="0.3">
      <c r="A916" s="6"/>
    </row>
    <row r="917" spans="1:1" x14ac:dyDescent="0.3">
      <c r="A917" s="6"/>
    </row>
    <row r="918" spans="1:1" x14ac:dyDescent="0.3">
      <c r="A918" s="6"/>
    </row>
    <row r="919" spans="1:1" x14ac:dyDescent="0.3">
      <c r="A919" s="6"/>
    </row>
    <row r="920" spans="1:1" x14ac:dyDescent="0.3">
      <c r="A920" s="6"/>
    </row>
    <row r="921" spans="1:1" x14ac:dyDescent="0.3">
      <c r="A921" s="6"/>
    </row>
    <row r="922" spans="1:1" x14ac:dyDescent="0.3">
      <c r="A922" s="6"/>
    </row>
    <row r="923" spans="1:1" x14ac:dyDescent="0.3">
      <c r="A923" s="6"/>
    </row>
    <row r="924" spans="1:1" x14ac:dyDescent="0.3">
      <c r="A924" s="6"/>
    </row>
    <row r="925" spans="1:1" x14ac:dyDescent="0.3">
      <c r="A925" s="6"/>
    </row>
    <row r="926" spans="1:1" x14ac:dyDescent="0.3">
      <c r="A926" s="6"/>
    </row>
    <row r="927" spans="1:1" x14ac:dyDescent="0.3">
      <c r="A927" s="6"/>
    </row>
    <row r="928" spans="1:1" x14ac:dyDescent="0.3">
      <c r="A928" s="6"/>
    </row>
    <row r="929" spans="1:1" x14ac:dyDescent="0.3">
      <c r="A929" s="6"/>
    </row>
    <row r="930" spans="1:1" x14ac:dyDescent="0.3">
      <c r="A930" s="6"/>
    </row>
    <row r="931" spans="1:1" x14ac:dyDescent="0.3">
      <c r="A931" s="6"/>
    </row>
    <row r="932" spans="1:1" x14ac:dyDescent="0.3">
      <c r="A932" s="6"/>
    </row>
    <row r="933" spans="1:1" x14ac:dyDescent="0.3">
      <c r="A933" s="6"/>
    </row>
    <row r="934" spans="1:1" x14ac:dyDescent="0.3">
      <c r="A934" s="6"/>
    </row>
    <row r="935" spans="1:1" x14ac:dyDescent="0.3">
      <c r="A935" s="6"/>
    </row>
    <row r="936" spans="1:1" x14ac:dyDescent="0.3">
      <c r="A936" s="6"/>
    </row>
    <row r="937" spans="1:1" x14ac:dyDescent="0.3">
      <c r="A937" s="6"/>
    </row>
    <row r="938" spans="1:1" x14ac:dyDescent="0.3">
      <c r="A938" s="6"/>
    </row>
    <row r="939" spans="1:1" x14ac:dyDescent="0.3">
      <c r="A939" s="6"/>
    </row>
    <row r="940" spans="1:1" x14ac:dyDescent="0.3">
      <c r="A940" s="6"/>
    </row>
    <row r="941" spans="1:1" x14ac:dyDescent="0.3">
      <c r="A941" s="6"/>
    </row>
    <row r="942" spans="1:1" x14ac:dyDescent="0.3">
      <c r="A942" s="6"/>
    </row>
    <row r="943" spans="1:1" x14ac:dyDescent="0.3">
      <c r="A943" s="6"/>
    </row>
    <row r="944" spans="1:1" x14ac:dyDescent="0.3">
      <c r="A944" s="6"/>
    </row>
    <row r="945" spans="1:1" x14ac:dyDescent="0.3">
      <c r="A945" s="6"/>
    </row>
    <row r="946" spans="1:1" x14ac:dyDescent="0.3">
      <c r="A946" s="6"/>
    </row>
    <row r="947" spans="1:1" x14ac:dyDescent="0.3">
      <c r="A947" s="6"/>
    </row>
    <row r="948" spans="1:1" x14ac:dyDescent="0.3">
      <c r="A948" s="6"/>
    </row>
    <row r="949" spans="1:1" x14ac:dyDescent="0.3">
      <c r="A949" s="6"/>
    </row>
    <row r="950" spans="1:1" x14ac:dyDescent="0.3">
      <c r="A950" s="6"/>
    </row>
    <row r="951" spans="1:1" x14ac:dyDescent="0.3">
      <c r="A951" s="6"/>
    </row>
    <row r="952" spans="1:1" x14ac:dyDescent="0.3">
      <c r="A952" s="6"/>
    </row>
    <row r="953" spans="1:1" x14ac:dyDescent="0.3">
      <c r="A953" s="6"/>
    </row>
    <row r="954" spans="1:1" x14ac:dyDescent="0.3">
      <c r="A954" s="6"/>
    </row>
    <row r="955" spans="1:1" x14ac:dyDescent="0.3">
      <c r="A955" s="6"/>
    </row>
    <row r="956" spans="1:1" x14ac:dyDescent="0.3">
      <c r="A956" s="6"/>
    </row>
    <row r="957" spans="1:1" x14ac:dyDescent="0.3">
      <c r="A957" s="6"/>
    </row>
    <row r="958" spans="1:1" x14ac:dyDescent="0.3">
      <c r="A958" s="6"/>
    </row>
    <row r="959" spans="1:1" x14ac:dyDescent="0.3">
      <c r="A959" s="6"/>
    </row>
    <row r="960" spans="1:1" x14ac:dyDescent="0.3">
      <c r="A960" s="6"/>
    </row>
    <row r="961" spans="1:1" x14ac:dyDescent="0.3">
      <c r="A961" s="6"/>
    </row>
    <row r="962" spans="1:1" x14ac:dyDescent="0.3">
      <c r="A962" s="6"/>
    </row>
    <row r="963" spans="1:1" x14ac:dyDescent="0.3">
      <c r="A963" s="6"/>
    </row>
    <row r="964" spans="1:1" x14ac:dyDescent="0.3">
      <c r="A964" s="6"/>
    </row>
    <row r="965" spans="1:1" x14ac:dyDescent="0.3">
      <c r="A965" s="6"/>
    </row>
    <row r="966" spans="1:1" x14ac:dyDescent="0.3">
      <c r="A966" s="6"/>
    </row>
    <row r="967" spans="1:1" x14ac:dyDescent="0.3">
      <c r="A967" s="6"/>
    </row>
    <row r="968" spans="1:1" x14ac:dyDescent="0.3">
      <c r="A968" s="6"/>
    </row>
    <row r="969" spans="1:1" x14ac:dyDescent="0.3">
      <c r="A969" s="6"/>
    </row>
    <row r="970" spans="1:1" x14ac:dyDescent="0.3">
      <c r="A970" s="6"/>
    </row>
    <row r="971" spans="1:1" x14ac:dyDescent="0.3">
      <c r="A971" s="6"/>
    </row>
    <row r="972" spans="1:1" x14ac:dyDescent="0.3">
      <c r="A972" s="6"/>
    </row>
    <row r="973" spans="1:1" x14ac:dyDescent="0.3">
      <c r="A973" s="6"/>
    </row>
    <row r="974" spans="1:1" x14ac:dyDescent="0.3">
      <c r="A974" s="6"/>
    </row>
    <row r="975" spans="1:1" x14ac:dyDescent="0.3">
      <c r="A975" s="6"/>
    </row>
    <row r="976" spans="1:1" x14ac:dyDescent="0.3">
      <c r="A976" s="6"/>
    </row>
    <row r="977" spans="1:1" x14ac:dyDescent="0.3">
      <c r="A977" s="6"/>
    </row>
    <row r="978" spans="1:1" x14ac:dyDescent="0.3">
      <c r="A978" s="6"/>
    </row>
    <row r="979" spans="1:1" x14ac:dyDescent="0.3">
      <c r="A979" s="6"/>
    </row>
    <row r="980" spans="1:1" x14ac:dyDescent="0.3">
      <c r="A980" s="6"/>
    </row>
    <row r="981" spans="1:1" x14ac:dyDescent="0.3">
      <c r="A981" s="6"/>
    </row>
    <row r="982" spans="1:1" x14ac:dyDescent="0.3">
      <c r="A982" s="6"/>
    </row>
    <row r="983" spans="1:1" x14ac:dyDescent="0.3">
      <c r="A983" s="6"/>
    </row>
    <row r="984" spans="1:1" x14ac:dyDescent="0.3">
      <c r="A984" s="6"/>
    </row>
    <row r="985" spans="1:1" x14ac:dyDescent="0.3">
      <c r="A985" s="6"/>
    </row>
    <row r="986" spans="1:1" x14ac:dyDescent="0.3">
      <c r="A986" s="6"/>
    </row>
    <row r="987" spans="1:1" x14ac:dyDescent="0.3">
      <c r="A987" s="6"/>
    </row>
    <row r="988" spans="1:1" x14ac:dyDescent="0.3">
      <c r="A988" s="6"/>
    </row>
    <row r="989" spans="1:1" x14ac:dyDescent="0.3">
      <c r="A989" s="6"/>
    </row>
    <row r="990" spans="1:1" x14ac:dyDescent="0.3">
      <c r="A990" s="6"/>
    </row>
    <row r="991" spans="1:1" x14ac:dyDescent="0.3">
      <c r="A991" s="6"/>
    </row>
    <row r="992" spans="1:1" x14ac:dyDescent="0.3">
      <c r="A992" s="6"/>
    </row>
    <row r="993" spans="1:1" x14ac:dyDescent="0.3">
      <c r="A993" s="6"/>
    </row>
    <row r="994" spans="1:1" x14ac:dyDescent="0.3">
      <c r="A994" s="6"/>
    </row>
    <row r="995" spans="1:1" x14ac:dyDescent="0.3">
      <c r="A995" s="6"/>
    </row>
    <row r="996" spans="1:1" x14ac:dyDescent="0.3">
      <c r="A996" s="6"/>
    </row>
    <row r="997" spans="1:1" x14ac:dyDescent="0.3">
      <c r="A997" s="6"/>
    </row>
    <row r="998" spans="1:1" x14ac:dyDescent="0.3">
      <c r="A998" s="6"/>
    </row>
    <row r="999" spans="1:1" x14ac:dyDescent="0.3">
      <c r="A999" s="6"/>
    </row>
    <row r="1000" spans="1:1" x14ac:dyDescent="0.3">
      <c r="A1000" s="6"/>
    </row>
    <row r="1001" spans="1:1" x14ac:dyDescent="0.3">
      <c r="A1001" s="6"/>
    </row>
    <row r="1002" spans="1:1" x14ac:dyDescent="0.3">
      <c r="A1002" s="6"/>
    </row>
    <row r="1003" spans="1:1" x14ac:dyDescent="0.3">
      <c r="A1003" s="6"/>
    </row>
    <row r="1004" spans="1:1" x14ac:dyDescent="0.3">
      <c r="A1004" s="6"/>
    </row>
    <row r="1005" spans="1:1" x14ac:dyDescent="0.3">
      <c r="A1005" s="6"/>
    </row>
    <row r="1006" spans="1:1" x14ac:dyDescent="0.3">
      <c r="A1006" s="6"/>
    </row>
    <row r="1007" spans="1:1" x14ac:dyDescent="0.3">
      <c r="A1007" s="6"/>
    </row>
    <row r="1008" spans="1:1" x14ac:dyDescent="0.3">
      <c r="A1008" s="6"/>
    </row>
    <row r="1009" spans="1:1" x14ac:dyDescent="0.3">
      <c r="A1009" s="6"/>
    </row>
    <row r="1010" spans="1:1" x14ac:dyDescent="0.3">
      <c r="A1010" s="6"/>
    </row>
    <row r="1011" spans="1:1" x14ac:dyDescent="0.3">
      <c r="A1011" s="6"/>
    </row>
    <row r="1012" spans="1:1" x14ac:dyDescent="0.3">
      <c r="A1012" s="6"/>
    </row>
    <row r="1013" spans="1:1" x14ac:dyDescent="0.3">
      <c r="A1013" s="6"/>
    </row>
    <row r="1014" spans="1:1" x14ac:dyDescent="0.3">
      <c r="A1014" s="6"/>
    </row>
    <row r="1015" spans="1:1" x14ac:dyDescent="0.3">
      <c r="A1015" s="6"/>
    </row>
    <row r="1016" spans="1:1" x14ac:dyDescent="0.3">
      <c r="A1016" s="6"/>
    </row>
    <row r="1017" spans="1:1" x14ac:dyDescent="0.3">
      <c r="A1017" s="6"/>
    </row>
    <row r="1018" spans="1:1" x14ac:dyDescent="0.3">
      <c r="A1018" s="6"/>
    </row>
    <row r="1019" spans="1:1" x14ac:dyDescent="0.3">
      <c r="A1019" s="6"/>
    </row>
    <row r="1020" spans="1:1" x14ac:dyDescent="0.3">
      <c r="A1020" s="6"/>
    </row>
    <row r="1021" spans="1:1" x14ac:dyDescent="0.3">
      <c r="A1021" s="6"/>
    </row>
    <row r="1022" spans="1:1" x14ac:dyDescent="0.3">
      <c r="A1022" s="6"/>
    </row>
    <row r="1023" spans="1:1" x14ac:dyDescent="0.3">
      <c r="A1023" s="6"/>
    </row>
    <row r="1024" spans="1:1" x14ac:dyDescent="0.3">
      <c r="A1024" s="6"/>
    </row>
    <row r="1025" spans="1:1" x14ac:dyDescent="0.3">
      <c r="A1025" s="6"/>
    </row>
    <row r="1026" spans="1:1" x14ac:dyDescent="0.3">
      <c r="A1026" s="6"/>
    </row>
    <row r="1027" spans="1:1" x14ac:dyDescent="0.3">
      <c r="A1027" s="6"/>
    </row>
    <row r="1028" spans="1:1" x14ac:dyDescent="0.3">
      <c r="A1028" s="6"/>
    </row>
    <row r="1029" spans="1:1" x14ac:dyDescent="0.3">
      <c r="A1029" s="6"/>
    </row>
    <row r="1030" spans="1:1" x14ac:dyDescent="0.3">
      <c r="A1030" s="6"/>
    </row>
    <row r="1031" spans="1:1" x14ac:dyDescent="0.3">
      <c r="A1031" s="6"/>
    </row>
    <row r="1032" spans="1:1" x14ac:dyDescent="0.3">
      <c r="A1032" s="6"/>
    </row>
    <row r="1033" spans="1:1" x14ac:dyDescent="0.3">
      <c r="A1033" s="6"/>
    </row>
    <row r="1034" spans="1:1" x14ac:dyDescent="0.3">
      <c r="A1034" s="6"/>
    </row>
    <row r="1035" spans="1:1" x14ac:dyDescent="0.3">
      <c r="A1035" s="6"/>
    </row>
    <row r="1036" spans="1:1" x14ac:dyDescent="0.3">
      <c r="A1036" s="6"/>
    </row>
    <row r="1037" spans="1:1" x14ac:dyDescent="0.3">
      <c r="A1037" s="6"/>
    </row>
    <row r="1038" spans="1:1" x14ac:dyDescent="0.3">
      <c r="A1038" s="6"/>
    </row>
    <row r="1039" spans="1:1" x14ac:dyDescent="0.3">
      <c r="A1039" s="6"/>
    </row>
    <row r="1040" spans="1:1" x14ac:dyDescent="0.3">
      <c r="A1040" s="6"/>
    </row>
    <row r="1041" spans="1:1" x14ac:dyDescent="0.3">
      <c r="A1041" s="6"/>
    </row>
    <row r="1042" spans="1:1" x14ac:dyDescent="0.3">
      <c r="A1042" s="6"/>
    </row>
    <row r="1043" spans="1:1" x14ac:dyDescent="0.3">
      <c r="A1043" s="6"/>
    </row>
    <row r="1044" spans="1:1" x14ac:dyDescent="0.3">
      <c r="A1044" s="6"/>
    </row>
    <row r="1045" spans="1:1" x14ac:dyDescent="0.3">
      <c r="A1045" s="6"/>
    </row>
    <row r="1046" spans="1:1" x14ac:dyDescent="0.3">
      <c r="A1046" s="6"/>
    </row>
    <row r="1047" spans="1:1" x14ac:dyDescent="0.3">
      <c r="A1047" s="6"/>
    </row>
    <row r="1048" spans="1:1" x14ac:dyDescent="0.3">
      <c r="A1048" s="6"/>
    </row>
    <row r="1049" spans="1:1" x14ac:dyDescent="0.3">
      <c r="A1049" s="6"/>
    </row>
    <row r="1050" spans="1:1" x14ac:dyDescent="0.3">
      <c r="A1050" s="6"/>
    </row>
    <row r="1051" spans="1:1" x14ac:dyDescent="0.3">
      <c r="A1051" s="6"/>
    </row>
    <row r="1052" spans="1:1" x14ac:dyDescent="0.3">
      <c r="A1052" s="6"/>
    </row>
    <row r="1053" spans="1:1" x14ac:dyDescent="0.3">
      <c r="A1053" s="6"/>
    </row>
    <row r="1054" spans="1:1" x14ac:dyDescent="0.3">
      <c r="A1054" s="6"/>
    </row>
    <row r="1055" spans="1:1" x14ac:dyDescent="0.3">
      <c r="A1055" s="6"/>
    </row>
    <row r="1056" spans="1:1" x14ac:dyDescent="0.3">
      <c r="A1056" s="6"/>
    </row>
    <row r="1057" spans="1:1" x14ac:dyDescent="0.3">
      <c r="A1057" s="6"/>
    </row>
    <row r="1058" spans="1:1" x14ac:dyDescent="0.3">
      <c r="A1058" s="6"/>
    </row>
    <row r="1059" spans="1:1" x14ac:dyDescent="0.3">
      <c r="A1059" s="6"/>
    </row>
    <row r="1060" spans="1:1" x14ac:dyDescent="0.3">
      <c r="A1060" s="6"/>
    </row>
    <row r="1061" spans="1:1" x14ac:dyDescent="0.3">
      <c r="A1061" s="6"/>
    </row>
    <row r="1062" spans="1:1" x14ac:dyDescent="0.3">
      <c r="A1062" s="6"/>
    </row>
    <row r="1063" spans="1:1" x14ac:dyDescent="0.3">
      <c r="A1063" s="6"/>
    </row>
    <row r="1064" spans="1:1" x14ac:dyDescent="0.3">
      <c r="A1064" s="6"/>
    </row>
    <row r="1065" spans="1:1" x14ac:dyDescent="0.3">
      <c r="A1065" s="6"/>
    </row>
    <row r="1066" spans="1:1" x14ac:dyDescent="0.3">
      <c r="A1066" s="6"/>
    </row>
    <row r="1067" spans="1:1" x14ac:dyDescent="0.3">
      <c r="A1067" s="6"/>
    </row>
    <row r="1068" spans="1:1" x14ac:dyDescent="0.3">
      <c r="A1068" s="6"/>
    </row>
    <row r="1069" spans="1:1" x14ac:dyDescent="0.3">
      <c r="A1069" s="6"/>
    </row>
    <row r="1070" spans="1:1" x14ac:dyDescent="0.3">
      <c r="A1070" s="6"/>
    </row>
    <row r="1071" spans="1:1" x14ac:dyDescent="0.3">
      <c r="A1071" s="6"/>
    </row>
    <row r="1072" spans="1:1" x14ac:dyDescent="0.3">
      <c r="A1072" s="6"/>
    </row>
    <row r="1073" spans="1:1" x14ac:dyDescent="0.3">
      <c r="A1073" s="6"/>
    </row>
    <row r="1074" spans="1:1" x14ac:dyDescent="0.3">
      <c r="A1074" s="6"/>
    </row>
    <row r="1075" spans="1:1" x14ac:dyDescent="0.3">
      <c r="A1075" s="6"/>
    </row>
    <row r="1076" spans="1:1" x14ac:dyDescent="0.3">
      <c r="A1076" s="6"/>
    </row>
    <row r="1077" spans="1:1" x14ac:dyDescent="0.3">
      <c r="A1077" s="6"/>
    </row>
    <row r="1078" spans="1:1" x14ac:dyDescent="0.3">
      <c r="A1078" s="6"/>
    </row>
    <row r="1079" spans="1:1" x14ac:dyDescent="0.3">
      <c r="A1079" s="6"/>
    </row>
    <row r="1080" spans="1:1" x14ac:dyDescent="0.3">
      <c r="A1080" s="6"/>
    </row>
    <row r="1081" spans="1:1" x14ac:dyDescent="0.3">
      <c r="A1081" s="6"/>
    </row>
    <row r="1082" spans="1:1" x14ac:dyDescent="0.3">
      <c r="A1082" s="6"/>
    </row>
    <row r="1083" spans="1:1" x14ac:dyDescent="0.3">
      <c r="A1083" s="6"/>
    </row>
    <row r="1084" spans="1:1" x14ac:dyDescent="0.3">
      <c r="A1084" s="6"/>
    </row>
    <row r="1085" spans="1:1" x14ac:dyDescent="0.3">
      <c r="A1085" s="6"/>
    </row>
    <row r="1086" spans="1:1" x14ac:dyDescent="0.3">
      <c r="A1086" s="6"/>
    </row>
    <row r="1087" spans="1:1" x14ac:dyDescent="0.3">
      <c r="A1087" s="6"/>
    </row>
    <row r="1088" spans="1:1" x14ac:dyDescent="0.3">
      <c r="A1088" s="6"/>
    </row>
    <row r="1089" spans="1:1" x14ac:dyDescent="0.3">
      <c r="A1089" s="6"/>
    </row>
    <row r="1090" spans="1:1" x14ac:dyDescent="0.3">
      <c r="A1090" s="6"/>
    </row>
    <row r="1091" spans="1:1" x14ac:dyDescent="0.3">
      <c r="A1091" s="6"/>
    </row>
    <row r="1092" spans="1:1" x14ac:dyDescent="0.3">
      <c r="A1092" s="6"/>
    </row>
    <row r="1093" spans="1:1" x14ac:dyDescent="0.3">
      <c r="A1093" s="6"/>
    </row>
    <row r="1094" spans="1:1" x14ac:dyDescent="0.3">
      <c r="A1094" s="6"/>
    </row>
    <row r="1095" spans="1:1" x14ac:dyDescent="0.3">
      <c r="A1095" s="6"/>
    </row>
    <row r="1096" spans="1:1" x14ac:dyDescent="0.3">
      <c r="A1096" s="6"/>
    </row>
    <row r="1097" spans="1:1" x14ac:dyDescent="0.3">
      <c r="A1097" s="6"/>
    </row>
    <row r="1098" spans="1:1" x14ac:dyDescent="0.3">
      <c r="A1098" s="6"/>
    </row>
    <row r="1099" spans="1:1" x14ac:dyDescent="0.3">
      <c r="A1099" s="6"/>
    </row>
    <row r="1100" spans="1:1" x14ac:dyDescent="0.3">
      <c r="A1100" s="6"/>
    </row>
    <row r="1101" spans="1:1" x14ac:dyDescent="0.3">
      <c r="A1101" s="6"/>
    </row>
    <row r="1102" spans="1:1" x14ac:dyDescent="0.3">
      <c r="A1102" s="6"/>
    </row>
    <row r="1103" spans="1:1" x14ac:dyDescent="0.3">
      <c r="A1103" s="6"/>
    </row>
    <row r="1104" spans="1:1" x14ac:dyDescent="0.3">
      <c r="A1104" s="6"/>
    </row>
    <row r="1105" spans="1:1" x14ac:dyDescent="0.3">
      <c r="A1105" s="6"/>
    </row>
    <row r="1106" spans="1:1" x14ac:dyDescent="0.3">
      <c r="A1106" s="6"/>
    </row>
    <row r="1107" spans="1:1" x14ac:dyDescent="0.3">
      <c r="A1107" s="6"/>
    </row>
    <row r="1108" spans="1:1" x14ac:dyDescent="0.3">
      <c r="A1108" s="6"/>
    </row>
    <row r="1109" spans="1:1" x14ac:dyDescent="0.3">
      <c r="A1109" s="6"/>
    </row>
    <row r="1110" spans="1:1" x14ac:dyDescent="0.3">
      <c r="A1110" s="6"/>
    </row>
    <row r="1111" spans="1:1" x14ac:dyDescent="0.3">
      <c r="A1111" s="6"/>
    </row>
    <row r="1112" spans="1:1" x14ac:dyDescent="0.3">
      <c r="A1112" s="6"/>
    </row>
    <row r="1113" spans="1:1" x14ac:dyDescent="0.3">
      <c r="A1113" s="6"/>
    </row>
    <row r="1114" spans="1:1" x14ac:dyDescent="0.3">
      <c r="A1114" s="6"/>
    </row>
    <row r="1115" spans="1:1" x14ac:dyDescent="0.3">
      <c r="A1115" s="6"/>
    </row>
    <row r="1116" spans="1:1" x14ac:dyDescent="0.3">
      <c r="A1116" s="6"/>
    </row>
    <row r="1117" spans="1:1" x14ac:dyDescent="0.3">
      <c r="A1117" s="6"/>
    </row>
    <row r="1118" spans="1:1" x14ac:dyDescent="0.3">
      <c r="A1118" s="6"/>
    </row>
    <row r="1119" spans="1:1" x14ac:dyDescent="0.3">
      <c r="A1119" s="6"/>
    </row>
    <row r="1120" spans="1:1" x14ac:dyDescent="0.3">
      <c r="A1120" s="6"/>
    </row>
    <row r="1121" spans="1:1" x14ac:dyDescent="0.3">
      <c r="A1121" s="6"/>
    </row>
    <row r="1122" spans="1:1" x14ac:dyDescent="0.3">
      <c r="A1122" s="6"/>
    </row>
    <row r="1123" spans="1:1" x14ac:dyDescent="0.3">
      <c r="A1123" s="6"/>
    </row>
    <row r="1124" spans="1:1" x14ac:dyDescent="0.3">
      <c r="A1124" s="6"/>
    </row>
    <row r="1125" spans="1:1" x14ac:dyDescent="0.3">
      <c r="A1125" s="6"/>
    </row>
    <row r="1126" spans="1:1" x14ac:dyDescent="0.3">
      <c r="A1126" s="6"/>
    </row>
    <row r="1127" spans="1:1" x14ac:dyDescent="0.3">
      <c r="A1127" s="6"/>
    </row>
    <row r="1128" spans="1:1" x14ac:dyDescent="0.3">
      <c r="A1128" s="6"/>
    </row>
    <row r="1129" spans="1:1" x14ac:dyDescent="0.3">
      <c r="A1129" s="6"/>
    </row>
    <row r="1130" spans="1:1" x14ac:dyDescent="0.3">
      <c r="A1130" s="6"/>
    </row>
    <row r="1131" spans="1:1" x14ac:dyDescent="0.3">
      <c r="A1131" s="6"/>
    </row>
    <row r="1132" spans="1:1" x14ac:dyDescent="0.3">
      <c r="A1132" s="6"/>
    </row>
    <row r="1133" spans="1:1" x14ac:dyDescent="0.3">
      <c r="A1133" s="6"/>
    </row>
    <row r="1134" spans="1:1" x14ac:dyDescent="0.3">
      <c r="A1134" s="6"/>
    </row>
    <row r="1135" spans="1:1" x14ac:dyDescent="0.3">
      <c r="A1135" s="6"/>
    </row>
    <row r="1136" spans="1:1" x14ac:dyDescent="0.3">
      <c r="A1136" s="6"/>
    </row>
    <row r="1137" spans="1:1" x14ac:dyDescent="0.3">
      <c r="A1137" s="6"/>
    </row>
    <row r="1138" spans="1:1" x14ac:dyDescent="0.3">
      <c r="A1138" s="6"/>
    </row>
    <row r="1139" spans="1:1" x14ac:dyDescent="0.3">
      <c r="A1139" s="6"/>
    </row>
    <row r="1140" spans="1:1" x14ac:dyDescent="0.3">
      <c r="A1140" s="6"/>
    </row>
    <row r="1141" spans="1:1" x14ac:dyDescent="0.3">
      <c r="A1141" s="6"/>
    </row>
    <row r="1142" spans="1:1" x14ac:dyDescent="0.3">
      <c r="A1142" s="6"/>
    </row>
    <row r="1143" spans="1:1" x14ac:dyDescent="0.3">
      <c r="A1143" s="6"/>
    </row>
    <row r="1144" spans="1:1" x14ac:dyDescent="0.3">
      <c r="A1144" s="6"/>
    </row>
    <row r="1145" spans="1:1" x14ac:dyDescent="0.3">
      <c r="A1145" s="6"/>
    </row>
    <row r="1146" spans="1:1" x14ac:dyDescent="0.3">
      <c r="A1146" s="6"/>
    </row>
    <row r="1147" spans="1:1" x14ac:dyDescent="0.3">
      <c r="A1147" s="6"/>
    </row>
    <row r="1148" spans="1:1" x14ac:dyDescent="0.3">
      <c r="A1148" s="6"/>
    </row>
    <row r="1149" spans="1:1" x14ac:dyDescent="0.3">
      <c r="A1149" s="6"/>
    </row>
    <row r="1150" spans="1:1" x14ac:dyDescent="0.3">
      <c r="A1150" s="6"/>
    </row>
    <row r="1151" spans="1:1" x14ac:dyDescent="0.3">
      <c r="A1151" s="6"/>
    </row>
    <row r="1152" spans="1:1" x14ac:dyDescent="0.3">
      <c r="A1152" s="6"/>
    </row>
    <row r="1153" spans="1:1" x14ac:dyDescent="0.3">
      <c r="A1153" s="6"/>
    </row>
    <row r="1154" spans="1:1" x14ac:dyDescent="0.3">
      <c r="A1154" s="6"/>
    </row>
    <row r="1155" spans="1:1" x14ac:dyDescent="0.3">
      <c r="A1155" s="6"/>
    </row>
    <row r="1156" spans="1:1" x14ac:dyDescent="0.3">
      <c r="A1156" s="6"/>
    </row>
    <row r="1157" spans="1:1" x14ac:dyDescent="0.3">
      <c r="A1157" s="6"/>
    </row>
    <row r="1158" spans="1:1" x14ac:dyDescent="0.3">
      <c r="A1158" s="6"/>
    </row>
    <row r="1159" spans="1:1" x14ac:dyDescent="0.3">
      <c r="A1159" s="6"/>
    </row>
    <row r="1160" spans="1:1" x14ac:dyDescent="0.3">
      <c r="A1160" s="6"/>
    </row>
    <row r="1161" spans="1:1" x14ac:dyDescent="0.3">
      <c r="A1161" s="6"/>
    </row>
    <row r="1162" spans="1:1" x14ac:dyDescent="0.3">
      <c r="A1162" s="6"/>
    </row>
    <row r="1163" spans="1:1" x14ac:dyDescent="0.3">
      <c r="A1163" s="6"/>
    </row>
    <row r="1164" spans="1:1" x14ac:dyDescent="0.3">
      <c r="A1164" s="6"/>
    </row>
    <row r="1165" spans="1:1" x14ac:dyDescent="0.3">
      <c r="A1165" s="6"/>
    </row>
    <row r="1166" spans="1:1" x14ac:dyDescent="0.3">
      <c r="A1166" s="6"/>
    </row>
    <row r="1167" spans="1:1" x14ac:dyDescent="0.3">
      <c r="A1167" s="6"/>
    </row>
    <row r="1168" spans="1:1" x14ac:dyDescent="0.3">
      <c r="A1168" s="6"/>
    </row>
    <row r="1169" spans="1:1" x14ac:dyDescent="0.3">
      <c r="A1169" s="6"/>
    </row>
    <row r="1170" spans="1:1" x14ac:dyDescent="0.3">
      <c r="A1170" s="6"/>
    </row>
    <row r="1171" spans="1:1" x14ac:dyDescent="0.3">
      <c r="A1171" s="6"/>
    </row>
    <row r="1172" spans="1:1" x14ac:dyDescent="0.3">
      <c r="A1172" s="6"/>
    </row>
    <row r="1173" spans="1:1" x14ac:dyDescent="0.3">
      <c r="A1173" s="6"/>
    </row>
    <row r="1174" spans="1:1" x14ac:dyDescent="0.3">
      <c r="A1174" s="6"/>
    </row>
    <row r="1175" spans="1:1" x14ac:dyDescent="0.3">
      <c r="A1175" s="6"/>
    </row>
    <row r="1176" spans="1:1" x14ac:dyDescent="0.3">
      <c r="A1176" s="6"/>
    </row>
    <row r="1177" spans="1:1" x14ac:dyDescent="0.3">
      <c r="A1177" s="6"/>
    </row>
    <row r="1178" spans="1:1" x14ac:dyDescent="0.3">
      <c r="A1178" s="6"/>
    </row>
    <row r="1179" spans="1:1" x14ac:dyDescent="0.3">
      <c r="A1179" s="6"/>
    </row>
    <row r="1180" spans="1:1" x14ac:dyDescent="0.3">
      <c r="A1180" s="6"/>
    </row>
    <row r="1181" spans="1:1" x14ac:dyDescent="0.3">
      <c r="A1181" s="6"/>
    </row>
    <row r="1182" spans="1:1" x14ac:dyDescent="0.3">
      <c r="A1182" s="6"/>
    </row>
    <row r="1183" spans="1:1" x14ac:dyDescent="0.3">
      <c r="A1183" s="6"/>
    </row>
    <row r="1184" spans="1:1" x14ac:dyDescent="0.3">
      <c r="A1184" s="6"/>
    </row>
    <row r="1185" spans="1:1" x14ac:dyDescent="0.3">
      <c r="A1185" s="6"/>
    </row>
    <row r="1186" spans="1:1" x14ac:dyDescent="0.3">
      <c r="A1186" s="6"/>
    </row>
    <row r="1187" spans="1:1" x14ac:dyDescent="0.3">
      <c r="A1187" s="6"/>
    </row>
    <row r="1188" spans="1:1" x14ac:dyDescent="0.3">
      <c r="A1188" s="6"/>
    </row>
    <row r="1189" spans="1:1" x14ac:dyDescent="0.3">
      <c r="A1189" s="6"/>
    </row>
    <row r="1190" spans="1:1" x14ac:dyDescent="0.3">
      <c r="A1190" s="6"/>
    </row>
    <row r="1191" spans="1:1" x14ac:dyDescent="0.3">
      <c r="A1191" s="6"/>
    </row>
    <row r="1192" spans="1:1" x14ac:dyDescent="0.3">
      <c r="A1192" s="6"/>
    </row>
    <row r="1193" spans="1:1" x14ac:dyDescent="0.3">
      <c r="A1193" s="6"/>
    </row>
    <row r="1194" spans="1:1" x14ac:dyDescent="0.3">
      <c r="A1194" s="6"/>
    </row>
    <row r="1195" spans="1:1" x14ac:dyDescent="0.3">
      <c r="A1195" s="6"/>
    </row>
    <row r="1196" spans="1:1" x14ac:dyDescent="0.3">
      <c r="A1196" s="6"/>
    </row>
    <row r="1197" spans="1:1" x14ac:dyDescent="0.3">
      <c r="A1197" s="6"/>
    </row>
    <row r="1198" spans="1:1" x14ac:dyDescent="0.3">
      <c r="A1198" s="6"/>
    </row>
    <row r="1199" spans="1:1" x14ac:dyDescent="0.3">
      <c r="A1199" s="6"/>
    </row>
    <row r="1200" spans="1:1" x14ac:dyDescent="0.3">
      <c r="A1200" s="6"/>
    </row>
    <row r="1201" spans="1:1" x14ac:dyDescent="0.3">
      <c r="A1201" s="6"/>
    </row>
    <row r="1202" spans="1:1" x14ac:dyDescent="0.3">
      <c r="A1202" s="6"/>
    </row>
    <row r="1203" spans="1:1" x14ac:dyDescent="0.3">
      <c r="A1203" s="6"/>
    </row>
    <row r="1204" spans="1:1" x14ac:dyDescent="0.3">
      <c r="A1204" s="6"/>
    </row>
    <row r="1205" spans="1:1" x14ac:dyDescent="0.3">
      <c r="A1205" s="6"/>
    </row>
    <row r="1206" spans="1:1" x14ac:dyDescent="0.3">
      <c r="A1206" s="6"/>
    </row>
    <row r="1207" spans="1:1" x14ac:dyDescent="0.3">
      <c r="A1207" s="6"/>
    </row>
    <row r="1208" spans="1:1" x14ac:dyDescent="0.3">
      <c r="A1208" s="6"/>
    </row>
    <row r="1209" spans="1:1" x14ac:dyDescent="0.3">
      <c r="A1209" s="6"/>
    </row>
    <row r="1210" spans="1:1" x14ac:dyDescent="0.3">
      <c r="A1210" s="6"/>
    </row>
    <row r="1211" spans="1:1" x14ac:dyDescent="0.3">
      <c r="A1211" s="6"/>
    </row>
    <row r="1212" spans="1:1" x14ac:dyDescent="0.3">
      <c r="A1212" s="6"/>
    </row>
    <row r="1213" spans="1:1" x14ac:dyDescent="0.3">
      <c r="A1213" s="6"/>
    </row>
    <row r="1214" spans="1:1" x14ac:dyDescent="0.3">
      <c r="A1214" s="6"/>
    </row>
    <row r="1215" spans="1:1" x14ac:dyDescent="0.3">
      <c r="A1215" s="6"/>
    </row>
    <row r="1216" spans="1:1" x14ac:dyDescent="0.3">
      <c r="A1216" s="6"/>
    </row>
    <row r="1217" spans="1:1" x14ac:dyDescent="0.3">
      <c r="A1217" s="6"/>
    </row>
    <row r="1218" spans="1:1" x14ac:dyDescent="0.3">
      <c r="A1218" s="6"/>
    </row>
    <row r="1219" spans="1:1" x14ac:dyDescent="0.3">
      <c r="A1219" s="6"/>
    </row>
    <row r="1220" spans="1:1" x14ac:dyDescent="0.3">
      <c r="A1220" s="6"/>
    </row>
    <row r="1221" spans="1:1" x14ac:dyDescent="0.3">
      <c r="A1221" s="6"/>
    </row>
    <row r="1222" spans="1:1" x14ac:dyDescent="0.3">
      <c r="A1222" s="6"/>
    </row>
    <row r="1223" spans="1:1" x14ac:dyDescent="0.3">
      <c r="A1223" s="6"/>
    </row>
    <row r="1224" spans="1:1" x14ac:dyDescent="0.3">
      <c r="A1224" s="6"/>
    </row>
    <row r="1225" spans="1:1" x14ac:dyDescent="0.3">
      <c r="A1225" s="6"/>
    </row>
    <row r="1226" spans="1:1" x14ac:dyDescent="0.3">
      <c r="A1226" s="6"/>
    </row>
    <row r="1227" spans="1:1" x14ac:dyDescent="0.3">
      <c r="A1227" s="6"/>
    </row>
    <row r="1228" spans="1:1" x14ac:dyDescent="0.3">
      <c r="A1228" s="6"/>
    </row>
    <row r="1229" spans="1:1" x14ac:dyDescent="0.3">
      <c r="A1229" s="6"/>
    </row>
    <row r="1230" spans="1:1" x14ac:dyDescent="0.3">
      <c r="A1230" s="6"/>
    </row>
    <row r="1231" spans="1:1" x14ac:dyDescent="0.3">
      <c r="A1231" s="6"/>
    </row>
    <row r="1232" spans="1:1" x14ac:dyDescent="0.3">
      <c r="A1232" s="6"/>
    </row>
    <row r="1233" spans="1:1" x14ac:dyDescent="0.3">
      <c r="A1233" s="6"/>
    </row>
    <row r="1234" spans="1:1" x14ac:dyDescent="0.3">
      <c r="A1234" s="6"/>
    </row>
    <row r="1235" spans="1:1" x14ac:dyDescent="0.3">
      <c r="A1235" s="6"/>
    </row>
    <row r="1236" spans="1:1" x14ac:dyDescent="0.3">
      <c r="A1236" s="6"/>
    </row>
    <row r="1237" spans="1:1" x14ac:dyDescent="0.3">
      <c r="A1237" s="6"/>
    </row>
    <row r="1238" spans="1:1" x14ac:dyDescent="0.3">
      <c r="A1238" s="6"/>
    </row>
    <row r="1239" spans="1:1" x14ac:dyDescent="0.3">
      <c r="A1239" s="6"/>
    </row>
    <row r="1240" spans="1:1" x14ac:dyDescent="0.3">
      <c r="A1240" s="6"/>
    </row>
    <row r="1241" spans="1:1" x14ac:dyDescent="0.3">
      <c r="A1241" s="6"/>
    </row>
    <row r="1242" spans="1:1" x14ac:dyDescent="0.3">
      <c r="A1242" s="6"/>
    </row>
    <row r="1243" spans="1:1" x14ac:dyDescent="0.3">
      <c r="A1243" s="6"/>
    </row>
    <row r="1244" spans="1:1" x14ac:dyDescent="0.3">
      <c r="A1244" s="6"/>
    </row>
    <row r="1245" spans="1:1" x14ac:dyDescent="0.3">
      <c r="A1245" s="6"/>
    </row>
    <row r="1246" spans="1:1" x14ac:dyDescent="0.3">
      <c r="A1246" s="6"/>
    </row>
    <row r="1247" spans="1:1" x14ac:dyDescent="0.3">
      <c r="A1247" s="6"/>
    </row>
    <row r="1248" spans="1:1" x14ac:dyDescent="0.3">
      <c r="A1248" s="6"/>
    </row>
    <row r="1249" spans="1:1" x14ac:dyDescent="0.3">
      <c r="A1249" s="6"/>
    </row>
    <row r="1250" spans="1:1" x14ac:dyDescent="0.3">
      <c r="A1250" s="6"/>
    </row>
    <row r="1251" spans="1:1" x14ac:dyDescent="0.3">
      <c r="A1251" s="6"/>
    </row>
    <row r="1252" spans="1:1" x14ac:dyDescent="0.3">
      <c r="A1252" s="6"/>
    </row>
    <row r="1253" spans="1:1" x14ac:dyDescent="0.3">
      <c r="A1253" s="6"/>
    </row>
    <row r="1254" spans="1:1" x14ac:dyDescent="0.3">
      <c r="A1254" s="6"/>
    </row>
    <row r="1255" spans="1:1" x14ac:dyDescent="0.3">
      <c r="A1255" s="6"/>
    </row>
    <row r="1256" spans="1:1" x14ac:dyDescent="0.3">
      <c r="A1256" s="6"/>
    </row>
    <row r="1257" spans="1:1" x14ac:dyDescent="0.3">
      <c r="A1257" s="6"/>
    </row>
    <row r="1258" spans="1:1" x14ac:dyDescent="0.3">
      <c r="A1258" s="6"/>
    </row>
    <row r="1259" spans="1:1" x14ac:dyDescent="0.3">
      <c r="A1259" s="6"/>
    </row>
    <row r="1260" spans="1:1" x14ac:dyDescent="0.3">
      <c r="A1260" s="6"/>
    </row>
    <row r="1261" spans="1:1" x14ac:dyDescent="0.3">
      <c r="A1261" s="6"/>
    </row>
    <row r="1262" spans="1:1" x14ac:dyDescent="0.3">
      <c r="A1262" s="6"/>
    </row>
    <row r="1263" spans="1:1" x14ac:dyDescent="0.3">
      <c r="A1263" s="6"/>
    </row>
    <row r="1264" spans="1:1" x14ac:dyDescent="0.3">
      <c r="A1264" s="6"/>
    </row>
    <row r="1265" spans="1:1" x14ac:dyDescent="0.3">
      <c r="A1265" s="6"/>
    </row>
    <row r="1266" spans="1:1" x14ac:dyDescent="0.3">
      <c r="A1266" s="6"/>
    </row>
    <row r="1267" spans="1:1" x14ac:dyDescent="0.3">
      <c r="A1267" s="6"/>
    </row>
    <row r="1268" spans="1:1" x14ac:dyDescent="0.3">
      <c r="A1268" s="6"/>
    </row>
    <row r="1269" spans="1:1" x14ac:dyDescent="0.3">
      <c r="A1269" s="6"/>
    </row>
    <row r="1270" spans="1:1" x14ac:dyDescent="0.3">
      <c r="A1270" s="6"/>
    </row>
    <row r="1271" spans="1:1" x14ac:dyDescent="0.3">
      <c r="A1271" s="6"/>
    </row>
    <row r="1272" spans="1:1" x14ac:dyDescent="0.3">
      <c r="A1272" s="6"/>
    </row>
    <row r="1273" spans="1:1" x14ac:dyDescent="0.3">
      <c r="A1273" s="6"/>
    </row>
    <row r="1274" spans="1:1" x14ac:dyDescent="0.3">
      <c r="A1274" s="6"/>
    </row>
    <row r="1275" spans="1:1" x14ac:dyDescent="0.3">
      <c r="A1275" s="6"/>
    </row>
    <row r="1276" spans="1:1" x14ac:dyDescent="0.3">
      <c r="A1276" s="6"/>
    </row>
    <row r="1277" spans="1:1" x14ac:dyDescent="0.3">
      <c r="A1277" s="6"/>
    </row>
    <row r="1278" spans="1:1" x14ac:dyDescent="0.3">
      <c r="A1278" s="6"/>
    </row>
    <row r="1279" spans="1:1" x14ac:dyDescent="0.3">
      <c r="A1279" s="6"/>
    </row>
    <row r="1280" spans="1:1" x14ac:dyDescent="0.3">
      <c r="A1280" s="6"/>
    </row>
    <row r="1281" spans="1:1" x14ac:dyDescent="0.3">
      <c r="A1281" s="6"/>
    </row>
    <row r="1282" spans="1:1" x14ac:dyDescent="0.3">
      <c r="A1282" s="6"/>
    </row>
    <row r="1283" spans="1:1" x14ac:dyDescent="0.3">
      <c r="A1283" s="6"/>
    </row>
    <row r="1284" spans="1:1" x14ac:dyDescent="0.3">
      <c r="A1284" s="6"/>
    </row>
    <row r="1285" spans="1:1" x14ac:dyDescent="0.3">
      <c r="A1285" s="6"/>
    </row>
    <row r="1286" spans="1:1" x14ac:dyDescent="0.3">
      <c r="A1286" s="6"/>
    </row>
    <row r="1287" spans="1:1" x14ac:dyDescent="0.3">
      <c r="A1287" s="6"/>
    </row>
    <row r="1288" spans="1:1" x14ac:dyDescent="0.3">
      <c r="A1288" s="6"/>
    </row>
    <row r="1289" spans="1:1" x14ac:dyDescent="0.3">
      <c r="A1289" s="6"/>
    </row>
    <row r="1290" spans="1:1" x14ac:dyDescent="0.3">
      <c r="A1290" s="6"/>
    </row>
    <row r="1291" spans="1:1" x14ac:dyDescent="0.3">
      <c r="A1291" s="6"/>
    </row>
    <row r="1292" spans="1:1" x14ac:dyDescent="0.3">
      <c r="A1292" s="6"/>
    </row>
    <row r="1293" spans="1:1" x14ac:dyDescent="0.3">
      <c r="A1293" s="6"/>
    </row>
    <row r="1294" spans="1:1" x14ac:dyDescent="0.3">
      <c r="A1294" s="6"/>
    </row>
    <row r="1295" spans="1:1" x14ac:dyDescent="0.3">
      <c r="A1295" s="6"/>
    </row>
    <row r="1296" spans="1:1" x14ac:dyDescent="0.3">
      <c r="A1296" s="6"/>
    </row>
    <row r="1297" spans="1:1" x14ac:dyDescent="0.3">
      <c r="A1297" s="6"/>
    </row>
    <row r="1298" spans="1:1" x14ac:dyDescent="0.3">
      <c r="A1298" s="6"/>
    </row>
    <row r="1299" spans="1:1" x14ac:dyDescent="0.3">
      <c r="A1299" s="6"/>
    </row>
    <row r="1300" spans="1:1" x14ac:dyDescent="0.3">
      <c r="A1300" s="6"/>
    </row>
    <row r="1301" spans="1:1" x14ac:dyDescent="0.3">
      <c r="A1301" s="6"/>
    </row>
    <row r="1302" spans="1:1" x14ac:dyDescent="0.3">
      <c r="A1302" s="6"/>
    </row>
    <row r="1303" spans="1:1" x14ac:dyDescent="0.3">
      <c r="A1303" s="6"/>
    </row>
    <row r="1304" spans="1:1" x14ac:dyDescent="0.3">
      <c r="A1304" s="6"/>
    </row>
    <row r="1305" spans="1:1" x14ac:dyDescent="0.3">
      <c r="A1305" s="6"/>
    </row>
    <row r="1306" spans="1:1" x14ac:dyDescent="0.3">
      <c r="A1306" s="6"/>
    </row>
    <row r="1307" spans="1:1" x14ac:dyDescent="0.3">
      <c r="A1307" s="6"/>
    </row>
    <row r="1308" spans="1:1" x14ac:dyDescent="0.3">
      <c r="A1308" s="6"/>
    </row>
    <row r="1309" spans="1:1" x14ac:dyDescent="0.3">
      <c r="A1309" s="6"/>
    </row>
    <row r="1310" spans="1:1" x14ac:dyDescent="0.3">
      <c r="A1310" s="6"/>
    </row>
    <row r="1311" spans="1:1" x14ac:dyDescent="0.3">
      <c r="A1311" s="6"/>
    </row>
    <row r="1312" spans="1:1" x14ac:dyDescent="0.3">
      <c r="A1312" s="6"/>
    </row>
    <row r="1313" spans="1:1" x14ac:dyDescent="0.3">
      <c r="A1313" s="6"/>
    </row>
    <row r="1314" spans="1:1" x14ac:dyDescent="0.3">
      <c r="A1314" s="6"/>
    </row>
    <row r="1315" spans="1:1" x14ac:dyDescent="0.3">
      <c r="A1315" s="6"/>
    </row>
    <row r="1316" spans="1:1" x14ac:dyDescent="0.3">
      <c r="A1316" s="6"/>
    </row>
    <row r="1317" spans="1:1" x14ac:dyDescent="0.3">
      <c r="A1317" s="6"/>
    </row>
    <row r="1318" spans="1:1" x14ac:dyDescent="0.3">
      <c r="A1318" s="6"/>
    </row>
    <row r="1319" spans="1:1" x14ac:dyDescent="0.3">
      <c r="A1319" s="6"/>
    </row>
    <row r="1320" spans="1:1" x14ac:dyDescent="0.3">
      <c r="A1320" s="6"/>
    </row>
    <row r="1321" spans="1:1" x14ac:dyDescent="0.3">
      <c r="A1321" s="6"/>
    </row>
    <row r="1322" spans="1:1" x14ac:dyDescent="0.3">
      <c r="A1322" s="6"/>
    </row>
    <row r="1323" spans="1:1" x14ac:dyDescent="0.3">
      <c r="A1323" s="6"/>
    </row>
    <row r="1324" spans="1:1" x14ac:dyDescent="0.3">
      <c r="A1324" s="6"/>
    </row>
    <row r="1325" spans="1:1" x14ac:dyDescent="0.3">
      <c r="A1325" s="6"/>
    </row>
    <row r="1326" spans="1:1" x14ac:dyDescent="0.3">
      <c r="A1326" s="6"/>
    </row>
    <row r="1327" spans="1:1" x14ac:dyDescent="0.3">
      <c r="A1327" s="6"/>
    </row>
    <row r="1328" spans="1:1" x14ac:dyDescent="0.3">
      <c r="A1328" s="6"/>
    </row>
    <row r="1329" spans="1:1" x14ac:dyDescent="0.3">
      <c r="A1329" s="6"/>
    </row>
    <row r="1330" spans="1:1" x14ac:dyDescent="0.3">
      <c r="A1330" s="6"/>
    </row>
    <row r="1331" spans="1:1" x14ac:dyDescent="0.3">
      <c r="A1331" s="6"/>
    </row>
    <row r="1332" spans="1:1" x14ac:dyDescent="0.3">
      <c r="A1332" s="6"/>
    </row>
    <row r="1333" spans="1:1" x14ac:dyDescent="0.3">
      <c r="A1333" s="6"/>
    </row>
    <row r="1334" spans="1:1" x14ac:dyDescent="0.3">
      <c r="A1334" s="6"/>
    </row>
    <row r="1335" spans="1:1" x14ac:dyDescent="0.3">
      <c r="A1335" s="6"/>
    </row>
    <row r="1336" spans="1:1" x14ac:dyDescent="0.3">
      <c r="A1336" s="6"/>
    </row>
    <row r="1337" spans="1:1" x14ac:dyDescent="0.3">
      <c r="A1337" s="6"/>
    </row>
    <row r="1338" spans="1:1" x14ac:dyDescent="0.3">
      <c r="A1338" s="6"/>
    </row>
    <row r="1339" spans="1:1" x14ac:dyDescent="0.3">
      <c r="A1339" s="6"/>
    </row>
    <row r="1340" spans="1:1" x14ac:dyDescent="0.3">
      <c r="A1340" s="6"/>
    </row>
    <row r="1341" spans="1:1" x14ac:dyDescent="0.3">
      <c r="A1341" s="6"/>
    </row>
    <row r="1342" spans="1:1" x14ac:dyDescent="0.3">
      <c r="A1342" s="6"/>
    </row>
    <row r="1343" spans="1:1" x14ac:dyDescent="0.3">
      <c r="A1343" s="6"/>
    </row>
    <row r="1344" spans="1:1" x14ac:dyDescent="0.3">
      <c r="A1344" s="6"/>
    </row>
    <row r="1345" spans="1:1" x14ac:dyDescent="0.3">
      <c r="A1345" s="6"/>
    </row>
    <row r="1346" spans="1:1" x14ac:dyDescent="0.3">
      <c r="A1346" s="6"/>
    </row>
    <row r="1347" spans="1:1" x14ac:dyDescent="0.3">
      <c r="A1347" s="6"/>
    </row>
    <row r="1348" spans="1:1" x14ac:dyDescent="0.3">
      <c r="A1348" s="6"/>
    </row>
    <row r="1349" spans="1:1" x14ac:dyDescent="0.3">
      <c r="A1349" s="6"/>
    </row>
    <row r="1350" spans="1:1" x14ac:dyDescent="0.3">
      <c r="A1350" s="6"/>
    </row>
    <row r="1351" spans="1:1" x14ac:dyDescent="0.3">
      <c r="A1351" s="6"/>
    </row>
    <row r="1352" spans="1:1" x14ac:dyDescent="0.3">
      <c r="A1352" s="6"/>
    </row>
    <row r="1353" spans="1:1" x14ac:dyDescent="0.3">
      <c r="A1353" s="6"/>
    </row>
    <row r="1354" spans="1:1" x14ac:dyDescent="0.3">
      <c r="A1354" s="6"/>
    </row>
    <row r="1355" spans="1:1" x14ac:dyDescent="0.3">
      <c r="A1355" s="6"/>
    </row>
    <row r="1356" spans="1:1" x14ac:dyDescent="0.3">
      <c r="A1356" s="6"/>
    </row>
    <row r="1357" spans="1:1" x14ac:dyDescent="0.3">
      <c r="A1357" s="6"/>
    </row>
    <row r="1358" spans="1:1" x14ac:dyDescent="0.3">
      <c r="A1358" s="6"/>
    </row>
    <row r="1359" spans="1:1" x14ac:dyDescent="0.3">
      <c r="A1359" s="6"/>
    </row>
    <row r="1360" spans="1:1" x14ac:dyDescent="0.3">
      <c r="A1360" s="6"/>
    </row>
    <row r="1361" spans="1:1" x14ac:dyDescent="0.3">
      <c r="A1361" s="6"/>
    </row>
    <row r="1362" spans="1:1" x14ac:dyDescent="0.3">
      <c r="A1362" s="6"/>
    </row>
    <row r="1363" spans="1:1" x14ac:dyDescent="0.3">
      <c r="A1363" s="6"/>
    </row>
    <row r="1364" spans="1:1" x14ac:dyDescent="0.3">
      <c r="A1364" s="6"/>
    </row>
    <row r="1365" spans="1:1" x14ac:dyDescent="0.3">
      <c r="A1365" s="6"/>
    </row>
    <row r="1366" spans="1:1" x14ac:dyDescent="0.3">
      <c r="A1366" s="6"/>
    </row>
    <row r="1367" spans="1:1" x14ac:dyDescent="0.3">
      <c r="A1367" s="6"/>
    </row>
    <row r="1368" spans="1:1" x14ac:dyDescent="0.3">
      <c r="A1368" s="6"/>
    </row>
    <row r="1369" spans="1:1" x14ac:dyDescent="0.3">
      <c r="A1369" s="6"/>
    </row>
    <row r="1370" spans="1:1" x14ac:dyDescent="0.3">
      <c r="A1370" s="6"/>
    </row>
    <row r="1371" spans="1:1" x14ac:dyDescent="0.3">
      <c r="A1371" s="6"/>
    </row>
    <row r="1372" spans="1:1" x14ac:dyDescent="0.3">
      <c r="A1372" s="6"/>
    </row>
    <row r="1373" spans="1:1" x14ac:dyDescent="0.3">
      <c r="A1373" s="6"/>
    </row>
    <row r="1374" spans="1:1" x14ac:dyDescent="0.3">
      <c r="A1374" s="6"/>
    </row>
    <row r="1375" spans="1:1" x14ac:dyDescent="0.3">
      <c r="A1375" s="6"/>
    </row>
    <row r="1376" spans="1:1" x14ac:dyDescent="0.3">
      <c r="A1376" s="6"/>
    </row>
    <row r="1377" spans="1:1" x14ac:dyDescent="0.3">
      <c r="A1377" s="6"/>
    </row>
    <row r="1378" spans="1:1" x14ac:dyDescent="0.3">
      <c r="A1378" s="6"/>
    </row>
    <row r="1379" spans="1:1" x14ac:dyDescent="0.3">
      <c r="A1379" s="6"/>
    </row>
    <row r="1380" spans="1:1" x14ac:dyDescent="0.3">
      <c r="A1380" s="6"/>
    </row>
    <row r="1381" spans="1:1" x14ac:dyDescent="0.3">
      <c r="A1381" s="6"/>
    </row>
    <row r="1382" spans="1:1" x14ac:dyDescent="0.3">
      <c r="A1382" s="6"/>
    </row>
    <row r="1383" spans="1:1" x14ac:dyDescent="0.3">
      <c r="A1383" s="6"/>
    </row>
    <row r="1384" spans="1:1" x14ac:dyDescent="0.3">
      <c r="A1384" s="6"/>
    </row>
    <row r="1385" spans="1:1" x14ac:dyDescent="0.3">
      <c r="A1385" s="6"/>
    </row>
    <row r="1386" spans="1:1" x14ac:dyDescent="0.3">
      <c r="A1386" s="6"/>
    </row>
    <row r="1387" spans="1:1" x14ac:dyDescent="0.3">
      <c r="A1387" s="6"/>
    </row>
    <row r="1388" spans="1:1" x14ac:dyDescent="0.3">
      <c r="A1388" s="6"/>
    </row>
    <row r="1389" spans="1:1" x14ac:dyDescent="0.3">
      <c r="A1389" s="6"/>
    </row>
    <row r="1390" spans="1:1" x14ac:dyDescent="0.3">
      <c r="A1390" s="6"/>
    </row>
    <row r="1391" spans="1:1" x14ac:dyDescent="0.3">
      <c r="A1391" s="6"/>
    </row>
    <row r="1392" spans="1:1" x14ac:dyDescent="0.3">
      <c r="A1392" s="6"/>
    </row>
    <row r="1393" spans="1:1" x14ac:dyDescent="0.3">
      <c r="A1393" s="6"/>
    </row>
    <row r="1394" spans="1:1" x14ac:dyDescent="0.3">
      <c r="A1394" s="6"/>
    </row>
    <row r="1395" spans="1:1" x14ac:dyDescent="0.3">
      <c r="A1395" s="6"/>
    </row>
    <row r="1396" spans="1:1" x14ac:dyDescent="0.3">
      <c r="A1396" s="6"/>
    </row>
    <row r="1397" spans="1:1" x14ac:dyDescent="0.3">
      <c r="A1397" s="6"/>
    </row>
    <row r="1398" spans="1:1" x14ac:dyDescent="0.3">
      <c r="A1398" s="6"/>
    </row>
    <row r="1399" spans="1:1" x14ac:dyDescent="0.3">
      <c r="A1399" s="6"/>
    </row>
    <row r="1400" spans="1:1" x14ac:dyDescent="0.3">
      <c r="A1400" s="6"/>
    </row>
    <row r="1401" spans="1:1" x14ac:dyDescent="0.3">
      <c r="A1401" s="6"/>
    </row>
    <row r="1402" spans="1:1" x14ac:dyDescent="0.3">
      <c r="A1402" s="6"/>
    </row>
    <row r="1403" spans="1:1" x14ac:dyDescent="0.3">
      <c r="A1403" s="6"/>
    </row>
    <row r="1404" spans="1:1" x14ac:dyDescent="0.3">
      <c r="A1404" s="6"/>
    </row>
    <row r="1405" spans="1:1" x14ac:dyDescent="0.3">
      <c r="A1405" s="6"/>
    </row>
    <row r="1406" spans="1:1" x14ac:dyDescent="0.3">
      <c r="A1406" s="6"/>
    </row>
    <row r="1407" spans="1:1" x14ac:dyDescent="0.3">
      <c r="A1407" s="6"/>
    </row>
    <row r="1408" spans="1:1" x14ac:dyDescent="0.3">
      <c r="A1408" s="6"/>
    </row>
    <row r="1409" spans="1:1" x14ac:dyDescent="0.3">
      <c r="A1409" s="6"/>
    </row>
    <row r="1410" spans="1:1" x14ac:dyDescent="0.3">
      <c r="A1410" s="6"/>
    </row>
    <row r="1411" spans="1:1" x14ac:dyDescent="0.3">
      <c r="A1411" s="6"/>
    </row>
    <row r="1412" spans="1:1" x14ac:dyDescent="0.3">
      <c r="A1412" s="6"/>
    </row>
    <row r="1413" spans="1:1" x14ac:dyDescent="0.3">
      <c r="A1413" s="6"/>
    </row>
    <row r="1414" spans="1:1" x14ac:dyDescent="0.3">
      <c r="A1414" s="6"/>
    </row>
    <row r="1415" spans="1:1" x14ac:dyDescent="0.3">
      <c r="A1415" s="6"/>
    </row>
    <row r="1416" spans="1:1" x14ac:dyDescent="0.3">
      <c r="A1416" s="6"/>
    </row>
    <row r="1417" spans="1:1" x14ac:dyDescent="0.3">
      <c r="A1417" s="6"/>
    </row>
    <row r="1418" spans="1:1" x14ac:dyDescent="0.3">
      <c r="A1418" s="6"/>
    </row>
    <row r="1419" spans="1:1" x14ac:dyDescent="0.3">
      <c r="A1419" s="6"/>
    </row>
    <row r="1420" spans="1:1" x14ac:dyDescent="0.3">
      <c r="A1420" s="6"/>
    </row>
    <row r="1421" spans="1:1" x14ac:dyDescent="0.3">
      <c r="A1421" s="6"/>
    </row>
    <row r="1422" spans="1:1" x14ac:dyDescent="0.3">
      <c r="A1422" s="6"/>
    </row>
    <row r="1423" spans="1:1" x14ac:dyDescent="0.3">
      <c r="A1423" s="6"/>
    </row>
    <row r="1424" spans="1:1" x14ac:dyDescent="0.3">
      <c r="A1424" s="6"/>
    </row>
    <row r="1425" spans="1:1" x14ac:dyDescent="0.3">
      <c r="A1425" s="6"/>
    </row>
    <row r="1426" spans="1:1" x14ac:dyDescent="0.3">
      <c r="A1426" s="6"/>
    </row>
    <row r="1427" spans="1:1" x14ac:dyDescent="0.3">
      <c r="A1427" s="6"/>
    </row>
    <row r="1428" spans="1:1" x14ac:dyDescent="0.3">
      <c r="A1428" s="6"/>
    </row>
    <row r="1429" spans="1:1" x14ac:dyDescent="0.3">
      <c r="A1429" s="6"/>
    </row>
    <row r="1430" spans="1:1" x14ac:dyDescent="0.3">
      <c r="A1430" s="6"/>
    </row>
    <row r="1431" spans="1:1" x14ac:dyDescent="0.3">
      <c r="A1431" s="6"/>
    </row>
    <row r="1432" spans="1:1" x14ac:dyDescent="0.3">
      <c r="A1432" s="6"/>
    </row>
    <row r="1433" spans="1:1" x14ac:dyDescent="0.3">
      <c r="A1433" s="6"/>
    </row>
    <row r="1434" spans="1:1" x14ac:dyDescent="0.3">
      <c r="A1434" s="6"/>
    </row>
    <row r="1435" spans="1:1" x14ac:dyDescent="0.3">
      <c r="A1435" s="6"/>
    </row>
    <row r="1436" spans="1:1" x14ac:dyDescent="0.3">
      <c r="A1436" s="6"/>
    </row>
    <row r="1437" spans="1:1" x14ac:dyDescent="0.3">
      <c r="A1437" s="6"/>
    </row>
    <row r="1438" spans="1:1" x14ac:dyDescent="0.3">
      <c r="A1438" s="6"/>
    </row>
    <row r="1439" spans="1:1" x14ac:dyDescent="0.3">
      <c r="A1439" s="6"/>
    </row>
    <row r="1440" spans="1:1" x14ac:dyDescent="0.3">
      <c r="A1440" s="6"/>
    </row>
    <row r="1441" spans="1:1" x14ac:dyDescent="0.3">
      <c r="A1441" s="6"/>
    </row>
    <row r="1442" spans="1:1" x14ac:dyDescent="0.3">
      <c r="A1442" s="6"/>
    </row>
    <row r="1443" spans="1:1" x14ac:dyDescent="0.3">
      <c r="A1443" s="6"/>
    </row>
    <row r="1444" spans="1:1" x14ac:dyDescent="0.3">
      <c r="A1444" s="6"/>
    </row>
    <row r="1445" spans="1:1" x14ac:dyDescent="0.3">
      <c r="A1445" s="6"/>
    </row>
    <row r="1446" spans="1:1" x14ac:dyDescent="0.3">
      <c r="A1446" s="6"/>
    </row>
    <row r="1447" spans="1:1" x14ac:dyDescent="0.3">
      <c r="A1447" s="6"/>
    </row>
    <row r="1448" spans="1:1" x14ac:dyDescent="0.3">
      <c r="A1448" s="6"/>
    </row>
    <row r="1449" spans="1:1" x14ac:dyDescent="0.3">
      <c r="A1449" s="6"/>
    </row>
    <row r="1450" spans="1:1" x14ac:dyDescent="0.3">
      <c r="A1450" s="6"/>
    </row>
    <row r="1451" spans="1:1" x14ac:dyDescent="0.3">
      <c r="A1451" s="6"/>
    </row>
    <row r="1452" spans="1:1" x14ac:dyDescent="0.3">
      <c r="A1452" s="6"/>
    </row>
    <row r="1453" spans="1:1" x14ac:dyDescent="0.3">
      <c r="A1453" s="6"/>
    </row>
    <row r="1454" spans="1:1" x14ac:dyDescent="0.3">
      <c r="A1454" s="6"/>
    </row>
    <row r="1455" spans="1:1" x14ac:dyDescent="0.3">
      <c r="A1455" s="6"/>
    </row>
    <row r="1456" spans="1:1" x14ac:dyDescent="0.3">
      <c r="A1456" s="6"/>
    </row>
    <row r="1457" spans="1:1" x14ac:dyDescent="0.3">
      <c r="A1457" s="6"/>
    </row>
    <row r="1458" spans="1:1" x14ac:dyDescent="0.3">
      <c r="A1458" s="6"/>
    </row>
    <row r="1459" spans="1:1" x14ac:dyDescent="0.3">
      <c r="A1459" s="6"/>
    </row>
    <row r="1460" spans="1:1" x14ac:dyDescent="0.3">
      <c r="A1460" s="6"/>
    </row>
    <row r="1461" spans="1:1" x14ac:dyDescent="0.3">
      <c r="A1461" s="6"/>
    </row>
    <row r="1462" spans="1:1" x14ac:dyDescent="0.3">
      <c r="A1462" s="6"/>
    </row>
    <row r="1463" spans="1:1" x14ac:dyDescent="0.3">
      <c r="A1463" s="6"/>
    </row>
    <row r="1464" spans="1:1" x14ac:dyDescent="0.3">
      <c r="A1464" s="6"/>
    </row>
    <row r="1465" spans="1:1" x14ac:dyDescent="0.3">
      <c r="A1465" s="6"/>
    </row>
    <row r="1466" spans="1:1" x14ac:dyDescent="0.3">
      <c r="A1466" s="6"/>
    </row>
    <row r="1467" spans="1:1" x14ac:dyDescent="0.3">
      <c r="A1467" s="6"/>
    </row>
    <row r="1468" spans="1:1" x14ac:dyDescent="0.3">
      <c r="A1468" s="6"/>
    </row>
    <row r="1469" spans="1:1" x14ac:dyDescent="0.3">
      <c r="A1469" s="6"/>
    </row>
    <row r="1470" spans="1:1" x14ac:dyDescent="0.3">
      <c r="A1470" s="6"/>
    </row>
    <row r="1471" spans="1:1" x14ac:dyDescent="0.3">
      <c r="A1471" s="6"/>
    </row>
    <row r="1472" spans="1:1" x14ac:dyDescent="0.3">
      <c r="A1472" s="6"/>
    </row>
    <row r="1473" spans="1:1" x14ac:dyDescent="0.3">
      <c r="A1473" s="6"/>
    </row>
    <row r="1474" spans="1:1" x14ac:dyDescent="0.3">
      <c r="A1474" s="6"/>
    </row>
    <row r="1475" spans="1:1" x14ac:dyDescent="0.3">
      <c r="A1475" s="6"/>
    </row>
    <row r="1476" spans="1:1" x14ac:dyDescent="0.3">
      <c r="A1476" s="6"/>
    </row>
    <row r="1477" spans="1:1" x14ac:dyDescent="0.3">
      <c r="A1477" s="6"/>
    </row>
    <row r="1478" spans="1:1" x14ac:dyDescent="0.3">
      <c r="A1478" s="6"/>
    </row>
    <row r="1479" spans="1:1" x14ac:dyDescent="0.3">
      <c r="A1479" s="6"/>
    </row>
    <row r="1480" spans="1:1" x14ac:dyDescent="0.3">
      <c r="A1480" s="6"/>
    </row>
    <row r="1481" spans="1:1" x14ac:dyDescent="0.3">
      <c r="A1481" s="6"/>
    </row>
    <row r="1482" spans="1:1" x14ac:dyDescent="0.3">
      <c r="A1482" s="6"/>
    </row>
    <row r="1483" spans="1:1" x14ac:dyDescent="0.3">
      <c r="A1483" s="6"/>
    </row>
    <row r="1484" spans="1:1" x14ac:dyDescent="0.3">
      <c r="A1484" s="6"/>
    </row>
    <row r="1485" spans="1:1" x14ac:dyDescent="0.3">
      <c r="A1485" s="6"/>
    </row>
    <row r="1486" spans="1:1" x14ac:dyDescent="0.3">
      <c r="A1486" s="6"/>
    </row>
    <row r="1487" spans="1:1" x14ac:dyDescent="0.3">
      <c r="A1487" s="6"/>
    </row>
    <row r="1488" spans="1:1" x14ac:dyDescent="0.3">
      <c r="A1488" s="6"/>
    </row>
    <row r="1489" spans="1:1" x14ac:dyDescent="0.3">
      <c r="A1489" s="6"/>
    </row>
    <row r="1490" spans="1:1" x14ac:dyDescent="0.3">
      <c r="A1490" s="6"/>
    </row>
    <row r="1491" spans="1:1" x14ac:dyDescent="0.3">
      <c r="A1491" s="6"/>
    </row>
    <row r="1492" spans="1:1" x14ac:dyDescent="0.3">
      <c r="A1492" s="6"/>
    </row>
    <row r="1493" spans="1:1" x14ac:dyDescent="0.3">
      <c r="A1493" s="6"/>
    </row>
    <row r="1494" spans="1:1" x14ac:dyDescent="0.3">
      <c r="A1494" s="6"/>
    </row>
    <row r="1495" spans="1:1" x14ac:dyDescent="0.3">
      <c r="A1495" s="6"/>
    </row>
    <row r="1496" spans="1:1" x14ac:dyDescent="0.3">
      <c r="A1496" s="6"/>
    </row>
    <row r="1497" spans="1:1" x14ac:dyDescent="0.3">
      <c r="A1497" s="6"/>
    </row>
    <row r="1498" spans="1:1" x14ac:dyDescent="0.3">
      <c r="A1498" s="6"/>
    </row>
    <row r="1499" spans="1:1" x14ac:dyDescent="0.3">
      <c r="A1499" s="6"/>
    </row>
    <row r="1500" spans="1:1" x14ac:dyDescent="0.3">
      <c r="A1500" s="6"/>
    </row>
    <row r="1501" spans="1:1" x14ac:dyDescent="0.3">
      <c r="A1501" s="6"/>
    </row>
    <row r="1502" spans="1:1" x14ac:dyDescent="0.3">
      <c r="A1502" s="6"/>
    </row>
    <row r="1503" spans="1:1" x14ac:dyDescent="0.3">
      <c r="A1503" s="6"/>
    </row>
    <row r="1504" spans="1:1" x14ac:dyDescent="0.3">
      <c r="A1504" s="6"/>
    </row>
    <row r="1505" spans="1:1" x14ac:dyDescent="0.3">
      <c r="A1505" s="6"/>
    </row>
    <row r="1506" spans="1:1" x14ac:dyDescent="0.3">
      <c r="A1506" s="6"/>
    </row>
    <row r="1507" spans="1:1" x14ac:dyDescent="0.3">
      <c r="A1507" s="6"/>
    </row>
    <row r="1508" spans="1:1" x14ac:dyDescent="0.3">
      <c r="A1508" s="6"/>
    </row>
    <row r="1509" spans="1:1" x14ac:dyDescent="0.3">
      <c r="A1509" s="6"/>
    </row>
    <row r="1510" spans="1:1" x14ac:dyDescent="0.3">
      <c r="A1510" s="6"/>
    </row>
    <row r="1511" spans="1:1" x14ac:dyDescent="0.3">
      <c r="A1511" s="6"/>
    </row>
    <row r="1512" spans="1:1" x14ac:dyDescent="0.3">
      <c r="A1512" s="6"/>
    </row>
    <row r="1513" spans="1:1" x14ac:dyDescent="0.3">
      <c r="A1513" s="6"/>
    </row>
    <row r="1514" spans="1:1" x14ac:dyDescent="0.3">
      <c r="A1514" s="6"/>
    </row>
    <row r="1515" spans="1:1" x14ac:dyDescent="0.3">
      <c r="A1515" s="6"/>
    </row>
    <row r="1516" spans="1:1" x14ac:dyDescent="0.3">
      <c r="A1516" s="6"/>
    </row>
    <row r="1517" spans="1:1" x14ac:dyDescent="0.3">
      <c r="A1517" s="6"/>
    </row>
    <row r="1518" spans="1:1" x14ac:dyDescent="0.3">
      <c r="A1518" s="6"/>
    </row>
    <row r="1519" spans="1:1" x14ac:dyDescent="0.3">
      <c r="A1519" s="6"/>
    </row>
    <row r="1520" spans="1:1" x14ac:dyDescent="0.3">
      <c r="A1520" s="6"/>
    </row>
    <row r="1521" spans="1:1" x14ac:dyDescent="0.3">
      <c r="A1521" s="6"/>
    </row>
    <row r="1522" spans="1:1" x14ac:dyDescent="0.3">
      <c r="A1522" s="6"/>
    </row>
    <row r="1523" spans="1:1" x14ac:dyDescent="0.3">
      <c r="A1523" s="6"/>
    </row>
    <row r="1524" spans="1:1" x14ac:dyDescent="0.3">
      <c r="A1524" s="6"/>
    </row>
    <row r="1525" spans="1:1" x14ac:dyDescent="0.3">
      <c r="A1525" s="6"/>
    </row>
    <row r="1526" spans="1:1" x14ac:dyDescent="0.3">
      <c r="A1526" s="6"/>
    </row>
    <row r="1527" spans="1:1" x14ac:dyDescent="0.3">
      <c r="A1527" s="6"/>
    </row>
    <row r="1528" spans="1:1" x14ac:dyDescent="0.3">
      <c r="A1528" s="6"/>
    </row>
    <row r="1529" spans="1:1" x14ac:dyDescent="0.3">
      <c r="A1529" s="6"/>
    </row>
    <row r="1530" spans="1:1" x14ac:dyDescent="0.3">
      <c r="A1530" s="6"/>
    </row>
    <row r="1531" spans="1:1" x14ac:dyDescent="0.3">
      <c r="A1531" s="6"/>
    </row>
    <row r="1532" spans="1:1" x14ac:dyDescent="0.3">
      <c r="A1532" s="6"/>
    </row>
    <row r="1533" spans="1:1" x14ac:dyDescent="0.3">
      <c r="A1533" s="6"/>
    </row>
    <row r="1534" spans="1:1" x14ac:dyDescent="0.3">
      <c r="A1534" s="6"/>
    </row>
    <row r="1535" spans="1:1" x14ac:dyDescent="0.3">
      <c r="A1535" s="6"/>
    </row>
    <row r="1536" spans="1:1" x14ac:dyDescent="0.3">
      <c r="A1536" s="6"/>
    </row>
    <row r="1537" spans="1:1" x14ac:dyDescent="0.3">
      <c r="A1537" s="6"/>
    </row>
    <row r="1538" spans="1:1" x14ac:dyDescent="0.3">
      <c r="A1538" s="6"/>
    </row>
    <row r="1539" spans="1:1" x14ac:dyDescent="0.3">
      <c r="A1539" s="6"/>
    </row>
    <row r="1540" spans="1:1" x14ac:dyDescent="0.3">
      <c r="A1540" s="6"/>
    </row>
    <row r="1541" spans="1:1" x14ac:dyDescent="0.3">
      <c r="A1541" s="6"/>
    </row>
    <row r="1542" spans="1:1" x14ac:dyDescent="0.3">
      <c r="A1542" s="6"/>
    </row>
    <row r="1543" spans="1:1" x14ac:dyDescent="0.3">
      <c r="A1543" s="6"/>
    </row>
    <row r="1544" spans="1:1" x14ac:dyDescent="0.3">
      <c r="A1544" s="6"/>
    </row>
    <row r="1545" spans="1:1" x14ac:dyDescent="0.3">
      <c r="A1545" s="6"/>
    </row>
    <row r="1546" spans="1:1" x14ac:dyDescent="0.3">
      <c r="A1546" s="6"/>
    </row>
    <row r="1547" spans="1:1" x14ac:dyDescent="0.3">
      <c r="A1547" s="6"/>
    </row>
    <row r="1548" spans="1:1" x14ac:dyDescent="0.3">
      <c r="A1548" s="6"/>
    </row>
    <row r="1549" spans="1:1" x14ac:dyDescent="0.3">
      <c r="A1549" s="6"/>
    </row>
    <row r="1550" spans="1:1" x14ac:dyDescent="0.3">
      <c r="A1550" s="6"/>
    </row>
    <row r="1551" spans="1:1" x14ac:dyDescent="0.3">
      <c r="A1551" s="6"/>
    </row>
    <row r="1552" spans="1:1" x14ac:dyDescent="0.3">
      <c r="A1552" s="6"/>
    </row>
    <row r="1553" spans="1:1" x14ac:dyDescent="0.3">
      <c r="A1553" s="6"/>
    </row>
    <row r="1554" spans="1:1" x14ac:dyDescent="0.3">
      <c r="A1554" s="6"/>
    </row>
    <row r="1555" spans="1:1" x14ac:dyDescent="0.3">
      <c r="A1555" s="6"/>
    </row>
    <row r="1556" spans="1:1" x14ac:dyDescent="0.3">
      <c r="A1556" s="6"/>
    </row>
    <row r="1557" spans="1:1" x14ac:dyDescent="0.3">
      <c r="A1557" s="6"/>
    </row>
    <row r="1558" spans="1:1" x14ac:dyDescent="0.3">
      <c r="A1558" s="6"/>
    </row>
    <row r="1559" spans="1:1" x14ac:dyDescent="0.3">
      <c r="A1559" s="6"/>
    </row>
    <row r="1560" spans="1:1" x14ac:dyDescent="0.3">
      <c r="A1560" s="6"/>
    </row>
    <row r="1561" spans="1:1" x14ac:dyDescent="0.3">
      <c r="A1561" s="6"/>
    </row>
    <row r="1562" spans="1:1" x14ac:dyDescent="0.3">
      <c r="A1562" s="6"/>
    </row>
    <row r="1563" spans="1:1" x14ac:dyDescent="0.3">
      <c r="A1563" s="6"/>
    </row>
    <row r="1564" spans="1:1" x14ac:dyDescent="0.3">
      <c r="A1564" s="6"/>
    </row>
    <row r="1565" spans="1:1" x14ac:dyDescent="0.3">
      <c r="A1565" s="6"/>
    </row>
    <row r="1566" spans="1:1" x14ac:dyDescent="0.3">
      <c r="A1566" s="6"/>
    </row>
    <row r="1567" spans="1:1" x14ac:dyDescent="0.3">
      <c r="A1567" s="6"/>
    </row>
    <row r="1568" spans="1:1" x14ac:dyDescent="0.3">
      <c r="A1568" s="6"/>
    </row>
    <row r="1569" spans="1:1" x14ac:dyDescent="0.3">
      <c r="A1569" s="6"/>
    </row>
    <row r="1570" spans="1:1" x14ac:dyDescent="0.3">
      <c r="A1570" s="6"/>
    </row>
    <row r="1571" spans="1:1" x14ac:dyDescent="0.3">
      <c r="A1571" s="6"/>
    </row>
    <row r="1572" spans="1:1" x14ac:dyDescent="0.3">
      <c r="A1572" s="6"/>
    </row>
    <row r="1573" spans="1:1" x14ac:dyDescent="0.3">
      <c r="A1573" s="6"/>
    </row>
    <row r="1574" spans="1:1" x14ac:dyDescent="0.3">
      <c r="A1574" s="6"/>
    </row>
    <row r="1575" spans="1:1" x14ac:dyDescent="0.3">
      <c r="A1575" s="6"/>
    </row>
    <row r="1576" spans="1:1" x14ac:dyDescent="0.3">
      <c r="A1576" s="6"/>
    </row>
    <row r="1577" spans="1:1" x14ac:dyDescent="0.3">
      <c r="A1577" s="6"/>
    </row>
    <row r="1578" spans="1:1" x14ac:dyDescent="0.3">
      <c r="A1578" s="6"/>
    </row>
    <row r="1579" spans="1:1" x14ac:dyDescent="0.3">
      <c r="A1579" s="6"/>
    </row>
    <row r="1580" spans="1:1" x14ac:dyDescent="0.3">
      <c r="A1580" s="6"/>
    </row>
    <row r="1581" spans="1:1" x14ac:dyDescent="0.3">
      <c r="A1581" s="6"/>
    </row>
    <row r="1582" spans="1:1" x14ac:dyDescent="0.3">
      <c r="A1582" s="6"/>
    </row>
    <row r="1583" spans="1:1" x14ac:dyDescent="0.3">
      <c r="A1583" s="6"/>
    </row>
    <row r="1584" spans="1:1" x14ac:dyDescent="0.3">
      <c r="A1584" s="6"/>
    </row>
    <row r="1585" spans="1:1" x14ac:dyDescent="0.3">
      <c r="A1585" s="6"/>
    </row>
    <row r="1586" spans="1:1" x14ac:dyDescent="0.3">
      <c r="A1586" s="6"/>
    </row>
    <row r="1587" spans="1:1" x14ac:dyDescent="0.3">
      <c r="A1587" s="6"/>
    </row>
    <row r="1588" spans="1:1" x14ac:dyDescent="0.3">
      <c r="A1588" s="6"/>
    </row>
    <row r="1589" spans="1:1" x14ac:dyDescent="0.3">
      <c r="A1589" s="6"/>
    </row>
    <row r="1590" spans="1:1" x14ac:dyDescent="0.3">
      <c r="A1590" s="6"/>
    </row>
    <row r="1591" spans="1:1" x14ac:dyDescent="0.3">
      <c r="A1591" s="6"/>
    </row>
    <row r="1592" spans="1:1" x14ac:dyDescent="0.3">
      <c r="A1592" s="6"/>
    </row>
    <row r="1593" spans="1:1" x14ac:dyDescent="0.3">
      <c r="A1593" s="6"/>
    </row>
    <row r="1594" spans="1:1" x14ac:dyDescent="0.3">
      <c r="A1594" s="6"/>
    </row>
    <row r="1595" spans="1:1" x14ac:dyDescent="0.3">
      <c r="A1595" s="6"/>
    </row>
    <row r="1596" spans="1:1" x14ac:dyDescent="0.3">
      <c r="A1596" s="6"/>
    </row>
    <row r="1597" spans="1:1" x14ac:dyDescent="0.3">
      <c r="A1597" s="6"/>
    </row>
    <row r="1598" spans="1:1" x14ac:dyDescent="0.3">
      <c r="A1598" s="6"/>
    </row>
    <row r="1599" spans="1:1" x14ac:dyDescent="0.3">
      <c r="A1599" s="6"/>
    </row>
    <row r="1600" spans="1:1" x14ac:dyDescent="0.3">
      <c r="A1600" s="6"/>
    </row>
    <row r="1601" spans="1:1" x14ac:dyDescent="0.3">
      <c r="A1601" s="6"/>
    </row>
    <row r="1602" spans="1:1" x14ac:dyDescent="0.3">
      <c r="A1602" s="6"/>
    </row>
    <row r="1603" spans="1:1" x14ac:dyDescent="0.3">
      <c r="A1603" s="6"/>
    </row>
    <row r="1604" spans="1:1" x14ac:dyDescent="0.3">
      <c r="A1604" s="6"/>
    </row>
    <row r="1605" spans="1:1" x14ac:dyDescent="0.3">
      <c r="A1605" s="6"/>
    </row>
    <row r="1606" spans="1:1" x14ac:dyDescent="0.3">
      <c r="A1606" s="6"/>
    </row>
    <row r="1607" spans="1:1" x14ac:dyDescent="0.3">
      <c r="A1607" s="6"/>
    </row>
    <row r="1608" spans="1:1" x14ac:dyDescent="0.3">
      <c r="A1608" s="6"/>
    </row>
    <row r="1609" spans="1:1" x14ac:dyDescent="0.3">
      <c r="A1609" s="6"/>
    </row>
    <row r="1610" spans="1:1" x14ac:dyDescent="0.3">
      <c r="A1610" s="6"/>
    </row>
    <row r="1611" spans="1:1" x14ac:dyDescent="0.3">
      <c r="A1611" s="6"/>
    </row>
    <row r="1612" spans="1:1" x14ac:dyDescent="0.3">
      <c r="A1612" s="6"/>
    </row>
    <row r="1613" spans="1:1" x14ac:dyDescent="0.3">
      <c r="A1613" s="6"/>
    </row>
    <row r="1614" spans="1:1" x14ac:dyDescent="0.3">
      <c r="A1614" s="6"/>
    </row>
    <row r="1615" spans="1:1" x14ac:dyDescent="0.3">
      <c r="A1615" s="6"/>
    </row>
    <row r="1616" spans="1:1" x14ac:dyDescent="0.3">
      <c r="A1616" s="6"/>
    </row>
    <row r="1617" spans="1:1" x14ac:dyDescent="0.3">
      <c r="A1617" s="6"/>
    </row>
    <row r="1618" spans="1:1" x14ac:dyDescent="0.3">
      <c r="A1618" s="6"/>
    </row>
    <row r="1619" spans="1:1" x14ac:dyDescent="0.3">
      <c r="A1619" s="6"/>
    </row>
    <row r="1620" spans="1:1" x14ac:dyDescent="0.3">
      <c r="A1620" s="6"/>
    </row>
    <row r="1621" spans="1:1" x14ac:dyDescent="0.3">
      <c r="A1621" s="6"/>
    </row>
    <row r="1622" spans="1:1" x14ac:dyDescent="0.3">
      <c r="A1622" s="6"/>
    </row>
    <row r="1623" spans="1:1" x14ac:dyDescent="0.3">
      <c r="A1623" s="6"/>
    </row>
    <row r="1624" spans="1:1" x14ac:dyDescent="0.3">
      <c r="A1624" s="6"/>
    </row>
    <row r="1625" spans="1:1" x14ac:dyDescent="0.3">
      <c r="A1625" s="6"/>
    </row>
    <row r="1626" spans="1:1" x14ac:dyDescent="0.3">
      <c r="A1626" s="6"/>
    </row>
    <row r="1627" spans="1:1" x14ac:dyDescent="0.3">
      <c r="A1627" s="6"/>
    </row>
    <row r="1628" spans="1:1" x14ac:dyDescent="0.3">
      <c r="A1628" s="6"/>
    </row>
    <row r="1629" spans="1:1" x14ac:dyDescent="0.3">
      <c r="A1629" s="6"/>
    </row>
    <row r="1630" spans="1:1" x14ac:dyDescent="0.3">
      <c r="A1630" s="6"/>
    </row>
    <row r="1631" spans="1:1" x14ac:dyDescent="0.3">
      <c r="A1631" s="6"/>
    </row>
    <row r="1632" spans="1:1" x14ac:dyDescent="0.3">
      <c r="A1632" s="6"/>
    </row>
    <row r="1633" spans="1:1" x14ac:dyDescent="0.3">
      <c r="A1633" s="6"/>
    </row>
    <row r="1634" spans="1:1" x14ac:dyDescent="0.3">
      <c r="A1634" s="6"/>
    </row>
    <row r="1635" spans="1:1" x14ac:dyDescent="0.3">
      <c r="A1635" s="6"/>
    </row>
    <row r="1636" spans="1:1" x14ac:dyDescent="0.3">
      <c r="A1636" s="6"/>
    </row>
    <row r="1637" spans="1:1" x14ac:dyDescent="0.3">
      <c r="A1637" s="6"/>
    </row>
    <row r="1638" spans="1:1" x14ac:dyDescent="0.3">
      <c r="A1638" s="6"/>
    </row>
    <row r="1639" spans="1:1" x14ac:dyDescent="0.3">
      <c r="A1639" s="6"/>
    </row>
    <row r="1640" spans="1:1" x14ac:dyDescent="0.3">
      <c r="A1640" s="6"/>
    </row>
    <row r="1641" spans="1:1" x14ac:dyDescent="0.3">
      <c r="A1641" s="6"/>
    </row>
    <row r="1642" spans="1:1" x14ac:dyDescent="0.3">
      <c r="A1642" s="6"/>
    </row>
    <row r="1643" spans="1:1" x14ac:dyDescent="0.3">
      <c r="A1643" s="6"/>
    </row>
    <row r="1644" spans="1:1" x14ac:dyDescent="0.3">
      <c r="A1644" s="6"/>
    </row>
    <row r="1645" spans="1:1" x14ac:dyDescent="0.3">
      <c r="A1645" s="6"/>
    </row>
    <row r="1646" spans="1:1" x14ac:dyDescent="0.3">
      <c r="A1646" s="6"/>
    </row>
    <row r="1647" spans="1:1" x14ac:dyDescent="0.3">
      <c r="A1647" s="6"/>
    </row>
    <row r="1648" spans="1:1" x14ac:dyDescent="0.3">
      <c r="A1648" s="6"/>
    </row>
    <row r="1649" spans="1:1" x14ac:dyDescent="0.3">
      <c r="A1649" s="6"/>
    </row>
    <row r="1650" spans="1:1" x14ac:dyDescent="0.3">
      <c r="A1650" s="6"/>
    </row>
    <row r="1651" spans="1:1" x14ac:dyDescent="0.3">
      <c r="A1651" s="6"/>
    </row>
    <row r="1652" spans="1:1" x14ac:dyDescent="0.3">
      <c r="A1652" s="6"/>
    </row>
    <row r="1653" spans="1:1" x14ac:dyDescent="0.3">
      <c r="A1653" s="6"/>
    </row>
    <row r="1654" spans="1:1" x14ac:dyDescent="0.3">
      <c r="A1654" s="6"/>
    </row>
    <row r="1655" spans="1:1" x14ac:dyDescent="0.3">
      <c r="A1655" s="6"/>
    </row>
    <row r="1656" spans="1:1" x14ac:dyDescent="0.3">
      <c r="A1656" s="6"/>
    </row>
    <row r="1657" spans="1:1" x14ac:dyDescent="0.3">
      <c r="A1657" s="6"/>
    </row>
    <row r="1658" spans="1:1" x14ac:dyDescent="0.3">
      <c r="A1658" s="6"/>
    </row>
    <row r="1659" spans="1:1" x14ac:dyDescent="0.3">
      <c r="A1659" s="6"/>
    </row>
    <row r="1660" spans="1:1" x14ac:dyDescent="0.3">
      <c r="A1660" s="6"/>
    </row>
    <row r="1661" spans="1:1" x14ac:dyDescent="0.3">
      <c r="A1661" s="6"/>
    </row>
    <row r="1662" spans="1:1" x14ac:dyDescent="0.3">
      <c r="A1662" s="6"/>
    </row>
    <row r="1663" spans="1:1" x14ac:dyDescent="0.3">
      <c r="A1663" s="6"/>
    </row>
    <row r="1664" spans="1:1" x14ac:dyDescent="0.3">
      <c r="A1664" s="6"/>
    </row>
    <row r="1665" spans="1:1" x14ac:dyDescent="0.3">
      <c r="A1665" s="6"/>
    </row>
    <row r="1666" spans="1:1" x14ac:dyDescent="0.3">
      <c r="A1666" s="6"/>
    </row>
    <row r="1667" spans="1:1" x14ac:dyDescent="0.3">
      <c r="A1667" s="6"/>
    </row>
    <row r="1668" spans="1:1" x14ac:dyDescent="0.3">
      <c r="A1668" s="6"/>
    </row>
    <row r="1669" spans="1:1" x14ac:dyDescent="0.3">
      <c r="A1669" s="6"/>
    </row>
    <row r="1670" spans="1:1" x14ac:dyDescent="0.3">
      <c r="A1670" s="6"/>
    </row>
    <row r="1671" spans="1:1" x14ac:dyDescent="0.3">
      <c r="A1671" s="6"/>
    </row>
    <row r="1672" spans="1:1" x14ac:dyDescent="0.3">
      <c r="A1672" s="6"/>
    </row>
    <row r="1673" spans="1:1" x14ac:dyDescent="0.3">
      <c r="A1673" s="6"/>
    </row>
    <row r="1674" spans="1:1" x14ac:dyDescent="0.3">
      <c r="A1674" s="6"/>
    </row>
    <row r="1675" spans="1:1" x14ac:dyDescent="0.3">
      <c r="A1675" s="6"/>
    </row>
    <row r="1676" spans="1:1" x14ac:dyDescent="0.3">
      <c r="A1676" s="6"/>
    </row>
    <row r="1677" spans="1:1" x14ac:dyDescent="0.3">
      <c r="A1677" s="6"/>
    </row>
    <row r="1678" spans="1:1" x14ac:dyDescent="0.3">
      <c r="A1678" s="6"/>
    </row>
    <row r="1679" spans="1:1" x14ac:dyDescent="0.3">
      <c r="A1679" s="6"/>
    </row>
    <row r="1680" spans="1:1" x14ac:dyDescent="0.3">
      <c r="A1680" s="6"/>
    </row>
    <row r="1681" spans="1:1" x14ac:dyDescent="0.3">
      <c r="A1681" s="6"/>
    </row>
    <row r="1682" spans="1:1" x14ac:dyDescent="0.3">
      <c r="A1682" s="6"/>
    </row>
    <row r="1683" spans="1:1" x14ac:dyDescent="0.3">
      <c r="A1683" s="6"/>
    </row>
    <row r="1684" spans="1:1" x14ac:dyDescent="0.3">
      <c r="A1684" s="6"/>
    </row>
    <row r="1685" spans="1:1" x14ac:dyDescent="0.3">
      <c r="A1685" s="6"/>
    </row>
    <row r="1686" spans="1:1" x14ac:dyDescent="0.3">
      <c r="A1686" s="6"/>
    </row>
    <row r="1687" spans="1:1" x14ac:dyDescent="0.3">
      <c r="A1687" s="6"/>
    </row>
    <row r="1688" spans="1:1" x14ac:dyDescent="0.3">
      <c r="A1688" s="6"/>
    </row>
    <row r="1689" spans="1:1" x14ac:dyDescent="0.3">
      <c r="A1689" s="6"/>
    </row>
    <row r="1690" spans="1:1" x14ac:dyDescent="0.3">
      <c r="A1690" s="6"/>
    </row>
    <row r="1691" spans="1:1" x14ac:dyDescent="0.3">
      <c r="A1691" s="6"/>
    </row>
    <row r="1692" spans="1:1" x14ac:dyDescent="0.3">
      <c r="A1692" s="6"/>
    </row>
    <row r="1693" spans="1:1" x14ac:dyDescent="0.3">
      <c r="A1693" s="6"/>
    </row>
    <row r="1694" spans="1:1" x14ac:dyDescent="0.3">
      <c r="A1694" s="6"/>
    </row>
    <row r="1695" spans="1:1" x14ac:dyDescent="0.3">
      <c r="A1695" s="6"/>
    </row>
    <row r="1696" spans="1:1" x14ac:dyDescent="0.3">
      <c r="A1696" s="6"/>
    </row>
    <row r="1697" spans="1:1" x14ac:dyDescent="0.3">
      <c r="A1697" s="6"/>
    </row>
    <row r="1698" spans="1:1" x14ac:dyDescent="0.3">
      <c r="A1698" s="6"/>
    </row>
    <row r="1699" spans="1:1" x14ac:dyDescent="0.3">
      <c r="A1699" s="6"/>
    </row>
    <row r="1700" spans="1:1" x14ac:dyDescent="0.3">
      <c r="A1700" s="6"/>
    </row>
    <row r="1701" spans="1:1" x14ac:dyDescent="0.3">
      <c r="A1701" s="6"/>
    </row>
    <row r="1702" spans="1:1" x14ac:dyDescent="0.3">
      <c r="A1702" s="6"/>
    </row>
    <row r="1703" spans="1:1" x14ac:dyDescent="0.3">
      <c r="A1703" s="6"/>
    </row>
    <row r="1704" spans="1:1" x14ac:dyDescent="0.3">
      <c r="A1704" s="6"/>
    </row>
    <row r="1705" spans="1:1" x14ac:dyDescent="0.3">
      <c r="A1705" s="6"/>
    </row>
    <row r="1706" spans="1:1" x14ac:dyDescent="0.3">
      <c r="A1706" s="6"/>
    </row>
    <row r="1707" spans="1:1" x14ac:dyDescent="0.3">
      <c r="A1707" s="6"/>
    </row>
    <row r="1708" spans="1:1" x14ac:dyDescent="0.3">
      <c r="A1708" s="6"/>
    </row>
    <row r="1709" spans="1:1" x14ac:dyDescent="0.3">
      <c r="A1709" s="6"/>
    </row>
    <row r="1710" spans="1:1" x14ac:dyDescent="0.3">
      <c r="A1710" s="6"/>
    </row>
    <row r="1711" spans="1:1" x14ac:dyDescent="0.3">
      <c r="A1711" s="6"/>
    </row>
    <row r="1712" spans="1:1" x14ac:dyDescent="0.3">
      <c r="A1712" s="6"/>
    </row>
    <row r="1713" spans="1:1" x14ac:dyDescent="0.3">
      <c r="A1713" s="6"/>
    </row>
    <row r="1714" spans="1:1" x14ac:dyDescent="0.3">
      <c r="A1714" s="6"/>
    </row>
    <row r="1715" spans="1:1" x14ac:dyDescent="0.3">
      <c r="A1715" s="6"/>
    </row>
    <row r="1716" spans="1:1" x14ac:dyDescent="0.3">
      <c r="A1716" s="6"/>
    </row>
    <row r="1717" spans="1:1" x14ac:dyDescent="0.3">
      <c r="A1717" s="6"/>
    </row>
    <row r="1718" spans="1:1" x14ac:dyDescent="0.3">
      <c r="A1718" s="6"/>
    </row>
    <row r="1719" spans="1:1" x14ac:dyDescent="0.3">
      <c r="A1719" s="6"/>
    </row>
    <row r="1720" spans="1:1" x14ac:dyDescent="0.3">
      <c r="A1720" s="6"/>
    </row>
    <row r="1721" spans="1:1" x14ac:dyDescent="0.3">
      <c r="A1721" s="6"/>
    </row>
    <row r="1722" spans="1:1" x14ac:dyDescent="0.3">
      <c r="A1722" s="6"/>
    </row>
    <row r="1723" spans="1:1" x14ac:dyDescent="0.3">
      <c r="A1723" s="6"/>
    </row>
    <row r="1724" spans="1:1" x14ac:dyDescent="0.3">
      <c r="A1724" s="6"/>
    </row>
    <row r="1725" spans="1:1" x14ac:dyDescent="0.3">
      <c r="A1725" s="6"/>
    </row>
    <row r="1726" spans="1:1" x14ac:dyDescent="0.3">
      <c r="A1726" s="6"/>
    </row>
    <row r="1727" spans="1:1" x14ac:dyDescent="0.3">
      <c r="A1727" s="6"/>
    </row>
    <row r="1728" spans="1:1" x14ac:dyDescent="0.3">
      <c r="A1728" s="6"/>
    </row>
    <row r="1729" spans="1:1" x14ac:dyDescent="0.3">
      <c r="A1729" s="6"/>
    </row>
    <row r="1730" spans="1:1" x14ac:dyDescent="0.3">
      <c r="A1730" s="6"/>
    </row>
    <row r="1731" spans="1:1" x14ac:dyDescent="0.3">
      <c r="A1731" s="6"/>
    </row>
    <row r="1732" spans="1:1" x14ac:dyDescent="0.3">
      <c r="A1732" s="6"/>
    </row>
    <row r="1733" spans="1:1" x14ac:dyDescent="0.3">
      <c r="A1733" s="6"/>
    </row>
    <row r="1734" spans="1:1" x14ac:dyDescent="0.3">
      <c r="A1734" s="6"/>
    </row>
    <row r="1735" spans="1:1" x14ac:dyDescent="0.3">
      <c r="A1735" s="6"/>
    </row>
    <row r="1736" spans="1:1" x14ac:dyDescent="0.3">
      <c r="A1736" s="6"/>
    </row>
    <row r="1737" spans="1:1" x14ac:dyDescent="0.3">
      <c r="A1737" s="6"/>
    </row>
    <row r="1738" spans="1:1" x14ac:dyDescent="0.3">
      <c r="A1738" s="6"/>
    </row>
    <row r="1739" spans="1:1" x14ac:dyDescent="0.3">
      <c r="A1739" s="6"/>
    </row>
    <row r="1740" spans="1:1" x14ac:dyDescent="0.3">
      <c r="A1740" s="6"/>
    </row>
    <row r="1741" spans="1:1" x14ac:dyDescent="0.3">
      <c r="A1741" s="6"/>
    </row>
    <row r="1742" spans="1:1" x14ac:dyDescent="0.3">
      <c r="A1742" s="6"/>
    </row>
    <row r="1743" spans="1:1" x14ac:dyDescent="0.3">
      <c r="A1743" s="6"/>
    </row>
    <row r="1744" spans="1:1" x14ac:dyDescent="0.3">
      <c r="A1744" s="6"/>
    </row>
    <row r="1745" spans="1:1" x14ac:dyDescent="0.3">
      <c r="A1745" s="6"/>
    </row>
    <row r="1746" spans="1:1" x14ac:dyDescent="0.3">
      <c r="A1746" s="6"/>
    </row>
    <row r="1747" spans="1:1" x14ac:dyDescent="0.3">
      <c r="A1747" s="6"/>
    </row>
    <row r="1748" spans="1:1" x14ac:dyDescent="0.3">
      <c r="A1748" s="6"/>
    </row>
    <row r="1749" spans="1:1" x14ac:dyDescent="0.3">
      <c r="A1749" s="6"/>
    </row>
    <row r="1750" spans="1:1" x14ac:dyDescent="0.3">
      <c r="A1750" s="6"/>
    </row>
    <row r="1751" spans="1:1" x14ac:dyDescent="0.3">
      <c r="A1751" s="6"/>
    </row>
    <row r="1752" spans="1:1" x14ac:dyDescent="0.3">
      <c r="A1752" s="6"/>
    </row>
    <row r="1753" spans="1:1" x14ac:dyDescent="0.3">
      <c r="A1753" s="6"/>
    </row>
    <row r="1754" spans="1:1" x14ac:dyDescent="0.3">
      <c r="A1754" s="6"/>
    </row>
    <row r="1755" spans="1:1" x14ac:dyDescent="0.3">
      <c r="A1755" s="6"/>
    </row>
    <row r="1756" spans="1:1" x14ac:dyDescent="0.3">
      <c r="A1756" s="6"/>
    </row>
    <row r="1757" spans="1:1" x14ac:dyDescent="0.3">
      <c r="A1757" s="6"/>
    </row>
    <row r="1758" spans="1:1" x14ac:dyDescent="0.3">
      <c r="A1758" s="6"/>
    </row>
    <row r="1759" spans="1:1" x14ac:dyDescent="0.3">
      <c r="A1759" s="6"/>
    </row>
    <row r="1760" spans="1:1" x14ac:dyDescent="0.3">
      <c r="A1760" s="6"/>
    </row>
    <row r="1761" spans="1:1" x14ac:dyDescent="0.3">
      <c r="A1761" s="6"/>
    </row>
    <row r="1762" spans="1:1" x14ac:dyDescent="0.3">
      <c r="A1762" s="6"/>
    </row>
    <row r="1763" spans="1:1" x14ac:dyDescent="0.3">
      <c r="A1763" s="6"/>
    </row>
    <row r="1764" spans="1:1" x14ac:dyDescent="0.3">
      <c r="A1764" s="6"/>
    </row>
    <row r="1765" spans="1:1" x14ac:dyDescent="0.3">
      <c r="A1765" s="6"/>
    </row>
    <row r="1766" spans="1:1" x14ac:dyDescent="0.3">
      <c r="A1766" s="6"/>
    </row>
    <row r="1767" spans="1:1" x14ac:dyDescent="0.3">
      <c r="A1767" s="6"/>
    </row>
    <row r="1768" spans="1:1" x14ac:dyDescent="0.3">
      <c r="A1768" s="6"/>
    </row>
    <row r="1769" spans="1:1" x14ac:dyDescent="0.3">
      <c r="A1769" s="6"/>
    </row>
    <row r="1770" spans="1:1" x14ac:dyDescent="0.3">
      <c r="A1770" s="6"/>
    </row>
    <row r="1771" spans="1:1" x14ac:dyDescent="0.3">
      <c r="A1771" s="6"/>
    </row>
    <row r="1772" spans="1:1" x14ac:dyDescent="0.3">
      <c r="A1772" s="6"/>
    </row>
    <row r="1773" spans="1:1" x14ac:dyDescent="0.3">
      <c r="A1773" s="6"/>
    </row>
    <row r="1774" spans="1:1" x14ac:dyDescent="0.3">
      <c r="A1774" s="6"/>
    </row>
    <row r="1775" spans="1:1" x14ac:dyDescent="0.3">
      <c r="A1775" s="6"/>
    </row>
    <row r="1776" spans="1:1" x14ac:dyDescent="0.3">
      <c r="A1776" s="6"/>
    </row>
    <row r="1777" spans="1:1" x14ac:dyDescent="0.3">
      <c r="A1777" s="6"/>
    </row>
    <row r="1778" spans="1:1" x14ac:dyDescent="0.3">
      <c r="A1778" s="6"/>
    </row>
    <row r="1779" spans="1:1" x14ac:dyDescent="0.3">
      <c r="A1779" s="6"/>
    </row>
    <row r="1780" spans="1:1" x14ac:dyDescent="0.3">
      <c r="A1780" s="6"/>
    </row>
    <row r="1781" spans="1:1" x14ac:dyDescent="0.3">
      <c r="A1781" s="6"/>
    </row>
    <row r="1782" spans="1:1" x14ac:dyDescent="0.3">
      <c r="A1782" s="6"/>
    </row>
    <row r="1783" spans="1:1" x14ac:dyDescent="0.3">
      <c r="A1783" s="6"/>
    </row>
    <row r="1784" spans="1:1" x14ac:dyDescent="0.3">
      <c r="A1784" s="6"/>
    </row>
    <row r="1785" spans="1:1" x14ac:dyDescent="0.3">
      <c r="A1785" s="6"/>
    </row>
    <row r="1786" spans="1:1" x14ac:dyDescent="0.3">
      <c r="A1786" s="6"/>
    </row>
    <row r="1787" spans="1:1" x14ac:dyDescent="0.3">
      <c r="A1787" s="6"/>
    </row>
    <row r="1788" spans="1:1" x14ac:dyDescent="0.3">
      <c r="A1788" s="6"/>
    </row>
    <row r="1789" spans="1:1" x14ac:dyDescent="0.3">
      <c r="A1789" s="6"/>
    </row>
    <row r="1790" spans="1:1" x14ac:dyDescent="0.3">
      <c r="A1790" s="6"/>
    </row>
    <row r="1791" spans="1:1" x14ac:dyDescent="0.3">
      <c r="A1791" s="6"/>
    </row>
    <row r="1792" spans="1:1" x14ac:dyDescent="0.3">
      <c r="A1792" s="6"/>
    </row>
    <row r="1793" spans="1:1" x14ac:dyDescent="0.3">
      <c r="A1793" s="6"/>
    </row>
    <row r="1794" spans="1:1" x14ac:dyDescent="0.3">
      <c r="A1794" s="6"/>
    </row>
    <row r="1795" spans="1:1" x14ac:dyDescent="0.3">
      <c r="A1795" s="6"/>
    </row>
    <row r="1796" spans="1:1" x14ac:dyDescent="0.3">
      <c r="A1796" s="6"/>
    </row>
    <row r="1797" spans="1:1" x14ac:dyDescent="0.3">
      <c r="A1797" s="6"/>
    </row>
    <row r="1798" spans="1:1" x14ac:dyDescent="0.3">
      <c r="A1798" s="6"/>
    </row>
    <row r="1799" spans="1:1" x14ac:dyDescent="0.3">
      <c r="A1799" s="6"/>
    </row>
    <row r="1800" spans="1:1" x14ac:dyDescent="0.3">
      <c r="A1800" s="6"/>
    </row>
    <row r="1801" spans="1:1" x14ac:dyDescent="0.3">
      <c r="A1801" s="6"/>
    </row>
    <row r="1802" spans="1:1" x14ac:dyDescent="0.3">
      <c r="A1802" s="6"/>
    </row>
    <row r="1803" spans="1:1" x14ac:dyDescent="0.3">
      <c r="A1803" s="6"/>
    </row>
    <row r="1804" spans="1:1" x14ac:dyDescent="0.3">
      <c r="A1804" s="6"/>
    </row>
    <row r="1805" spans="1:1" x14ac:dyDescent="0.3">
      <c r="A1805" s="6"/>
    </row>
    <row r="1806" spans="1:1" x14ac:dyDescent="0.3">
      <c r="A1806" s="6"/>
    </row>
    <row r="1807" spans="1:1" x14ac:dyDescent="0.3">
      <c r="A1807" s="6"/>
    </row>
    <row r="1808" spans="1:1" x14ac:dyDescent="0.3">
      <c r="A1808" s="6"/>
    </row>
    <row r="1809" spans="1:1" x14ac:dyDescent="0.3">
      <c r="A1809" s="6"/>
    </row>
    <row r="1810" spans="1:1" x14ac:dyDescent="0.3">
      <c r="A1810" s="6"/>
    </row>
    <row r="1811" spans="1:1" x14ac:dyDescent="0.3">
      <c r="A1811" s="6"/>
    </row>
    <row r="1812" spans="1:1" x14ac:dyDescent="0.3">
      <c r="A1812" s="6"/>
    </row>
    <row r="1813" spans="1:1" x14ac:dyDescent="0.3">
      <c r="A1813" s="6"/>
    </row>
    <row r="1814" spans="1:1" x14ac:dyDescent="0.3">
      <c r="A1814" s="6"/>
    </row>
    <row r="1815" spans="1:1" x14ac:dyDescent="0.3">
      <c r="A1815" s="6"/>
    </row>
    <row r="1816" spans="1:1" x14ac:dyDescent="0.3">
      <c r="A1816" s="6"/>
    </row>
    <row r="1817" spans="1:1" x14ac:dyDescent="0.3">
      <c r="A1817" s="6"/>
    </row>
    <row r="1818" spans="1:1" x14ac:dyDescent="0.3">
      <c r="A1818" s="6"/>
    </row>
    <row r="1819" spans="1:1" x14ac:dyDescent="0.3">
      <c r="A1819" s="6"/>
    </row>
    <row r="1820" spans="1:1" x14ac:dyDescent="0.3">
      <c r="A1820" s="6"/>
    </row>
    <row r="1821" spans="1:1" x14ac:dyDescent="0.3">
      <c r="A1821" s="6"/>
    </row>
    <row r="1822" spans="1:1" x14ac:dyDescent="0.3">
      <c r="A1822" s="6"/>
    </row>
    <row r="1823" spans="1:1" x14ac:dyDescent="0.3">
      <c r="A1823" s="6"/>
    </row>
    <row r="1824" spans="1:1" x14ac:dyDescent="0.3">
      <c r="A1824" s="6"/>
    </row>
    <row r="1825" spans="1:1" x14ac:dyDescent="0.3">
      <c r="A1825" s="6"/>
    </row>
    <row r="1826" spans="1:1" x14ac:dyDescent="0.3">
      <c r="A1826" s="6"/>
    </row>
    <row r="1827" spans="1:1" x14ac:dyDescent="0.3">
      <c r="A1827" s="6"/>
    </row>
    <row r="1828" spans="1:1" x14ac:dyDescent="0.3">
      <c r="A1828" s="6"/>
    </row>
    <row r="1829" spans="1:1" x14ac:dyDescent="0.3">
      <c r="A1829" s="6"/>
    </row>
    <row r="1830" spans="1:1" x14ac:dyDescent="0.3">
      <c r="A1830" s="6"/>
    </row>
    <row r="1831" spans="1:1" x14ac:dyDescent="0.3">
      <c r="A1831" s="6"/>
    </row>
    <row r="1832" spans="1:1" x14ac:dyDescent="0.3">
      <c r="A1832" s="6"/>
    </row>
    <row r="1833" spans="1:1" x14ac:dyDescent="0.3">
      <c r="A1833" s="6"/>
    </row>
    <row r="1834" spans="1:1" x14ac:dyDescent="0.3">
      <c r="A1834" s="6"/>
    </row>
    <row r="1835" spans="1:1" x14ac:dyDescent="0.3">
      <c r="A1835" s="6"/>
    </row>
    <row r="1836" spans="1:1" x14ac:dyDescent="0.3">
      <c r="A1836" s="6"/>
    </row>
    <row r="1837" spans="1:1" x14ac:dyDescent="0.3">
      <c r="A1837" s="6"/>
    </row>
    <row r="1838" spans="1:1" x14ac:dyDescent="0.3">
      <c r="A1838" s="6"/>
    </row>
    <row r="1839" spans="1:1" x14ac:dyDescent="0.3">
      <c r="A1839" s="6"/>
    </row>
    <row r="1840" spans="1:1" x14ac:dyDescent="0.3">
      <c r="A1840" s="6"/>
    </row>
    <row r="1841" spans="1:1" x14ac:dyDescent="0.3">
      <c r="A1841" s="6"/>
    </row>
    <row r="1842" spans="1:1" x14ac:dyDescent="0.3">
      <c r="A1842" s="6"/>
    </row>
    <row r="1843" spans="1:1" x14ac:dyDescent="0.3">
      <c r="A1843" s="6"/>
    </row>
    <row r="1844" spans="1:1" x14ac:dyDescent="0.3">
      <c r="A1844" s="6"/>
    </row>
    <row r="1845" spans="1:1" x14ac:dyDescent="0.3">
      <c r="A1845" s="6"/>
    </row>
    <row r="1846" spans="1:1" x14ac:dyDescent="0.3">
      <c r="A1846" s="6"/>
    </row>
    <row r="1847" spans="1:1" x14ac:dyDescent="0.3">
      <c r="A1847" s="6"/>
    </row>
    <row r="1848" spans="1:1" x14ac:dyDescent="0.3">
      <c r="A1848" s="6"/>
    </row>
    <row r="1849" spans="1:1" x14ac:dyDescent="0.3">
      <c r="A1849" s="6"/>
    </row>
    <row r="1850" spans="1:1" x14ac:dyDescent="0.3">
      <c r="A1850" s="6"/>
    </row>
    <row r="1851" spans="1:1" x14ac:dyDescent="0.3">
      <c r="A1851" s="6"/>
    </row>
    <row r="1852" spans="1:1" x14ac:dyDescent="0.3">
      <c r="A1852" s="6"/>
    </row>
    <row r="1853" spans="1:1" x14ac:dyDescent="0.3">
      <c r="A1853" s="6"/>
    </row>
    <row r="1854" spans="1:1" x14ac:dyDescent="0.3">
      <c r="A1854" s="6"/>
    </row>
    <row r="1855" spans="1:1" x14ac:dyDescent="0.3">
      <c r="A1855" s="6"/>
    </row>
    <row r="1856" spans="1:1" x14ac:dyDescent="0.3">
      <c r="A1856" s="6"/>
    </row>
    <row r="1857" spans="1:1" x14ac:dyDescent="0.3">
      <c r="A1857" s="6"/>
    </row>
    <row r="1858" spans="1:1" x14ac:dyDescent="0.3">
      <c r="A1858" s="6"/>
    </row>
    <row r="1859" spans="1:1" x14ac:dyDescent="0.3">
      <c r="A1859" s="6"/>
    </row>
    <row r="1860" spans="1:1" x14ac:dyDescent="0.3">
      <c r="A1860" s="6"/>
    </row>
    <row r="1861" spans="1:1" x14ac:dyDescent="0.3">
      <c r="A1861" s="6"/>
    </row>
    <row r="1862" spans="1:1" x14ac:dyDescent="0.3">
      <c r="A1862" s="6"/>
    </row>
    <row r="1863" spans="1:1" x14ac:dyDescent="0.3">
      <c r="A1863" s="6"/>
    </row>
    <row r="1864" spans="1:1" x14ac:dyDescent="0.3">
      <c r="A1864" s="6"/>
    </row>
    <row r="1865" spans="1:1" x14ac:dyDescent="0.3">
      <c r="A1865" s="6"/>
    </row>
    <row r="1866" spans="1:1" x14ac:dyDescent="0.3">
      <c r="A1866" s="6"/>
    </row>
    <row r="1867" spans="1:1" x14ac:dyDescent="0.3">
      <c r="A1867" s="6"/>
    </row>
    <row r="1868" spans="1:1" x14ac:dyDescent="0.3">
      <c r="A1868" s="6"/>
    </row>
    <row r="1869" spans="1:1" x14ac:dyDescent="0.3">
      <c r="A1869" s="6"/>
    </row>
    <row r="1870" spans="1:1" x14ac:dyDescent="0.3">
      <c r="A1870" s="6"/>
    </row>
    <row r="1871" spans="1:1" x14ac:dyDescent="0.3">
      <c r="A1871" s="6"/>
    </row>
    <row r="1872" spans="1:1" x14ac:dyDescent="0.3">
      <c r="A1872" s="6"/>
    </row>
    <row r="1873" spans="1:1" x14ac:dyDescent="0.3">
      <c r="A1873" s="6"/>
    </row>
    <row r="1874" spans="1:1" x14ac:dyDescent="0.3">
      <c r="A1874" s="6"/>
    </row>
    <row r="1875" spans="1:1" x14ac:dyDescent="0.3">
      <c r="A1875" s="6"/>
    </row>
    <row r="1876" spans="1:1" x14ac:dyDescent="0.3">
      <c r="A1876" s="6"/>
    </row>
    <row r="1877" spans="1:1" x14ac:dyDescent="0.3">
      <c r="A1877" s="6"/>
    </row>
    <row r="1878" spans="1:1" x14ac:dyDescent="0.3">
      <c r="A1878" s="6"/>
    </row>
    <row r="1879" spans="1:1" x14ac:dyDescent="0.3">
      <c r="A1879" s="6"/>
    </row>
    <row r="1880" spans="1:1" x14ac:dyDescent="0.3">
      <c r="A1880" s="6"/>
    </row>
    <row r="1881" spans="1:1" x14ac:dyDescent="0.3">
      <c r="A1881" s="6"/>
    </row>
    <row r="1882" spans="1:1" x14ac:dyDescent="0.3">
      <c r="A1882" s="6"/>
    </row>
    <row r="1883" spans="1:1" x14ac:dyDescent="0.3">
      <c r="A1883" s="6"/>
    </row>
    <row r="1884" spans="1:1" x14ac:dyDescent="0.3">
      <c r="A1884" s="6"/>
    </row>
    <row r="1885" spans="1:1" x14ac:dyDescent="0.3">
      <c r="A1885" s="6"/>
    </row>
    <row r="1886" spans="1:1" x14ac:dyDescent="0.3">
      <c r="A1886" s="6"/>
    </row>
    <row r="1887" spans="1:1" x14ac:dyDescent="0.3">
      <c r="A1887" s="6"/>
    </row>
    <row r="1888" spans="1:1" x14ac:dyDescent="0.3">
      <c r="A1888" s="6"/>
    </row>
    <row r="1889" spans="1:1" x14ac:dyDescent="0.3">
      <c r="A1889" s="6"/>
    </row>
    <row r="1890" spans="1:1" x14ac:dyDescent="0.3">
      <c r="A1890" s="6"/>
    </row>
    <row r="1891" spans="1:1" x14ac:dyDescent="0.3">
      <c r="A1891" s="6"/>
    </row>
    <row r="1892" spans="1:1" x14ac:dyDescent="0.3">
      <c r="A1892" s="6"/>
    </row>
    <row r="1893" spans="1:1" x14ac:dyDescent="0.3">
      <c r="A1893" s="6"/>
    </row>
    <row r="1894" spans="1:1" x14ac:dyDescent="0.3">
      <c r="A1894" s="6"/>
    </row>
    <row r="1895" spans="1:1" x14ac:dyDescent="0.3">
      <c r="A1895" s="6"/>
    </row>
    <row r="1896" spans="1:1" x14ac:dyDescent="0.3">
      <c r="A1896" s="6"/>
    </row>
    <row r="1897" spans="1:1" x14ac:dyDescent="0.3">
      <c r="A1897" s="6"/>
    </row>
    <row r="1898" spans="1:1" x14ac:dyDescent="0.3">
      <c r="A1898" s="6"/>
    </row>
    <row r="1899" spans="1:1" x14ac:dyDescent="0.3">
      <c r="A1899" s="6"/>
    </row>
    <row r="1900" spans="1:1" x14ac:dyDescent="0.3">
      <c r="A1900" s="6"/>
    </row>
    <row r="1901" spans="1:1" x14ac:dyDescent="0.3">
      <c r="A1901" s="6"/>
    </row>
    <row r="1902" spans="1:1" x14ac:dyDescent="0.3">
      <c r="A1902" s="6"/>
    </row>
    <row r="1903" spans="1:1" x14ac:dyDescent="0.3">
      <c r="A1903" s="6"/>
    </row>
    <row r="1904" spans="1:1" x14ac:dyDescent="0.3">
      <c r="A1904" s="6"/>
    </row>
    <row r="1905" spans="1:1" x14ac:dyDescent="0.3">
      <c r="A1905" s="6"/>
    </row>
    <row r="1906" spans="1:1" x14ac:dyDescent="0.3">
      <c r="A1906" s="6"/>
    </row>
    <row r="1907" spans="1:1" x14ac:dyDescent="0.3">
      <c r="A1907" s="6"/>
    </row>
    <row r="1908" spans="1:1" x14ac:dyDescent="0.3">
      <c r="A1908" s="6"/>
    </row>
    <row r="1909" spans="1:1" x14ac:dyDescent="0.3">
      <c r="A1909" s="6"/>
    </row>
    <row r="1910" spans="1:1" x14ac:dyDescent="0.3">
      <c r="A1910" s="6"/>
    </row>
    <row r="1911" spans="1:1" x14ac:dyDescent="0.3">
      <c r="A1911" s="6"/>
    </row>
    <row r="1912" spans="1:1" x14ac:dyDescent="0.3">
      <c r="A1912" s="6"/>
    </row>
    <row r="1913" spans="1:1" x14ac:dyDescent="0.3">
      <c r="A1913" s="6"/>
    </row>
    <row r="1914" spans="1:1" x14ac:dyDescent="0.3">
      <c r="A1914" s="6"/>
    </row>
    <row r="1915" spans="1:1" x14ac:dyDescent="0.3">
      <c r="A1915" s="6"/>
    </row>
    <row r="1916" spans="1:1" x14ac:dyDescent="0.3">
      <c r="A1916" s="6"/>
    </row>
    <row r="1917" spans="1:1" x14ac:dyDescent="0.3">
      <c r="A1917" s="6"/>
    </row>
    <row r="1918" spans="1:1" x14ac:dyDescent="0.3">
      <c r="A1918" s="6"/>
    </row>
    <row r="1919" spans="1:1" x14ac:dyDescent="0.3">
      <c r="A1919" s="6"/>
    </row>
    <row r="1920" spans="1:1" x14ac:dyDescent="0.3">
      <c r="A1920" s="6"/>
    </row>
    <row r="1921" spans="1:1" x14ac:dyDescent="0.3">
      <c r="A1921" s="6"/>
    </row>
    <row r="1922" spans="1:1" x14ac:dyDescent="0.3">
      <c r="A1922" s="6"/>
    </row>
    <row r="1923" spans="1:1" x14ac:dyDescent="0.3">
      <c r="A1923" s="6"/>
    </row>
    <row r="1924" spans="1:1" x14ac:dyDescent="0.3">
      <c r="A1924" s="6"/>
    </row>
    <row r="1925" spans="1:1" x14ac:dyDescent="0.3">
      <c r="A1925" s="6"/>
    </row>
    <row r="1926" spans="1:1" x14ac:dyDescent="0.3">
      <c r="A1926" s="6"/>
    </row>
    <row r="1927" spans="1:1" x14ac:dyDescent="0.3">
      <c r="A1927" s="6"/>
    </row>
    <row r="1928" spans="1:1" x14ac:dyDescent="0.3">
      <c r="A1928" s="6"/>
    </row>
    <row r="1929" spans="1:1" x14ac:dyDescent="0.3">
      <c r="A1929" s="6"/>
    </row>
    <row r="1930" spans="1:1" x14ac:dyDescent="0.3">
      <c r="A1930" s="6"/>
    </row>
    <row r="1931" spans="1:1" x14ac:dyDescent="0.3">
      <c r="A1931" s="6"/>
    </row>
    <row r="1932" spans="1:1" x14ac:dyDescent="0.3">
      <c r="A1932" s="6"/>
    </row>
    <row r="1933" spans="1:1" x14ac:dyDescent="0.3">
      <c r="A1933" s="6"/>
    </row>
    <row r="1934" spans="1:1" x14ac:dyDescent="0.3">
      <c r="A1934" s="6"/>
    </row>
    <row r="1935" spans="1:1" x14ac:dyDescent="0.3">
      <c r="A1935" s="6"/>
    </row>
    <row r="1936" spans="1:1" x14ac:dyDescent="0.3">
      <c r="A1936" s="6"/>
    </row>
    <row r="1937" spans="1:1" x14ac:dyDescent="0.3">
      <c r="A1937" s="6"/>
    </row>
    <row r="1938" spans="1:1" x14ac:dyDescent="0.3">
      <c r="A1938" s="6"/>
    </row>
    <row r="1939" spans="1:1" x14ac:dyDescent="0.3">
      <c r="A1939" s="6"/>
    </row>
    <row r="1940" spans="1:1" x14ac:dyDescent="0.3">
      <c r="A1940" s="6"/>
    </row>
    <row r="1941" spans="1:1" x14ac:dyDescent="0.3">
      <c r="A1941" s="6"/>
    </row>
    <row r="1942" spans="1:1" x14ac:dyDescent="0.3">
      <c r="A1942" s="6"/>
    </row>
    <row r="1943" spans="1:1" x14ac:dyDescent="0.3">
      <c r="A1943" s="6"/>
    </row>
    <row r="1944" spans="1:1" x14ac:dyDescent="0.3">
      <c r="A1944" s="6"/>
    </row>
    <row r="1945" spans="1:1" x14ac:dyDescent="0.3">
      <c r="A1945" s="6"/>
    </row>
    <row r="1946" spans="1:1" x14ac:dyDescent="0.3">
      <c r="A1946" s="6"/>
    </row>
    <row r="1947" spans="1:1" x14ac:dyDescent="0.3">
      <c r="A1947" s="6"/>
    </row>
    <row r="1948" spans="1:1" x14ac:dyDescent="0.3">
      <c r="A1948" s="6"/>
    </row>
    <row r="1949" spans="1:1" x14ac:dyDescent="0.3">
      <c r="A1949" s="6"/>
    </row>
    <row r="1950" spans="1:1" x14ac:dyDescent="0.3">
      <c r="A1950" s="6"/>
    </row>
    <row r="1951" spans="1:1" x14ac:dyDescent="0.3">
      <c r="A1951" s="6"/>
    </row>
    <row r="1952" spans="1:1" x14ac:dyDescent="0.3">
      <c r="A1952" s="6"/>
    </row>
    <row r="1953" spans="1:1" x14ac:dyDescent="0.3">
      <c r="A1953" s="6"/>
    </row>
    <row r="1954" spans="1:1" x14ac:dyDescent="0.3">
      <c r="A1954" s="6"/>
    </row>
    <row r="1955" spans="1:1" x14ac:dyDescent="0.3">
      <c r="A1955" s="6"/>
    </row>
    <row r="1956" spans="1:1" x14ac:dyDescent="0.3">
      <c r="A1956" s="6"/>
    </row>
    <row r="1957" spans="1:1" x14ac:dyDescent="0.3">
      <c r="A1957" s="6"/>
    </row>
    <row r="1958" spans="1:1" x14ac:dyDescent="0.3">
      <c r="A1958" s="6"/>
    </row>
    <row r="1959" spans="1:1" x14ac:dyDescent="0.3">
      <c r="A1959" s="6"/>
    </row>
    <row r="1960" spans="1:1" x14ac:dyDescent="0.3">
      <c r="A1960" s="6"/>
    </row>
    <row r="1961" spans="1:1" x14ac:dyDescent="0.3">
      <c r="A1961" s="6"/>
    </row>
    <row r="1962" spans="1:1" x14ac:dyDescent="0.3">
      <c r="A1962" s="6"/>
    </row>
    <row r="1963" spans="1:1" x14ac:dyDescent="0.3">
      <c r="A1963" s="6"/>
    </row>
    <row r="1964" spans="1:1" x14ac:dyDescent="0.3">
      <c r="A1964" s="6"/>
    </row>
    <row r="1965" spans="1:1" x14ac:dyDescent="0.3">
      <c r="A1965" s="6"/>
    </row>
    <row r="1966" spans="1:1" x14ac:dyDescent="0.3">
      <c r="A1966" s="6"/>
    </row>
    <row r="1967" spans="1:1" x14ac:dyDescent="0.3">
      <c r="A1967" s="6"/>
    </row>
    <row r="1968" spans="1:1" x14ac:dyDescent="0.3">
      <c r="A1968" s="6"/>
    </row>
    <row r="1969" spans="1:1" x14ac:dyDescent="0.3">
      <c r="A1969" s="6"/>
    </row>
    <row r="1970" spans="1:1" x14ac:dyDescent="0.3">
      <c r="A1970" s="6"/>
    </row>
    <row r="1971" spans="1:1" x14ac:dyDescent="0.3">
      <c r="A1971" s="6"/>
    </row>
    <row r="1972" spans="1:1" x14ac:dyDescent="0.3">
      <c r="A1972" s="6"/>
    </row>
    <row r="1973" spans="1:1" x14ac:dyDescent="0.3">
      <c r="A1973" s="6"/>
    </row>
    <row r="1974" spans="1:1" x14ac:dyDescent="0.3">
      <c r="A1974" s="6"/>
    </row>
    <row r="1975" spans="1:1" x14ac:dyDescent="0.3">
      <c r="A1975" s="6"/>
    </row>
    <row r="1976" spans="1:1" x14ac:dyDescent="0.3">
      <c r="A1976" s="6"/>
    </row>
    <row r="1977" spans="1:1" x14ac:dyDescent="0.3">
      <c r="A1977" s="6"/>
    </row>
    <row r="1978" spans="1:1" x14ac:dyDescent="0.3">
      <c r="A1978" s="6"/>
    </row>
    <row r="1979" spans="1:1" x14ac:dyDescent="0.3">
      <c r="A1979" s="6"/>
    </row>
    <row r="1980" spans="1:1" x14ac:dyDescent="0.3">
      <c r="A1980" s="6"/>
    </row>
    <row r="1981" spans="1:1" x14ac:dyDescent="0.3">
      <c r="A1981" s="6"/>
    </row>
    <row r="1982" spans="1:1" x14ac:dyDescent="0.3">
      <c r="A1982" s="6"/>
    </row>
    <row r="1983" spans="1:1" x14ac:dyDescent="0.3">
      <c r="A1983" s="6"/>
    </row>
    <row r="1984" spans="1:1" x14ac:dyDescent="0.3">
      <c r="A1984" s="6"/>
    </row>
    <row r="1985" spans="1:1" x14ac:dyDescent="0.3">
      <c r="A1985" s="6"/>
    </row>
    <row r="1986" spans="1:1" x14ac:dyDescent="0.3">
      <c r="A1986" s="6"/>
    </row>
    <row r="1987" spans="1:1" x14ac:dyDescent="0.3">
      <c r="A1987" s="6"/>
    </row>
    <row r="1988" spans="1:1" x14ac:dyDescent="0.3">
      <c r="A1988" s="6"/>
    </row>
    <row r="1989" spans="1:1" x14ac:dyDescent="0.3">
      <c r="A1989" s="6"/>
    </row>
    <row r="1990" spans="1:1" x14ac:dyDescent="0.3">
      <c r="A1990" s="6"/>
    </row>
    <row r="1991" spans="1:1" x14ac:dyDescent="0.3">
      <c r="A1991" s="6"/>
    </row>
    <row r="1992" spans="1:1" x14ac:dyDescent="0.3">
      <c r="A1992" s="6"/>
    </row>
    <row r="1993" spans="1:1" x14ac:dyDescent="0.3">
      <c r="A1993" s="6"/>
    </row>
    <row r="1994" spans="1:1" x14ac:dyDescent="0.3">
      <c r="A1994" s="6"/>
    </row>
    <row r="1995" spans="1:1" x14ac:dyDescent="0.3">
      <c r="A1995" s="6"/>
    </row>
    <row r="1996" spans="1:1" x14ac:dyDescent="0.3">
      <c r="A1996" s="6"/>
    </row>
    <row r="1997" spans="1:1" x14ac:dyDescent="0.3">
      <c r="A1997" s="6"/>
    </row>
    <row r="1998" spans="1:1" x14ac:dyDescent="0.3">
      <c r="A1998" s="6"/>
    </row>
    <row r="1999" spans="1:1" x14ac:dyDescent="0.3">
      <c r="A1999" s="6"/>
    </row>
    <row r="2000" spans="1:1" x14ac:dyDescent="0.3">
      <c r="A2000" s="6"/>
    </row>
    <row r="2001" spans="1:1" x14ac:dyDescent="0.3">
      <c r="A2001" s="6"/>
    </row>
    <row r="2002" spans="1:1" x14ac:dyDescent="0.3">
      <c r="A2002" s="6"/>
    </row>
    <row r="2003" spans="1:1" x14ac:dyDescent="0.3">
      <c r="A2003" s="6"/>
    </row>
    <row r="2004" spans="1:1" x14ac:dyDescent="0.3">
      <c r="A2004" s="6"/>
    </row>
    <row r="2005" spans="1:1" x14ac:dyDescent="0.3">
      <c r="A2005" s="6"/>
    </row>
    <row r="2006" spans="1:1" x14ac:dyDescent="0.3">
      <c r="A2006" s="6"/>
    </row>
    <row r="2007" spans="1:1" x14ac:dyDescent="0.3">
      <c r="A2007" s="6"/>
    </row>
    <row r="2008" spans="1:1" x14ac:dyDescent="0.3">
      <c r="A2008" s="6"/>
    </row>
    <row r="2009" spans="1:1" x14ac:dyDescent="0.3">
      <c r="A2009" s="6"/>
    </row>
    <row r="2010" spans="1:1" x14ac:dyDescent="0.3">
      <c r="A2010" s="6"/>
    </row>
    <row r="2011" spans="1:1" x14ac:dyDescent="0.3">
      <c r="A2011" s="6"/>
    </row>
    <row r="2012" spans="1:1" x14ac:dyDescent="0.3">
      <c r="A2012" s="6"/>
    </row>
    <row r="2013" spans="1:1" x14ac:dyDescent="0.3">
      <c r="A2013" s="6"/>
    </row>
    <row r="2014" spans="1:1" x14ac:dyDescent="0.3">
      <c r="A2014" s="6"/>
    </row>
    <row r="2015" spans="1:1" x14ac:dyDescent="0.3">
      <c r="A2015" s="6"/>
    </row>
    <row r="2016" spans="1:1" x14ac:dyDescent="0.3">
      <c r="A2016" s="6"/>
    </row>
    <row r="2017" spans="1:1" x14ac:dyDescent="0.3">
      <c r="A2017" s="6"/>
    </row>
    <row r="2018" spans="1:1" x14ac:dyDescent="0.3">
      <c r="A2018" s="6"/>
    </row>
    <row r="2019" spans="1:1" x14ac:dyDescent="0.3">
      <c r="A2019" s="6"/>
    </row>
    <row r="2020" spans="1:1" x14ac:dyDescent="0.3">
      <c r="A2020" s="6"/>
    </row>
    <row r="2021" spans="1:1" x14ac:dyDescent="0.3">
      <c r="A2021" s="6"/>
    </row>
    <row r="2022" spans="1:1" x14ac:dyDescent="0.3">
      <c r="A2022" s="6"/>
    </row>
    <row r="2023" spans="1:1" x14ac:dyDescent="0.3">
      <c r="A2023" s="6"/>
    </row>
    <row r="2024" spans="1:1" x14ac:dyDescent="0.3">
      <c r="A2024" s="6"/>
    </row>
    <row r="2025" spans="1:1" x14ac:dyDescent="0.3">
      <c r="A2025" s="6"/>
    </row>
    <row r="2026" spans="1:1" x14ac:dyDescent="0.3">
      <c r="A2026" s="6"/>
    </row>
    <row r="2027" spans="1:1" x14ac:dyDescent="0.3">
      <c r="A2027" s="6"/>
    </row>
    <row r="2028" spans="1:1" x14ac:dyDescent="0.3">
      <c r="A2028" s="6"/>
    </row>
    <row r="2029" spans="1:1" x14ac:dyDescent="0.3">
      <c r="A2029" s="6"/>
    </row>
    <row r="2030" spans="1:1" x14ac:dyDescent="0.3">
      <c r="A2030" s="6"/>
    </row>
    <row r="2031" spans="1:1" x14ac:dyDescent="0.3">
      <c r="A2031" s="6"/>
    </row>
    <row r="2032" spans="1:1" x14ac:dyDescent="0.3">
      <c r="A2032" s="6"/>
    </row>
    <row r="2033" spans="1:1" x14ac:dyDescent="0.3">
      <c r="A2033" s="6"/>
    </row>
    <row r="2034" spans="1:1" x14ac:dyDescent="0.3">
      <c r="A2034" s="6"/>
    </row>
    <row r="2035" spans="1:1" x14ac:dyDescent="0.3">
      <c r="A2035" s="6"/>
    </row>
    <row r="2036" spans="1:1" x14ac:dyDescent="0.3">
      <c r="A2036" s="6"/>
    </row>
    <row r="2037" spans="1:1" x14ac:dyDescent="0.3">
      <c r="A2037" s="6"/>
    </row>
    <row r="2038" spans="1:1" x14ac:dyDescent="0.3">
      <c r="A2038" s="6"/>
    </row>
    <row r="2039" spans="1:1" x14ac:dyDescent="0.3">
      <c r="A2039" s="6"/>
    </row>
    <row r="2040" spans="1:1" x14ac:dyDescent="0.3">
      <c r="A2040" s="6"/>
    </row>
    <row r="2041" spans="1:1" x14ac:dyDescent="0.3">
      <c r="A2041" s="6"/>
    </row>
    <row r="2042" spans="1:1" x14ac:dyDescent="0.3">
      <c r="A2042" s="6"/>
    </row>
    <row r="2043" spans="1:1" x14ac:dyDescent="0.3">
      <c r="A2043" s="6"/>
    </row>
    <row r="2044" spans="1:1" x14ac:dyDescent="0.3">
      <c r="A2044" s="6"/>
    </row>
    <row r="2045" spans="1:1" x14ac:dyDescent="0.3">
      <c r="A2045" s="6"/>
    </row>
    <row r="2046" spans="1:1" x14ac:dyDescent="0.3">
      <c r="A2046" s="6"/>
    </row>
    <row r="2047" spans="1:1" x14ac:dyDescent="0.3">
      <c r="A2047" s="6"/>
    </row>
    <row r="2048" spans="1:1" x14ac:dyDescent="0.3">
      <c r="A2048" s="6"/>
    </row>
    <row r="2049" spans="1:1" x14ac:dyDescent="0.3">
      <c r="A2049" s="6"/>
    </row>
    <row r="2050" spans="1:1" x14ac:dyDescent="0.3">
      <c r="A2050" s="6"/>
    </row>
    <row r="2051" spans="1:1" x14ac:dyDescent="0.3">
      <c r="A2051" s="6"/>
    </row>
    <row r="2052" spans="1:1" x14ac:dyDescent="0.3">
      <c r="A2052" s="6"/>
    </row>
    <row r="2053" spans="1:1" x14ac:dyDescent="0.3">
      <c r="A2053" s="6"/>
    </row>
    <row r="2054" spans="1:1" x14ac:dyDescent="0.3">
      <c r="A2054" s="6"/>
    </row>
    <row r="2055" spans="1:1" x14ac:dyDescent="0.3">
      <c r="A2055" s="6"/>
    </row>
    <row r="2056" spans="1:1" x14ac:dyDescent="0.3">
      <c r="A2056" s="6"/>
    </row>
    <row r="2057" spans="1:1" x14ac:dyDescent="0.3">
      <c r="A2057" s="6"/>
    </row>
    <row r="2058" spans="1:1" x14ac:dyDescent="0.3">
      <c r="A2058" s="6"/>
    </row>
    <row r="2059" spans="1:1" x14ac:dyDescent="0.3">
      <c r="A2059" s="6"/>
    </row>
    <row r="2060" spans="1:1" x14ac:dyDescent="0.3">
      <c r="A2060" s="6"/>
    </row>
    <row r="2061" spans="1:1" x14ac:dyDescent="0.3">
      <c r="A2061" s="6"/>
    </row>
    <row r="2062" spans="1:1" x14ac:dyDescent="0.3">
      <c r="A2062" s="6"/>
    </row>
    <row r="2063" spans="1:1" x14ac:dyDescent="0.3">
      <c r="A2063" s="6"/>
    </row>
    <row r="2064" spans="1:1" x14ac:dyDescent="0.3">
      <c r="A2064" s="6"/>
    </row>
    <row r="2065" spans="1:1" x14ac:dyDescent="0.3">
      <c r="A2065" s="6"/>
    </row>
    <row r="2066" spans="1:1" x14ac:dyDescent="0.3">
      <c r="A2066" s="6"/>
    </row>
    <row r="2067" spans="1:1" x14ac:dyDescent="0.3">
      <c r="A2067" s="6"/>
    </row>
    <row r="2068" spans="1:1" x14ac:dyDescent="0.3">
      <c r="A2068" s="6"/>
    </row>
    <row r="2069" spans="1:1" x14ac:dyDescent="0.3">
      <c r="A2069" s="6"/>
    </row>
    <row r="2070" spans="1:1" x14ac:dyDescent="0.3">
      <c r="A2070" s="6"/>
    </row>
    <row r="2071" spans="1:1" x14ac:dyDescent="0.3">
      <c r="A2071" s="6"/>
    </row>
    <row r="2072" spans="1:1" x14ac:dyDescent="0.3">
      <c r="A2072" s="6"/>
    </row>
    <row r="2073" spans="1:1" x14ac:dyDescent="0.3">
      <c r="A2073" s="6"/>
    </row>
    <row r="2074" spans="1:1" x14ac:dyDescent="0.3">
      <c r="A2074" s="6"/>
    </row>
    <row r="2075" spans="1:1" x14ac:dyDescent="0.3">
      <c r="A2075" s="6"/>
    </row>
    <row r="2076" spans="1:1" x14ac:dyDescent="0.3">
      <c r="A2076" s="6"/>
    </row>
    <row r="2077" spans="1:1" x14ac:dyDescent="0.3">
      <c r="A2077" s="6"/>
    </row>
    <row r="2078" spans="1:1" x14ac:dyDescent="0.3">
      <c r="A2078" s="6"/>
    </row>
    <row r="2079" spans="1:1" x14ac:dyDescent="0.3">
      <c r="A2079" s="6"/>
    </row>
    <row r="2080" spans="1:1" x14ac:dyDescent="0.3">
      <c r="A2080" s="6"/>
    </row>
    <row r="2081" spans="1:1" x14ac:dyDescent="0.3">
      <c r="A2081" s="6"/>
    </row>
    <row r="2082" spans="1:1" x14ac:dyDescent="0.3">
      <c r="A2082" s="6"/>
    </row>
    <row r="2083" spans="1:1" x14ac:dyDescent="0.3">
      <c r="A2083" s="6"/>
    </row>
    <row r="2084" spans="1:1" x14ac:dyDescent="0.3">
      <c r="A2084" s="6"/>
    </row>
    <row r="2085" spans="1:1" x14ac:dyDescent="0.3">
      <c r="A2085" s="6"/>
    </row>
    <row r="2086" spans="1:1" x14ac:dyDescent="0.3">
      <c r="A2086" s="6"/>
    </row>
    <row r="2087" spans="1:1" x14ac:dyDescent="0.3">
      <c r="A2087" s="6"/>
    </row>
    <row r="2088" spans="1:1" x14ac:dyDescent="0.3">
      <c r="A2088" s="6"/>
    </row>
    <row r="2089" spans="1:1" x14ac:dyDescent="0.3">
      <c r="A2089" s="6"/>
    </row>
    <row r="2090" spans="1:1" x14ac:dyDescent="0.3">
      <c r="A2090" s="6"/>
    </row>
    <row r="2091" spans="1:1" x14ac:dyDescent="0.3">
      <c r="A2091" s="6"/>
    </row>
    <row r="2092" spans="1:1" x14ac:dyDescent="0.3">
      <c r="A2092" s="6"/>
    </row>
    <row r="2093" spans="1:1" x14ac:dyDescent="0.3">
      <c r="A2093" s="6"/>
    </row>
    <row r="2094" spans="1:1" x14ac:dyDescent="0.3">
      <c r="A2094" s="6"/>
    </row>
    <row r="2095" spans="1:1" x14ac:dyDescent="0.3">
      <c r="A2095" s="6"/>
    </row>
    <row r="2096" spans="1:1" x14ac:dyDescent="0.3">
      <c r="A2096" s="6"/>
    </row>
    <row r="2097" spans="1:1" x14ac:dyDescent="0.3">
      <c r="A2097" s="6"/>
    </row>
    <row r="2098" spans="1:1" x14ac:dyDescent="0.3">
      <c r="A2098" s="6"/>
    </row>
    <row r="2099" spans="1:1" x14ac:dyDescent="0.3">
      <c r="A2099" s="6"/>
    </row>
    <row r="2100" spans="1:1" x14ac:dyDescent="0.3">
      <c r="A2100" s="6"/>
    </row>
    <row r="2101" spans="1:1" x14ac:dyDescent="0.3">
      <c r="A2101" s="6"/>
    </row>
    <row r="2102" spans="1:1" x14ac:dyDescent="0.3">
      <c r="A2102" s="6"/>
    </row>
    <row r="2103" spans="1:1" x14ac:dyDescent="0.3">
      <c r="A2103" s="6"/>
    </row>
    <row r="2104" spans="1:1" x14ac:dyDescent="0.3">
      <c r="A2104" s="6"/>
    </row>
    <row r="2105" spans="1:1" x14ac:dyDescent="0.3">
      <c r="A2105" s="6"/>
    </row>
    <row r="2106" spans="1:1" x14ac:dyDescent="0.3">
      <c r="A2106" s="6"/>
    </row>
    <row r="2107" spans="1:1" x14ac:dyDescent="0.3">
      <c r="A2107" s="6"/>
    </row>
    <row r="2108" spans="1:1" x14ac:dyDescent="0.3">
      <c r="A2108" s="6"/>
    </row>
    <row r="2109" spans="1:1" x14ac:dyDescent="0.3">
      <c r="A2109" s="6"/>
    </row>
    <row r="2110" spans="1:1" x14ac:dyDescent="0.3">
      <c r="A2110" s="6"/>
    </row>
    <row r="2111" spans="1:1" x14ac:dyDescent="0.3">
      <c r="A2111" s="6"/>
    </row>
    <row r="2112" spans="1:1" x14ac:dyDescent="0.3">
      <c r="A2112" s="6"/>
    </row>
    <row r="2113" spans="1:1" x14ac:dyDescent="0.3">
      <c r="A2113" s="6"/>
    </row>
    <row r="2114" spans="1:1" x14ac:dyDescent="0.3">
      <c r="A2114" s="6"/>
    </row>
    <row r="2115" spans="1:1" x14ac:dyDescent="0.3">
      <c r="A2115" s="6"/>
    </row>
    <row r="2116" spans="1:1" x14ac:dyDescent="0.3">
      <c r="A2116" s="6"/>
    </row>
    <row r="2117" spans="1:1" x14ac:dyDescent="0.3">
      <c r="A2117" s="6"/>
    </row>
    <row r="2118" spans="1:1" x14ac:dyDescent="0.3">
      <c r="A2118" s="6"/>
    </row>
    <row r="2119" spans="1:1" x14ac:dyDescent="0.3">
      <c r="A2119" s="6"/>
    </row>
    <row r="2120" spans="1:1" x14ac:dyDescent="0.3">
      <c r="A2120" s="6"/>
    </row>
    <row r="2121" spans="1:1" x14ac:dyDescent="0.3">
      <c r="A2121" s="6"/>
    </row>
    <row r="2122" spans="1:1" x14ac:dyDescent="0.3">
      <c r="A2122" s="6"/>
    </row>
    <row r="2123" spans="1:1" x14ac:dyDescent="0.3">
      <c r="A2123" s="6"/>
    </row>
    <row r="2124" spans="1:1" x14ac:dyDescent="0.3">
      <c r="A2124" s="6"/>
    </row>
    <row r="2125" spans="1:1" x14ac:dyDescent="0.3">
      <c r="A2125" s="6"/>
    </row>
    <row r="2126" spans="1:1" x14ac:dyDescent="0.3">
      <c r="A2126" s="6"/>
    </row>
    <row r="2127" spans="1:1" x14ac:dyDescent="0.3">
      <c r="A2127" s="6"/>
    </row>
    <row r="2128" spans="1:1" x14ac:dyDescent="0.3">
      <c r="A2128" s="6"/>
    </row>
    <row r="2129" spans="1:1" x14ac:dyDescent="0.3">
      <c r="A2129" s="6"/>
    </row>
    <row r="2130" spans="1:1" x14ac:dyDescent="0.3">
      <c r="A2130" s="6"/>
    </row>
    <row r="2131" spans="1:1" x14ac:dyDescent="0.3">
      <c r="A2131" s="6"/>
    </row>
    <row r="2132" spans="1:1" x14ac:dyDescent="0.3">
      <c r="A2132" s="6"/>
    </row>
    <row r="2133" spans="1:1" x14ac:dyDescent="0.3">
      <c r="A2133" s="6"/>
    </row>
    <row r="2134" spans="1:1" x14ac:dyDescent="0.3">
      <c r="A2134" s="6"/>
    </row>
    <row r="2135" spans="1:1" x14ac:dyDescent="0.3">
      <c r="A2135" s="6"/>
    </row>
    <row r="2136" spans="1:1" x14ac:dyDescent="0.3">
      <c r="A2136" s="6"/>
    </row>
    <row r="2137" spans="1:1" x14ac:dyDescent="0.3">
      <c r="A2137" s="6"/>
    </row>
    <row r="2138" spans="1:1" x14ac:dyDescent="0.3">
      <c r="A2138" s="6"/>
    </row>
    <row r="2139" spans="1:1" x14ac:dyDescent="0.3">
      <c r="A2139" s="6"/>
    </row>
    <row r="2140" spans="1:1" x14ac:dyDescent="0.3">
      <c r="A2140" s="6"/>
    </row>
    <row r="2141" spans="1:1" x14ac:dyDescent="0.3">
      <c r="A2141" s="6"/>
    </row>
    <row r="2142" spans="1:1" x14ac:dyDescent="0.3">
      <c r="A2142" s="6"/>
    </row>
    <row r="2143" spans="1:1" x14ac:dyDescent="0.3">
      <c r="A2143" s="6"/>
    </row>
    <row r="2144" spans="1:1" x14ac:dyDescent="0.3">
      <c r="A2144" s="6"/>
    </row>
    <row r="2145" spans="1:1" x14ac:dyDescent="0.3">
      <c r="A2145" s="6"/>
    </row>
    <row r="2146" spans="1:1" x14ac:dyDescent="0.3">
      <c r="A2146" s="6"/>
    </row>
    <row r="2147" spans="1:1" x14ac:dyDescent="0.3">
      <c r="A2147" s="6"/>
    </row>
    <row r="2148" spans="1:1" x14ac:dyDescent="0.3">
      <c r="A2148" s="6"/>
    </row>
    <row r="2149" spans="1:1" x14ac:dyDescent="0.3">
      <c r="A2149" s="6"/>
    </row>
    <row r="2150" spans="1:1" x14ac:dyDescent="0.3">
      <c r="A2150" s="6"/>
    </row>
    <row r="2151" spans="1:1" x14ac:dyDescent="0.3">
      <c r="A2151" s="6"/>
    </row>
    <row r="2152" spans="1:1" x14ac:dyDescent="0.3">
      <c r="A2152" s="6"/>
    </row>
    <row r="2153" spans="1:1" x14ac:dyDescent="0.3">
      <c r="A2153" s="6"/>
    </row>
    <row r="2154" spans="1:1" x14ac:dyDescent="0.3">
      <c r="A2154" s="6"/>
    </row>
    <row r="2155" spans="1:1" x14ac:dyDescent="0.3">
      <c r="A2155" s="6"/>
    </row>
    <row r="2156" spans="1:1" x14ac:dyDescent="0.3">
      <c r="A2156" s="6"/>
    </row>
    <row r="2157" spans="1:1" x14ac:dyDescent="0.3">
      <c r="A2157" s="6"/>
    </row>
    <row r="2158" spans="1:1" x14ac:dyDescent="0.3">
      <c r="A2158" s="6"/>
    </row>
    <row r="2159" spans="1:1" x14ac:dyDescent="0.3">
      <c r="A2159" s="6"/>
    </row>
    <row r="2160" spans="1:1" x14ac:dyDescent="0.3">
      <c r="A2160" s="6"/>
    </row>
    <row r="2161" spans="1:1" x14ac:dyDescent="0.3">
      <c r="A2161" s="6"/>
    </row>
    <row r="2162" spans="1:1" x14ac:dyDescent="0.3">
      <c r="A2162" s="6"/>
    </row>
    <row r="2163" spans="1:1" x14ac:dyDescent="0.3">
      <c r="A2163" s="6"/>
    </row>
    <row r="2164" spans="1:1" x14ac:dyDescent="0.3">
      <c r="A2164" s="6"/>
    </row>
    <row r="2165" spans="1:1" x14ac:dyDescent="0.3">
      <c r="A2165" s="6"/>
    </row>
    <row r="2166" spans="1:1" x14ac:dyDescent="0.3">
      <c r="A2166" s="6"/>
    </row>
    <row r="2167" spans="1:1" x14ac:dyDescent="0.3">
      <c r="A2167" s="6"/>
    </row>
    <row r="2168" spans="1:1" x14ac:dyDescent="0.3">
      <c r="A2168" s="6"/>
    </row>
    <row r="2169" spans="1:1" x14ac:dyDescent="0.3">
      <c r="A2169" s="6"/>
    </row>
    <row r="2170" spans="1:1" x14ac:dyDescent="0.3">
      <c r="A2170" s="6"/>
    </row>
    <row r="2171" spans="1:1" x14ac:dyDescent="0.3">
      <c r="A2171" s="6"/>
    </row>
    <row r="2172" spans="1:1" x14ac:dyDescent="0.3">
      <c r="A2172" s="6"/>
    </row>
    <row r="2173" spans="1:1" x14ac:dyDescent="0.3">
      <c r="A2173" s="6"/>
    </row>
    <row r="2174" spans="1:1" x14ac:dyDescent="0.3">
      <c r="A2174" s="6"/>
    </row>
    <row r="2175" spans="1:1" x14ac:dyDescent="0.3">
      <c r="A2175" s="6"/>
    </row>
    <row r="2176" spans="1:1" x14ac:dyDescent="0.3">
      <c r="A2176" s="6"/>
    </row>
    <row r="2177" spans="1:1" x14ac:dyDescent="0.3">
      <c r="A2177" s="6"/>
    </row>
    <row r="2178" spans="1:1" x14ac:dyDescent="0.3">
      <c r="A2178" s="6"/>
    </row>
    <row r="2179" spans="1:1" x14ac:dyDescent="0.3">
      <c r="A2179" s="6"/>
    </row>
    <row r="2180" spans="1:1" x14ac:dyDescent="0.3">
      <c r="A2180" s="6"/>
    </row>
    <row r="2181" spans="1:1" x14ac:dyDescent="0.3">
      <c r="A2181" s="6"/>
    </row>
    <row r="2182" spans="1:1" x14ac:dyDescent="0.3">
      <c r="A2182" s="6"/>
    </row>
    <row r="2183" spans="1:1" x14ac:dyDescent="0.3">
      <c r="A2183" s="6"/>
    </row>
    <row r="2184" spans="1:1" x14ac:dyDescent="0.3">
      <c r="A2184" s="6"/>
    </row>
    <row r="2185" spans="1:1" x14ac:dyDescent="0.3">
      <c r="A2185" s="6"/>
    </row>
    <row r="2186" spans="1:1" x14ac:dyDescent="0.3">
      <c r="A2186" s="6"/>
    </row>
    <row r="2187" spans="1:1" x14ac:dyDescent="0.3">
      <c r="A2187" s="6"/>
    </row>
    <row r="2188" spans="1:1" x14ac:dyDescent="0.3">
      <c r="A2188" s="6"/>
    </row>
    <row r="2189" spans="1:1" x14ac:dyDescent="0.3">
      <c r="A2189" s="6"/>
    </row>
    <row r="2190" spans="1:1" x14ac:dyDescent="0.3">
      <c r="A2190" s="6"/>
    </row>
    <row r="2191" spans="1:1" x14ac:dyDescent="0.3">
      <c r="A2191" s="6"/>
    </row>
    <row r="2192" spans="1:1" x14ac:dyDescent="0.3">
      <c r="A2192" s="6"/>
    </row>
    <row r="2193" spans="1:1" x14ac:dyDescent="0.3">
      <c r="A2193" s="6"/>
    </row>
    <row r="2194" spans="1:1" x14ac:dyDescent="0.3">
      <c r="A2194" s="6"/>
    </row>
    <row r="2195" spans="1:1" x14ac:dyDescent="0.3">
      <c r="A2195" s="6"/>
    </row>
    <row r="2196" spans="1:1" x14ac:dyDescent="0.3">
      <c r="A2196" s="6"/>
    </row>
    <row r="2197" spans="1:1" x14ac:dyDescent="0.3">
      <c r="A2197" s="6"/>
    </row>
    <row r="2198" spans="1:1" x14ac:dyDescent="0.3">
      <c r="A2198" s="6"/>
    </row>
    <row r="2199" spans="1:1" x14ac:dyDescent="0.3">
      <c r="A2199" s="6"/>
    </row>
    <row r="2200" spans="1:1" x14ac:dyDescent="0.3">
      <c r="A2200" s="6"/>
    </row>
    <row r="2201" spans="1:1" x14ac:dyDescent="0.3">
      <c r="A2201" s="6"/>
    </row>
    <row r="2202" spans="1:1" x14ac:dyDescent="0.3">
      <c r="A2202" s="6"/>
    </row>
    <row r="2203" spans="1:1" x14ac:dyDescent="0.3">
      <c r="A2203" s="6"/>
    </row>
    <row r="2204" spans="1:1" x14ac:dyDescent="0.3">
      <c r="A2204" s="6"/>
    </row>
    <row r="2205" spans="1:1" x14ac:dyDescent="0.3">
      <c r="A2205" s="6"/>
    </row>
    <row r="2206" spans="1:1" x14ac:dyDescent="0.3">
      <c r="A2206" s="6"/>
    </row>
    <row r="2207" spans="1:1" x14ac:dyDescent="0.3">
      <c r="A2207" s="6"/>
    </row>
    <row r="2208" spans="1:1" x14ac:dyDescent="0.3">
      <c r="A2208" s="6"/>
    </row>
    <row r="2209" spans="1:1" x14ac:dyDescent="0.3">
      <c r="A2209" s="6"/>
    </row>
    <row r="2210" spans="1:1" x14ac:dyDescent="0.3">
      <c r="A2210" s="6"/>
    </row>
    <row r="2211" spans="1:1" x14ac:dyDescent="0.3">
      <c r="A2211" s="6"/>
    </row>
    <row r="2212" spans="1:1" x14ac:dyDescent="0.3">
      <c r="A2212" s="6"/>
    </row>
    <row r="2213" spans="1:1" x14ac:dyDescent="0.3">
      <c r="A2213" s="6"/>
    </row>
    <row r="2214" spans="1:1" x14ac:dyDescent="0.3">
      <c r="A2214" s="6"/>
    </row>
    <row r="2215" spans="1:1" x14ac:dyDescent="0.3">
      <c r="A2215" s="6"/>
    </row>
    <row r="2216" spans="1:1" x14ac:dyDescent="0.3">
      <c r="A2216" s="6"/>
    </row>
    <row r="2217" spans="1:1" x14ac:dyDescent="0.3">
      <c r="A2217" s="6"/>
    </row>
    <row r="2218" spans="1:1" x14ac:dyDescent="0.3">
      <c r="A2218" s="6"/>
    </row>
    <row r="2219" spans="1:1" x14ac:dyDescent="0.3">
      <c r="A2219" s="6"/>
    </row>
    <row r="2220" spans="1:1" x14ac:dyDescent="0.3">
      <c r="A2220" s="6"/>
    </row>
    <row r="2221" spans="1:1" x14ac:dyDescent="0.3">
      <c r="A2221" s="6"/>
    </row>
    <row r="2222" spans="1:1" x14ac:dyDescent="0.3">
      <c r="A2222" s="6"/>
    </row>
    <row r="2223" spans="1:1" x14ac:dyDescent="0.3">
      <c r="A2223" s="6"/>
    </row>
    <row r="2224" spans="1:1" x14ac:dyDescent="0.3">
      <c r="A2224" s="6"/>
    </row>
    <row r="2225" spans="1:1" x14ac:dyDescent="0.3">
      <c r="A2225" s="6"/>
    </row>
    <row r="2226" spans="1:1" x14ac:dyDescent="0.3">
      <c r="A2226" s="6"/>
    </row>
    <row r="2227" spans="1:1" x14ac:dyDescent="0.3">
      <c r="A2227" s="6"/>
    </row>
    <row r="2228" spans="1:1" x14ac:dyDescent="0.3">
      <c r="A2228" s="6"/>
    </row>
    <row r="2229" spans="1:1" x14ac:dyDescent="0.3">
      <c r="A2229" s="6"/>
    </row>
    <row r="2230" spans="1:1" x14ac:dyDescent="0.3">
      <c r="A2230" s="6"/>
    </row>
    <row r="2231" spans="1:1" x14ac:dyDescent="0.3">
      <c r="A2231" s="6"/>
    </row>
    <row r="2232" spans="1:1" x14ac:dyDescent="0.3">
      <c r="A2232" s="6"/>
    </row>
    <row r="2233" spans="1:1" x14ac:dyDescent="0.3">
      <c r="A2233" s="6"/>
    </row>
    <row r="2234" spans="1:1" x14ac:dyDescent="0.3">
      <c r="A2234" s="6"/>
    </row>
    <row r="2235" spans="1:1" x14ac:dyDescent="0.3">
      <c r="A2235" s="6"/>
    </row>
    <row r="2236" spans="1:1" x14ac:dyDescent="0.3">
      <c r="A2236" s="6"/>
    </row>
    <row r="2237" spans="1:1" x14ac:dyDescent="0.3">
      <c r="A2237" s="6"/>
    </row>
    <row r="2238" spans="1:1" x14ac:dyDescent="0.3">
      <c r="A2238" s="6"/>
    </row>
    <row r="2239" spans="1:1" x14ac:dyDescent="0.3">
      <c r="A2239" s="6"/>
    </row>
    <row r="2240" spans="1:1" x14ac:dyDescent="0.3">
      <c r="A2240" s="6"/>
    </row>
    <row r="2241" spans="1:1" x14ac:dyDescent="0.3">
      <c r="A2241" s="6"/>
    </row>
    <row r="2242" spans="1:1" x14ac:dyDescent="0.3">
      <c r="A2242" s="6"/>
    </row>
    <row r="2243" spans="1:1" x14ac:dyDescent="0.3">
      <c r="A2243" s="6"/>
    </row>
    <row r="2244" spans="1:1" x14ac:dyDescent="0.3">
      <c r="A2244" s="6"/>
    </row>
    <row r="2245" spans="1:1" x14ac:dyDescent="0.3">
      <c r="A2245" s="6"/>
    </row>
    <row r="2246" spans="1:1" x14ac:dyDescent="0.3">
      <c r="A2246" s="6"/>
    </row>
    <row r="2247" spans="1:1" x14ac:dyDescent="0.3">
      <c r="A2247" s="6"/>
    </row>
    <row r="2248" spans="1:1" x14ac:dyDescent="0.3">
      <c r="A2248" s="6"/>
    </row>
    <row r="2249" spans="1:1" x14ac:dyDescent="0.3">
      <c r="A2249" s="6"/>
    </row>
    <row r="2250" spans="1:1" x14ac:dyDescent="0.3">
      <c r="A2250" s="6"/>
    </row>
    <row r="2251" spans="1:1" x14ac:dyDescent="0.3">
      <c r="A2251" s="6"/>
    </row>
    <row r="2252" spans="1:1" x14ac:dyDescent="0.3">
      <c r="A2252" s="6"/>
    </row>
    <row r="2253" spans="1:1" x14ac:dyDescent="0.3">
      <c r="A2253" s="6"/>
    </row>
    <row r="2254" spans="1:1" x14ac:dyDescent="0.3">
      <c r="A2254" s="6"/>
    </row>
    <row r="2255" spans="1:1" x14ac:dyDescent="0.3">
      <c r="A2255" s="6"/>
    </row>
    <row r="2256" spans="1:1" x14ac:dyDescent="0.3">
      <c r="A2256" s="6"/>
    </row>
    <row r="2257" spans="1:1" x14ac:dyDescent="0.3">
      <c r="A2257" s="6"/>
    </row>
    <row r="2258" spans="1:1" x14ac:dyDescent="0.3">
      <c r="A2258" s="6"/>
    </row>
    <row r="2259" spans="1:1" x14ac:dyDescent="0.3">
      <c r="A2259" s="6"/>
    </row>
    <row r="2260" spans="1:1" x14ac:dyDescent="0.3">
      <c r="A2260" s="6"/>
    </row>
    <row r="2261" spans="1:1" x14ac:dyDescent="0.3">
      <c r="A2261" s="6"/>
    </row>
    <row r="2262" spans="1:1" x14ac:dyDescent="0.3">
      <c r="A2262" s="6"/>
    </row>
    <row r="2263" spans="1:1" x14ac:dyDescent="0.3">
      <c r="A2263" s="6"/>
    </row>
    <row r="2264" spans="1:1" x14ac:dyDescent="0.3">
      <c r="A2264" s="6"/>
    </row>
    <row r="2265" spans="1:1" x14ac:dyDescent="0.3">
      <c r="A2265" s="6"/>
    </row>
    <row r="2266" spans="1:1" x14ac:dyDescent="0.3">
      <c r="A2266" s="6"/>
    </row>
    <row r="2267" spans="1:1" x14ac:dyDescent="0.3">
      <c r="A2267" s="6"/>
    </row>
    <row r="2268" spans="1:1" x14ac:dyDescent="0.3">
      <c r="A2268" s="6"/>
    </row>
    <row r="2269" spans="1:1" x14ac:dyDescent="0.3">
      <c r="A2269" s="6"/>
    </row>
    <row r="2270" spans="1:1" x14ac:dyDescent="0.3">
      <c r="A2270" s="6"/>
    </row>
    <row r="2271" spans="1:1" x14ac:dyDescent="0.3">
      <c r="A2271" s="6"/>
    </row>
    <row r="2272" spans="1:1" x14ac:dyDescent="0.3">
      <c r="A2272" s="6"/>
    </row>
    <row r="2273" spans="1:1" x14ac:dyDescent="0.3">
      <c r="A2273" s="6"/>
    </row>
    <row r="2274" spans="1:1" x14ac:dyDescent="0.3">
      <c r="A2274" s="6"/>
    </row>
    <row r="2275" spans="1:1" x14ac:dyDescent="0.3">
      <c r="A2275" s="6"/>
    </row>
    <row r="2276" spans="1:1" x14ac:dyDescent="0.3">
      <c r="A2276" s="6"/>
    </row>
    <row r="2277" spans="1:1" x14ac:dyDescent="0.3">
      <c r="A2277" s="6"/>
    </row>
    <row r="2278" spans="1:1" x14ac:dyDescent="0.3">
      <c r="A2278" s="6"/>
    </row>
    <row r="2279" spans="1:1" x14ac:dyDescent="0.3">
      <c r="A2279" s="6"/>
    </row>
    <row r="2280" spans="1:1" x14ac:dyDescent="0.3">
      <c r="A2280" s="6"/>
    </row>
    <row r="2281" spans="1:1" x14ac:dyDescent="0.3">
      <c r="A2281" s="6"/>
    </row>
    <row r="2282" spans="1:1" x14ac:dyDescent="0.3">
      <c r="A2282" s="6"/>
    </row>
    <row r="2283" spans="1:1" x14ac:dyDescent="0.3">
      <c r="A2283" s="6"/>
    </row>
    <row r="2284" spans="1:1" x14ac:dyDescent="0.3">
      <c r="A2284" s="6"/>
    </row>
    <row r="2285" spans="1:1" x14ac:dyDescent="0.3">
      <c r="A2285" s="6"/>
    </row>
    <row r="2286" spans="1:1" x14ac:dyDescent="0.3">
      <c r="A2286" s="6"/>
    </row>
    <row r="2287" spans="1:1" x14ac:dyDescent="0.3">
      <c r="A2287" s="6"/>
    </row>
    <row r="2288" spans="1:1" x14ac:dyDescent="0.3">
      <c r="A2288" s="6"/>
    </row>
    <row r="2289" spans="1:1" x14ac:dyDescent="0.3">
      <c r="A2289" s="6"/>
    </row>
    <row r="2290" spans="1:1" x14ac:dyDescent="0.3">
      <c r="A2290" s="6"/>
    </row>
    <row r="2291" spans="1:1" x14ac:dyDescent="0.3">
      <c r="A2291" s="6"/>
    </row>
    <row r="2292" spans="1:1" x14ac:dyDescent="0.3">
      <c r="A2292" s="6"/>
    </row>
    <row r="2293" spans="1:1" x14ac:dyDescent="0.3">
      <c r="A2293" s="6"/>
    </row>
    <row r="2294" spans="1:1" x14ac:dyDescent="0.3">
      <c r="A2294" s="6"/>
    </row>
    <row r="2295" spans="1:1" x14ac:dyDescent="0.3">
      <c r="A2295" s="6"/>
    </row>
    <row r="2296" spans="1:1" x14ac:dyDescent="0.3">
      <c r="A2296" s="6"/>
    </row>
    <row r="2297" spans="1:1" x14ac:dyDescent="0.3">
      <c r="A2297" s="6"/>
    </row>
    <row r="2298" spans="1:1" x14ac:dyDescent="0.3">
      <c r="A2298" s="6"/>
    </row>
    <row r="2299" spans="1:1" x14ac:dyDescent="0.3">
      <c r="A2299" s="6"/>
    </row>
    <row r="2300" spans="1:1" x14ac:dyDescent="0.3">
      <c r="A2300" s="6"/>
    </row>
    <row r="2301" spans="1:1" x14ac:dyDescent="0.3">
      <c r="A2301" s="6"/>
    </row>
    <row r="2302" spans="1:1" x14ac:dyDescent="0.3">
      <c r="A2302" s="6"/>
    </row>
    <row r="2303" spans="1:1" x14ac:dyDescent="0.3">
      <c r="A2303" s="6"/>
    </row>
    <row r="2304" spans="1:1" x14ac:dyDescent="0.3">
      <c r="A2304" s="6"/>
    </row>
    <row r="2305" spans="1:1" x14ac:dyDescent="0.3">
      <c r="A2305" s="6"/>
    </row>
    <row r="2306" spans="1:1" x14ac:dyDescent="0.3">
      <c r="A2306" s="6"/>
    </row>
    <row r="2307" spans="1:1" x14ac:dyDescent="0.3">
      <c r="A2307" s="6"/>
    </row>
    <row r="2308" spans="1:1" x14ac:dyDescent="0.3">
      <c r="A2308" s="6"/>
    </row>
    <row r="2309" spans="1:1" x14ac:dyDescent="0.3">
      <c r="A2309" s="6"/>
    </row>
    <row r="2310" spans="1:1" x14ac:dyDescent="0.3">
      <c r="A2310" s="6"/>
    </row>
    <row r="2311" spans="1:1" x14ac:dyDescent="0.3">
      <c r="A2311" s="6"/>
    </row>
    <row r="2312" spans="1:1" x14ac:dyDescent="0.3">
      <c r="A2312" s="6"/>
    </row>
    <row r="2313" spans="1:1" x14ac:dyDescent="0.3">
      <c r="A2313" s="6"/>
    </row>
    <row r="2314" spans="1:1" x14ac:dyDescent="0.3">
      <c r="A2314" s="6"/>
    </row>
    <row r="2315" spans="1:1" x14ac:dyDescent="0.3">
      <c r="A2315" s="6"/>
    </row>
    <row r="2316" spans="1:1" x14ac:dyDescent="0.3">
      <c r="A2316" s="6"/>
    </row>
    <row r="2317" spans="1:1" x14ac:dyDescent="0.3">
      <c r="A2317" s="6"/>
    </row>
    <row r="2318" spans="1:1" x14ac:dyDescent="0.3">
      <c r="A2318" s="6"/>
    </row>
    <row r="2319" spans="1:1" x14ac:dyDescent="0.3">
      <c r="A2319" s="6"/>
    </row>
    <row r="2320" spans="1:1" x14ac:dyDescent="0.3">
      <c r="A2320" s="6"/>
    </row>
    <row r="2321" spans="1:1" x14ac:dyDescent="0.3">
      <c r="A2321" s="6"/>
    </row>
    <row r="2322" spans="1:1" x14ac:dyDescent="0.3">
      <c r="A2322" s="6"/>
    </row>
    <row r="2323" spans="1:1" x14ac:dyDescent="0.3">
      <c r="A2323" s="6"/>
    </row>
    <row r="2324" spans="1:1" x14ac:dyDescent="0.3">
      <c r="A2324" s="6"/>
    </row>
    <row r="2325" spans="1:1" x14ac:dyDescent="0.3">
      <c r="A2325" s="6"/>
    </row>
    <row r="2326" spans="1:1" x14ac:dyDescent="0.3">
      <c r="A2326" s="6"/>
    </row>
    <row r="2327" spans="1:1" x14ac:dyDescent="0.3">
      <c r="A2327" s="6"/>
    </row>
    <row r="2328" spans="1:1" x14ac:dyDescent="0.3">
      <c r="A2328" s="6"/>
    </row>
    <row r="2329" spans="1:1" x14ac:dyDescent="0.3">
      <c r="A2329" s="6"/>
    </row>
    <row r="2330" spans="1:1" x14ac:dyDescent="0.3">
      <c r="A2330" s="6"/>
    </row>
    <row r="2331" spans="1:1" x14ac:dyDescent="0.3">
      <c r="A2331" s="6"/>
    </row>
    <row r="2332" spans="1:1" x14ac:dyDescent="0.3">
      <c r="A2332" s="6"/>
    </row>
    <row r="2333" spans="1:1" x14ac:dyDescent="0.3">
      <c r="A2333" s="6"/>
    </row>
    <row r="2334" spans="1:1" x14ac:dyDescent="0.3">
      <c r="A2334" s="6"/>
    </row>
    <row r="2335" spans="1:1" x14ac:dyDescent="0.3">
      <c r="A2335" s="6"/>
    </row>
    <row r="2336" spans="1:1" x14ac:dyDescent="0.3">
      <c r="A2336" s="6"/>
    </row>
    <row r="2337" spans="1:1" x14ac:dyDescent="0.3">
      <c r="A2337" s="6"/>
    </row>
    <row r="2338" spans="1:1" x14ac:dyDescent="0.3">
      <c r="A2338" s="6"/>
    </row>
    <row r="2339" spans="1:1" x14ac:dyDescent="0.3">
      <c r="A2339" s="6"/>
    </row>
    <row r="2340" spans="1:1" x14ac:dyDescent="0.3">
      <c r="A2340" s="6"/>
    </row>
    <row r="2341" spans="1:1" x14ac:dyDescent="0.3">
      <c r="A2341" s="6"/>
    </row>
    <row r="2342" spans="1:1" x14ac:dyDescent="0.3">
      <c r="A2342" s="6"/>
    </row>
    <row r="2343" spans="1:1" x14ac:dyDescent="0.3">
      <c r="A2343" s="6"/>
    </row>
    <row r="2344" spans="1:1" x14ac:dyDescent="0.3">
      <c r="A2344" s="6"/>
    </row>
    <row r="2345" spans="1:1" x14ac:dyDescent="0.3">
      <c r="A2345" s="6"/>
    </row>
    <row r="2346" spans="1:1" x14ac:dyDescent="0.3">
      <c r="A2346" s="6"/>
    </row>
    <row r="2347" spans="1:1" x14ac:dyDescent="0.3">
      <c r="A2347" s="6"/>
    </row>
    <row r="2348" spans="1:1" x14ac:dyDescent="0.3">
      <c r="A2348" s="6"/>
    </row>
    <row r="2349" spans="1:1" x14ac:dyDescent="0.3">
      <c r="A2349" s="6"/>
    </row>
    <row r="2350" spans="1:1" x14ac:dyDescent="0.3">
      <c r="A2350" s="6"/>
    </row>
    <row r="2351" spans="1:1" x14ac:dyDescent="0.3">
      <c r="A2351" s="6"/>
    </row>
    <row r="2352" spans="1:1" x14ac:dyDescent="0.3">
      <c r="A2352" s="6"/>
    </row>
    <row r="2353" spans="1:1" x14ac:dyDescent="0.3">
      <c r="A2353" s="6"/>
    </row>
    <row r="2354" spans="1:1" x14ac:dyDescent="0.3">
      <c r="A2354" s="6"/>
    </row>
    <row r="2355" spans="1:1" x14ac:dyDescent="0.3">
      <c r="A2355" s="6"/>
    </row>
    <row r="2356" spans="1:1" x14ac:dyDescent="0.3">
      <c r="A2356" s="6"/>
    </row>
    <row r="2357" spans="1:1" x14ac:dyDescent="0.3">
      <c r="A2357" s="6"/>
    </row>
    <row r="2358" spans="1:1" x14ac:dyDescent="0.3">
      <c r="A2358" s="6"/>
    </row>
    <row r="2359" spans="1:1" x14ac:dyDescent="0.3">
      <c r="A2359" s="6"/>
    </row>
    <row r="2360" spans="1:1" x14ac:dyDescent="0.3">
      <c r="A2360" s="6"/>
    </row>
    <row r="2361" spans="1:1" x14ac:dyDescent="0.3">
      <c r="A2361" s="6"/>
    </row>
    <row r="2362" spans="1:1" x14ac:dyDescent="0.3">
      <c r="A2362" s="6"/>
    </row>
    <row r="2363" spans="1:1" x14ac:dyDescent="0.3">
      <c r="A2363" s="6"/>
    </row>
    <row r="2364" spans="1:1" x14ac:dyDescent="0.3">
      <c r="A2364" s="6"/>
    </row>
    <row r="2365" spans="1:1" x14ac:dyDescent="0.3">
      <c r="A2365" s="6"/>
    </row>
    <row r="2366" spans="1:1" x14ac:dyDescent="0.3">
      <c r="A2366" s="6"/>
    </row>
    <row r="2367" spans="1:1" x14ac:dyDescent="0.3">
      <c r="A2367" s="6"/>
    </row>
    <row r="2368" spans="1:1" x14ac:dyDescent="0.3">
      <c r="A2368" s="6"/>
    </row>
    <row r="2369" spans="1:1" x14ac:dyDescent="0.3">
      <c r="A2369" s="6"/>
    </row>
    <row r="2370" spans="1:1" x14ac:dyDescent="0.3">
      <c r="A2370" s="6"/>
    </row>
    <row r="2371" spans="1:1" x14ac:dyDescent="0.3">
      <c r="A2371" s="6"/>
    </row>
    <row r="2372" spans="1:1" x14ac:dyDescent="0.3">
      <c r="A2372" s="6"/>
    </row>
    <row r="2373" spans="1:1" x14ac:dyDescent="0.3">
      <c r="A2373" s="6"/>
    </row>
    <row r="2374" spans="1:1" x14ac:dyDescent="0.3">
      <c r="A2374" s="6"/>
    </row>
    <row r="2375" spans="1:1" x14ac:dyDescent="0.3">
      <c r="A2375" s="6"/>
    </row>
    <row r="2376" spans="1:1" x14ac:dyDescent="0.3">
      <c r="A2376" s="6"/>
    </row>
    <row r="2377" spans="1:1" x14ac:dyDescent="0.3">
      <c r="A2377" s="6"/>
    </row>
    <row r="2378" spans="1:1" x14ac:dyDescent="0.3">
      <c r="A2378" s="6"/>
    </row>
    <row r="2379" spans="1:1" x14ac:dyDescent="0.3">
      <c r="A2379" s="6"/>
    </row>
    <row r="2380" spans="1:1" x14ac:dyDescent="0.3">
      <c r="A2380" s="6"/>
    </row>
    <row r="2381" spans="1:1" x14ac:dyDescent="0.3">
      <c r="A2381" s="6"/>
    </row>
    <row r="2382" spans="1:1" x14ac:dyDescent="0.3">
      <c r="A2382" s="6"/>
    </row>
    <row r="2383" spans="1:1" x14ac:dyDescent="0.3">
      <c r="A2383" s="6"/>
    </row>
    <row r="2384" spans="1:1" x14ac:dyDescent="0.3">
      <c r="A2384" s="6"/>
    </row>
    <row r="2385" spans="1:1" x14ac:dyDescent="0.3">
      <c r="A2385" s="6"/>
    </row>
    <row r="2386" spans="1:1" x14ac:dyDescent="0.3">
      <c r="A2386" s="6"/>
    </row>
    <row r="2387" spans="1:1" x14ac:dyDescent="0.3">
      <c r="A2387" s="6"/>
    </row>
    <row r="2388" spans="1:1" x14ac:dyDescent="0.3">
      <c r="A2388" s="6"/>
    </row>
    <row r="2389" spans="1:1" x14ac:dyDescent="0.3">
      <c r="A2389" s="6"/>
    </row>
    <row r="2390" spans="1:1" x14ac:dyDescent="0.3">
      <c r="A2390" s="6"/>
    </row>
    <row r="2391" spans="1:1" x14ac:dyDescent="0.3">
      <c r="A2391" s="6"/>
    </row>
    <row r="2392" spans="1:1" x14ac:dyDescent="0.3">
      <c r="A2392" s="6"/>
    </row>
    <row r="2393" spans="1:1" x14ac:dyDescent="0.3">
      <c r="A2393" s="6"/>
    </row>
    <row r="2394" spans="1:1" x14ac:dyDescent="0.3">
      <c r="A2394" s="6"/>
    </row>
    <row r="2395" spans="1:1" x14ac:dyDescent="0.3">
      <c r="A2395" s="6"/>
    </row>
    <row r="2396" spans="1:1" x14ac:dyDescent="0.3">
      <c r="A2396" s="6"/>
    </row>
    <row r="2397" spans="1:1" x14ac:dyDescent="0.3">
      <c r="A2397" s="6"/>
    </row>
    <row r="2398" spans="1:1" x14ac:dyDescent="0.3">
      <c r="A2398" s="6"/>
    </row>
    <row r="2399" spans="1:1" x14ac:dyDescent="0.3">
      <c r="A2399" s="6"/>
    </row>
    <row r="2400" spans="1:1" x14ac:dyDescent="0.3">
      <c r="A2400" s="6"/>
    </row>
    <row r="2401" spans="1:1" x14ac:dyDescent="0.3">
      <c r="A2401" s="6"/>
    </row>
    <row r="2402" spans="1:1" x14ac:dyDescent="0.3">
      <c r="A2402" s="6"/>
    </row>
    <row r="2403" spans="1:1" x14ac:dyDescent="0.3">
      <c r="A2403" s="6"/>
    </row>
    <row r="2404" spans="1:1" x14ac:dyDescent="0.3">
      <c r="A2404" s="6"/>
    </row>
    <row r="2405" spans="1:1" x14ac:dyDescent="0.3">
      <c r="A2405" s="6"/>
    </row>
    <row r="2406" spans="1:1" x14ac:dyDescent="0.3">
      <c r="A2406" s="6"/>
    </row>
    <row r="2407" spans="1:1" x14ac:dyDescent="0.3">
      <c r="A2407" s="6"/>
    </row>
    <row r="2408" spans="1:1" x14ac:dyDescent="0.3">
      <c r="A2408" s="6"/>
    </row>
    <row r="2409" spans="1:1" x14ac:dyDescent="0.3">
      <c r="A2409" s="6"/>
    </row>
    <row r="2410" spans="1:1" x14ac:dyDescent="0.3">
      <c r="A2410" s="6"/>
    </row>
    <row r="2411" spans="1:1" x14ac:dyDescent="0.3">
      <c r="A2411" s="6"/>
    </row>
    <row r="2412" spans="1:1" x14ac:dyDescent="0.3">
      <c r="A2412" s="6"/>
    </row>
    <row r="2413" spans="1:1" x14ac:dyDescent="0.3">
      <c r="A2413" s="6"/>
    </row>
    <row r="2414" spans="1:1" x14ac:dyDescent="0.3">
      <c r="A2414" s="6"/>
    </row>
    <row r="2415" spans="1:1" x14ac:dyDescent="0.3">
      <c r="A2415" s="6"/>
    </row>
    <row r="2416" spans="1:1" x14ac:dyDescent="0.3">
      <c r="A2416" s="6"/>
    </row>
    <row r="2417" spans="1:1" x14ac:dyDescent="0.3">
      <c r="A2417" s="6"/>
    </row>
    <row r="2418" spans="1:1" x14ac:dyDescent="0.3">
      <c r="A2418" s="6"/>
    </row>
    <row r="2419" spans="1:1" x14ac:dyDescent="0.3">
      <c r="A2419" s="6"/>
    </row>
    <row r="2420" spans="1:1" x14ac:dyDescent="0.3">
      <c r="A2420" s="6"/>
    </row>
    <row r="2421" spans="1:1" x14ac:dyDescent="0.3">
      <c r="A2421" s="6"/>
    </row>
    <row r="2422" spans="1:1" x14ac:dyDescent="0.3">
      <c r="A2422" s="6"/>
    </row>
    <row r="2423" spans="1:1" x14ac:dyDescent="0.3">
      <c r="A2423" s="6"/>
    </row>
    <row r="2424" spans="1:1" x14ac:dyDescent="0.3">
      <c r="A2424" s="6"/>
    </row>
    <row r="2425" spans="1:1" x14ac:dyDescent="0.3">
      <c r="A2425" s="6"/>
    </row>
    <row r="2426" spans="1:1" x14ac:dyDescent="0.3">
      <c r="A2426" s="6"/>
    </row>
    <row r="2427" spans="1:1" x14ac:dyDescent="0.3">
      <c r="A2427" s="6"/>
    </row>
    <row r="2428" spans="1:1" x14ac:dyDescent="0.3">
      <c r="A2428" s="6"/>
    </row>
    <row r="2429" spans="1:1" x14ac:dyDescent="0.3">
      <c r="A2429" s="6"/>
    </row>
    <row r="2430" spans="1:1" x14ac:dyDescent="0.3">
      <c r="A2430" s="6"/>
    </row>
    <row r="2431" spans="1:1" x14ac:dyDescent="0.3">
      <c r="A2431" s="6"/>
    </row>
    <row r="2432" spans="1:1" x14ac:dyDescent="0.3">
      <c r="A2432" s="6"/>
    </row>
    <row r="2433" spans="1:1" x14ac:dyDescent="0.3">
      <c r="A2433" s="6"/>
    </row>
    <row r="2434" spans="1:1" x14ac:dyDescent="0.3">
      <c r="A2434" s="6"/>
    </row>
    <row r="2435" spans="1:1" x14ac:dyDescent="0.3">
      <c r="A2435" s="6"/>
    </row>
    <row r="2436" spans="1:1" x14ac:dyDescent="0.3">
      <c r="A2436" s="6"/>
    </row>
    <row r="2437" spans="1:1" x14ac:dyDescent="0.3">
      <c r="A2437" s="6"/>
    </row>
    <row r="2438" spans="1:1" x14ac:dyDescent="0.3">
      <c r="A2438" s="6"/>
    </row>
    <row r="2439" spans="1:1" x14ac:dyDescent="0.3">
      <c r="A2439" s="6"/>
    </row>
    <row r="2440" spans="1:1" x14ac:dyDescent="0.3">
      <c r="A2440" s="6"/>
    </row>
    <row r="2441" spans="1:1" x14ac:dyDescent="0.3">
      <c r="A2441" s="6"/>
    </row>
    <row r="2442" spans="1:1" x14ac:dyDescent="0.3">
      <c r="A2442" s="6"/>
    </row>
    <row r="2443" spans="1:1" x14ac:dyDescent="0.3">
      <c r="A2443" s="6"/>
    </row>
    <row r="2444" spans="1:1" x14ac:dyDescent="0.3">
      <c r="A2444" s="6"/>
    </row>
    <row r="2445" spans="1:1" x14ac:dyDescent="0.3">
      <c r="A2445" s="6"/>
    </row>
    <row r="2446" spans="1:1" x14ac:dyDescent="0.3">
      <c r="A2446" s="6"/>
    </row>
    <row r="2447" spans="1:1" x14ac:dyDescent="0.3">
      <c r="A2447" s="6"/>
    </row>
    <row r="2448" spans="1:1" x14ac:dyDescent="0.3">
      <c r="A2448" s="6"/>
    </row>
    <row r="2449" spans="1:1" x14ac:dyDescent="0.3">
      <c r="A2449" s="6"/>
    </row>
    <row r="2450" spans="1:1" x14ac:dyDescent="0.3">
      <c r="A2450" s="6"/>
    </row>
    <row r="2451" spans="1:1" x14ac:dyDescent="0.3">
      <c r="A2451" s="6"/>
    </row>
    <row r="2452" spans="1:1" x14ac:dyDescent="0.3">
      <c r="A2452" s="6"/>
    </row>
    <row r="2453" spans="1:1" x14ac:dyDescent="0.3">
      <c r="A2453" s="6"/>
    </row>
    <row r="2454" spans="1:1" x14ac:dyDescent="0.3">
      <c r="A2454" s="6"/>
    </row>
    <row r="2455" spans="1:1" x14ac:dyDescent="0.3">
      <c r="A2455" s="6"/>
    </row>
    <row r="2456" spans="1:1" x14ac:dyDescent="0.3">
      <c r="A2456" s="6"/>
    </row>
    <row r="2457" spans="1:1" x14ac:dyDescent="0.3">
      <c r="A2457" s="6"/>
    </row>
    <row r="2458" spans="1:1" x14ac:dyDescent="0.3">
      <c r="A2458" s="6"/>
    </row>
    <row r="2459" spans="1:1" x14ac:dyDescent="0.3">
      <c r="A2459" s="6"/>
    </row>
    <row r="2460" spans="1:1" x14ac:dyDescent="0.3">
      <c r="A2460" s="6"/>
    </row>
    <row r="2461" spans="1:1" x14ac:dyDescent="0.3">
      <c r="A2461" s="6"/>
    </row>
    <row r="2462" spans="1:1" x14ac:dyDescent="0.3">
      <c r="A2462" s="6"/>
    </row>
    <row r="2463" spans="1:1" x14ac:dyDescent="0.3">
      <c r="A2463" s="6"/>
    </row>
    <row r="2464" spans="1:1" x14ac:dyDescent="0.3">
      <c r="A2464" s="6"/>
    </row>
    <row r="2465" spans="1:1" x14ac:dyDescent="0.3">
      <c r="A2465" s="6"/>
    </row>
    <row r="2466" spans="1:1" x14ac:dyDescent="0.3">
      <c r="A2466" s="6"/>
    </row>
    <row r="2467" spans="1:1" x14ac:dyDescent="0.3">
      <c r="A2467" s="6"/>
    </row>
    <row r="2468" spans="1:1" x14ac:dyDescent="0.3">
      <c r="A2468" s="6"/>
    </row>
    <row r="2469" spans="1:1" x14ac:dyDescent="0.3">
      <c r="A2469" s="6"/>
    </row>
    <row r="2470" spans="1:1" x14ac:dyDescent="0.3">
      <c r="A2470" s="6"/>
    </row>
    <row r="2471" spans="1:1" x14ac:dyDescent="0.3">
      <c r="A2471" s="6"/>
    </row>
    <row r="2472" spans="1:1" x14ac:dyDescent="0.3">
      <c r="A2472" s="6"/>
    </row>
    <row r="2473" spans="1:1" x14ac:dyDescent="0.3">
      <c r="A2473" s="6"/>
    </row>
    <row r="2474" spans="1:1" x14ac:dyDescent="0.3">
      <c r="A2474" s="6"/>
    </row>
    <row r="2475" spans="1:1" x14ac:dyDescent="0.3">
      <c r="A2475" s="6"/>
    </row>
    <row r="2476" spans="1:1" x14ac:dyDescent="0.3">
      <c r="A2476" s="6"/>
    </row>
    <row r="2477" spans="1:1" x14ac:dyDescent="0.3">
      <c r="A2477" s="6"/>
    </row>
    <row r="2478" spans="1:1" x14ac:dyDescent="0.3">
      <c r="A2478" s="6"/>
    </row>
    <row r="2479" spans="1:1" x14ac:dyDescent="0.3">
      <c r="A2479" s="6"/>
    </row>
    <row r="2480" spans="1:1" x14ac:dyDescent="0.3">
      <c r="A2480" s="6"/>
    </row>
    <row r="2481" spans="1:1" x14ac:dyDescent="0.3">
      <c r="A2481" s="6"/>
    </row>
    <row r="2482" spans="1:1" x14ac:dyDescent="0.3">
      <c r="A2482" s="6"/>
    </row>
    <row r="2483" spans="1:1" x14ac:dyDescent="0.3">
      <c r="A2483" s="6"/>
    </row>
    <row r="2484" spans="1:1" x14ac:dyDescent="0.3">
      <c r="A2484" s="6"/>
    </row>
    <row r="2485" spans="1:1" x14ac:dyDescent="0.3">
      <c r="A2485" s="6"/>
    </row>
    <row r="2486" spans="1:1" x14ac:dyDescent="0.3">
      <c r="A2486" s="6"/>
    </row>
    <row r="2487" spans="1:1" x14ac:dyDescent="0.3">
      <c r="A2487" s="6"/>
    </row>
    <row r="2488" spans="1:1" x14ac:dyDescent="0.3">
      <c r="A2488" s="6"/>
    </row>
    <row r="2489" spans="1:1" x14ac:dyDescent="0.3">
      <c r="A2489" s="6"/>
    </row>
    <row r="2490" spans="1:1" x14ac:dyDescent="0.3">
      <c r="A2490" s="6"/>
    </row>
    <row r="2491" spans="1:1" x14ac:dyDescent="0.3">
      <c r="A2491" s="6"/>
    </row>
    <row r="2492" spans="1:1" x14ac:dyDescent="0.3">
      <c r="A2492" s="6"/>
    </row>
    <row r="2493" spans="1:1" x14ac:dyDescent="0.3">
      <c r="A2493" s="6"/>
    </row>
    <row r="2494" spans="1:1" x14ac:dyDescent="0.3">
      <c r="A2494" s="6"/>
    </row>
    <row r="2495" spans="1:1" x14ac:dyDescent="0.3">
      <c r="A2495" s="6"/>
    </row>
    <row r="2496" spans="1:1" x14ac:dyDescent="0.3">
      <c r="A2496" s="6"/>
    </row>
    <row r="2497" spans="1:1" x14ac:dyDescent="0.3">
      <c r="A2497" s="6"/>
    </row>
    <row r="2498" spans="1:1" x14ac:dyDescent="0.3">
      <c r="A2498" s="6"/>
    </row>
    <row r="2499" spans="1:1" x14ac:dyDescent="0.3">
      <c r="A2499" s="6"/>
    </row>
    <row r="2500" spans="1:1" x14ac:dyDescent="0.3">
      <c r="A2500" s="6"/>
    </row>
    <row r="2501" spans="1:1" x14ac:dyDescent="0.3">
      <c r="A2501" s="6"/>
    </row>
    <row r="2502" spans="1:1" x14ac:dyDescent="0.3">
      <c r="A2502" s="6"/>
    </row>
    <row r="2503" spans="1:1" x14ac:dyDescent="0.3">
      <c r="A2503" s="6"/>
    </row>
    <row r="2504" spans="1:1" x14ac:dyDescent="0.3">
      <c r="A2504" s="6"/>
    </row>
    <row r="2505" spans="1:1" x14ac:dyDescent="0.3">
      <c r="A2505" s="6"/>
    </row>
    <row r="2506" spans="1:1" x14ac:dyDescent="0.3">
      <c r="A2506" s="6"/>
    </row>
    <row r="2507" spans="1:1" x14ac:dyDescent="0.3">
      <c r="A2507" s="6"/>
    </row>
    <row r="2508" spans="1:1" x14ac:dyDescent="0.3">
      <c r="A2508" s="6"/>
    </row>
    <row r="2509" spans="1:1" x14ac:dyDescent="0.3">
      <c r="A2509" s="6"/>
    </row>
    <row r="2510" spans="1:1" x14ac:dyDescent="0.3">
      <c r="A2510" s="6"/>
    </row>
    <row r="2511" spans="1:1" x14ac:dyDescent="0.3">
      <c r="A2511" s="6"/>
    </row>
    <row r="2512" spans="1:1" x14ac:dyDescent="0.3">
      <c r="A2512" s="6"/>
    </row>
    <row r="2513" spans="1:1" x14ac:dyDescent="0.3">
      <c r="A2513" s="6"/>
    </row>
    <row r="2514" spans="1:1" x14ac:dyDescent="0.3">
      <c r="A2514" s="6"/>
    </row>
    <row r="2515" spans="1:1" x14ac:dyDescent="0.3">
      <c r="A2515" s="6"/>
    </row>
    <row r="2516" spans="1:1" x14ac:dyDescent="0.3">
      <c r="A2516" s="6"/>
    </row>
    <row r="2517" spans="1:1" x14ac:dyDescent="0.3">
      <c r="A2517" s="6"/>
    </row>
    <row r="2518" spans="1:1" x14ac:dyDescent="0.3">
      <c r="A2518" s="6"/>
    </row>
    <row r="2519" spans="1:1" x14ac:dyDescent="0.3">
      <c r="A2519" s="6"/>
    </row>
    <row r="2520" spans="1:1" x14ac:dyDescent="0.3">
      <c r="A2520" s="6"/>
    </row>
    <row r="2521" spans="1:1" x14ac:dyDescent="0.3">
      <c r="A2521" s="6"/>
    </row>
    <row r="2522" spans="1:1" x14ac:dyDescent="0.3">
      <c r="A2522" s="6"/>
    </row>
    <row r="2523" spans="1:1" x14ac:dyDescent="0.3">
      <c r="A2523" s="6"/>
    </row>
    <row r="2524" spans="1:1" x14ac:dyDescent="0.3">
      <c r="A2524" s="6"/>
    </row>
    <row r="2525" spans="1:1" x14ac:dyDescent="0.3">
      <c r="A2525" s="6"/>
    </row>
    <row r="2526" spans="1:1" x14ac:dyDescent="0.3">
      <c r="A2526" s="6"/>
    </row>
    <row r="2527" spans="1:1" x14ac:dyDescent="0.3">
      <c r="A2527" s="6"/>
    </row>
    <row r="2528" spans="1:1" x14ac:dyDescent="0.3">
      <c r="A2528" s="6"/>
    </row>
    <row r="2529" spans="1:1" x14ac:dyDescent="0.3">
      <c r="A2529" s="6"/>
    </row>
    <row r="2530" spans="1:1" x14ac:dyDescent="0.3">
      <c r="A2530" s="6"/>
    </row>
    <row r="2531" spans="1:1" x14ac:dyDescent="0.3">
      <c r="A2531" s="6"/>
    </row>
    <row r="2532" spans="1:1" x14ac:dyDescent="0.3">
      <c r="A2532" s="6"/>
    </row>
    <row r="2533" spans="1:1" x14ac:dyDescent="0.3">
      <c r="A2533" s="6"/>
    </row>
    <row r="2534" spans="1:1" x14ac:dyDescent="0.3">
      <c r="A2534" s="6"/>
    </row>
    <row r="2535" spans="1:1" x14ac:dyDescent="0.3">
      <c r="A2535" s="6"/>
    </row>
    <row r="2536" spans="1:1" x14ac:dyDescent="0.3">
      <c r="A2536" s="6"/>
    </row>
    <row r="2537" spans="1:1" x14ac:dyDescent="0.3">
      <c r="A2537" s="6"/>
    </row>
    <row r="2538" spans="1:1" x14ac:dyDescent="0.3">
      <c r="A2538" s="6"/>
    </row>
    <row r="2539" spans="1:1" x14ac:dyDescent="0.3">
      <c r="A2539" s="6"/>
    </row>
    <row r="2540" spans="1:1" x14ac:dyDescent="0.3">
      <c r="A2540" s="6"/>
    </row>
    <row r="2541" spans="1:1" x14ac:dyDescent="0.3">
      <c r="A2541" s="6"/>
    </row>
    <row r="2542" spans="1:1" x14ac:dyDescent="0.3">
      <c r="A2542" s="6"/>
    </row>
    <row r="2543" spans="1:1" x14ac:dyDescent="0.3">
      <c r="A2543" s="6"/>
    </row>
    <row r="2544" spans="1:1" x14ac:dyDescent="0.3">
      <c r="A2544" s="6"/>
    </row>
    <row r="2545" spans="1:1" x14ac:dyDescent="0.3">
      <c r="A2545" s="6"/>
    </row>
    <row r="2546" spans="1:1" x14ac:dyDescent="0.3">
      <c r="A2546" s="6"/>
    </row>
    <row r="2547" spans="1:1" x14ac:dyDescent="0.3">
      <c r="A2547" s="6"/>
    </row>
    <row r="2548" spans="1:1" x14ac:dyDescent="0.3">
      <c r="A2548" s="6"/>
    </row>
    <row r="2549" spans="1:1" x14ac:dyDescent="0.3">
      <c r="A2549" s="6"/>
    </row>
    <row r="2550" spans="1:1" x14ac:dyDescent="0.3">
      <c r="A2550" s="6"/>
    </row>
    <row r="2551" spans="1:1" x14ac:dyDescent="0.3">
      <c r="A2551" s="6"/>
    </row>
    <row r="2552" spans="1:1" x14ac:dyDescent="0.3">
      <c r="A2552" s="6"/>
    </row>
    <row r="2553" spans="1:1" x14ac:dyDescent="0.3">
      <c r="A2553" s="6"/>
    </row>
    <row r="2554" spans="1:1" x14ac:dyDescent="0.3">
      <c r="A2554" s="6"/>
    </row>
    <row r="2555" spans="1:1" x14ac:dyDescent="0.3">
      <c r="A2555" s="6"/>
    </row>
    <row r="2556" spans="1:1" x14ac:dyDescent="0.3">
      <c r="A2556" s="6"/>
    </row>
    <row r="2557" spans="1:1" x14ac:dyDescent="0.3">
      <c r="A2557" s="6"/>
    </row>
    <row r="2558" spans="1:1" x14ac:dyDescent="0.3">
      <c r="A2558" s="6"/>
    </row>
    <row r="2559" spans="1:1" x14ac:dyDescent="0.3">
      <c r="A2559" s="6"/>
    </row>
    <row r="2560" spans="1:1" x14ac:dyDescent="0.3">
      <c r="A2560" s="6"/>
    </row>
    <row r="2561" spans="1:1" x14ac:dyDescent="0.3">
      <c r="A2561" s="6"/>
    </row>
    <row r="2562" spans="1:1" x14ac:dyDescent="0.3">
      <c r="A2562" s="6"/>
    </row>
    <row r="2563" spans="1:1" x14ac:dyDescent="0.3">
      <c r="A2563" s="6"/>
    </row>
    <row r="2564" spans="1:1" x14ac:dyDescent="0.3">
      <c r="A2564" s="6"/>
    </row>
    <row r="2565" spans="1:1" x14ac:dyDescent="0.3">
      <c r="A2565" s="6"/>
    </row>
    <row r="2566" spans="1:1" x14ac:dyDescent="0.3">
      <c r="A2566" s="6"/>
    </row>
    <row r="2567" spans="1:1" x14ac:dyDescent="0.3">
      <c r="A2567" s="6"/>
    </row>
    <row r="2568" spans="1:1" x14ac:dyDescent="0.3">
      <c r="A2568" s="6"/>
    </row>
    <row r="2569" spans="1:1" x14ac:dyDescent="0.3">
      <c r="A2569" s="6"/>
    </row>
    <row r="2570" spans="1:1" x14ac:dyDescent="0.3">
      <c r="A2570" s="6"/>
    </row>
    <row r="2571" spans="1:1" x14ac:dyDescent="0.3">
      <c r="A2571" s="6"/>
    </row>
    <row r="2572" spans="1:1" x14ac:dyDescent="0.3">
      <c r="A2572" s="6"/>
    </row>
    <row r="2573" spans="1:1" x14ac:dyDescent="0.3">
      <c r="A2573" s="6"/>
    </row>
    <row r="2574" spans="1:1" x14ac:dyDescent="0.3">
      <c r="A2574" s="6"/>
    </row>
    <row r="2575" spans="1:1" x14ac:dyDescent="0.3">
      <c r="A2575" s="6"/>
    </row>
    <row r="2576" spans="1:1" x14ac:dyDescent="0.3">
      <c r="A2576" s="6"/>
    </row>
    <row r="2577" spans="1:1" x14ac:dyDescent="0.3">
      <c r="A2577" s="6"/>
    </row>
    <row r="2578" spans="1:1" x14ac:dyDescent="0.3">
      <c r="A2578" s="6"/>
    </row>
    <row r="2579" spans="1:1" x14ac:dyDescent="0.3">
      <c r="A2579" s="6"/>
    </row>
    <row r="2580" spans="1:1" x14ac:dyDescent="0.3">
      <c r="A2580" s="6"/>
    </row>
    <row r="2581" spans="1:1" x14ac:dyDescent="0.3">
      <c r="A2581" s="6"/>
    </row>
    <row r="2582" spans="1:1" x14ac:dyDescent="0.3">
      <c r="A2582" s="6"/>
    </row>
    <row r="2583" spans="1:1" x14ac:dyDescent="0.3">
      <c r="A2583" s="6"/>
    </row>
    <row r="2584" spans="1:1" x14ac:dyDescent="0.3">
      <c r="A2584" s="6"/>
    </row>
    <row r="2585" spans="1:1" x14ac:dyDescent="0.3">
      <c r="A2585" s="6"/>
    </row>
    <row r="2586" spans="1:1" x14ac:dyDescent="0.3">
      <c r="A2586" s="6"/>
    </row>
    <row r="2587" spans="1:1" x14ac:dyDescent="0.3">
      <c r="A2587" s="6"/>
    </row>
    <row r="2588" spans="1:1" x14ac:dyDescent="0.3">
      <c r="A2588" s="6"/>
    </row>
    <row r="2589" spans="1:1" x14ac:dyDescent="0.3">
      <c r="A2589" s="6"/>
    </row>
    <row r="2590" spans="1:1" x14ac:dyDescent="0.3">
      <c r="A2590" s="6"/>
    </row>
    <row r="2591" spans="1:1" x14ac:dyDescent="0.3">
      <c r="A2591" s="6"/>
    </row>
    <row r="2592" spans="1:1" x14ac:dyDescent="0.3">
      <c r="A2592" s="6"/>
    </row>
    <row r="2593" spans="1:1" x14ac:dyDescent="0.3">
      <c r="A2593" s="6"/>
    </row>
    <row r="2594" spans="1:1" x14ac:dyDescent="0.3">
      <c r="A2594" s="6"/>
    </row>
    <row r="2595" spans="1:1" x14ac:dyDescent="0.3">
      <c r="A2595" s="6"/>
    </row>
    <row r="2596" spans="1:1" x14ac:dyDescent="0.3">
      <c r="A2596" s="6"/>
    </row>
    <row r="2597" spans="1:1" x14ac:dyDescent="0.3">
      <c r="A2597" s="6"/>
    </row>
    <row r="2598" spans="1:1" x14ac:dyDescent="0.3">
      <c r="A2598" s="6"/>
    </row>
    <row r="2599" spans="1:1" x14ac:dyDescent="0.3">
      <c r="A2599" s="6"/>
    </row>
    <row r="2600" spans="1:1" x14ac:dyDescent="0.3">
      <c r="A2600" s="6"/>
    </row>
    <row r="2601" spans="1:1" x14ac:dyDescent="0.3">
      <c r="A2601" s="6"/>
    </row>
    <row r="2602" spans="1:1" x14ac:dyDescent="0.3">
      <c r="A2602" s="6"/>
    </row>
    <row r="2603" spans="1:1" x14ac:dyDescent="0.3">
      <c r="A2603" s="6"/>
    </row>
    <row r="2604" spans="1:1" x14ac:dyDescent="0.3">
      <c r="A2604" s="6"/>
    </row>
    <row r="2605" spans="1:1" x14ac:dyDescent="0.3">
      <c r="A2605" s="6"/>
    </row>
    <row r="2606" spans="1:1" x14ac:dyDescent="0.3">
      <c r="A2606" s="6"/>
    </row>
    <row r="2607" spans="1:1" x14ac:dyDescent="0.3">
      <c r="A2607" s="6"/>
    </row>
    <row r="2608" spans="1:1" x14ac:dyDescent="0.3">
      <c r="A2608" s="6"/>
    </row>
    <row r="2609" spans="1:1" x14ac:dyDescent="0.3">
      <c r="A2609" s="6"/>
    </row>
    <row r="2610" spans="1:1" x14ac:dyDescent="0.3">
      <c r="A2610" s="6"/>
    </row>
    <row r="2611" spans="1:1" x14ac:dyDescent="0.3">
      <c r="A2611" s="6"/>
    </row>
    <row r="2612" spans="1:1" x14ac:dyDescent="0.3">
      <c r="A2612" s="6"/>
    </row>
    <row r="2613" spans="1:1" x14ac:dyDescent="0.3">
      <c r="A2613" s="6"/>
    </row>
    <row r="2614" spans="1:1" x14ac:dyDescent="0.3">
      <c r="A2614" s="6"/>
    </row>
    <row r="2615" spans="1:1" x14ac:dyDescent="0.3">
      <c r="A2615" s="6"/>
    </row>
    <row r="2616" spans="1:1" x14ac:dyDescent="0.3">
      <c r="A2616" s="6"/>
    </row>
    <row r="2617" spans="1:1" x14ac:dyDescent="0.3">
      <c r="A2617" s="6"/>
    </row>
    <row r="2618" spans="1:1" x14ac:dyDescent="0.3">
      <c r="A2618" s="6"/>
    </row>
    <row r="2619" spans="1:1" x14ac:dyDescent="0.3">
      <c r="A2619" s="6"/>
    </row>
    <row r="2620" spans="1:1" x14ac:dyDescent="0.3">
      <c r="A2620" s="6"/>
    </row>
    <row r="2621" spans="1:1" x14ac:dyDescent="0.3">
      <c r="A2621" s="6"/>
    </row>
    <row r="2622" spans="1:1" x14ac:dyDescent="0.3">
      <c r="A2622" s="6"/>
    </row>
    <row r="2623" spans="1:1" x14ac:dyDescent="0.3">
      <c r="A2623" s="6"/>
    </row>
    <row r="2624" spans="1:1" x14ac:dyDescent="0.3">
      <c r="A2624" s="6"/>
    </row>
    <row r="2625" spans="1:1" x14ac:dyDescent="0.3">
      <c r="A2625" s="6"/>
    </row>
    <row r="2626" spans="1:1" x14ac:dyDescent="0.3">
      <c r="A2626" s="6"/>
    </row>
    <row r="2627" spans="1:1" x14ac:dyDescent="0.3">
      <c r="A2627" s="6"/>
    </row>
    <row r="2628" spans="1:1" x14ac:dyDescent="0.3">
      <c r="A2628" s="6"/>
    </row>
    <row r="2629" spans="1:1" x14ac:dyDescent="0.3">
      <c r="A2629" s="6"/>
    </row>
    <row r="2630" spans="1:1" x14ac:dyDescent="0.3">
      <c r="A2630" s="6"/>
    </row>
    <row r="2631" spans="1:1" x14ac:dyDescent="0.3">
      <c r="A2631" s="6"/>
    </row>
    <row r="2632" spans="1:1" x14ac:dyDescent="0.3">
      <c r="A2632" s="6"/>
    </row>
    <row r="2633" spans="1:1" x14ac:dyDescent="0.3">
      <c r="A2633" s="6"/>
    </row>
    <row r="2634" spans="1:1" x14ac:dyDescent="0.3">
      <c r="A2634" s="6"/>
    </row>
    <row r="2635" spans="1:1" x14ac:dyDescent="0.3">
      <c r="A2635" s="6"/>
    </row>
    <row r="2636" spans="1:1" x14ac:dyDescent="0.3">
      <c r="A2636" s="6"/>
    </row>
    <row r="2637" spans="1:1" x14ac:dyDescent="0.3">
      <c r="A2637" s="6"/>
    </row>
    <row r="2638" spans="1:1" x14ac:dyDescent="0.3">
      <c r="A2638" s="6"/>
    </row>
    <row r="2639" spans="1:1" x14ac:dyDescent="0.3">
      <c r="A2639" s="6"/>
    </row>
    <row r="2640" spans="1:1" x14ac:dyDescent="0.3">
      <c r="A2640" s="6"/>
    </row>
    <row r="2641" spans="1:1" x14ac:dyDescent="0.3">
      <c r="A2641" s="6"/>
    </row>
    <row r="2642" spans="1:1" x14ac:dyDescent="0.3">
      <c r="A2642" s="6"/>
    </row>
    <row r="2643" spans="1:1" x14ac:dyDescent="0.3">
      <c r="A2643" s="6"/>
    </row>
    <row r="2644" spans="1:1" x14ac:dyDescent="0.3">
      <c r="A2644" s="6"/>
    </row>
    <row r="2645" spans="1:1" x14ac:dyDescent="0.3">
      <c r="A2645" s="6"/>
    </row>
    <row r="2646" spans="1:1" x14ac:dyDescent="0.3">
      <c r="A2646" s="6"/>
    </row>
    <row r="2647" spans="1:1" x14ac:dyDescent="0.3">
      <c r="A2647" s="6"/>
    </row>
    <row r="2648" spans="1:1" x14ac:dyDescent="0.3">
      <c r="A2648" s="6"/>
    </row>
    <row r="2649" spans="1:1" x14ac:dyDescent="0.3">
      <c r="A2649" s="6"/>
    </row>
    <row r="2650" spans="1:1" x14ac:dyDescent="0.3">
      <c r="A2650" s="6"/>
    </row>
    <row r="2651" spans="1:1" x14ac:dyDescent="0.3">
      <c r="A2651" s="6"/>
    </row>
    <row r="2652" spans="1:1" x14ac:dyDescent="0.3">
      <c r="A2652" s="6"/>
    </row>
    <row r="2653" spans="1:1" x14ac:dyDescent="0.3">
      <c r="A2653" s="6"/>
    </row>
    <row r="2654" spans="1:1" x14ac:dyDescent="0.3">
      <c r="A2654" s="6"/>
    </row>
    <row r="2655" spans="1:1" x14ac:dyDescent="0.3">
      <c r="A2655" s="6"/>
    </row>
    <row r="2656" spans="1:1" x14ac:dyDescent="0.3">
      <c r="A2656" s="6"/>
    </row>
    <row r="2657" spans="1:1" x14ac:dyDescent="0.3">
      <c r="A2657" s="6"/>
    </row>
    <row r="2658" spans="1:1" x14ac:dyDescent="0.3">
      <c r="A2658" s="6"/>
    </row>
    <row r="2659" spans="1:1" x14ac:dyDescent="0.3">
      <c r="A2659" s="6"/>
    </row>
    <row r="2660" spans="1:1" x14ac:dyDescent="0.3">
      <c r="A2660" s="6"/>
    </row>
    <row r="2661" spans="1:1" x14ac:dyDescent="0.3">
      <c r="A2661" s="6"/>
    </row>
    <row r="2662" spans="1:1" x14ac:dyDescent="0.3">
      <c r="A2662" s="6"/>
    </row>
    <row r="2663" spans="1:1" x14ac:dyDescent="0.3">
      <c r="A2663" s="6"/>
    </row>
    <row r="2664" spans="1:1" x14ac:dyDescent="0.3">
      <c r="A2664" s="6"/>
    </row>
    <row r="2665" spans="1:1" x14ac:dyDescent="0.3">
      <c r="A2665" s="6"/>
    </row>
    <row r="2666" spans="1:1" x14ac:dyDescent="0.3">
      <c r="A2666" s="6"/>
    </row>
    <row r="2667" spans="1:1" x14ac:dyDescent="0.3">
      <c r="A2667" s="6"/>
    </row>
    <row r="2668" spans="1:1" x14ac:dyDescent="0.3">
      <c r="A2668" s="6"/>
    </row>
    <row r="2669" spans="1:1" x14ac:dyDescent="0.3">
      <c r="A2669" s="6"/>
    </row>
    <row r="2670" spans="1:1" x14ac:dyDescent="0.3">
      <c r="A2670" s="6"/>
    </row>
    <row r="2671" spans="1:1" x14ac:dyDescent="0.3">
      <c r="A2671" s="6"/>
    </row>
    <row r="2672" spans="1:1" x14ac:dyDescent="0.3">
      <c r="A2672" s="6"/>
    </row>
    <row r="2673" spans="1:1" x14ac:dyDescent="0.3">
      <c r="A2673" s="6"/>
    </row>
    <row r="2674" spans="1:1" x14ac:dyDescent="0.3">
      <c r="A2674" s="6"/>
    </row>
    <row r="2675" spans="1:1" x14ac:dyDescent="0.3">
      <c r="A2675" s="6"/>
    </row>
    <row r="2676" spans="1:1" x14ac:dyDescent="0.3">
      <c r="A2676" s="6"/>
    </row>
    <row r="2677" spans="1:1" x14ac:dyDescent="0.3">
      <c r="A2677" s="6"/>
    </row>
    <row r="2678" spans="1:1" x14ac:dyDescent="0.3">
      <c r="A2678" s="6"/>
    </row>
    <row r="2679" spans="1:1" x14ac:dyDescent="0.3">
      <c r="A2679" s="6"/>
    </row>
    <row r="2680" spans="1:1" x14ac:dyDescent="0.3">
      <c r="A2680" s="6"/>
    </row>
    <row r="2681" spans="1:1" x14ac:dyDescent="0.3">
      <c r="A2681" s="6"/>
    </row>
    <row r="2682" spans="1:1" x14ac:dyDescent="0.3">
      <c r="A2682" s="6"/>
    </row>
    <row r="2683" spans="1:1" x14ac:dyDescent="0.3">
      <c r="A2683" s="6"/>
    </row>
    <row r="2684" spans="1:1" x14ac:dyDescent="0.3">
      <c r="A2684" s="6"/>
    </row>
    <row r="2685" spans="1:1" x14ac:dyDescent="0.3">
      <c r="A2685" s="6"/>
    </row>
    <row r="2686" spans="1:1" x14ac:dyDescent="0.3">
      <c r="A2686" s="6"/>
    </row>
    <row r="2687" spans="1:1" x14ac:dyDescent="0.3">
      <c r="A2687" s="6"/>
    </row>
    <row r="2688" spans="1:1" x14ac:dyDescent="0.3">
      <c r="A2688" s="6"/>
    </row>
    <row r="2689" spans="1:1" x14ac:dyDescent="0.3">
      <c r="A2689" s="6"/>
    </row>
    <row r="2690" spans="1:1" x14ac:dyDescent="0.3">
      <c r="A2690" s="6"/>
    </row>
    <row r="2691" spans="1:1" x14ac:dyDescent="0.3">
      <c r="A2691" s="6"/>
    </row>
    <row r="2692" spans="1:1" x14ac:dyDescent="0.3">
      <c r="A2692" s="6"/>
    </row>
    <row r="2693" spans="1:1" x14ac:dyDescent="0.3">
      <c r="A2693" s="6"/>
    </row>
    <row r="2694" spans="1:1" x14ac:dyDescent="0.3">
      <c r="A2694" s="6"/>
    </row>
    <row r="2695" spans="1:1" x14ac:dyDescent="0.3">
      <c r="A2695" s="6"/>
    </row>
    <row r="2696" spans="1:1" x14ac:dyDescent="0.3">
      <c r="A2696" s="6"/>
    </row>
    <row r="2697" spans="1:1" x14ac:dyDescent="0.3">
      <c r="A2697" s="6"/>
    </row>
    <row r="2698" spans="1:1" x14ac:dyDescent="0.3">
      <c r="A2698" s="6"/>
    </row>
    <row r="2699" spans="1:1" x14ac:dyDescent="0.3">
      <c r="A2699" s="6"/>
    </row>
    <row r="2700" spans="1:1" x14ac:dyDescent="0.3">
      <c r="A2700" s="6"/>
    </row>
    <row r="2701" spans="1:1" x14ac:dyDescent="0.3">
      <c r="A2701" s="6"/>
    </row>
    <row r="2702" spans="1:1" x14ac:dyDescent="0.3">
      <c r="A2702" s="6"/>
    </row>
    <row r="2703" spans="1:1" x14ac:dyDescent="0.3">
      <c r="A2703" s="6"/>
    </row>
    <row r="2704" spans="1:1" x14ac:dyDescent="0.3">
      <c r="A2704" s="6"/>
    </row>
    <row r="2705" spans="1:1" x14ac:dyDescent="0.3">
      <c r="A2705" s="6"/>
    </row>
    <row r="2706" spans="1:1" x14ac:dyDescent="0.3">
      <c r="A2706" s="6"/>
    </row>
    <row r="2707" spans="1:1" x14ac:dyDescent="0.3">
      <c r="A2707" s="6"/>
    </row>
    <row r="2708" spans="1:1" x14ac:dyDescent="0.3">
      <c r="A2708" s="6"/>
    </row>
    <row r="2709" spans="1:1" x14ac:dyDescent="0.3">
      <c r="A2709" s="6"/>
    </row>
    <row r="2710" spans="1:1" x14ac:dyDescent="0.3">
      <c r="A2710" s="6"/>
    </row>
    <row r="2711" spans="1:1" x14ac:dyDescent="0.3">
      <c r="A2711" s="6"/>
    </row>
    <row r="2712" spans="1:1" x14ac:dyDescent="0.3">
      <c r="A2712" s="6"/>
    </row>
    <row r="2713" spans="1:1" x14ac:dyDescent="0.3">
      <c r="A2713" s="6"/>
    </row>
    <row r="2714" spans="1:1" x14ac:dyDescent="0.3">
      <c r="A2714" s="6"/>
    </row>
    <row r="2715" spans="1:1" x14ac:dyDescent="0.3">
      <c r="A2715" s="6"/>
    </row>
    <row r="2716" spans="1:1" x14ac:dyDescent="0.3">
      <c r="A2716" s="6"/>
    </row>
    <row r="2717" spans="1:1" x14ac:dyDescent="0.3">
      <c r="A2717" s="6"/>
    </row>
    <row r="2718" spans="1:1" x14ac:dyDescent="0.3">
      <c r="A2718" s="6"/>
    </row>
    <row r="2719" spans="1:1" x14ac:dyDescent="0.3">
      <c r="A2719" s="6"/>
    </row>
    <row r="2720" spans="1:1" x14ac:dyDescent="0.3">
      <c r="A2720" s="6"/>
    </row>
    <row r="2721" spans="1:1" x14ac:dyDescent="0.3">
      <c r="A2721" s="6"/>
    </row>
    <row r="2722" spans="1:1" x14ac:dyDescent="0.3">
      <c r="A2722" s="6"/>
    </row>
    <row r="2723" spans="1:1" x14ac:dyDescent="0.3">
      <c r="A2723" s="6"/>
    </row>
    <row r="2724" spans="1:1" x14ac:dyDescent="0.3">
      <c r="A2724" s="6"/>
    </row>
    <row r="2725" spans="1:1" x14ac:dyDescent="0.3">
      <c r="A2725" s="6"/>
    </row>
    <row r="2726" spans="1:1" x14ac:dyDescent="0.3">
      <c r="A2726" s="6"/>
    </row>
    <row r="2727" spans="1:1" x14ac:dyDescent="0.3">
      <c r="A2727" s="6"/>
    </row>
    <row r="2728" spans="1:1" x14ac:dyDescent="0.3">
      <c r="A2728" s="6"/>
    </row>
    <row r="2729" spans="1:1" x14ac:dyDescent="0.3">
      <c r="A2729" s="6"/>
    </row>
    <row r="2730" spans="1:1" x14ac:dyDescent="0.3">
      <c r="A2730" s="6"/>
    </row>
    <row r="2731" spans="1:1" x14ac:dyDescent="0.3">
      <c r="A2731" s="6"/>
    </row>
    <row r="2732" spans="1:1" x14ac:dyDescent="0.3">
      <c r="A2732" s="6"/>
    </row>
    <row r="2733" spans="1:1" x14ac:dyDescent="0.3">
      <c r="A2733" s="6"/>
    </row>
    <row r="2734" spans="1:1" x14ac:dyDescent="0.3">
      <c r="A2734" s="6"/>
    </row>
    <row r="2735" spans="1:1" x14ac:dyDescent="0.3">
      <c r="A2735" s="6"/>
    </row>
    <row r="2736" spans="1:1" x14ac:dyDescent="0.3">
      <c r="A2736" s="6"/>
    </row>
    <row r="2737" spans="1:1" x14ac:dyDescent="0.3">
      <c r="A2737" s="6"/>
    </row>
    <row r="2738" spans="1:1" x14ac:dyDescent="0.3">
      <c r="A2738" s="6"/>
    </row>
    <row r="2739" spans="1:1" x14ac:dyDescent="0.3">
      <c r="A2739" s="6"/>
    </row>
    <row r="2740" spans="1:1" x14ac:dyDescent="0.3">
      <c r="A2740" s="6"/>
    </row>
    <row r="2741" spans="1:1" x14ac:dyDescent="0.3">
      <c r="A2741" s="6"/>
    </row>
    <row r="2742" spans="1:1" x14ac:dyDescent="0.3">
      <c r="A2742" s="6"/>
    </row>
    <row r="2743" spans="1:1" x14ac:dyDescent="0.3">
      <c r="A2743" s="6"/>
    </row>
    <row r="2744" spans="1:1" x14ac:dyDescent="0.3">
      <c r="A2744" s="6"/>
    </row>
    <row r="2745" spans="1:1" x14ac:dyDescent="0.3">
      <c r="A2745" s="6"/>
    </row>
    <row r="2746" spans="1:1" x14ac:dyDescent="0.3">
      <c r="A2746" s="6"/>
    </row>
    <row r="2747" spans="1:1" x14ac:dyDescent="0.3">
      <c r="A2747" s="6"/>
    </row>
    <row r="2748" spans="1:1" x14ac:dyDescent="0.3">
      <c r="A2748" s="6"/>
    </row>
    <row r="2749" spans="1:1" x14ac:dyDescent="0.3">
      <c r="A2749" s="6"/>
    </row>
    <row r="2750" spans="1:1" x14ac:dyDescent="0.3">
      <c r="A2750" s="6"/>
    </row>
    <row r="2751" spans="1:1" x14ac:dyDescent="0.3">
      <c r="A2751" s="6"/>
    </row>
    <row r="2752" spans="1:1" x14ac:dyDescent="0.3">
      <c r="A2752" s="6"/>
    </row>
    <row r="2753" spans="1:1" x14ac:dyDescent="0.3">
      <c r="A2753" s="6"/>
    </row>
    <row r="2754" spans="1:1" x14ac:dyDescent="0.3">
      <c r="A2754" s="6"/>
    </row>
    <row r="2755" spans="1:1" x14ac:dyDescent="0.3">
      <c r="A2755" s="6"/>
    </row>
    <row r="2756" spans="1:1" x14ac:dyDescent="0.3">
      <c r="A2756" s="6"/>
    </row>
    <row r="2757" spans="1:1" x14ac:dyDescent="0.3">
      <c r="A2757" s="6"/>
    </row>
    <row r="2758" spans="1:1" x14ac:dyDescent="0.3">
      <c r="A2758" s="6"/>
    </row>
    <row r="2759" spans="1:1" x14ac:dyDescent="0.3">
      <c r="A2759" s="6"/>
    </row>
    <row r="2760" spans="1:1" x14ac:dyDescent="0.3">
      <c r="A2760" s="6"/>
    </row>
    <row r="2761" spans="1:1" x14ac:dyDescent="0.3">
      <c r="A2761" s="6"/>
    </row>
    <row r="2762" spans="1:1" x14ac:dyDescent="0.3">
      <c r="A2762" s="6"/>
    </row>
    <row r="2763" spans="1:1" x14ac:dyDescent="0.3">
      <c r="A2763" s="6"/>
    </row>
    <row r="2764" spans="1:1" x14ac:dyDescent="0.3">
      <c r="A2764" s="6"/>
    </row>
    <row r="2765" spans="1:1" x14ac:dyDescent="0.3">
      <c r="A2765" s="6"/>
    </row>
    <row r="2766" spans="1:1" x14ac:dyDescent="0.3">
      <c r="A2766" s="6"/>
    </row>
    <row r="2767" spans="1:1" x14ac:dyDescent="0.3">
      <c r="A2767" s="6"/>
    </row>
    <row r="2768" spans="1:1" x14ac:dyDescent="0.3">
      <c r="A2768" s="6"/>
    </row>
    <row r="2769" spans="1:1" x14ac:dyDescent="0.3">
      <c r="A2769" s="6"/>
    </row>
    <row r="2770" spans="1:1" x14ac:dyDescent="0.3">
      <c r="A2770" s="6"/>
    </row>
    <row r="2771" spans="1:1" x14ac:dyDescent="0.3">
      <c r="A2771" s="6"/>
    </row>
    <row r="2772" spans="1:1" x14ac:dyDescent="0.3">
      <c r="A2772" s="6"/>
    </row>
    <row r="2773" spans="1:1" x14ac:dyDescent="0.3">
      <c r="A2773" s="6"/>
    </row>
    <row r="2774" spans="1:1" x14ac:dyDescent="0.3">
      <c r="A2774" s="6"/>
    </row>
    <row r="2775" spans="1:1" x14ac:dyDescent="0.3">
      <c r="A2775" s="6"/>
    </row>
    <row r="2776" spans="1:1" x14ac:dyDescent="0.3">
      <c r="A2776" s="6"/>
    </row>
    <row r="2777" spans="1:1" x14ac:dyDescent="0.3">
      <c r="A2777" s="6"/>
    </row>
    <row r="2778" spans="1:1" x14ac:dyDescent="0.3">
      <c r="A2778" s="6"/>
    </row>
    <row r="2779" spans="1:1" x14ac:dyDescent="0.3">
      <c r="A2779" s="6"/>
    </row>
    <row r="2780" spans="1:1" x14ac:dyDescent="0.3">
      <c r="A2780" s="6"/>
    </row>
    <row r="2781" spans="1:1" x14ac:dyDescent="0.3">
      <c r="A2781" s="6"/>
    </row>
    <row r="2782" spans="1:1" x14ac:dyDescent="0.3">
      <c r="A2782" s="6"/>
    </row>
    <row r="2783" spans="1:1" x14ac:dyDescent="0.3">
      <c r="A2783" s="6"/>
    </row>
    <row r="2784" spans="1:1" x14ac:dyDescent="0.3">
      <c r="A2784" s="6"/>
    </row>
    <row r="2785" spans="1:1" x14ac:dyDescent="0.3">
      <c r="A2785" s="6"/>
    </row>
    <row r="2786" spans="1:1" x14ac:dyDescent="0.3">
      <c r="A2786" s="6"/>
    </row>
    <row r="2787" spans="1:1" x14ac:dyDescent="0.3">
      <c r="A2787" s="6"/>
    </row>
    <row r="2788" spans="1:1" x14ac:dyDescent="0.3">
      <c r="A2788" s="6"/>
    </row>
    <row r="2789" spans="1:1" x14ac:dyDescent="0.3">
      <c r="A2789" s="6"/>
    </row>
    <row r="2790" spans="1:1" x14ac:dyDescent="0.3">
      <c r="A2790" s="6"/>
    </row>
    <row r="2791" spans="1:1" x14ac:dyDescent="0.3">
      <c r="A2791" s="6"/>
    </row>
    <row r="2792" spans="1:1" x14ac:dyDescent="0.3">
      <c r="A2792" s="6"/>
    </row>
    <row r="2793" spans="1:1" x14ac:dyDescent="0.3">
      <c r="A2793" s="6"/>
    </row>
    <row r="2794" spans="1:1" x14ac:dyDescent="0.3">
      <c r="A2794" s="6"/>
    </row>
    <row r="2795" spans="1:1" x14ac:dyDescent="0.3">
      <c r="A2795" s="6"/>
    </row>
    <row r="2796" spans="1:1" x14ac:dyDescent="0.3">
      <c r="A2796" s="6"/>
    </row>
    <row r="2797" spans="1:1" x14ac:dyDescent="0.3">
      <c r="A2797" s="6"/>
    </row>
    <row r="2798" spans="1:1" x14ac:dyDescent="0.3">
      <c r="A2798" s="6"/>
    </row>
    <row r="2799" spans="1:1" x14ac:dyDescent="0.3">
      <c r="A2799" s="6"/>
    </row>
    <row r="2800" spans="1:1" x14ac:dyDescent="0.3">
      <c r="A2800" s="6"/>
    </row>
    <row r="2801" spans="1:1" x14ac:dyDescent="0.3">
      <c r="A2801" s="6"/>
    </row>
    <row r="2802" spans="1:1" x14ac:dyDescent="0.3">
      <c r="A2802" s="6"/>
    </row>
    <row r="2803" spans="1:1" x14ac:dyDescent="0.3">
      <c r="A2803" s="6"/>
    </row>
    <row r="2804" spans="1:1" x14ac:dyDescent="0.3">
      <c r="A2804" s="6"/>
    </row>
    <row r="2805" spans="1:1" x14ac:dyDescent="0.3">
      <c r="A2805" s="6"/>
    </row>
    <row r="2806" spans="1:1" x14ac:dyDescent="0.3">
      <c r="A2806" s="6"/>
    </row>
    <row r="2807" spans="1:1" x14ac:dyDescent="0.3">
      <c r="A2807" s="6"/>
    </row>
    <row r="2808" spans="1:1" x14ac:dyDescent="0.3">
      <c r="A2808" s="6"/>
    </row>
    <row r="2809" spans="1:1" x14ac:dyDescent="0.3">
      <c r="A2809" s="6"/>
    </row>
    <row r="2810" spans="1:1" x14ac:dyDescent="0.3">
      <c r="A2810" s="6"/>
    </row>
    <row r="2811" spans="1:1" x14ac:dyDescent="0.3">
      <c r="A2811" s="6"/>
    </row>
    <row r="2812" spans="1:1" x14ac:dyDescent="0.3">
      <c r="A2812" s="6"/>
    </row>
    <row r="2813" spans="1:1" x14ac:dyDescent="0.3">
      <c r="A2813" s="6"/>
    </row>
    <row r="2814" spans="1:1" x14ac:dyDescent="0.3">
      <c r="A2814" s="6"/>
    </row>
    <row r="2815" spans="1:1" x14ac:dyDescent="0.3">
      <c r="A2815" s="6"/>
    </row>
    <row r="2816" spans="1:1" x14ac:dyDescent="0.3">
      <c r="A2816" s="6"/>
    </row>
    <row r="2817" spans="1:1" x14ac:dyDescent="0.3">
      <c r="A2817" s="6"/>
    </row>
    <row r="2818" spans="1:1" x14ac:dyDescent="0.3">
      <c r="A2818" s="6"/>
    </row>
    <row r="2819" spans="1:1" x14ac:dyDescent="0.3">
      <c r="A2819" s="6"/>
    </row>
    <row r="2820" spans="1:1" x14ac:dyDescent="0.3">
      <c r="A2820" s="6"/>
    </row>
    <row r="2821" spans="1:1" x14ac:dyDescent="0.3">
      <c r="A2821" s="6"/>
    </row>
    <row r="2822" spans="1:1" x14ac:dyDescent="0.3">
      <c r="A2822" s="6"/>
    </row>
    <row r="2823" spans="1:1" x14ac:dyDescent="0.3">
      <c r="A2823" s="6"/>
    </row>
    <row r="2824" spans="1:1" x14ac:dyDescent="0.3">
      <c r="A2824" s="6"/>
    </row>
    <row r="2825" spans="1:1" x14ac:dyDescent="0.3">
      <c r="A2825" s="6"/>
    </row>
    <row r="2826" spans="1:1" x14ac:dyDescent="0.3">
      <c r="A2826" s="6"/>
    </row>
    <row r="2827" spans="1:1" x14ac:dyDescent="0.3">
      <c r="A2827" s="6"/>
    </row>
    <row r="2828" spans="1:1" x14ac:dyDescent="0.3">
      <c r="A2828" s="6"/>
    </row>
    <row r="2829" spans="1:1" x14ac:dyDescent="0.3">
      <c r="A2829" s="6"/>
    </row>
    <row r="2830" spans="1:1" x14ac:dyDescent="0.3">
      <c r="A2830" s="6"/>
    </row>
    <row r="2831" spans="1:1" x14ac:dyDescent="0.3">
      <c r="A2831" s="6"/>
    </row>
    <row r="2832" spans="1:1" x14ac:dyDescent="0.3">
      <c r="A2832" s="6"/>
    </row>
    <row r="2833" spans="1:1" x14ac:dyDescent="0.3">
      <c r="A2833" s="6"/>
    </row>
    <row r="2834" spans="1:1" x14ac:dyDescent="0.3">
      <c r="A2834" s="6"/>
    </row>
    <row r="2835" spans="1:1" x14ac:dyDescent="0.3">
      <c r="A2835" s="6"/>
    </row>
    <row r="2836" spans="1:1" x14ac:dyDescent="0.3">
      <c r="A2836" s="6"/>
    </row>
    <row r="2837" spans="1:1" x14ac:dyDescent="0.3">
      <c r="A2837" s="6"/>
    </row>
    <row r="2838" spans="1:1" x14ac:dyDescent="0.3">
      <c r="A2838" s="6"/>
    </row>
    <row r="2839" spans="1:1" x14ac:dyDescent="0.3">
      <c r="A2839" s="6"/>
    </row>
    <row r="2840" spans="1:1" x14ac:dyDescent="0.3">
      <c r="A2840" s="6"/>
    </row>
    <row r="2841" spans="1:1" x14ac:dyDescent="0.3">
      <c r="A2841" s="6"/>
    </row>
    <row r="2842" spans="1:1" x14ac:dyDescent="0.3">
      <c r="A2842" s="6"/>
    </row>
    <row r="2843" spans="1:1" x14ac:dyDescent="0.3">
      <c r="A2843" s="6"/>
    </row>
    <row r="2844" spans="1:1" x14ac:dyDescent="0.3">
      <c r="A2844" s="6"/>
    </row>
    <row r="2845" spans="1:1" x14ac:dyDescent="0.3">
      <c r="A2845" s="6"/>
    </row>
    <row r="2846" spans="1:1" x14ac:dyDescent="0.3">
      <c r="A2846" s="6"/>
    </row>
    <row r="2847" spans="1:1" x14ac:dyDescent="0.3">
      <c r="A2847" s="6"/>
    </row>
    <row r="2848" spans="1:1" x14ac:dyDescent="0.3">
      <c r="A2848" s="6"/>
    </row>
    <row r="2849" spans="1:1" x14ac:dyDescent="0.3">
      <c r="A2849" s="6"/>
    </row>
    <row r="2850" spans="1:1" x14ac:dyDescent="0.3">
      <c r="A2850" s="6"/>
    </row>
    <row r="2851" spans="1:1" x14ac:dyDescent="0.3">
      <c r="A2851" s="6"/>
    </row>
    <row r="2852" spans="1:1" x14ac:dyDescent="0.3">
      <c r="A2852" s="6"/>
    </row>
    <row r="2853" spans="1:1" x14ac:dyDescent="0.3">
      <c r="A2853" s="6"/>
    </row>
    <row r="2854" spans="1:1" x14ac:dyDescent="0.3">
      <c r="A2854" s="6"/>
    </row>
    <row r="2855" spans="1:1" x14ac:dyDescent="0.3">
      <c r="A2855" s="6"/>
    </row>
    <row r="2856" spans="1:1" x14ac:dyDescent="0.3">
      <c r="A2856" s="6"/>
    </row>
    <row r="2857" spans="1:1" x14ac:dyDescent="0.3">
      <c r="A2857" s="6"/>
    </row>
    <row r="2858" spans="1:1" x14ac:dyDescent="0.3">
      <c r="A2858" s="6"/>
    </row>
    <row r="2859" spans="1:1" x14ac:dyDescent="0.3">
      <c r="A2859" s="6"/>
    </row>
    <row r="2860" spans="1:1" x14ac:dyDescent="0.3">
      <c r="A2860" s="6"/>
    </row>
    <row r="2861" spans="1:1" x14ac:dyDescent="0.3">
      <c r="A2861" s="6"/>
    </row>
    <row r="2862" spans="1:1" x14ac:dyDescent="0.3">
      <c r="A2862" s="6"/>
    </row>
    <row r="2863" spans="1:1" x14ac:dyDescent="0.3">
      <c r="A2863" s="6"/>
    </row>
    <row r="2864" spans="1:1" x14ac:dyDescent="0.3">
      <c r="A2864" s="6"/>
    </row>
    <row r="2865" spans="1:1" x14ac:dyDescent="0.3">
      <c r="A2865" s="6"/>
    </row>
    <row r="2866" spans="1:1" x14ac:dyDescent="0.3">
      <c r="A2866" s="6"/>
    </row>
    <row r="2867" spans="1:1" x14ac:dyDescent="0.3">
      <c r="A2867" s="6"/>
    </row>
    <row r="2868" spans="1:1" x14ac:dyDescent="0.3">
      <c r="A2868" s="6"/>
    </row>
    <row r="2869" spans="1:1" x14ac:dyDescent="0.3">
      <c r="A2869" s="6"/>
    </row>
    <row r="2870" spans="1:1" x14ac:dyDescent="0.3">
      <c r="A2870" s="6"/>
    </row>
    <row r="2871" spans="1:1" x14ac:dyDescent="0.3">
      <c r="A2871" s="6"/>
    </row>
    <row r="2872" spans="1:1" x14ac:dyDescent="0.3">
      <c r="A2872" s="6"/>
    </row>
    <row r="2873" spans="1:1" x14ac:dyDescent="0.3">
      <c r="A2873" s="6"/>
    </row>
    <row r="2874" spans="1:1" x14ac:dyDescent="0.3">
      <c r="A2874" s="6"/>
    </row>
    <row r="2875" spans="1:1" x14ac:dyDescent="0.3">
      <c r="A2875" s="6"/>
    </row>
    <row r="2876" spans="1:1" x14ac:dyDescent="0.3">
      <c r="A2876" s="6"/>
    </row>
    <row r="2877" spans="1:1" x14ac:dyDescent="0.3">
      <c r="A2877" s="6"/>
    </row>
    <row r="2878" spans="1:1" x14ac:dyDescent="0.3">
      <c r="A2878" s="6"/>
    </row>
    <row r="2879" spans="1:1" x14ac:dyDescent="0.3">
      <c r="A2879" s="6"/>
    </row>
    <row r="2880" spans="1:1" x14ac:dyDescent="0.3">
      <c r="A2880" s="6"/>
    </row>
    <row r="2881" spans="1:1" x14ac:dyDescent="0.3">
      <c r="A2881" s="6"/>
    </row>
    <row r="2882" spans="1:1" x14ac:dyDescent="0.3">
      <c r="A2882" s="6"/>
    </row>
    <row r="2883" spans="1:1" x14ac:dyDescent="0.3">
      <c r="A2883" s="6"/>
    </row>
    <row r="2884" spans="1:1" x14ac:dyDescent="0.3">
      <c r="A2884" s="6"/>
    </row>
    <row r="2885" spans="1:1" x14ac:dyDescent="0.3">
      <c r="A2885" s="6"/>
    </row>
    <row r="2886" spans="1:1" x14ac:dyDescent="0.3">
      <c r="A2886" s="6"/>
    </row>
    <row r="2887" spans="1:1" x14ac:dyDescent="0.3">
      <c r="A2887" s="6"/>
    </row>
    <row r="2888" spans="1:1" x14ac:dyDescent="0.3">
      <c r="A2888" s="6"/>
    </row>
    <row r="2889" spans="1:1" x14ac:dyDescent="0.3">
      <c r="A2889" s="6"/>
    </row>
    <row r="2890" spans="1:1" x14ac:dyDescent="0.3">
      <c r="A2890" s="6"/>
    </row>
    <row r="2891" spans="1:1" x14ac:dyDescent="0.3">
      <c r="A2891" s="6"/>
    </row>
    <row r="2892" spans="1:1" x14ac:dyDescent="0.3">
      <c r="A2892" s="6"/>
    </row>
    <row r="2893" spans="1:1" x14ac:dyDescent="0.3">
      <c r="A2893" s="6"/>
    </row>
    <row r="2894" spans="1:1" x14ac:dyDescent="0.3">
      <c r="A2894" s="6"/>
    </row>
    <row r="2895" spans="1:1" x14ac:dyDescent="0.3">
      <c r="A2895" s="6"/>
    </row>
    <row r="2896" spans="1:1" x14ac:dyDescent="0.3">
      <c r="A2896" s="6"/>
    </row>
    <row r="2897" spans="1:1" x14ac:dyDescent="0.3">
      <c r="A2897" s="6"/>
    </row>
    <row r="2898" spans="1:1" x14ac:dyDescent="0.3">
      <c r="A2898" s="6"/>
    </row>
    <row r="2899" spans="1:1" x14ac:dyDescent="0.3">
      <c r="A2899" s="6"/>
    </row>
    <row r="2900" spans="1:1" x14ac:dyDescent="0.3">
      <c r="A2900" s="6"/>
    </row>
    <row r="2901" spans="1:1" x14ac:dyDescent="0.3">
      <c r="A2901" s="6"/>
    </row>
    <row r="2902" spans="1:1" x14ac:dyDescent="0.3">
      <c r="A2902" s="6"/>
    </row>
    <row r="2903" spans="1:1" x14ac:dyDescent="0.3">
      <c r="A2903" s="6"/>
    </row>
    <row r="2904" spans="1:1" x14ac:dyDescent="0.3">
      <c r="A2904" s="6"/>
    </row>
    <row r="2905" spans="1:1" x14ac:dyDescent="0.3">
      <c r="A2905" s="6"/>
    </row>
    <row r="2906" spans="1:1" x14ac:dyDescent="0.3">
      <c r="A2906" s="6"/>
    </row>
    <row r="2907" spans="1:1" x14ac:dyDescent="0.3">
      <c r="A2907" s="6"/>
    </row>
    <row r="2908" spans="1:1" x14ac:dyDescent="0.3">
      <c r="A2908" s="6"/>
    </row>
    <row r="2909" spans="1:1" x14ac:dyDescent="0.3">
      <c r="A2909" s="6"/>
    </row>
    <row r="2910" spans="1:1" x14ac:dyDescent="0.3">
      <c r="A2910" s="6"/>
    </row>
    <row r="2911" spans="1:1" x14ac:dyDescent="0.3">
      <c r="A2911" s="6"/>
    </row>
    <row r="2912" spans="1:1" x14ac:dyDescent="0.3">
      <c r="A2912" s="6"/>
    </row>
    <row r="2913" spans="1:1" x14ac:dyDescent="0.3">
      <c r="A2913" s="6"/>
    </row>
    <row r="2914" spans="1:1" x14ac:dyDescent="0.3">
      <c r="A2914" s="6"/>
    </row>
    <row r="2915" spans="1:1" x14ac:dyDescent="0.3">
      <c r="A2915" s="6"/>
    </row>
    <row r="2916" spans="1:1" x14ac:dyDescent="0.3">
      <c r="A2916" s="6"/>
    </row>
    <row r="2917" spans="1:1" x14ac:dyDescent="0.3">
      <c r="A2917" s="6"/>
    </row>
    <row r="2918" spans="1:1" x14ac:dyDescent="0.3">
      <c r="A2918" s="6"/>
    </row>
    <row r="2919" spans="1:1" x14ac:dyDescent="0.3">
      <c r="A2919" s="6"/>
    </row>
    <row r="2920" spans="1:1" x14ac:dyDescent="0.3">
      <c r="A2920" s="6"/>
    </row>
    <row r="2921" spans="1:1" x14ac:dyDescent="0.3">
      <c r="A2921" s="6"/>
    </row>
    <row r="2922" spans="1:1" x14ac:dyDescent="0.3">
      <c r="A2922" s="6"/>
    </row>
    <row r="2923" spans="1:1" x14ac:dyDescent="0.3">
      <c r="A2923" s="6"/>
    </row>
    <row r="2924" spans="1:1" x14ac:dyDescent="0.3">
      <c r="A2924" s="6"/>
    </row>
    <row r="2925" spans="1:1" x14ac:dyDescent="0.3">
      <c r="A2925" s="6"/>
    </row>
    <row r="2926" spans="1:1" x14ac:dyDescent="0.3">
      <c r="A2926" s="6"/>
    </row>
    <row r="2927" spans="1:1" x14ac:dyDescent="0.3">
      <c r="A2927" s="6"/>
    </row>
    <row r="2928" spans="1:1" x14ac:dyDescent="0.3">
      <c r="A2928" s="6"/>
    </row>
    <row r="2929" spans="1:1" x14ac:dyDescent="0.3">
      <c r="A2929" s="6"/>
    </row>
    <row r="2930" spans="1:1" x14ac:dyDescent="0.3">
      <c r="A2930" s="6"/>
    </row>
    <row r="2931" spans="1:1" x14ac:dyDescent="0.3">
      <c r="A2931" s="6"/>
    </row>
    <row r="2932" spans="1:1" x14ac:dyDescent="0.3">
      <c r="A2932" s="6"/>
    </row>
    <row r="2933" spans="1:1" x14ac:dyDescent="0.3">
      <c r="A2933" s="6"/>
    </row>
    <row r="2934" spans="1:1" x14ac:dyDescent="0.3">
      <c r="A2934" s="6"/>
    </row>
    <row r="2935" spans="1:1" x14ac:dyDescent="0.3">
      <c r="A2935" s="6"/>
    </row>
    <row r="2936" spans="1:1" x14ac:dyDescent="0.3">
      <c r="A2936" s="6"/>
    </row>
    <row r="2937" spans="1:1" x14ac:dyDescent="0.3">
      <c r="A2937" s="6"/>
    </row>
    <row r="2938" spans="1:1" x14ac:dyDescent="0.3">
      <c r="A2938" s="6"/>
    </row>
    <row r="2939" spans="1:1" x14ac:dyDescent="0.3">
      <c r="A2939" s="6"/>
    </row>
    <row r="2940" spans="1:1" x14ac:dyDescent="0.3">
      <c r="A2940" s="6"/>
    </row>
    <row r="2941" spans="1:1" x14ac:dyDescent="0.3">
      <c r="A2941" s="6"/>
    </row>
    <row r="2942" spans="1:1" x14ac:dyDescent="0.3">
      <c r="A2942" s="6"/>
    </row>
    <row r="2943" spans="1:1" x14ac:dyDescent="0.3">
      <c r="A2943" s="6"/>
    </row>
    <row r="2944" spans="1:1" x14ac:dyDescent="0.3">
      <c r="A2944" s="6"/>
    </row>
    <row r="2945" spans="1:1" x14ac:dyDescent="0.3">
      <c r="A2945" s="6"/>
    </row>
    <row r="2946" spans="1:1" x14ac:dyDescent="0.3">
      <c r="A2946" s="6"/>
    </row>
    <row r="2947" spans="1:1" x14ac:dyDescent="0.3">
      <c r="A2947" s="6"/>
    </row>
    <row r="2948" spans="1:1" x14ac:dyDescent="0.3">
      <c r="A2948" s="6"/>
    </row>
    <row r="2949" spans="1:1" x14ac:dyDescent="0.3">
      <c r="A2949" s="6"/>
    </row>
    <row r="2950" spans="1:1" x14ac:dyDescent="0.3">
      <c r="A2950" s="6"/>
    </row>
    <row r="2951" spans="1:1" x14ac:dyDescent="0.3">
      <c r="A2951" s="6"/>
    </row>
    <row r="2952" spans="1:1" x14ac:dyDescent="0.3">
      <c r="A2952" s="6"/>
    </row>
    <row r="2953" spans="1:1" x14ac:dyDescent="0.3">
      <c r="A2953" s="6"/>
    </row>
    <row r="2954" spans="1:1" x14ac:dyDescent="0.3">
      <c r="A2954" s="6"/>
    </row>
    <row r="2955" spans="1:1" x14ac:dyDescent="0.3">
      <c r="A2955" s="6"/>
    </row>
    <row r="2956" spans="1:1" x14ac:dyDescent="0.3">
      <c r="A2956" s="6"/>
    </row>
    <row r="2957" spans="1:1" x14ac:dyDescent="0.3">
      <c r="A2957" s="6"/>
    </row>
    <row r="2958" spans="1:1" x14ac:dyDescent="0.3">
      <c r="A2958" s="6"/>
    </row>
    <row r="2959" spans="1:1" x14ac:dyDescent="0.3">
      <c r="A2959" s="6"/>
    </row>
    <row r="2960" spans="1:1" x14ac:dyDescent="0.3">
      <c r="A2960" s="6"/>
    </row>
    <row r="2961" spans="1:1" x14ac:dyDescent="0.3">
      <c r="A2961" s="6"/>
    </row>
    <row r="2962" spans="1:1" x14ac:dyDescent="0.3">
      <c r="A2962" s="6"/>
    </row>
    <row r="2963" spans="1:1" x14ac:dyDescent="0.3">
      <c r="A2963" s="6"/>
    </row>
    <row r="2964" spans="1:1" x14ac:dyDescent="0.3">
      <c r="A2964" s="6"/>
    </row>
    <row r="2965" spans="1:1" x14ac:dyDescent="0.3">
      <c r="A2965" s="6"/>
    </row>
    <row r="2966" spans="1:1" x14ac:dyDescent="0.3">
      <c r="A2966" s="6"/>
    </row>
    <row r="2967" spans="1:1" x14ac:dyDescent="0.3">
      <c r="A2967" s="6"/>
    </row>
    <row r="2968" spans="1:1" x14ac:dyDescent="0.3">
      <c r="A2968" s="6"/>
    </row>
    <row r="2969" spans="1:1" x14ac:dyDescent="0.3">
      <c r="A2969" s="6"/>
    </row>
    <row r="2970" spans="1:1" x14ac:dyDescent="0.3">
      <c r="A2970" s="6"/>
    </row>
    <row r="2971" spans="1:1" x14ac:dyDescent="0.3">
      <c r="A2971" s="6"/>
    </row>
    <row r="2972" spans="1:1" x14ac:dyDescent="0.3">
      <c r="A2972" s="6"/>
    </row>
    <row r="2973" spans="1:1" x14ac:dyDescent="0.3">
      <c r="A2973" s="6"/>
    </row>
    <row r="2974" spans="1:1" x14ac:dyDescent="0.3">
      <c r="A2974" s="6"/>
    </row>
    <row r="2975" spans="1:1" x14ac:dyDescent="0.3">
      <c r="A2975" s="6"/>
    </row>
    <row r="2976" spans="1:1" x14ac:dyDescent="0.3">
      <c r="A2976" s="6"/>
    </row>
    <row r="2977" spans="1:1" x14ac:dyDescent="0.3">
      <c r="A2977" s="6"/>
    </row>
    <row r="2978" spans="1:1" x14ac:dyDescent="0.3">
      <c r="A2978" s="6"/>
    </row>
    <row r="2979" spans="1:1" x14ac:dyDescent="0.3">
      <c r="A2979" s="6"/>
    </row>
    <row r="2980" spans="1:1" x14ac:dyDescent="0.3">
      <c r="A2980" s="6"/>
    </row>
    <row r="2981" spans="1:1" x14ac:dyDescent="0.3">
      <c r="A2981" s="6"/>
    </row>
    <row r="2982" spans="1:1" x14ac:dyDescent="0.3">
      <c r="A2982" s="6"/>
    </row>
    <row r="2983" spans="1:1" x14ac:dyDescent="0.3">
      <c r="A2983" s="6"/>
    </row>
    <row r="2984" spans="1:1" x14ac:dyDescent="0.3">
      <c r="A2984" s="6"/>
    </row>
    <row r="2985" spans="1:1" x14ac:dyDescent="0.3">
      <c r="A2985" s="6"/>
    </row>
    <row r="2986" spans="1:1" x14ac:dyDescent="0.3">
      <c r="A2986" s="6"/>
    </row>
    <row r="2987" spans="1:1" x14ac:dyDescent="0.3">
      <c r="A2987" s="6"/>
    </row>
    <row r="2988" spans="1:1" x14ac:dyDescent="0.3">
      <c r="A2988" s="6"/>
    </row>
    <row r="2989" spans="1:1" x14ac:dyDescent="0.3">
      <c r="A2989" s="6"/>
    </row>
    <row r="2990" spans="1:1" x14ac:dyDescent="0.3">
      <c r="A2990" s="6"/>
    </row>
    <row r="2991" spans="1:1" x14ac:dyDescent="0.3">
      <c r="A2991" s="6"/>
    </row>
    <row r="2992" spans="1:1" x14ac:dyDescent="0.3">
      <c r="A2992" s="6"/>
    </row>
    <row r="2993" spans="1:1" x14ac:dyDescent="0.3">
      <c r="A2993" s="6"/>
    </row>
    <row r="2994" spans="1:1" x14ac:dyDescent="0.3">
      <c r="A2994" s="6"/>
    </row>
    <row r="2995" spans="1:1" x14ac:dyDescent="0.3">
      <c r="A2995" s="6"/>
    </row>
    <row r="2996" spans="1:1" x14ac:dyDescent="0.3">
      <c r="A2996" s="6"/>
    </row>
    <row r="2997" spans="1:1" x14ac:dyDescent="0.3">
      <c r="A2997" s="6"/>
    </row>
    <row r="2998" spans="1:1" x14ac:dyDescent="0.3">
      <c r="A2998" s="6"/>
    </row>
    <row r="2999" spans="1:1" x14ac:dyDescent="0.3">
      <c r="A2999" s="6"/>
    </row>
    <row r="3000" spans="1:1" x14ac:dyDescent="0.3">
      <c r="A3000" s="6"/>
    </row>
    <row r="3001" spans="1:1" x14ac:dyDescent="0.3">
      <c r="A3001" s="6"/>
    </row>
    <row r="3002" spans="1:1" x14ac:dyDescent="0.3">
      <c r="A3002" s="6"/>
    </row>
    <row r="3003" spans="1:1" x14ac:dyDescent="0.3">
      <c r="A3003" s="6"/>
    </row>
    <row r="3004" spans="1:1" x14ac:dyDescent="0.3">
      <c r="A3004" s="6"/>
    </row>
    <row r="3005" spans="1:1" x14ac:dyDescent="0.3">
      <c r="A3005" s="6"/>
    </row>
    <row r="3006" spans="1:1" x14ac:dyDescent="0.3">
      <c r="A3006" s="6"/>
    </row>
    <row r="3007" spans="1:1" x14ac:dyDescent="0.3">
      <c r="A3007" s="6"/>
    </row>
    <row r="3008" spans="1:1" x14ac:dyDescent="0.3">
      <c r="A3008" s="6"/>
    </row>
    <row r="3009" spans="1:1" x14ac:dyDescent="0.3">
      <c r="A3009" s="6"/>
    </row>
    <row r="3010" spans="1:1" x14ac:dyDescent="0.3">
      <c r="A3010" s="6"/>
    </row>
    <row r="3011" spans="1:1" x14ac:dyDescent="0.3">
      <c r="A3011" s="6"/>
    </row>
    <row r="3012" spans="1:1" x14ac:dyDescent="0.3">
      <c r="A3012" s="6"/>
    </row>
    <row r="3013" spans="1:1" x14ac:dyDescent="0.3">
      <c r="A3013" s="6"/>
    </row>
    <row r="3014" spans="1:1" x14ac:dyDescent="0.3">
      <c r="A3014" s="6"/>
    </row>
    <row r="3015" spans="1:1" x14ac:dyDescent="0.3">
      <c r="A3015" s="6"/>
    </row>
    <row r="3016" spans="1:1" x14ac:dyDescent="0.3">
      <c r="A3016" s="6"/>
    </row>
    <row r="3017" spans="1:1" x14ac:dyDescent="0.3">
      <c r="A3017" s="6"/>
    </row>
    <row r="3018" spans="1:1" x14ac:dyDescent="0.3">
      <c r="A3018" s="6"/>
    </row>
    <row r="3019" spans="1:1" x14ac:dyDescent="0.3">
      <c r="A3019" s="6"/>
    </row>
    <row r="3020" spans="1:1" x14ac:dyDescent="0.3">
      <c r="A3020" s="6"/>
    </row>
    <row r="3021" spans="1:1" x14ac:dyDescent="0.3">
      <c r="A3021" s="6"/>
    </row>
    <row r="3022" spans="1:1" x14ac:dyDescent="0.3">
      <c r="A3022" s="6"/>
    </row>
    <row r="3023" spans="1:1" x14ac:dyDescent="0.3">
      <c r="A3023" s="6"/>
    </row>
    <row r="3024" spans="1:1" x14ac:dyDescent="0.3">
      <c r="A3024" s="6"/>
    </row>
    <row r="3025" spans="1:1" x14ac:dyDescent="0.3">
      <c r="A3025" s="6"/>
    </row>
    <row r="3026" spans="1:1" x14ac:dyDescent="0.3">
      <c r="A3026" s="6"/>
    </row>
    <row r="3027" spans="1:1" x14ac:dyDescent="0.3">
      <c r="A3027" s="6"/>
    </row>
    <row r="3028" spans="1:1" x14ac:dyDescent="0.3">
      <c r="A3028" s="6"/>
    </row>
    <row r="3029" spans="1:1" x14ac:dyDescent="0.3">
      <c r="A3029" s="6"/>
    </row>
    <row r="3030" spans="1:1" x14ac:dyDescent="0.3">
      <c r="A3030" s="6"/>
    </row>
    <row r="3031" spans="1:1" x14ac:dyDescent="0.3">
      <c r="A3031" s="6"/>
    </row>
    <row r="3032" spans="1:1" x14ac:dyDescent="0.3">
      <c r="A3032" s="6"/>
    </row>
    <row r="3033" spans="1:1" x14ac:dyDescent="0.3">
      <c r="A3033" s="6"/>
    </row>
    <row r="3034" spans="1:1" x14ac:dyDescent="0.3">
      <c r="A3034" s="6"/>
    </row>
    <row r="3035" spans="1:1" x14ac:dyDescent="0.3">
      <c r="A3035" s="6"/>
    </row>
    <row r="3036" spans="1:1" x14ac:dyDescent="0.3">
      <c r="A3036" s="6"/>
    </row>
    <row r="3037" spans="1:1" x14ac:dyDescent="0.3">
      <c r="A3037" s="6"/>
    </row>
    <row r="3038" spans="1:1" x14ac:dyDescent="0.3">
      <c r="A3038" s="6"/>
    </row>
    <row r="3039" spans="1:1" x14ac:dyDescent="0.3">
      <c r="A3039" s="6"/>
    </row>
    <row r="3040" spans="1:1" x14ac:dyDescent="0.3">
      <c r="A3040" s="6"/>
    </row>
    <row r="3041" spans="1:1" x14ac:dyDescent="0.3">
      <c r="A3041" s="6"/>
    </row>
    <row r="3042" spans="1:1" x14ac:dyDescent="0.3">
      <c r="A3042" s="6"/>
    </row>
    <row r="3043" spans="1:1" x14ac:dyDescent="0.3">
      <c r="A3043" s="6"/>
    </row>
    <row r="3044" spans="1:1" x14ac:dyDescent="0.3">
      <c r="A3044" s="6"/>
    </row>
    <row r="3045" spans="1:1" x14ac:dyDescent="0.3">
      <c r="A3045" s="6"/>
    </row>
    <row r="3046" spans="1:1" x14ac:dyDescent="0.3">
      <c r="A3046" s="6"/>
    </row>
    <row r="3047" spans="1:1" x14ac:dyDescent="0.3">
      <c r="A3047" s="6"/>
    </row>
    <row r="3048" spans="1:1" x14ac:dyDescent="0.3">
      <c r="A3048" s="6"/>
    </row>
    <row r="3049" spans="1:1" x14ac:dyDescent="0.3">
      <c r="A3049" s="6"/>
    </row>
    <row r="3050" spans="1:1" x14ac:dyDescent="0.3">
      <c r="A3050" s="6"/>
    </row>
    <row r="3051" spans="1:1" x14ac:dyDescent="0.3">
      <c r="A3051" s="6"/>
    </row>
    <row r="3052" spans="1:1" x14ac:dyDescent="0.3">
      <c r="A3052" s="6"/>
    </row>
    <row r="3053" spans="1:1" x14ac:dyDescent="0.3">
      <c r="A3053" s="6"/>
    </row>
    <row r="3054" spans="1:1" x14ac:dyDescent="0.3">
      <c r="A3054" s="6"/>
    </row>
    <row r="3055" spans="1:1" x14ac:dyDescent="0.3">
      <c r="A3055" s="6"/>
    </row>
    <row r="3056" spans="1:1" x14ac:dyDescent="0.3">
      <c r="A3056" s="6"/>
    </row>
    <row r="3057" spans="1:1" x14ac:dyDescent="0.3">
      <c r="A3057" s="6"/>
    </row>
    <row r="3058" spans="1:1" x14ac:dyDescent="0.3">
      <c r="A3058" s="6"/>
    </row>
    <row r="3059" spans="1:1" x14ac:dyDescent="0.3">
      <c r="A3059" s="6"/>
    </row>
    <row r="3060" spans="1:1" x14ac:dyDescent="0.3">
      <c r="A3060" s="6"/>
    </row>
    <row r="3061" spans="1:1" x14ac:dyDescent="0.3">
      <c r="A3061" s="6"/>
    </row>
    <row r="3062" spans="1:1" x14ac:dyDescent="0.3">
      <c r="A3062" s="6"/>
    </row>
    <row r="3063" spans="1:1" x14ac:dyDescent="0.3">
      <c r="A3063" s="6"/>
    </row>
    <row r="3064" spans="1:1" x14ac:dyDescent="0.3">
      <c r="A3064" s="6"/>
    </row>
    <row r="3065" spans="1:1" x14ac:dyDescent="0.3">
      <c r="A3065" s="6"/>
    </row>
    <row r="3066" spans="1:1" x14ac:dyDescent="0.3">
      <c r="A3066" s="6"/>
    </row>
    <row r="3067" spans="1:1" x14ac:dyDescent="0.3">
      <c r="A3067" s="6"/>
    </row>
    <row r="3068" spans="1:1" x14ac:dyDescent="0.3">
      <c r="A3068" s="6"/>
    </row>
    <row r="3069" spans="1:1" x14ac:dyDescent="0.3">
      <c r="A3069" s="6"/>
    </row>
    <row r="3070" spans="1:1" x14ac:dyDescent="0.3">
      <c r="A3070" s="6"/>
    </row>
    <row r="3071" spans="1:1" x14ac:dyDescent="0.3">
      <c r="A3071" s="6"/>
    </row>
    <row r="3072" spans="1:1" x14ac:dyDescent="0.3">
      <c r="A3072" s="6"/>
    </row>
    <row r="3073" spans="1:1" x14ac:dyDescent="0.3">
      <c r="A3073" s="6"/>
    </row>
    <row r="3074" spans="1:1" x14ac:dyDescent="0.3">
      <c r="A3074" s="6"/>
    </row>
    <row r="3075" spans="1:1" x14ac:dyDescent="0.3">
      <c r="A3075" s="6"/>
    </row>
    <row r="3076" spans="1:1" x14ac:dyDescent="0.3">
      <c r="A3076" s="6"/>
    </row>
    <row r="3077" spans="1:1" x14ac:dyDescent="0.3">
      <c r="A3077" s="6"/>
    </row>
    <row r="3078" spans="1:1" x14ac:dyDescent="0.3">
      <c r="A3078" s="6"/>
    </row>
    <row r="3079" spans="1:1" x14ac:dyDescent="0.3">
      <c r="A3079" s="6"/>
    </row>
    <row r="3080" spans="1:1" x14ac:dyDescent="0.3">
      <c r="A3080" s="6"/>
    </row>
    <row r="3081" spans="1:1" x14ac:dyDescent="0.3">
      <c r="A3081" s="6"/>
    </row>
    <row r="3082" spans="1:1" x14ac:dyDescent="0.3">
      <c r="A3082" s="6"/>
    </row>
    <row r="3083" spans="1:1" x14ac:dyDescent="0.3">
      <c r="A3083" s="6"/>
    </row>
    <row r="3084" spans="1:1" x14ac:dyDescent="0.3">
      <c r="A3084" s="6"/>
    </row>
    <row r="3085" spans="1:1" x14ac:dyDescent="0.3">
      <c r="A3085" s="6"/>
    </row>
    <row r="3086" spans="1:1" x14ac:dyDescent="0.3">
      <c r="A3086" s="6"/>
    </row>
    <row r="3087" spans="1:1" x14ac:dyDescent="0.3">
      <c r="A3087" s="6"/>
    </row>
    <row r="3088" spans="1:1" x14ac:dyDescent="0.3">
      <c r="A3088" s="6"/>
    </row>
    <row r="3089" spans="1:1" x14ac:dyDescent="0.3">
      <c r="A3089" s="6"/>
    </row>
    <row r="3090" spans="1:1" x14ac:dyDescent="0.3">
      <c r="A3090" s="6"/>
    </row>
    <row r="3091" spans="1:1" x14ac:dyDescent="0.3">
      <c r="A3091" s="6"/>
    </row>
    <row r="3092" spans="1:1" x14ac:dyDescent="0.3">
      <c r="A3092" s="6"/>
    </row>
    <row r="3093" spans="1:1" x14ac:dyDescent="0.3">
      <c r="A3093" s="6"/>
    </row>
    <row r="3094" spans="1:1" x14ac:dyDescent="0.3">
      <c r="A3094" s="6"/>
    </row>
    <row r="3095" spans="1:1" x14ac:dyDescent="0.3">
      <c r="A3095" s="6"/>
    </row>
    <row r="3096" spans="1:1" x14ac:dyDescent="0.3">
      <c r="A3096" s="6"/>
    </row>
    <row r="3097" spans="1:1" x14ac:dyDescent="0.3">
      <c r="A3097" s="6"/>
    </row>
    <row r="3098" spans="1:1" x14ac:dyDescent="0.3">
      <c r="A3098" s="6"/>
    </row>
    <row r="3099" spans="1:1" x14ac:dyDescent="0.3">
      <c r="A3099" s="6"/>
    </row>
    <row r="3100" spans="1:1" x14ac:dyDescent="0.3">
      <c r="A3100" s="6"/>
    </row>
    <row r="3101" spans="1:1" x14ac:dyDescent="0.3">
      <c r="A3101" s="6"/>
    </row>
    <row r="3102" spans="1:1" x14ac:dyDescent="0.3">
      <c r="A3102" s="6"/>
    </row>
    <row r="3103" spans="1:1" x14ac:dyDescent="0.3">
      <c r="A3103" s="6"/>
    </row>
    <row r="3104" spans="1:1" x14ac:dyDescent="0.3">
      <c r="A3104" s="6"/>
    </row>
    <row r="3105" spans="1:1" x14ac:dyDescent="0.3">
      <c r="A3105" s="6"/>
    </row>
    <row r="3106" spans="1:1" x14ac:dyDescent="0.3">
      <c r="A3106" s="6"/>
    </row>
    <row r="3107" spans="1:1" x14ac:dyDescent="0.3">
      <c r="A3107" s="6"/>
    </row>
    <row r="3108" spans="1:1" x14ac:dyDescent="0.3">
      <c r="A3108" s="6"/>
    </row>
    <row r="3109" spans="1:1" x14ac:dyDescent="0.3">
      <c r="A3109" s="6"/>
    </row>
    <row r="3110" spans="1:1" x14ac:dyDescent="0.3">
      <c r="A3110" s="6"/>
    </row>
    <row r="3111" spans="1:1" x14ac:dyDescent="0.3">
      <c r="A3111" s="6"/>
    </row>
    <row r="3112" spans="1:1" x14ac:dyDescent="0.3">
      <c r="A3112" s="6"/>
    </row>
    <row r="3113" spans="1:1" x14ac:dyDescent="0.3">
      <c r="A3113" s="6"/>
    </row>
    <row r="3114" spans="1:1" x14ac:dyDescent="0.3">
      <c r="A3114" s="6"/>
    </row>
    <row r="3115" spans="1:1" x14ac:dyDescent="0.3">
      <c r="A3115" s="6"/>
    </row>
    <row r="3116" spans="1:1" x14ac:dyDescent="0.3">
      <c r="A3116" s="6"/>
    </row>
    <row r="3117" spans="1:1" x14ac:dyDescent="0.3">
      <c r="A3117" s="6"/>
    </row>
    <row r="3118" spans="1:1" x14ac:dyDescent="0.3">
      <c r="A3118" s="6"/>
    </row>
    <row r="3119" spans="1:1" x14ac:dyDescent="0.3">
      <c r="A3119" s="6"/>
    </row>
    <row r="3120" spans="1:1" x14ac:dyDescent="0.3">
      <c r="A3120" s="6"/>
    </row>
    <row r="3121" spans="1:1" x14ac:dyDescent="0.3">
      <c r="A3121" s="6"/>
    </row>
    <row r="3122" spans="1:1" x14ac:dyDescent="0.3">
      <c r="A3122" s="6"/>
    </row>
    <row r="3123" spans="1:1" x14ac:dyDescent="0.3">
      <c r="A3123" s="6"/>
    </row>
    <row r="3124" spans="1:1" x14ac:dyDescent="0.3">
      <c r="A3124" s="6"/>
    </row>
    <row r="3125" spans="1:1" x14ac:dyDescent="0.3">
      <c r="A3125" s="6"/>
    </row>
    <row r="3126" spans="1:1" x14ac:dyDescent="0.3">
      <c r="A3126" s="6"/>
    </row>
    <row r="3127" spans="1:1" x14ac:dyDescent="0.3">
      <c r="A3127" s="6"/>
    </row>
    <row r="3128" spans="1:1" x14ac:dyDescent="0.3">
      <c r="A3128" s="6"/>
    </row>
    <row r="3129" spans="1:1" x14ac:dyDescent="0.3">
      <c r="A3129" s="6"/>
    </row>
    <row r="3130" spans="1:1" x14ac:dyDescent="0.3">
      <c r="A3130" s="6"/>
    </row>
    <row r="3131" spans="1:1" x14ac:dyDescent="0.3">
      <c r="A3131" s="6"/>
    </row>
    <row r="3132" spans="1:1" x14ac:dyDescent="0.3">
      <c r="A3132" s="6"/>
    </row>
    <row r="3133" spans="1:1" x14ac:dyDescent="0.3">
      <c r="A3133" s="6"/>
    </row>
    <row r="3134" spans="1:1" x14ac:dyDescent="0.3">
      <c r="A3134" s="6"/>
    </row>
    <row r="3135" spans="1:1" x14ac:dyDescent="0.3">
      <c r="A3135" s="6"/>
    </row>
    <row r="3136" spans="1:1" x14ac:dyDescent="0.3">
      <c r="A3136" s="6"/>
    </row>
    <row r="3137" spans="1:1" x14ac:dyDescent="0.3">
      <c r="A3137" s="6"/>
    </row>
    <row r="3138" spans="1:1" x14ac:dyDescent="0.3">
      <c r="A3138" s="6"/>
    </row>
    <row r="3139" spans="1:1" x14ac:dyDescent="0.3">
      <c r="A3139" s="6"/>
    </row>
    <row r="3140" spans="1:1" x14ac:dyDescent="0.3">
      <c r="A3140" s="6"/>
    </row>
    <row r="3141" spans="1:1" x14ac:dyDescent="0.3">
      <c r="A3141" s="6"/>
    </row>
    <row r="3142" spans="1:1" x14ac:dyDescent="0.3">
      <c r="A3142" s="6"/>
    </row>
    <row r="3143" spans="1:1" x14ac:dyDescent="0.3">
      <c r="A3143" s="6"/>
    </row>
    <row r="3144" spans="1:1" x14ac:dyDescent="0.3">
      <c r="A3144" s="6"/>
    </row>
    <row r="3145" spans="1:1" x14ac:dyDescent="0.3">
      <c r="A3145" s="6"/>
    </row>
    <row r="3146" spans="1:1" x14ac:dyDescent="0.3">
      <c r="A3146" s="6"/>
    </row>
    <row r="3147" spans="1:1" x14ac:dyDescent="0.3">
      <c r="A3147" s="6"/>
    </row>
    <row r="3148" spans="1:1" x14ac:dyDescent="0.3">
      <c r="A3148" s="6"/>
    </row>
    <row r="3149" spans="1:1" x14ac:dyDescent="0.3">
      <c r="A3149" s="6"/>
    </row>
    <row r="3150" spans="1:1" x14ac:dyDescent="0.3">
      <c r="A3150" s="6"/>
    </row>
    <row r="3151" spans="1:1" x14ac:dyDescent="0.3">
      <c r="A3151" s="6"/>
    </row>
    <row r="3152" spans="1:1" x14ac:dyDescent="0.3">
      <c r="A3152" s="6"/>
    </row>
    <row r="3153" spans="1:1" x14ac:dyDescent="0.3">
      <c r="A3153" s="6"/>
    </row>
    <row r="3154" spans="1:1" x14ac:dyDescent="0.3">
      <c r="A3154" s="6"/>
    </row>
    <row r="3155" spans="1:1" x14ac:dyDescent="0.3">
      <c r="A3155" s="6"/>
    </row>
    <row r="3156" spans="1:1" x14ac:dyDescent="0.3">
      <c r="A3156" s="6"/>
    </row>
    <row r="3157" spans="1:1" x14ac:dyDescent="0.3">
      <c r="A3157" s="6"/>
    </row>
    <row r="3158" spans="1:1" x14ac:dyDescent="0.3">
      <c r="A3158" s="6"/>
    </row>
    <row r="3159" spans="1:1" x14ac:dyDescent="0.3">
      <c r="A3159" s="6"/>
    </row>
    <row r="3160" spans="1:1" x14ac:dyDescent="0.3">
      <c r="A3160" s="6"/>
    </row>
    <row r="3161" spans="1:1" x14ac:dyDescent="0.3">
      <c r="A3161" s="6"/>
    </row>
    <row r="3162" spans="1:1" x14ac:dyDescent="0.3">
      <c r="A3162" s="6"/>
    </row>
    <row r="3163" spans="1:1" x14ac:dyDescent="0.3">
      <c r="A3163" s="6"/>
    </row>
    <row r="3164" spans="1:1" x14ac:dyDescent="0.3">
      <c r="A3164" s="6"/>
    </row>
    <row r="3165" spans="1:1" x14ac:dyDescent="0.3">
      <c r="A3165" s="6"/>
    </row>
    <row r="3166" spans="1:1" x14ac:dyDescent="0.3">
      <c r="A3166" s="6"/>
    </row>
    <row r="3167" spans="1:1" x14ac:dyDescent="0.3">
      <c r="A3167" s="6"/>
    </row>
    <row r="3168" spans="1:1" x14ac:dyDescent="0.3">
      <c r="A3168" s="6"/>
    </row>
    <row r="3169" spans="1:1" x14ac:dyDescent="0.3">
      <c r="A3169" s="6"/>
    </row>
    <row r="3170" spans="1:1" x14ac:dyDescent="0.3">
      <c r="A3170" s="6"/>
    </row>
    <row r="3171" spans="1:1" x14ac:dyDescent="0.3">
      <c r="A3171" s="6"/>
    </row>
    <row r="3172" spans="1:1" x14ac:dyDescent="0.3">
      <c r="A3172" s="6"/>
    </row>
    <row r="3173" spans="1:1" x14ac:dyDescent="0.3">
      <c r="A3173" s="6"/>
    </row>
    <row r="3174" spans="1:1" x14ac:dyDescent="0.3">
      <c r="A3174" s="6"/>
    </row>
    <row r="3175" spans="1:1" x14ac:dyDescent="0.3">
      <c r="A3175" s="6"/>
    </row>
    <row r="3176" spans="1:1" x14ac:dyDescent="0.3">
      <c r="A3176" s="6"/>
    </row>
    <row r="3177" spans="1:1" x14ac:dyDescent="0.3">
      <c r="A3177" s="6"/>
    </row>
    <row r="3178" spans="1:1" x14ac:dyDescent="0.3">
      <c r="A3178" s="6"/>
    </row>
    <row r="3179" spans="1:1" x14ac:dyDescent="0.3">
      <c r="A3179" s="6"/>
    </row>
    <row r="3180" spans="1:1" x14ac:dyDescent="0.3">
      <c r="A3180" s="6"/>
    </row>
    <row r="3181" spans="1:1" x14ac:dyDescent="0.3">
      <c r="A3181" s="6"/>
    </row>
    <row r="3182" spans="1:1" x14ac:dyDescent="0.3">
      <c r="A3182" s="6"/>
    </row>
    <row r="3183" spans="1:1" x14ac:dyDescent="0.3">
      <c r="A3183" s="6"/>
    </row>
    <row r="3184" spans="1:1" x14ac:dyDescent="0.3">
      <c r="A3184" s="6"/>
    </row>
    <row r="3185" spans="1:1" x14ac:dyDescent="0.3">
      <c r="A3185" s="6"/>
    </row>
    <row r="3186" spans="1:1" x14ac:dyDescent="0.3">
      <c r="A3186" s="6"/>
    </row>
    <row r="3187" spans="1:1" x14ac:dyDescent="0.3">
      <c r="A3187" s="6"/>
    </row>
    <row r="3188" spans="1:1" x14ac:dyDescent="0.3">
      <c r="A3188" s="6"/>
    </row>
    <row r="3189" spans="1:1" x14ac:dyDescent="0.3">
      <c r="A3189" s="6"/>
    </row>
    <row r="3190" spans="1:1" x14ac:dyDescent="0.3">
      <c r="A3190" s="6"/>
    </row>
    <row r="3191" spans="1:1" x14ac:dyDescent="0.3">
      <c r="A3191" s="6"/>
    </row>
    <row r="3192" spans="1:1" x14ac:dyDescent="0.3">
      <c r="A3192" s="6"/>
    </row>
    <row r="3193" spans="1:1" x14ac:dyDescent="0.3">
      <c r="A3193" s="6"/>
    </row>
    <row r="3194" spans="1:1" x14ac:dyDescent="0.3">
      <c r="A3194" s="6"/>
    </row>
    <row r="3195" spans="1:1" x14ac:dyDescent="0.3">
      <c r="A3195" s="6"/>
    </row>
    <row r="3196" spans="1:1" x14ac:dyDescent="0.3">
      <c r="A3196" s="6"/>
    </row>
    <row r="3197" spans="1:1" x14ac:dyDescent="0.3">
      <c r="A3197" s="6"/>
    </row>
    <row r="3198" spans="1:1" x14ac:dyDescent="0.3">
      <c r="A3198" s="6"/>
    </row>
    <row r="3199" spans="1:1" x14ac:dyDescent="0.3">
      <c r="A3199" s="6"/>
    </row>
    <row r="3200" spans="1:1" x14ac:dyDescent="0.3">
      <c r="A3200" s="6"/>
    </row>
    <row r="3201" spans="1:1" x14ac:dyDescent="0.3">
      <c r="A3201" s="6"/>
    </row>
    <row r="3202" spans="1:1" x14ac:dyDescent="0.3">
      <c r="A3202" s="6"/>
    </row>
    <row r="3203" spans="1:1" x14ac:dyDescent="0.3">
      <c r="A3203" s="6"/>
    </row>
    <row r="3204" spans="1:1" x14ac:dyDescent="0.3">
      <c r="A3204" s="6"/>
    </row>
    <row r="3205" spans="1:1" x14ac:dyDescent="0.3">
      <c r="A3205" s="6"/>
    </row>
    <row r="3206" spans="1:1" x14ac:dyDescent="0.3">
      <c r="A3206" s="6"/>
    </row>
    <row r="3207" spans="1:1" x14ac:dyDescent="0.3">
      <c r="A3207" s="6"/>
    </row>
    <row r="3208" spans="1:1" x14ac:dyDescent="0.3">
      <c r="A3208" s="6"/>
    </row>
    <row r="3209" spans="1:1" x14ac:dyDescent="0.3">
      <c r="A3209" s="6"/>
    </row>
    <row r="3210" spans="1:1" x14ac:dyDescent="0.3">
      <c r="A3210" s="6"/>
    </row>
    <row r="3211" spans="1:1" x14ac:dyDescent="0.3">
      <c r="A3211" s="6"/>
    </row>
    <row r="3212" spans="1:1" x14ac:dyDescent="0.3">
      <c r="A3212" s="6"/>
    </row>
    <row r="3213" spans="1:1" x14ac:dyDescent="0.3">
      <c r="A3213" s="6"/>
    </row>
    <row r="3214" spans="1:1" x14ac:dyDescent="0.3">
      <c r="A3214" s="6"/>
    </row>
    <row r="3215" spans="1:1" x14ac:dyDescent="0.3">
      <c r="A3215" s="6"/>
    </row>
    <row r="3216" spans="1:1" x14ac:dyDescent="0.3">
      <c r="A3216" s="6"/>
    </row>
    <row r="3217" spans="1:1" x14ac:dyDescent="0.3">
      <c r="A3217" s="6"/>
    </row>
    <row r="3218" spans="1:1" x14ac:dyDescent="0.3">
      <c r="A3218" s="6"/>
    </row>
    <row r="3219" spans="1:1" x14ac:dyDescent="0.3">
      <c r="A3219" s="6"/>
    </row>
    <row r="3220" spans="1:1" x14ac:dyDescent="0.3">
      <c r="A3220" s="6"/>
    </row>
    <row r="3221" spans="1:1" x14ac:dyDescent="0.3">
      <c r="A3221" s="6"/>
    </row>
    <row r="3222" spans="1:1" x14ac:dyDescent="0.3">
      <c r="A3222" s="6"/>
    </row>
    <row r="3223" spans="1:1" x14ac:dyDescent="0.3">
      <c r="A3223" s="6"/>
    </row>
    <row r="3224" spans="1:1" x14ac:dyDescent="0.3">
      <c r="A3224" s="6"/>
    </row>
    <row r="3225" spans="1:1" x14ac:dyDescent="0.3">
      <c r="A3225" s="6"/>
    </row>
    <row r="3226" spans="1:1" x14ac:dyDescent="0.3">
      <c r="A3226" s="6"/>
    </row>
    <row r="3227" spans="1:1" x14ac:dyDescent="0.3">
      <c r="A3227" s="6"/>
    </row>
    <row r="3228" spans="1:1" x14ac:dyDescent="0.3">
      <c r="A3228" s="6"/>
    </row>
    <row r="3229" spans="1:1" x14ac:dyDescent="0.3">
      <c r="A3229" s="6"/>
    </row>
    <row r="3230" spans="1:1" x14ac:dyDescent="0.3">
      <c r="A3230" s="6"/>
    </row>
    <row r="3231" spans="1:1" x14ac:dyDescent="0.3">
      <c r="A3231" s="6"/>
    </row>
    <row r="3232" spans="1:1" x14ac:dyDescent="0.3">
      <c r="A3232" s="6"/>
    </row>
    <row r="3233" spans="1:1" x14ac:dyDescent="0.3">
      <c r="A3233" s="6"/>
    </row>
    <row r="3234" spans="1:1" x14ac:dyDescent="0.3">
      <c r="A3234" s="6"/>
    </row>
    <row r="3235" spans="1:1" x14ac:dyDescent="0.3">
      <c r="A3235" s="6"/>
    </row>
    <row r="3236" spans="1:1" x14ac:dyDescent="0.3">
      <c r="A3236" s="6"/>
    </row>
    <row r="3237" spans="1:1" x14ac:dyDescent="0.3">
      <c r="A3237" s="6"/>
    </row>
    <row r="3238" spans="1:1" x14ac:dyDescent="0.3">
      <c r="A3238" s="6"/>
    </row>
    <row r="3239" spans="1:1" x14ac:dyDescent="0.3">
      <c r="A3239" s="6"/>
    </row>
    <row r="3240" spans="1:1" x14ac:dyDescent="0.3">
      <c r="A3240" s="6"/>
    </row>
    <row r="3241" spans="1:1" x14ac:dyDescent="0.3">
      <c r="A3241" s="6"/>
    </row>
    <row r="3242" spans="1:1" x14ac:dyDescent="0.3">
      <c r="A3242" s="6"/>
    </row>
    <row r="3243" spans="1:1" x14ac:dyDescent="0.3">
      <c r="A3243" s="6"/>
    </row>
    <row r="3244" spans="1:1" x14ac:dyDescent="0.3">
      <c r="A3244" s="6"/>
    </row>
    <row r="3245" spans="1:1" x14ac:dyDescent="0.3">
      <c r="A3245" s="6"/>
    </row>
    <row r="3246" spans="1:1" x14ac:dyDescent="0.3">
      <c r="A3246" s="6"/>
    </row>
    <row r="3247" spans="1:1" x14ac:dyDescent="0.3">
      <c r="A3247" s="6"/>
    </row>
    <row r="3248" spans="1:1" x14ac:dyDescent="0.3">
      <c r="A3248" s="6"/>
    </row>
    <row r="3249" spans="1:1" x14ac:dyDescent="0.3">
      <c r="A3249" s="6"/>
    </row>
    <row r="3250" spans="1:1" x14ac:dyDescent="0.3">
      <c r="A3250" s="6"/>
    </row>
    <row r="3251" spans="1:1" x14ac:dyDescent="0.3">
      <c r="A3251" s="6"/>
    </row>
    <row r="3252" spans="1:1" x14ac:dyDescent="0.3">
      <c r="A3252" s="6"/>
    </row>
    <row r="3253" spans="1:1" x14ac:dyDescent="0.3">
      <c r="A3253" s="6"/>
    </row>
    <row r="3254" spans="1:1" x14ac:dyDescent="0.3">
      <c r="A3254" s="6"/>
    </row>
    <row r="3255" spans="1:1" x14ac:dyDescent="0.3">
      <c r="A3255" s="6"/>
    </row>
    <row r="3256" spans="1:1" x14ac:dyDescent="0.3">
      <c r="A3256" s="6"/>
    </row>
    <row r="3257" spans="1:1" x14ac:dyDescent="0.3">
      <c r="A3257" s="6"/>
    </row>
    <row r="3258" spans="1:1" x14ac:dyDescent="0.3">
      <c r="A3258" s="6"/>
    </row>
    <row r="3259" spans="1:1" x14ac:dyDescent="0.3">
      <c r="A3259" s="6"/>
    </row>
    <row r="3260" spans="1:1" x14ac:dyDescent="0.3">
      <c r="A3260" s="6"/>
    </row>
    <row r="3261" spans="1:1" x14ac:dyDescent="0.3">
      <c r="A3261" s="6"/>
    </row>
    <row r="3262" spans="1:1" x14ac:dyDescent="0.3">
      <c r="A3262" s="6"/>
    </row>
    <row r="3263" spans="1:1" x14ac:dyDescent="0.3">
      <c r="A3263" s="6"/>
    </row>
    <row r="3264" spans="1:1" x14ac:dyDescent="0.3">
      <c r="A3264" s="6"/>
    </row>
    <row r="3265" spans="1:1" x14ac:dyDescent="0.3">
      <c r="A3265" s="6"/>
    </row>
    <row r="3266" spans="1:1" x14ac:dyDescent="0.3">
      <c r="A3266" s="6"/>
    </row>
    <row r="3267" spans="1:1" x14ac:dyDescent="0.3">
      <c r="A3267" s="6"/>
    </row>
    <row r="3268" spans="1:1" x14ac:dyDescent="0.3">
      <c r="A3268" s="6"/>
    </row>
    <row r="3269" spans="1:1" x14ac:dyDescent="0.3">
      <c r="A3269" s="6"/>
    </row>
    <row r="3270" spans="1:1" x14ac:dyDescent="0.3">
      <c r="A3270" s="6"/>
    </row>
    <row r="3271" spans="1:1" x14ac:dyDescent="0.3">
      <c r="A3271" s="6"/>
    </row>
    <row r="3272" spans="1:1" x14ac:dyDescent="0.3">
      <c r="A3272" s="6"/>
    </row>
    <row r="3273" spans="1:1" x14ac:dyDescent="0.3">
      <c r="A3273" s="6"/>
    </row>
    <row r="3274" spans="1:1" x14ac:dyDescent="0.3">
      <c r="A3274" s="6"/>
    </row>
    <row r="3275" spans="1:1" x14ac:dyDescent="0.3">
      <c r="A3275" s="6"/>
    </row>
    <row r="3276" spans="1:1" x14ac:dyDescent="0.3">
      <c r="A3276" s="6"/>
    </row>
    <row r="3277" spans="1:1" x14ac:dyDescent="0.3">
      <c r="A3277" s="6"/>
    </row>
    <row r="3278" spans="1:1" x14ac:dyDescent="0.3">
      <c r="A3278" s="6"/>
    </row>
    <row r="3279" spans="1:1" x14ac:dyDescent="0.3">
      <c r="A3279" s="6"/>
    </row>
    <row r="3280" spans="1:1" x14ac:dyDescent="0.3">
      <c r="A3280" s="6"/>
    </row>
    <row r="3281" spans="1:1" x14ac:dyDescent="0.3">
      <c r="A3281" s="6"/>
    </row>
    <row r="3282" spans="1:1" x14ac:dyDescent="0.3">
      <c r="A3282" s="6"/>
    </row>
    <row r="3283" spans="1:1" x14ac:dyDescent="0.3">
      <c r="A3283" s="6"/>
    </row>
    <row r="3284" spans="1:1" x14ac:dyDescent="0.3">
      <c r="A3284" s="6"/>
    </row>
    <row r="3285" spans="1:1" x14ac:dyDescent="0.3">
      <c r="A3285" s="6"/>
    </row>
    <row r="3286" spans="1:1" x14ac:dyDescent="0.3">
      <c r="A3286" s="6"/>
    </row>
    <row r="3287" spans="1:1" x14ac:dyDescent="0.3">
      <c r="A3287" s="6"/>
    </row>
    <row r="3288" spans="1:1" x14ac:dyDescent="0.3">
      <c r="A3288" s="6"/>
    </row>
    <row r="3289" spans="1:1" x14ac:dyDescent="0.3">
      <c r="A3289" s="6"/>
    </row>
    <row r="3290" spans="1:1" x14ac:dyDescent="0.3">
      <c r="A3290" s="6"/>
    </row>
    <row r="3291" spans="1:1" x14ac:dyDescent="0.3">
      <c r="A3291" s="6"/>
    </row>
    <row r="3292" spans="1:1" x14ac:dyDescent="0.3">
      <c r="A3292" s="6"/>
    </row>
    <row r="3293" spans="1:1" x14ac:dyDescent="0.3">
      <c r="A3293" s="6"/>
    </row>
    <row r="3294" spans="1:1" x14ac:dyDescent="0.3">
      <c r="A3294" s="6"/>
    </row>
    <row r="3295" spans="1:1" x14ac:dyDescent="0.3">
      <c r="A3295" s="6"/>
    </row>
    <row r="3296" spans="1:1" x14ac:dyDescent="0.3">
      <c r="A3296" s="6"/>
    </row>
    <row r="3297" spans="1:1" x14ac:dyDescent="0.3">
      <c r="A3297" s="6"/>
    </row>
    <row r="3298" spans="1:1" x14ac:dyDescent="0.3">
      <c r="A3298" s="6"/>
    </row>
    <row r="3299" spans="1:1" x14ac:dyDescent="0.3">
      <c r="A3299" s="6"/>
    </row>
    <row r="3300" spans="1:1" x14ac:dyDescent="0.3">
      <c r="A3300" s="6"/>
    </row>
    <row r="3301" spans="1:1" x14ac:dyDescent="0.3">
      <c r="A3301" s="6"/>
    </row>
    <row r="3302" spans="1:1" x14ac:dyDescent="0.3">
      <c r="A3302" s="6"/>
    </row>
    <row r="3303" spans="1:1" x14ac:dyDescent="0.3">
      <c r="A3303" s="6"/>
    </row>
    <row r="3304" spans="1:1" x14ac:dyDescent="0.3">
      <c r="A3304" s="6"/>
    </row>
    <row r="3305" spans="1:1" x14ac:dyDescent="0.3">
      <c r="A3305" s="6"/>
    </row>
    <row r="3306" spans="1:1" x14ac:dyDescent="0.3">
      <c r="A3306" s="6"/>
    </row>
    <row r="3307" spans="1:1" x14ac:dyDescent="0.3">
      <c r="A3307" s="6"/>
    </row>
    <row r="3308" spans="1:1" x14ac:dyDescent="0.3">
      <c r="A3308" s="6"/>
    </row>
    <row r="3309" spans="1:1" x14ac:dyDescent="0.3">
      <c r="A3309" s="6"/>
    </row>
    <row r="3310" spans="1:1" x14ac:dyDescent="0.3">
      <c r="A3310" s="6"/>
    </row>
    <row r="3311" spans="1:1" x14ac:dyDescent="0.3">
      <c r="A3311" s="6"/>
    </row>
    <row r="3312" spans="1:1" x14ac:dyDescent="0.3">
      <c r="A3312" s="6"/>
    </row>
    <row r="3313" spans="1:1" x14ac:dyDescent="0.3">
      <c r="A3313" s="6"/>
    </row>
    <row r="3314" spans="1:1" x14ac:dyDescent="0.3">
      <c r="A3314" s="6"/>
    </row>
    <row r="3315" spans="1:1" x14ac:dyDescent="0.3">
      <c r="A3315" s="6"/>
    </row>
    <row r="3316" spans="1:1" x14ac:dyDescent="0.3">
      <c r="A3316" s="6"/>
    </row>
    <row r="3317" spans="1:1" x14ac:dyDescent="0.3">
      <c r="A3317" s="6"/>
    </row>
    <row r="3318" spans="1:1" x14ac:dyDescent="0.3">
      <c r="A3318" s="6"/>
    </row>
    <row r="3319" spans="1:1" x14ac:dyDescent="0.3">
      <c r="A3319" s="6"/>
    </row>
    <row r="3320" spans="1:1" x14ac:dyDescent="0.3">
      <c r="A3320" s="6"/>
    </row>
    <row r="3321" spans="1:1" x14ac:dyDescent="0.3">
      <c r="A3321" s="6"/>
    </row>
    <row r="3322" spans="1:1" x14ac:dyDescent="0.3">
      <c r="A3322" s="6"/>
    </row>
    <row r="3323" spans="1:1" x14ac:dyDescent="0.3">
      <c r="A3323" s="6"/>
    </row>
    <row r="3324" spans="1:1" x14ac:dyDescent="0.3">
      <c r="A3324" s="6"/>
    </row>
    <row r="3325" spans="1:1" x14ac:dyDescent="0.3">
      <c r="A3325" s="6"/>
    </row>
    <row r="3326" spans="1:1" x14ac:dyDescent="0.3">
      <c r="A3326" s="6"/>
    </row>
    <row r="3327" spans="1:1" x14ac:dyDescent="0.3">
      <c r="A3327" s="6"/>
    </row>
    <row r="3328" spans="1:1" x14ac:dyDescent="0.3">
      <c r="A3328" s="6"/>
    </row>
    <row r="3329" spans="1:1" x14ac:dyDescent="0.3">
      <c r="A3329" s="6"/>
    </row>
    <row r="3330" spans="1:1" x14ac:dyDescent="0.3">
      <c r="A3330" s="6"/>
    </row>
    <row r="3331" spans="1:1" x14ac:dyDescent="0.3">
      <c r="A3331" s="6"/>
    </row>
    <row r="3332" spans="1:1" x14ac:dyDescent="0.3">
      <c r="A3332" s="6"/>
    </row>
    <row r="3333" spans="1:1" x14ac:dyDescent="0.3">
      <c r="A3333" s="6"/>
    </row>
    <row r="3334" spans="1:1" x14ac:dyDescent="0.3">
      <c r="A3334" s="6"/>
    </row>
    <row r="3335" spans="1:1" x14ac:dyDescent="0.3">
      <c r="A3335" s="6"/>
    </row>
    <row r="3336" spans="1:1" x14ac:dyDescent="0.3">
      <c r="A3336" s="6"/>
    </row>
    <row r="3337" spans="1:1" x14ac:dyDescent="0.3">
      <c r="A3337" s="6"/>
    </row>
    <row r="3338" spans="1:1" x14ac:dyDescent="0.3">
      <c r="A3338" s="6"/>
    </row>
    <row r="3339" spans="1:1" x14ac:dyDescent="0.3">
      <c r="A3339" s="6"/>
    </row>
    <row r="3340" spans="1:1" x14ac:dyDescent="0.3">
      <c r="A3340" s="6"/>
    </row>
    <row r="3341" spans="1:1" x14ac:dyDescent="0.3">
      <c r="A3341" s="6"/>
    </row>
    <row r="3342" spans="1:1" x14ac:dyDescent="0.3">
      <c r="A3342" s="6"/>
    </row>
    <row r="3343" spans="1:1" x14ac:dyDescent="0.3">
      <c r="A3343" s="6"/>
    </row>
    <row r="3344" spans="1:1" x14ac:dyDescent="0.3">
      <c r="A3344" s="6"/>
    </row>
    <row r="3345" spans="1:1" x14ac:dyDescent="0.3">
      <c r="A3345" s="6"/>
    </row>
    <row r="3346" spans="1:1" x14ac:dyDescent="0.3">
      <c r="A3346" s="6"/>
    </row>
    <row r="3347" spans="1:1" x14ac:dyDescent="0.3">
      <c r="A3347" s="6"/>
    </row>
    <row r="3348" spans="1:1" x14ac:dyDescent="0.3">
      <c r="A3348" s="6"/>
    </row>
    <row r="3349" spans="1:1" x14ac:dyDescent="0.3">
      <c r="A3349" s="6"/>
    </row>
    <row r="3350" spans="1:1" x14ac:dyDescent="0.3">
      <c r="A3350" s="6"/>
    </row>
    <row r="3351" spans="1:1" x14ac:dyDescent="0.3">
      <c r="A3351" s="6"/>
    </row>
    <row r="3352" spans="1:1" x14ac:dyDescent="0.3">
      <c r="A3352" s="6"/>
    </row>
    <row r="3353" spans="1:1" x14ac:dyDescent="0.3">
      <c r="A3353" s="6"/>
    </row>
    <row r="3354" spans="1:1" x14ac:dyDescent="0.3">
      <c r="A3354" s="6"/>
    </row>
    <row r="3355" spans="1:1" x14ac:dyDescent="0.3">
      <c r="A3355" s="6"/>
    </row>
    <row r="3356" spans="1:1" x14ac:dyDescent="0.3">
      <c r="A3356" s="6"/>
    </row>
    <row r="3357" spans="1:1" x14ac:dyDescent="0.3">
      <c r="A3357" s="6"/>
    </row>
    <row r="3358" spans="1:1" x14ac:dyDescent="0.3">
      <c r="A3358" s="6"/>
    </row>
    <row r="3359" spans="1:1" x14ac:dyDescent="0.3">
      <c r="A3359" s="6"/>
    </row>
    <row r="3360" spans="1:1" x14ac:dyDescent="0.3">
      <c r="A3360" s="6"/>
    </row>
    <row r="3361" spans="1:1" x14ac:dyDescent="0.3">
      <c r="A3361" s="6"/>
    </row>
    <row r="3362" spans="1:1" x14ac:dyDescent="0.3">
      <c r="A3362" s="6"/>
    </row>
    <row r="3363" spans="1:1" x14ac:dyDescent="0.3">
      <c r="A3363" s="6"/>
    </row>
    <row r="3364" spans="1:1" x14ac:dyDescent="0.3">
      <c r="A3364" s="6"/>
    </row>
    <row r="3365" spans="1:1" x14ac:dyDescent="0.3">
      <c r="A3365" s="6"/>
    </row>
    <row r="3366" spans="1:1" x14ac:dyDescent="0.3">
      <c r="A3366" s="6"/>
    </row>
    <row r="3367" spans="1:1" x14ac:dyDescent="0.3">
      <c r="A3367" s="6"/>
    </row>
    <row r="3368" spans="1:1" x14ac:dyDescent="0.3">
      <c r="A3368" s="6"/>
    </row>
    <row r="3369" spans="1:1" x14ac:dyDescent="0.3">
      <c r="A3369" s="6"/>
    </row>
    <row r="3370" spans="1:1" x14ac:dyDescent="0.3">
      <c r="A3370" s="6"/>
    </row>
    <row r="3371" spans="1:1" x14ac:dyDescent="0.3">
      <c r="A3371" s="6"/>
    </row>
    <row r="3372" spans="1:1" x14ac:dyDescent="0.3">
      <c r="A3372" s="6"/>
    </row>
    <row r="3373" spans="1:1" x14ac:dyDescent="0.3">
      <c r="A3373" s="6"/>
    </row>
    <row r="3374" spans="1:1" x14ac:dyDescent="0.3">
      <c r="A3374" s="6"/>
    </row>
    <row r="3375" spans="1:1" x14ac:dyDescent="0.3">
      <c r="A3375" s="6"/>
    </row>
    <row r="3376" spans="1:1" x14ac:dyDescent="0.3">
      <c r="A3376" s="6"/>
    </row>
    <row r="3377" spans="1:1" x14ac:dyDescent="0.3">
      <c r="A3377" s="6"/>
    </row>
    <row r="3378" spans="1:1" x14ac:dyDescent="0.3">
      <c r="A3378" s="6"/>
    </row>
    <row r="3379" spans="1:1" x14ac:dyDescent="0.3">
      <c r="A3379" s="6"/>
    </row>
    <row r="3380" spans="1:1" x14ac:dyDescent="0.3">
      <c r="A3380" s="6"/>
    </row>
    <row r="3381" spans="1:1" x14ac:dyDescent="0.3">
      <c r="A3381" s="6"/>
    </row>
    <row r="3382" spans="1:1" x14ac:dyDescent="0.3">
      <c r="A3382" s="6"/>
    </row>
    <row r="3383" spans="1:1" x14ac:dyDescent="0.3">
      <c r="A3383" s="6"/>
    </row>
    <row r="3384" spans="1:1" x14ac:dyDescent="0.3">
      <c r="A3384" s="6"/>
    </row>
    <row r="3385" spans="1:1" x14ac:dyDescent="0.3">
      <c r="A3385" s="6"/>
    </row>
    <row r="3386" spans="1:1" x14ac:dyDescent="0.3">
      <c r="A3386" s="6"/>
    </row>
    <row r="3387" spans="1:1" x14ac:dyDescent="0.3">
      <c r="A3387" s="6"/>
    </row>
    <row r="3388" spans="1:1" x14ac:dyDescent="0.3">
      <c r="A3388" s="6"/>
    </row>
    <row r="3389" spans="1:1" x14ac:dyDescent="0.3">
      <c r="A3389" s="6"/>
    </row>
    <row r="3390" spans="1:1" x14ac:dyDescent="0.3">
      <c r="A3390" s="6"/>
    </row>
    <row r="3391" spans="1:1" x14ac:dyDescent="0.3">
      <c r="A3391" s="6"/>
    </row>
    <row r="3392" spans="1:1" x14ac:dyDescent="0.3">
      <c r="A3392" s="6"/>
    </row>
    <row r="3393" spans="1:1" x14ac:dyDescent="0.3">
      <c r="A3393" s="6"/>
    </row>
    <row r="3394" spans="1:1" x14ac:dyDescent="0.3">
      <c r="A3394" s="6"/>
    </row>
    <row r="3395" spans="1:1" x14ac:dyDescent="0.3">
      <c r="A3395" s="6"/>
    </row>
    <row r="3396" spans="1:1" x14ac:dyDescent="0.3">
      <c r="A3396" s="6"/>
    </row>
    <row r="3397" spans="1:1" x14ac:dyDescent="0.3">
      <c r="A3397" s="6"/>
    </row>
    <row r="3398" spans="1:1" x14ac:dyDescent="0.3">
      <c r="A3398" s="6"/>
    </row>
    <row r="3399" spans="1:1" x14ac:dyDescent="0.3">
      <c r="A3399" s="6"/>
    </row>
    <row r="3400" spans="1:1" x14ac:dyDescent="0.3">
      <c r="A3400" s="6"/>
    </row>
    <row r="3401" spans="1:1" x14ac:dyDescent="0.3">
      <c r="A3401" s="6"/>
    </row>
    <row r="3402" spans="1:1" x14ac:dyDescent="0.3">
      <c r="A3402" s="6"/>
    </row>
    <row r="3403" spans="1:1" x14ac:dyDescent="0.3">
      <c r="A3403" s="6"/>
    </row>
    <row r="3404" spans="1:1" x14ac:dyDescent="0.3">
      <c r="A3404" s="6"/>
    </row>
    <row r="3405" spans="1:1" x14ac:dyDescent="0.3">
      <c r="A3405" s="6"/>
    </row>
    <row r="3406" spans="1:1" x14ac:dyDescent="0.3">
      <c r="A3406" s="6"/>
    </row>
    <row r="3407" spans="1:1" x14ac:dyDescent="0.3">
      <c r="A3407" s="6"/>
    </row>
    <row r="3408" spans="1:1" x14ac:dyDescent="0.3">
      <c r="A3408" s="6"/>
    </row>
    <row r="3409" spans="1:1" x14ac:dyDescent="0.3">
      <c r="A3409" s="6"/>
    </row>
    <row r="3410" spans="1:1" x14ac:dyDescent="0.3">
      <c r="A3410" s="6"/>
    </row>
    <row r="3411" spans="1:1" x14ac:dyDescent="0.3">
      <c r="A3411" s="6"/>
    </row>
    <row r="3412" spans="1:1" x14ac:dyDescent="0.3">
      <c r="A3412" s="6"/>
    </row>
    <row r="3413" spans="1:1" x14ac:dyDescent="0.3">
      <c r="A3413" s="6"/>
    </row>
    <row r="3414" spans="1:1" x14ac:dyDescent="0.3">
      <c r="A3414" s="6"/>
    </row>
    <row r="3415" spans="1:1" x14ac:dyDescent="0.3">
      <c r="A3415" s="6"/>
    </row>
    <row r="3416" spans="1:1" x14ac:dyDescent="0.3">
      <c r="A3416" s="6"/>
    </row>
    <row r="3417" spans="1:1" x14ac:dyDescent="0.3">
      <c r="A3417" s="6"/>
    </row>
    <row r="3418" spans="1:1" x14ac:dyDescent="0.3">
      <c r="A3418" s="6"/>
    </row>
    <row r="3419" spans="1:1" x14ac:dyDescent="0.3">
      <c r="A3419" s="6"/>
    </row>
    <row r="3420" spans="1:1" x14ac:dyDescent="0.3">
      <c r="A3420" s="6"/>
    </row>
    <row r="3421" spans="1:1" x14ac:dyDescent="0.3">
      <c r="A3421" s="6"/>
    </row>
    <row r="3422" spans="1:1" x14ac:dyDescent="0.3">
      <c r="A3422" s="6"/>
    </row>
    <row r="3423" spans="1:1" x14ac:dyDescent="0.3">
      <c r="A3423" s="6"/>
    </row>
    <row r="3424" spans="1:1" x14ac:dyDescent="0.3">
      <c r="A3424" s="6"/>
    </row>
    <row r="3425" spans="1:1" x14ac:dyDescent="0.3">
      <c r="A3425" s="6"/>
    </row>
    <row r="3426" spans="1:1" x14ac:dyDescent="0.3">
      <c r="A3426" s="6"/>
    </row>
    <row r="3427" spans="1:1" x14ac:dyDescent="0.3">
      <c r="A3427" s="6"/>
    </row>
    <row r="3428" spans="1:1" x14ac:dyDescent="0.3">
      <c r="A3428" s="6"/>
    </row>
    <row r="3429" spans="1:1" x14ac:dyDescent="0.3">
      <c r="A3429" s="6"/>
    </row>
    <row r="3430" spans="1:1" x14ac:dyDescent="0.3">
      <c r="A3430" s="6"/>
    </row>
    <row r="3431" spans="1:1" x14ac:dyDescent="0.3">
      <c r="A3431" s="6"/>
    </row>
    <row r="3432" spans="1:1" x14ac:dyDescent="0.3">
      <c r="A3432" s="6"/>
    </row>
    <row r="3433" spans="1:1" x14ac:dyDescent="0.3">
      <c r="A3433" s="6"/>
    </row>
    <row r="3434" spans="1:1" x14ac:dyDescent="0.3">
      <c r="A3434" s="6"/>
    </row>
    <row r="3435" spans="1:1" x14ac:dyDescent="0.3">
      <c r="A3435" s="6"/>
    </row>
    <row r="3436" spans="1:1" x14ac:dyDescent="0.3">
      <c r="A3436" s="6"/>
    </row>
    <row r="3437" spans="1:1" x14ac:dyDescent="0.3">
      <c r="A3437" s="6"/>
    </row>
    <row r="3438" spans="1:1" x14ac:dyDescent="0.3">
      <c r="A3438" s="6"/>
    </row>
    <row r="3439" spans="1:1" x14ac:dyDescent="0.3">
      <c r="A3439" s="6"/>
    </row>
    <row r="3440" spans="1:1" x14ac:dyDescent="0.3">
      <c r="A3440" s="6"/>
    </row>
    <row r="3441" spans="1:1" x14ac:dyDescent="0.3">
      <c r="A3441" s="6"/>
    </row>
    <row r="3442" spans="1:1" x14ac:dyDescent="0.3">
      <c r="A3442" s="6"/>
    </row>
    <row r="3443" spans="1:1" x14ac:dyDescent="0.3">
      <c r="A3443" s="6"/>
    </row>
    <row r="3444" spans="1:1" x14ac:dyDescent="0.3">
      <c r="A3444" s="6"/>
    </row>
    <row r="3445" spans="1:1" x14ac:dyDescent="0.3">
      <c r="A3445" s="6"/>
    </row>
    <row r="3446" spans="1:1" x14ac:dyDescent="0.3">
      <c r="A3446" s="6"/>
    </row>
    <row r="3447" spans="1:1" x14ac:dyDescent="0.3">
      <c r="A3447" s="6"/>
    </row>
    <row r="3448" spans="1:1" x14ac:dyDescent="0.3">
      <c r="A3448" s="6"/>
    </row>
    <row r="3449" spans="1:1" x14ac:dyDescent="0.3">
      <c r="A3449" s="6"/>
    </row>
    <row r="3450" spans="1:1" x14ac:dyDescent="0.3">
      <c r="A3450" s="6"/>
    </row>
    <row r="3451" spans="1:1" x14ac:dyDescent="0.3">
      <c r="A3451" s="6"/>
    </row>
    <row r="3452" spans="1:1" x14ac:dyDescent="0.3">
      <c r="A3452" s="6"/>
    </row>
    <row r="3453" spans="1:1" x14ac:dyDescent="0.3">
      <c r="A3453" s="6"/>
    </row>
    <row r="3454" spans="1:1" x14ac:dyDescent="0.3">
      <c r="A3454" s="6"/>
    </row>
    <row r="3455" spans="1:1" x14ac:dyDescent="0.3">
      <c r="A3455" s="6"/>
    </row>
    <row r="3456" spans="1:1" x14ac:dyDescent="0.3">
      <c r="A3456" s="6"/>
    </row>
    <row r="3457" spans="1:1" x14ac:dyDescent="0.3">
      <c r="A3457" s="6"/>
    </row>
    <row r="3458" spans="1:1" x14ac:dyDescent="0.3">
      <c r="A3458" s="6"/>
    </row>
    <row r="3459" spans="1:1" x14ac:dyDescent="0.3">
      <c r="A3459" s="6"/>
    </row>
    <row r="3460" spans="1:1" x14ac:dyDescent="0.3">
      <c r="A3460" s="6"/>
    </row>
    <row r="3461" spans="1:1" x14ac:dyDescent="0.3">
      <c r="A3461" s="6"/>
    </row>
    <row r="3462" spans="1:1" x14ac:dyDescent="0.3">
      <c r="A3462" s="6"/>
    </row>
    <row r="3463" spans="1:1" x14ac:dyDescent="0.3">
      <c r="A3463" s="6"/>
    </row>
    <row r="3464" spans="1:1" x14ac:dyDescent="0.3">
      <c r="A3464" s="6"/>
    </row>
    <row r="3465" spans="1:1" x14ac:dyDescent="0.3">
      <c r="A3465" s="6"/>
    </row>
    <row r="3466" spans="1:1" x14ac:dyDescent="0.3">
      <c r="A3466" s="6"/>
    </row>
    <row r="3467" spans="1:1" x14ac:dyDescent="0.3">
      <c r="A3467" s="6"/>
    </row>
    <row r="3468" spans="1:1" x14ac:dyDescent="0.3">
      <c r="A3468" s="6"/>
    </row>
    <row r="3469" spans="1:1" x14ac:dyDescent="0.3">
      <c r="A3469" s="6"/>
    </row>
    <row r="3470" spans="1:1" x14ac:dyDescent="0.3">
      <c r="A3470" s="6"/>
    </row>
    <row r="3471" spans="1:1" x14ac:dyDescent="0.3">
      <c r="A3471" s="6"/>
    </row>
    <row r="3472" spans="1:1" x14ac:dyDescent="0.3">
      <c r="A3472" s="6"/>
    </row>
    <row r="3473" spans="1:1" x14ac:dyDescent="0.3">
      <c r="A3473" s="6"/>
    </row>
    <row r="3474" spans="1:1" x14ac:dyDescent="0.3">
      <c r="A3474" s="6"/>
    </row>
    <row r="3475" spans="1:1" x14ac:dyDescent="0.3">
      <c r="A3475" s="6"/>
    </row>
    <row r="3476" spans="1:1" x14ac:dyDescent="0.3">
      <c r="A3476" s="6"/>
    </row>
    <row r="3477" spans="1:1" x14ac:dyDescent="0.3">
      <c r="A3477" s="6"/>
    </row>
    <row r="3478" spans="1:1" x14ac:dyDescent="0.3">
      <c r="A3478" s="6"/>
    </row>
    <row r="3479" spans="1:1" x14ac:dyDescent="0.3">
      <c r="A3479" s="6"/>
    </row>
    <row r="3480" spans="1:1" x14ac:dyDescent="0.3">
      <c r="A3480" s="6"/>
    </row>
    <row r="3481" spans="1:1" x14ac:dyDescent="0.3">
      <c r="A3481" s="6"/>
    </row>
    <row r="3482" spans="1:1" x14ac:dyDescent="0.3">
      <c r="A3482" s="6"/>
    </row>
    <row r="3483" spans="1:1" x14ac:dyDescent="0.3">
      <c r="A3483" s="6"/>
    </row>
    <row r="3484" spans="1:1" x14ac:dyDescent="0.3">
      <c r="A3484" s="6"/>
    </row>
    <row r="3485" spans="1:1" x14ac:dyDescent="0.3">
      <c r="A3485" s="6"/>
    </row>
    <row r="3486" spans="1:1" x14ac:dyDescent="0.3">
      <c r="A3486" s="6"/>
    </row>
    <row r="3487" spans="1:1" x14ac:dyDescent="0.3">
      <c r="A3487" s="6"/>
    </row>
    <row r="3488" spans="1:1" x14ac:dyDescent="0.3">
      <c r="A3488" s="6"/>
    </row>
    <row r="3489" spans="1:1" x14ac:dyDescent="0.3">
      <c r="A3489" s="6"/>
    </row>
    <row r="3490" spans="1:1" x14ac:dyDescent="0.3">
      <c r="A3490" s="6"/>
    </row>
    <row r="3491" spans="1:1" x14ac:dyDescent="0.3">
      <c r="A3491" s="6"/>
    </row>
    <row r="3492" spans="1:1" x14ac:dyDescent="0.3">
      <c r="A3492" s="6"/>
    </row>
    <row r="3493" spans="1:1" x14ac:dyDescent="0.3">
      <c r="A3493" s="6"/>
    </row>
    <row r="3494" spans="1:1" x14ac:dyDescent="0.3">
      <c r="A3494" s="6"/>
    </row>
    <row r="3495" spans="1:1" x14ac:dyDescent="0.3">
      <c r="A3495" s="6"/>
    </row>
    <row r="3496" spans="1:1" x14ac:dyDescent="0.3">
      <c r="A3496" s="6"/>
    </row>
    <row r="3497" spans="1:1" x14ac:dyDescent="0.3">
      <c r="A3497" s="6"/>
    </row>
    <row r="3498" spans="1:1" x14ac:dyDescent="0.3">
      <c r="A3498" s="6"/>
    </row>
    <row r="3499" spans="1:1" x14ac:dyDescent="0.3">
      <c r="A3499" s="6"/>
    </row>
    <row r="3500" spans="1:1" x14ac:dyDescent="0.3">
      <c r="A3500" s="6"/>
    </row>
    <row r="3501" spans="1:1" x14ac:dyDescent="0.3">
      <c r="A3501" s="6"/>
    </row>
    <row r="3502" spans="1:1" x14ac:dyDescent="0.3">
      <c r="A3502" s="6"/>
    </row>
    <row r="3503" spans="1:1" x14ac:dyDescent="0.3">
      <c r="A3503" s="6"/>
    </row>
    <row r="3504" spans="1:1" x14ac:dyDescent="0.3">
      <c r="A3504" s="6"/>
    </row>
    <row r="3505" spans="1:1" x14ac:dyDescent="0.3">
      <c r="A3505" s="6"/>
    </row>
    <row r="3506" spans="1:1" x14ac:dyDescent="0.3">
      <c r="A3506" s="6"/>
    </row>
    <row r="3507" spans="1:1" x14ac:dyDescent="0.3">
      <c r="A3507" s="6"/>
    </row>
    <row r="3508" spans="1:1" x14ac:dyDescent="0.3">
      <c r="A3508" s="6"/>
    </row>
    <row r="3509" spans="1:1" x14ac:dyDescent="0.3">
      <c r="A3509" s="6"/>
    </row>
    <row r="3510" spans="1:1" x14ac:dyDescent="0.3">
      <c r="A3510" s="6"/>
    </row>
    <row r="3511" spans="1:1" x14ac:dyDescent="0.3">
      <c r="A3511" s="6"/>
    </row>
    <row r="3512" spans="1:1" x14ac:dyDescent="0.3">
      <c r="A3512" s="6"/>
    </row>
    <row r="3513" spans="1:1" x14ac:dyDescent="0.3">
      <c r="A3513" s="6"/>
    </row>
    <row r="3514" spans="1:1" x14ac:dyDescent="0.3">
      <c r="A3514" s="6"/>
    </row>
    <row r="3515" spans="1:1" x14ac:dyDescent="0.3">
      <c r="A3515" s="6"/>
    </row>
    <row r="3516" spans="1:1" x14ac:dyDescent="0.3">
      <c r="A3516" s="6"/>
    </row>
    <row r="3517" spans="1:1" x14ac:dyDescent="0.3">
      <c r="A3517" s="6"/>
    </row>
    <row r="3518" spans="1:1" x14ac:dyDescent="0.3">
      <c r="A3518" s="6"/>
    </row>
    <row r="3519" spans="1:1" x14ac:dyDescent="0.3">
      <c r="A3519" s="6"/>
    </row>
    <row r="3520" spans="1:1" x14ac:dyDescent="0.3">
      <c r="A3520" s="6"/>
    </row>
    <row r="3521" spans="1:1" x14ac:dyDescent="0.3">
      <c r="A3521" s="6"/>
    </row>
    <row r="3522" spans="1:1" x14ac:dyDescent="0.3">
      <c r="A3522" s="6"/>
    </row>
    <row r="3523" spans="1:1" x14ac:dyDescent="0.3">
      <c r="A3523" s="6"/>
    </row>
    <row r="3524" spans="1:1" x14ac:dyDescent="0.3">
      <c r="A3524" s="6"/>
    </row>
    <row r="3525" spans="1:1" x14ac:dyDescent="0.3">
      <c r="A3525" s="6"/>
    </row>
    <row r="3526" spans="1:1" x14ac:dyDescent="0.3">
      <c r="A3526" s="6"/>
    </row>
    <row r="3527" spans="1:1" x14ac:dyDescent="0.3">
      <c r="A3527" s="6"/>
    </row>
    <row r="3528" spans="1:1" x14ac:dyDescent="0.3">
      <c r="A3528" s="6"/>
    </row>
    <row r="3529" spans="1:1" x14ac:dyDescent="0.3">
      <c r="A3529" s="6"/>
    </row>
    <row r="3530" spans="1:1" x14ac:dyDescent="0.3">
      <c r="A3530" s="6"/>
    </row>
    <row r="3531" spans="1:1" x14ac:dyDescent="0.3">
      <c r="A3531" s="6"/>
    </row>
    <row r="3532" spans="1:1" x14ac:dyDescent="0.3">
      <c r="A3532" s="6"/>
    </row>
    <row r="3533" spans="1:1" x14ac:dyDescent="0.3">
      <c r="A3533" s="6"/>
    </row>
    <row r="3534" spans="1:1" x14ac:dyDescent="0.3">
      <c r="A3534" s="6"/>
    </row>
    <row r="3535" spans="1:1" x14ac:dyDescent="0.3">
      <c r="A3535" s="6"/>
    </row>
    <row r="3536" spans="1:1" x14ac:dyDescent="0.3">
      <c r="A3536" s="6"/>
    </row>
    <row r="3537" spans="1:1" x14ac:dyDescent="0.3">
      <c r="A3537" s="6"/>
    </row>
    <row r="3538" spans="1:1" x14ac:dyDescent="0.3">
      <c r="A3538" s="6"/>
    </row>
    <row r="3539" spans="1:1" x14ac:dyDescent="0.3">
      <c r="A3539" s="6"/>
    </row>
    <row r="3540" spans="1:1" x14ac:dyDescent="0.3">
      <c r="A3540" s="6"/>
    </row>
    <row r="3541" spans="1:1" x14ac:dyDescent="0.3">
      <c r="A3541" s="6"/>
    </row>
    <row r="3542" spans="1:1" x14ac:dyDescent="0.3">
      <c r="A3542" s="6"/>
    </row>
    <row r="3543" spans="1:1" x14ac:dyDescent="0.3">
      <c r="A3543" s="6"/>
    </row>
    <row r="3544" spans="1:1" x14ac:dyDescent="0.3">
      <c r="A3544" s="6"/>
    </row>
    <row r="3545" spans="1:1" x14ac:dyDescent="0.3">
      <c r="A3545" s="6"/>
    </row>
    <row r="3546" spans="1:1" x14ac:dyDescent="0.3">
      <c r="A3546" s="6"/>
    </row>
    <row r="3547" spans="1:1" x14ac:dyDescent="0.3">
      <c r="A3547" s="6"/>
    </row>
    <row r="3548" spans="1:1" x14ac:dyDescent="0.3">
      <c r="A3548" s="6"/>
    </row>
    <row r="3549" spans="1:1" x14ac:dyDescent="0.3">
      <c r="A3549" s="6"/>
    </row>
    <row r="3550" spans="1:1" x14ac:dyDescent="0.3">
      <c r="A3550" s="6"/>
    </row>
    <row r="3551" spans="1:1" x14ac:dyDescent="0.3">
      <c r="A3551" s="6"/>
    </row>
    <row r="3552" spans="1:1" x14ac:dyDescent="0.3">
      <c r="A3552" s="6"/>
    </row>
    <row r="3553" spans="1:1" x14ac:dyDescent="0.3">
      <c r="A3553" s="6"/>
    </row>
    <row r="3554" spans="1:1" x14ac:dyDescent="0.3">
      <c r="A3554" s="6"/>
    </row>
    <row r="3555" spans="1:1" x14ac:dyDescent="0.3">
      <c r="A3555" s="6"/>
    </row>
    <row r="3556" spans="1:1" x14ac:dyDescent="0.3">
      <c r="A3556" s="6"/>
    </row>
    <row r="3557" spans="1:1" x14ac:dyDescent="0.3">
      <c r="A3557" s="6"/>
    </row>
    <row r="3558" spans="1:1" x14ac:dyDescent="0.3">
      <c r="A3558" s="6"/>
    </row>
    <row r="3559" spans="1:1" x14ac:dyDescent="0.3">
      <c r="A3559" s="6"/>
    </row>
    <row r="3560" spans="1:1" x14ac:dyDescent="0.3">
      <c r="A3560" s="6"/>
    </row>
    <row r="3561" spans="1:1" x14ac:dyDescent="0.3">
      <c r="A3561" s="6"/>
    </row>
    <row r="3562" spans="1:1" x14ac:dyDescent="0.3">
      <c r="A3562" s="6"/>
    </row>
    <row r="3563" spans="1:1" x14ac:dyDescent="0.3">
      <c r="A3563" s="6"/>
    </row>
    <row r="3564" spans="1:1" x14ac:dyDescent="0.3">
      <c r="A3564" s="6"/>
    </row>
    <row r="3565" spans="1:1" x14ac:dyDescent="0.3">
      <c r="A3565" s="6"/>
    </row>
    <row r="3566" spans="1:1" x14ac:dyDescent="0.3">
      <c r="A3566" s="6"/>
    </row>
    <row r="3567" spans="1:1" x14ac:dyDescent="0.3">
      <c r="A3567" s="6"/>
    </row>
    <row r="3568" spans="1:1" x14ac:dyDescent="0.3">
      <c r="A3568" s="6"/>
    </row>
    <row r="3569" spans="1:1" x14ac:dyDescent="0.3">
      <c r="A3569" s="6"/>
    </row>
    <row r="3570" spans="1:1" x14ac:dyDescent="0.3">
      <c r="A3570" s="6"/>
    </row>
    <row r="3571" spans="1:1" x14ac:dyDescent="0.3">
      <c r="A3571" s="6"/>
    </row>
    <row r="3572" spans="1:1" x14ac:dyDescent="0.3">
      <c r="A3572" s="6"/>
    </row>
    <row r="3573" spans="1:1" x14ac:dyDescent="0.3">
      <c r="A3573" s="6"/>
    </row>
    <row r="3574" spans="1:1" x14ac:dyDescent="0.3">
      <c r="A3574" s="6"/>
    </row>
    <row r="3575" spans="1:1" x14ac:dyDescent="0.3">
      <c r="A3575" s="6"/>
    </row>
    <row r="3576" spans="1:1" x14ac:dyDescent="0.3">
      <c r="A3576" s="6"/>
    </row>
    <row r="3577" spans="1:1" x14ac:dyDescent="0.3">
      <c r="A3577" s="6"/>
    </row>
    <row r="3578" spans="1:1" x14ac:dyDescent="0.3">
      <c r="A3578" s="6"/>
    </row>
    <row r="3579" spans="1:1" x14ac:dyDescent="0.3">
      <c r="A3579" s="6"/>
    </row>
    <row r="3580" spans="1:1" x14ac:dyDescent="0.3">
      <c r="A3580" s="6"/>
    </row>
    <row r="3581" spans="1:1" x14ac:dyDescent="0.3">
      <c r="A3581" s="6"/>
    </row>
    <row r="3582" spans="1:1" x14ac:dyDescent="0.3">
      <c r="A3582" s="6"/>
    </row>
    <row r="3583" spans="1:1" x14ac:dyDescent="0.3">
      <c r="A3583" s="6"/>
    </row>
    <row r="3584" spans="1:1" x14ac:dyDescent="0.3">
      <c r="A3584" s="6"/>
    </row>
    <row r="3585" spans="1:1" x14ac:dyDescent="0.3">
      <c r="A3585" s="6"/>
    </row>
    <row r="3586" spans="1:1" x14ac:dyDescent="0.3">
      <c r="A3586" s="6"/>
    </row>
    <row r="3587" spans="1:1" x14ac:dyDescent="0.3">
      <c r="A3587" s="6"/>
    </row>
    <row r="3588" spans="1:1" x14ac:dyDescent="0.3">
      <c r="A3588" s="6"/>
    </row>
    <row r="3589" spans="1:1" x14ac:dyDescent="0.3">
      <c r="A3589" s="6"/>
    </row>
    <row r="3590" spans="1:1" x14ac:dyDescent="0.3">
      <c r="A3590" s="6"/>
    </row>
    <row r="3591" spans="1:1" x14ac:dyDescent="0.3">
      <c r="A3591" s="6"/>
    </row>
    <row r="3592" spans="1:1" x14ac:dyDescent="0.3">
      <c r="A3592" s="6"/>
    </row>
    <row r="3593" spans="1:1" x14ac:dyDescent="0.3">
      <c r="A3593" s="6"/>
    </row>
    <row r="3594" spans="1:1" x14ac:dyDescent="0.3">
      <c r="A3594" s="6"/>
    </row>
    <row r="3595" spans="1:1" x14ac:dyDescent="0.3">
      <c r="A3595" s="6"/>
    </row>
    <row r="3596" spans="1:1" x14ac:dyDescent="0.3">
      <c r="A3596" s="6"/>
    </row>
    <row r="3597" spans="1:1" x14ac:dyDescent="0.3">
      <c r="A3597" s="6"/>
    </row>
    <row r="3598" spans="1:1" x14ac:dyDescent="0.3">
      <c r="A3598" s="6"/>
    </row>
    <row r="3599" spans="1:1" x14ac:dyDescent="0.3">
      <c r="A3599" s="6"/>
    </row>
    <row r="3600" spans="1:1" x14ac:dyDescent="0.3">
      <c r="A3600" s="6"/>
    </row>
    <row r="3601" spans="1:1" x14ac:dyDescent="0.3">
      <c r="A3601" s="6"/>
    </row>
    <row r="3602" spans="1:1" x14ac:dyDescent="0.3">
      <c r="A3602" s="6"/>
    </row>
    <row r="3603" spans="1:1" x14ac:dyDescent="0.3">
      <c r="A3603" s="6"/>
    </row>
    <row r="3604" spans="1:1" x14ac:dyDescent="0.3">
      <c r="A3604" s="6"/>
    </row>
    <row r="3605" spans="1:1" x14ac:dyDescent="0.3">
      <c r="A3605" s="6"/>
    </row>
    <row r="3606" spans="1:1" x14ac:dyDescent="0.3">
      <c r="A3606" s="6"/>
    </row>
    <row r="3607" spans="1:1" x14ac:dyDescent="0.3">
      <c r="A3607" s="6"/>
    </row>
    <row r="3608" spans="1:1" x14ac:dyDescent="0.3">
      <c r="A3608" s="6"/>
    </row>
    <row r="3609" spans="1:1" x14ac:dyDescent="0.3">
      <c r="A3609" s="6"/>
    </row>
    <row r="3610" spans="1:1" x14ac:dyDescent="0.3">
      <c r="A3610" s="6"/>
    </row>
    <row r="3611" spans="1:1" x14ac:dyDescent="0.3">
      <c r="A3611" s="6"/>
    </row>
    <row r="3612" spans="1:1" x14ac:dyDescent="0.3">
      <c r="A3612" s="6"/>
    </row>
    <row r="3613" spans="1:1" x14ac:dyDescent="0.3">
      <c r="A3613" s="6"/>
    </row>
    <row r="3614" spans="1:1" x14ac:dyDescent="0.3">
      <c r="A3614" s="6"/>
    </row>
    <row r="3615" spans="1:1" x14ac:dyDescent="0.3">
      <c r="A3615" s="6"/>
    </row>
    <row r="3616" spans="1:1" x14ac:dyDescent="0.3">
      <c r="A3616" s="6"/>
    </row>
    <row r="3617" spans="1:1" x14ac:dyDescent="0.3">
      <c r="A3617" s="6"/>
    </row>
    <row r="3618" spans="1:1" x14ac:dyDescent="0.3">
      <c r="A3618" s="6"/>
    </row>
    <row r="3619" spans="1:1" x14ac:dyDescent="0.3">
      <c r="A3619" s="6"/>
    </row>
    <row r="3620" spans="1:1" x14ac:dyDescent="0.3">
      <c r="A3620" s="6"/>
    </row>
    <row r="3621" spans="1:1" x14ac:dyDescent="0.3">
      <c r="A3621" s="6"/>
    </row>
    <row r="3622" spans="1:1" x14ac:dyDescent="0.3">
      <c r="A3622" s="6"/>
    </row>
    <row r="3623" spans="1:1" x14ac:dyDescent="0.3">
      <c r="A3623" s="6"/>
    </row>
    <row r="3624" spans="1:1" x14ac:dyDescent="0.3">
      <c r="A3624" s="6"/>
    </row>
    <row r="3625" spans="1:1" x14ac:dyDescent="0.3">
      <c r="A3625" s="6"/>
    </row>
    <row r="3626" spans="1:1" x14ac:dyDescent="0.3">
      <c r="A3626" s="6"/>
    </row>
    <row r="3627" spans="1:1" x14ac:dyDescent="0.3">
      <c r="A3627" s="6"/>
    </row>
    <row r="3628" spans="1:1" x14ac:dyDescent="0.3">
      <c r="A3628" s="6"/>
    </row>
    <row r="3629" spans="1:1" x14ac:dyDescent="0.3">
      <c r="A3629" s="6"/>
    </row>
    <row r="3630" spans="1:1" x14ac:dyDescent="0.3">
      <c r="A3630" s="6"/>
    </row>
    <row r="3631" spans="1:1" x14ac:dyDescent="0.3">
      <c r="A3631" s="6"/>
    </row>
    <row r="3632" spans="1:1" x14ac:dyDescent="0.3">
      <c r="A3632" s="6"/>
    </row>
    <row r="3633" spans="1:1" x14ac:dyDescent="0.3">
      <c r="A3633" s="6"/>
    </row>
    <row r="3634" spans="1:1" x14ac:dyDescent="0.3">
      <c r="A3634" s="6"/>
    </row>
    <row r="3635" spans="1:1" x14ac:dyDescent="0.3">
      <c r="A3635" s="6"/>
    </row>
    <row r="3636" spans="1:1" x14ac:dyDescent="0.3">
      <c r="A3636" s="6"/>
    </row>
    <row r="3637" spans="1:1" x14ac:dyDescent="0.3">
      <c r="A3637" s="6"/>
    </row>
    <row r="3638" spans="1:1" x14ac:dyDescent="0.3">
      <c r="A3638" s="6"/>
    </row>
    <row r="3639" spans="1:1" x14ac:dyDescent="0.3">
      <c r="A3639" s="6"/>
    </row>
    <row r="3640" spans="1:1" x14ac:dyDescent="0.3">
      <c r="A3640" s="6"/>
    </row>
    <row r="3641" spans="1:1" x14ac:dyDescent="0.3">
      <c r="A3641" s="6"/>
    </row>
    <row r="3642" spans="1:1" x14ac:dyDescent="0.3">
      <c r="A3642" s="6"/>
    </row>
    <row r="3643" spans="1:1" x14ac:dyDescent="0.3">
      <c r="A3643" s="6"/>
    </row>
    <row r="3644" spans="1:1" x14ac:dyDescent="0.3">
      <c r="A3644" s="6"/>
    </row>
    <row r="3645" spans="1:1" x14ac:dyDescent="0.3">
      <c r="A3645" s="6"/>
    </row>
    <row r="3646" spans="1:1" x14ac:dyDescent="0.3">
      <c r="A3646" s="6"/>
    </row>
    <row r="3647" spans="1:1" x14ac:dyDescent="0.3">
      <c r="A3647" s="6"/>
    </row>
    <row r="3648" spans="1:1" x14ac:dyDescent="0.3">
      <c r="A3648" s="6"/>
    </row>
    <row r="3649" spans="1:1" x14ac:dyDescent="0.3">
      <c r="A3649" s="6"/>
    </row>
    <row r="3650" spans="1:1" x14ac:dyDescent="0.3">
      <c r="A3650" s="6"/>
    </row>
    <row r="3651" spans="1:1" x14ac:dyDescent="0.3">
      <c r="A3651" s="6"/>
    </row>
    <row r="3652" spans="1:1" x14ac:dyDescent="0.3">
      <c r="A3652" s="6"/>
    </row>
    <row r="3653" spans="1:1" x14ac:dyDescent="0.3">
      <c r="A3653" s="6"/>
    </row>
    <row r="3654" spans="1:1" x14ac:dyDescent="0.3">
      <c r="A3654" s="6"/>
    </row>
    <row r="3655" spans="1:1" x14ac:dyDescent="0.3">
      <c r="A3655" s="6"/>
    </row>
    <row r="3656" spans="1:1" x14ac:dyDescent="0.3">
      <c r="A3656" s="6"/>
    </row>
    <row r="3657" spans="1:1" x14ac:dyDescent="0.3">
      <c r="A3657" s="6"/>
    </row>
    <row r="3658" spans="1:1" x14ac:dyDescent="0.3">
      <c r="A3658" s="6"/>
    </row>
    <row r="3659" spans="1:1" x14ac:dyDescent="0.3">
      <c r="A3659" s="6"/>
    </row>
    <row r="3660" spans="1:1" x14ac:dyDescent="0.3">
      <c r="A3660" s="6"/>
    </row>
    <row r="3661" spans="1:1" x14ac:dyDescent="0.3">
      <c r="A3661" s="6"/>
    </row>
    <row r="3662" spans="1:1" x14ac:dyDescent="0.3">
      <c r="A3662" s="6"/>
    </row>
    <row r="3663" spans="1:1" x14ac:dyDescent="0.3">
      <c r="A3663" s="6"/>
    </row>
    <row r="3664" spans="1:1" x14ac:dyDescent="0.3">
      <c r="A3664" s="6"/>
    </row>
    <row r="3665" spans="1:1" x14ac:dyDescent="0.3">
      <c r="A3665" s="6"/>
    </row>
    <row r="3666" spans="1:1" x14ac:dyDescent="0.3">
      <c r="A3666" s="6"/>
    </row>
    <row r="3667" spans="1:1" x14ac:dyDescent="0.3">
      <c r="A3667" s="6"/>
    </row>
    <row r="3668" spans="1:1" x14ac:dyDescent="0.3">
      <c r="A3668" s="6"/>
    </row>
    <row r="3669" spans="1:1" x14ac:dyDescent="0.3">
      <c r="A3669" s="6"/>
    </row>
    <row r="3670" spans="1:1" x14ac:dyDescent="0.3">
      <c r="A3670" s="6"/>
    </row>
    <row r="3671" spans="1:1" x14ac:dyDescent="0.3">
      <c r="A3671" s="6"/>
    </row>
    <row r="3672" spans="1:1" x14ac:dyDescent="0.3">
      <c r="A3672" s="6"/>
    </row>
    <row r="3673" spans="1:1" x14ac:dyDescent="0.3">
      <c r="A3673" s="6"/>
    </row>
    <row r="3674" spans="1:1" x14ac:dyDescent="0.3">
      <c r="A3674" s="6"/>
    </row>
    <row r="3675" spans="1:1" x14ac:dyDescent="0.3">
      <c r="A3675" s="6"/>
    </row>
    <row r="3676" spans="1:1" x14ac:dyDescent="0.3">
      <c r="A3676" s="6"/>
    </row>
    <row r="3677" spans="1:1" x14ac:dyDescent="0.3">
      <c r="A3677" s="6"/>
    </row>
    <row r="3678" spans="1:1" x14ac:dyDescent="0.3">
      <c r="A3678" s="6"/>
    </row>
    <row r="3679" spans="1:1" x14ac:dyDescent="0.3">
      <c r="A3679" s="6"/>
    </row>
    <row r="3680" spans="1:1" x14ac:dyDescent="0.3">
      <c r="A3680" s="6"/>
    </row>
    <row r="3681" spans="1:1" x14ac:dyDescent="0.3">
      <c r="A3681" s="6"/>
    </row>
    <row r="3682" spans="1:1" x14ac:dyDescent="0.3">
      <c r="A3682" s="6"/>
    </row>
    <row r="3683" spans="1:1" x14ac:dyDescent="0.3">
      <c r="A3683" s="6"/>
    </row>
    <row r="3684" spans="1:1" x14ac:dyDescent="0.3">
      <c r="A3684" s="6"/>
    </row>
    <row r="3685" spans="1:1" x14ac:dyDescent="0.3">
      <c r="A3685" s="6"/>
    </row>
    <row r="3686" spans="1:1" x14ac:dyDescent="0.3">
      <c r="A3686" s="6"/>
    </row>
    <row r="3687" spans="1:1" x14ac:dyDescent="0.3">
      <c r="A3687" s="6"/>
    </row>
    <row r="3688" spans="1:1" x14ac:dyDescent="0.3">
      <c r="A3688" s="6"/>
    </row>
    <row r="3689" spans="1:1" x14ac:dyDescent="0.3">
      <c r="A3689" s="6"/>
    </row>
    <row r="3690" spans="1:1" x14ac:dyDescent="0.3">
      <c r="A3690" s="6"/>
    </row>
    <row r="3691" spans="1:1" x14ac:dyDescent="0.3">
      <c r="A3691" s="6"/>
    </row>
    <row r="3692" spans="1:1" x14ac:dyDescent="0.3">
      <c r="A3692" s="6"/>
    </row>
    <row r="3693" spans="1:1" x14ac:dyDescent="0.3">
      <c r="A3693" s="6"/>
    </row>
    <row r="3694" spans="1:1" x14ac:dyDescent="0.3">
      <c r="A3694" s="6"/>
    </row>
    <row r="3695" spans="1:1" x14ac:dyDescent="0.3">
      <c r="A3695" s="6"/>
    </row>
    <row r="3696" spans="1:1" x14ac:dyDescent="0.3">
      <c r="A3696" s="6"/>
    </row>
    <row r="3697" spans="1:1" x14ac:dyDescent="0.3">
      <c r="A3697" s="6"/>
    </row>
    <row r="3698" spans="1:1" x14ac:dyDescent="0.3">
      <c r="A3698" s="6"/>
    </row>
    <row r="3699" spans="1:1" x14ac:dyDescent="0.3">
      <c r="A3699" s="6"/>
    </row>
    <row r="3700" spans="1:1" x14ac:dyDescent="0.3">
      <c r="A3700" s="6"/>
    </row>
    <row r="3701" spans="1:1" x14ac:dyDescent="0.3">
      <c r="A3701" s="6"/>
    </row>
    <row r="3702" spans="1:1" x14ac:dyDescent="0.3">
      <c r="A3702" s="6"/>
    </row>
    <row r="3703" spans="1:1" x14ac:dyDescent="0.3">
      <c r="A3703" s="6"/>
    </row>
    <row r="3704" spans="1:1" x14ac:dyDescent="0.3">
      <c r="A3704" s="6"/>
    </row>
    <row r="3705" spans="1:1" x14ac:dyDescent="0.3">
      <c r="A3705" s="6"/>
    </row>
    <row r="3706" spans="1:1" x14ac:dyDescent="0.3">
      <c r="A3706" s="6"/>
    </row>
    <row r="3707" spans="1:1" x14ac:dyDescent="0.3">
      <c r="A3707" s="6"/>
    </row>
    <row r="3708" spans="1:1" x14ac:dyDescent="0.3">
      <c r="A3708" s="6"/>
    </row>
    <row r="3709" spans="1:1" x14ac:dyDescent="0.3">
      <c r="A3709" s="6"/>
    </row>
    <row r="3710" spans="1:1" x14ac:dyDescent="0.3">
      <c r="A3710" s="6"/>
    </row>
    <row r="3711" spans="1:1" x14ac:dyDescent="0.3">
      <c r="A3711" s="6"/>
    </row>
    <row r="3712" spans="1:1" x14ac:dyDescent="0.3">
      <c r="A3712" s="6"/>
    </row>
    <row r="3713" spans="1:1" x14ac:dyDescent="0.3">
      <c r="A3713" s="6"/>
    </row>
    <row r="3714" spans="1:1" x14ac:dyDescent="0.3">
      <c r="A3714" s="6"/>
    </row>
    <row r="3715" spans="1:1" x14ac:dyDescent="0.3">
      <c r="A3715" s="6"/>
    </row>
    <row r="3716" spans="1:1" x14ac:dyDescent="0.3">
      <c r="A3716" s="6"/>
    </row>
    <row r="3717" spans="1:1" x14ac:dyDescent="0.3">
      <c r="A3717" s="6"/>
    </row>
    <row r="3718" spans="1:1" x14ac:dyDescent="0.3">
      <c r="A3718" s="6"/>
    </row>
    <row r="3719" spans="1:1" x14ac:dyDescent="0.3">
      <c r="A3719" s="6"/>
    </row>
    <row r="3720" spans="1:1" x14ac:dyDescent="0.3">
      <c r="A3720" s="6"/>
    </row>
    <row r="3721" spans="1:1" x14ac:dyDescent="0.3">
      <c r="A3721" s="6"/>
    </row>
    <row r="3722" spans="1:1" x14ac:dyDescent="0.3">
      <c r="A3722" s="6"/>
    </row>
    <row r="3723" spans="1:1" x14ac:dyDescent="0.3">
      <c r="A3723" s="6"/>
    </row>
    <row r="3724" spans="1:1" x14ac:dyDescent="0.3">
      <c r="A3724" s="6"/>
    </row>
    <row r="3725" spans="1:1" x14ac:dyDescent="0.3">
      <c r="A3725" s="6"/>
    </row>
    <row r="3726" spans="1:1" x14ac:dyDescent="0.3">
      <c r="A3726" s="6"/>
    </row>
    <row r="3727" spans="1:1" x14ac:dyDescent="0.3">
      <c r="A3727" s="6"/>
    </row>
    <row r="3728" spans="1:1" x14ac:dyDescent="0.3">
      <c r="A3728" s="6"/>
    </row>
    <row r="3729" spans="1:1" x14ac:dyDescent="0.3">
      <c r="A3729" s="6"/>
    </row>
    <row r="3730" spans="1:1" x14ac:dyDescent="0.3">
      <c r="A3730" s="6"/>
    </row>
    <row r="3731" spans="1:1" x14ac:dyDescent="0.3">
      <c r="A3731" s="6"/>
    </row>
    <row r="3732" spans="1:1" x14ac:dyDescent="0.3">
      <c r="A3732" s="6"/>
    </row>
    <row r="3733" spans="1:1" x14ac:dyDescent="0.3">
      <c r="A3733" s="6"/>
    </row>
    <row r="3734" spans="1:1" x14ac:dyDescent="0.3">
      <c r="A3734" s="6"/>
    </row>
    <row r="3735" spans="1:1" x14ac:dyDescent="0.3">
      <c r="A3735" s="6"/>
    </row>
    <row r="3736" spans="1:1" x14ac:dyDescent="0.3">
      <c r="A3736" s="6"/>
    </row>
    <row r="3737" spans="1:1" x14ac:dyDescent="0.3">
      <c r="A3737" s="6"/>
    </row>
    <row r="3738" spans="1:1" x14ac:dyDescent="0.3">
      <c r="A3738" s="6"/>
    </row>
    <row r="3739" spans="1:1" x14ac:dyDescent="0.3">
      <c r="A3739" s="6"/>
    </row>
    <row r="3740" spans="1:1" x14ac:dyDescent="0.3">
      <c r="A3740" s="6"/>
    </row>
    <row r="3741" spans="1:1" x14ac:dyDescent="0.3">
      <c r="A3741" s="6"/>
    </row>
    <row r="3742" spans="1:1" x14ac:dyDescent="0.3">
      <c r="A3742" s="6"/>
    </row>
    <row r="3743" spans="1:1" x14ac:dyDescent="0.3">
      <c r="A3743" s="6"/>
    </row>
    <row r="3744" spans="1:1" x14ac:dyDescent="0.3">
      <c r="A3744" s="6"/>
    </row>
    <row r="3745" spans="1:1" x14ac:dyDescent="0.3">
      <c r="A3745" s="6"/>
    </row>
    <row r="3746" spans="1:1" x14ac:dyDescent="0.3">
      <c r="A3746" s="6"/>
    </row>
    <row r="3747" spans="1:1" x14ac:dyDescent="0.3">
      <c r="A3747" s="6"/>
    </row>
    <row r="3748" spans="1:1" x14ac:dyDescent="0.3">
      <c r="A3748" s="6"/>
    </row>
    <row r="3749" spans="1:1" x14ac:dyDescent="0.3">
      <c r="A3749" s="6"/>
    </row>
    <row r="3750" spans="1:1" x14ac:dyDescent="0.3">
      <c r="A3750" s="6"/>
    </row>
    <row r="3751" spans="1:1" x14ac:dyDescent="0.3">
      <c r="A3751" s="6"/>
    </row>
    <row r="3752" spans="1:1" x14ac:dyDescent="0.3">
      <c r="A3752" s="6"/>
    </row>
    <row r="3753" spans="1:1" x14ac:dyDescent="0.3">
      <c r="A3753" s="6"/>
    </row>
    <row r="3754" spans="1:1" x14ac:dyDescent="0.3">
      <c r="A3754" s="6"/>
    </row>
    <row r="3755" spans="1:1" x14ac:dyDescent="0.3">
      <c r="A3755" s="6"/>
    </row>
    <row r="3756" spans="1:1" x14ac:dyDescent="0.3">
      <c r="A3756" s="6"/>
    </row>
    <row r="3757" spans="1:1" x14ac:dyDescent="0.3">
      <c r="A3757" s="6"/>
    </row>
    <row r="3758" spans="1:1" x14ac:dyDescent="0.3">
      <c r="A3758" s="6"/>
    </row>
    <row r="3759" spans="1:1" x14ac:dyDescent="0.3">
      <c r="A3759" s="6"/>
    </row>
    <row r="3760" spans="1:1" x14ac:dyDescent="0.3">
      <c r="A3760" s="6"/>
    </row>
    <row r="3761" spans="1:1" x14ac:dyDescent="0.3">
      <c r="A3761" s="6"/>
    </row>
    <row r="3762" spans="1:1" x14ac:dyDescent="0.3">
      <c r="A3762" s="6"/>
    </row>
    <row r="3763" spans="1:1" x14ac:dyDescent="0.3">
      <c r="A3763" s="6"/>
    </row>
    <row r="3764" spans="1:1" x14ac:dyDescent="0.3">
      <c r="A3764" s="6"/>
    </row>
    <row r="3765" spans="1:1" x14ac:dyDescent="0.3">
      <c r="A3765" s="6"/>
    </row>
    <row r="3766" spans="1:1" x14ac:dyDescent="0.3">
      <c r="A3766" s="6"/>
    </row>
    <row r="3767" spans="1:1" x14ac:dyDescent="0.3">
      <c r="A3767" s="6"/>
    </row>
    <row r="3768" spans="1:1" x14ac:dyDescent="0.3">
      <c r="A3768" s="6"/>
    </row>
    <row r="3769" spans="1:1" x14ac:dyDescent="0.3">
      <c r="A3769" s="6"/>
    </row>
    <row r="3770" spans="1:1" x14ac:dyDescent="0.3">
      <c r="A3770" s="6"/>
    </row>
    <row r="3771" spans="1:1" x14ac:dyDescent="0.3">
      <c r="A3771" s="6"/>
    </row>
    <row r="3772" spans="1:1" x14ac:dyDescent="0.3">
      <c r="A3772" s="6"/>
    </row>
    <row r="3773" spans="1:1" x14ac:dyDescent="0.3">
      <c r="A3773" s="6"/>
    </row>
    <row r="3774" spans="1:1" x14ac:dyDescent="0.3">
      <c r="A3774" s="6"/>
    </row>
    <row r="3775" spans="1:1" x14ac:dyDescent="0.3">
      <c r="A3775" s="6"/>
    </row>
    <row r="3776" spans="1:1" x14ac:dyDescent="0.3">
      <c r="A3776" s="6"/>
    </row>
    <row r="3777" spans="1:1" x14ac:dyDescent="0.3">
      <c r="A3777" s="6"/>
    </row>
    <row r="3778" spans="1:1" x14ac:dyDescent="0.3">
      <c r="A3778" s="6"/>
    </row>
    <row r="3779" spans="1:1" x14ac:dyDescent="0.3">
      <c r="A3779" s="6"/>
    </row>
    <row r="3780" spans="1:1" x14ac:dyDescent="0.3">
      <c r="A3780" s="6"/>
    </row>
    <row r="3781" spans="1:1" x14ac:dyDescent="0.3">
      <c r="A3781" s="6"/>
    </row>
    <row r="3782" spans="1:1" x14ac:dyDescent="0.3">
      <c r="A3782" s="6"/>
    </row>
    <row r="3783" spans="1:1" x14ac:dyDescent="0.3">
      <c r="A3783" s="6"/>
    </row>
    <row r="3784" spans="1:1" x14ac:dyDescent="0.3">
      <c r="A3784" s="6"/>
    </row>
    <row r="3785" spans="1:1" x14ac:dyDescent="0.3">
      <c r="A3785" s="6"/>
    </row>
    <row r="3786" spans="1:1" x14ac:dyDescent="0.3">
      <c r="A3786" s="6"/>
    </row>
    <row r="3787" spans="1:1" x14ac:dyDescent="0.3">
      <c r="A3787" s="6"/>
    </row>
    <row r="3788" spans="1:1" x14ac:dyDescent="0.3">
      <c r="A3788" s="6"/>
    </row>
    <row r="3789" spans="1:1" x14ac:dyDescent="0.3">
      <c r="A3789" s="6"/>
    </row>
    <row r="3790" spans="1:1" x14ac:dyDescent="0.3">
      <c r="A3790" s="6"/>
    </row>
    <row r="3791" spans="1:1" x14ac:dyDescent="0.3">
      <c r="A3791" s="6"/>
    </row>
    <row r="3792" spans="1:1" x14ac:dyDescent="0.3">
      <c r="A3792" s="6"/>
    </row>
    <row r="3793" spans="1:1" x14ac:dyDescent="0.3">
      <c r="A3793" s="6"/>
    </row>
    <row r="3794" spans="1:1" x14ac:dyDescent="0.3">
      <c r="A3794" s="6"/>
    </row>
    <row r="3795" spans="1:1" x14ac:dyDescent="0.3">
      <c r="A3795" s="6"/>
    </row>
    <row r="3796" spans="1:1" x14ac:dyDescent="0.3">
      <c r="A3796" s="6"/>
    </row>
    <row r="3797" spans="1:1" x14ac:dyDescent="0.3">
      <c r="A3797" s="6"/>
    </row>
    <row r="3798" spans="1:1" x14ac:dyDescent="0.3">
      <c r="A3798" s="6"/>
    </row>
    <row r="3799" spans="1:1" x14ac:dyDescent="0.3">
      <c r="A3799" s="6"/>
    </row>
    <row r="3800" spans="1:1" x14ac:dyDescent="0.3">
      <c r="A3800" s="6"/>
    </row>
    <row r="3801" spans="1:1" x14ac:dyDescent="0.3">
      <c r="A3801" s="6"/>
    </row>
    <row r="3802" spans="1:1" x14ac:dyDescent="0.3">
      <c r="A3802" s="6"/>
    </row>
    <row r="3803" spans="1:1" x14ac:dyDescent="0.3">
      <c r="A3803" s="6"/>
    </row>
    <row r="3804" spans="1:1" x14ac:dyDescent="0.3">
      <c r="A3804" s="6"/>
    </row>
    <row r="3805" spans="1:1" x14ac:dyDescent="0.3">
      <c r="A3805" s="6"/>
    </row>
    <row r="3806" spans="1:1" x14ac:dyDescent="0.3">
      <c r="A3806" s="6"/>
    </row>
    <row r="3807" spans="1:1" x14ac:dyDescent="0.3">
      <c r="A3807" s="6"/>
    </row>
    <row r="3808" spans="1:1" x14ac:dyDescent="0.3">
      <c r="A3808" s="6"/>
    </row>
    <row r="3809" spans="1:1" x14ac:dyDescent="0.3">
      <c r="A3809" s="6"/>
    </row>
    <row r="3810" spans="1:1" x14ac:dyDescent="0.3">
      <c r="A3810" s="6"/>
    </row>
    <row r="3811" spans="1:1" x14ac:dyDescent="0.3">
      <c r="A3811" s="6"/>
    </row>
    <row r="3812" spans="1:1" x14ac:dyDescent="0.3">
      <c r="A3812" s="6"/>
    </row>
    <row r="3813" spans="1:1" x14ac:dyDescent="0.3">
      <c r="A3813" s="6"/>
    </row>
    <row r="3814" spans="1:1" x14ac:dyDescent="0.3">
      <c r="A3814" s="6"/>
    </row>
    <row r="3815" spans="1:1" x14ac:dyDescent="0.3">
      <c r="A3815" s="6"/>
    </row>
    <row r="3816" spans="1:1" x14ac:dyDescent="0.3">
      <c r="A3816" s="6"/>
    </row>
    <row r="3817" spans="1:1" x14ac:dyDescent="0.3">
      <c r="A3817" s="6"/>
    </row>
    <row r="3818" spans="1:1" x14ac:dyDescent="0.3">
      <c r="A3818" s="6"/>
    </row>
    <row r="3819" spans="1:1" x14ac:dyDescent="0.3">
      <c r="A3819" s="6"/>
    </row>
    <row r="3820" spans="1:1" x14ac:dyDescent="0.3">
      <c r="A3820" s="6"/>
    </row>
    <row r="3821" spans="1:1" x14ac:dyDescent="0.3">
      <c r="A3821" s="6"/>
    </row>
    <row r="3822" spans="1:1" x14ac:dyDescent="0.3">
      <c r="A3822" s="6"/>
    </row>
    <row r="3823" spans="1:1" x14ac:dyDescent="0.3">
      <c r="A3823" s="6"/>
    </row>
    <row r="3824" spans="1:1" x14ac:dyDescent="0.3">
      <c r="A3824" s="6"/>
    </row>
    <row r="3825" spans="1:1" x14ac:dyDescent="0.3">
      <c r="A3825" s="6"/>
    </row>
    <row r="3826" spans="1:1" x14ac:dyDescent="0.3">
      <c r="A3826" s="6"/>
    </row>
    <row r="3827" spans="1:1" x14ac:dyDescent="0.3">
      <c r="A3827" s="6"/>
    </row>
    <row r="3828" spans="1:1" x14ac:dyDescent="0.3">
      <c r="A3828" s="6"/>
    </row>
    <row r="3829" spans="1:1" x14ac:dyDescent="0.3">
      <c r="A3829" s="6"/>
    </row>
    <row r="3830" spans="1:1" x14ac:dyDescent="0.3">
      <c r="A3830" s="6"/>
    </row>
    <row r="3831" spans="1:1" x14ac:dyDescent="0.3">
      <c r="A3831" s="6"/>
    </row>
    <row r="3832" spans="1:1" x14ac:dyDescent="0.3">
      <c r="A3832" s="6"/>
    </row>
    <row r="3833" spans="1:1" x14ac:dyDescent="0.3">
      <c r="A3833" s="6"/>
    </row>
    <row r="3834" spans="1:1" x14ac:dyDescent="0.3">
      <c r="A3834" s="6"/>
    </row>
    <row r="3835" spans="1:1" x14ac:dyDescent="0.3">
      <c r="A3835" s="6"/>
    </row>
    <row r="3836" spans="1:1" x14ac:dyDescent="0.3">
      <c r="A3836" s="6"/>
    </row>
    <row r="3837" spans="1:1" x14ac:dyDescent="0.3">
      <c r="A3837" s="6"/>
    </row>
    <row r="3838" spans="1:1" x14ac:dyDescent="0.3">
      <c r="A3838" s="6"/>
    </row>
    <row r="3839" spans="1:1" x14ac:dyDescent="0.3">
      <c r="A3839" s="6"/>
    </row>
    <row r="3840" spans="1:1" x14ac:dyDescent="0.3">
      <c r="A3840" s="6"/>
    </row>
    <row r="3841" spans="1:1" x14ac:dyDescent="0.3">
      <c r="A3841" s="6"/>
    </row>
    <row r="3842" spans="1:1" x14ac:dyDescent="0.3">
      <c r="A3842" s="6"/>
    </row>
    <row r="3843" spans="1:1" x14ac:dyDescent="0.3">
      <c r="A3843" s="6"/>
    </row>
    <row r="3844" spans="1:1" x14ac:dyDescent="0.3">
      <c r="A3844" s="6"/>
    </row>
    <row r="3845" spans="1:1" x14ac:dyDescent="0.3">
      <c r="A3845" s="6"/>
    </row>
    <row r="3846" spans="1:1" x14ac:dyDescent="0.3">
      <c r="A3846" s="6"/>
    </row>
    <row r="3847" spans="1:1" x14ac:dyDescent="0.3">
      <c r="A3847" s="6"/>
    </row>
    <row r="3848" spans="1:1" x14ac:dyDescent="0.3">
      <c r="A3848" s="6"/>
    </row>
    <row r="3849" spans="1:1" x14ac:dyDescent="0.3">
      <c r="A3849" s="6"/>
    </row>
    <row r="3850" spans="1:1" x14ac:dyDescent="0.3">
      <c r="A3850" s="6"/>
    </row>
    <row r="3851" spans="1:1" x14ac:dyDescent="0.3">
      <c r="A3851" s="6"/>
    </row>
    <row r="3852" spans="1:1" x14ac:dyDescent="0.3">
      <c r="A3852" s="6"/>
    </row>
    <row r="3853" spans="1:1" x14ac:dyDescent="0.3">
      <c r="A3853" s="6"/>
    </row>
    <row r="3854" spans="1:1" x14ac:dyDescent="0.3">
      <c r="A3854" s="6"/>
    </row>
    <row r="3855" spans="1:1" x14ac:dyDescent="0.3">
      <c r="A3855" s="6"/>
    </row>
    <row r="3856" spans="1:1" x14ac:dyDescent="0.3">
      <c r="A3856" s="6"/>
    </row>
    <row r="3857" spans="1:1" x14ac:dyDescent="0.3">
      <c r="A3857" s="6"/>
    </row>
    <row r="3858" spans="1:1" x14ac:dyDescent="0.3">
      <c r="A3858" s="6"/>
    </row>
    <row r="3859" spans="1:1" x14ac:dyDescent="0.3">
      <c r="A3859" s="6"/>
    </row>
    <row r="3860" spans="1:1" x14ac:dyDescent="0.3">
      <c r="A3860" s="6"/>
    </row>
    <row r="3861" spans="1:1" x14ac:dyDescent="0.3">
      <c r="A3861" s="6"/>
    </row>
    <row r="3862" spans="1:1" x14ac:dyDescent="0.3">
      <c r="A3862" s="6"/>
    </row>
    <row r="3863" spans="1:1" x14ac:dyDescent="0.3">
      <c r="A3863" s="6"/>
    </row>
    <row r="3864" spans="1:1" x14ac:dyDescent="0.3">
      <c r="A3864" s="6"/>
    </row>
    <row r="3865" spans="1:1" x14ac:dyDescent="0.3">
      <c r="A3865" s="6"/>
    </row>
    <row r="3866" spans="1:1" x14ac:dyDescent="0.3">
      <c r="A3866" s="6"/>
    </row>
    <row r="3867" spans="1:1" x14ac:dyDescent="0.3">
      <c r="A3867" s="6"/>
    </row>
    <row r="3868" spans="1:1" x14ac:dyDescent="0.3">
      <c r="A3868" s="6"/>
    </row>
    <row r="3869" spans="1:1" x14ac:dyDescent="0.3">
      <c r="A3869" s="6"/>
    </row>
    <row r="3870" spans="1:1" x14ac:dyDescent="0.3">
      <c r="A3870" s="6"/>
    </row>
    <row r="3871" spans="1:1" x14ac:dyDescent="0.3">
      <c r="A3871" s="6"/>
    </row>
    <row r="3872" spans="1:1" x14ac:dyDescent="0.3">
      <c r="A3872" s="6"/>
    </row>
    <row r="3873" spans="1:1" x14ac:dyDescent="0.3">
      <c r="A3873" s="6"/>
    </row>
    <row r="3874" spans="1:1" x14ac:dyDescent="0.3">
      <c r="A3874" s="6"/>
    </row>
    <row r="3875" spans="1:1" x14ac:dyDescent="0.3">
      <c r="A3875" s="6"/>
    </row>
    <row r="3876" spans="1:1" x14ac:dyDescent="0.3">
      <c r="A3876" s="6"/>
    </row>
    <row r="3877" spans="1:1" x14ac:dyDescent="0.3">
      <c r="A3877" s="6"/>
    </row>
    <row r="3878" spans="1:1" x14ac:dyDescent="0.3">
      <c r="A3878" s="6"/>
    </row>
    <row r="3879" spans="1:1" x14ac:dyDescent="0.3">
      <c r="A3879" s="6"/>
    </row>
    <row r="3880" spans="1:1" x14ac:dyDescent="0.3">
      <c r="A3880" s="6"/>
    </row>
    <row r="3881" spans="1:1" x14ac:dyDescent="0.3">
      <c r="A3881" s="6"/>
    </row>
    <row r="3882" spans="1:1" x14ac:dyDescent="0.3">
      <c r="A3882" s="6"/>
    </row>
    <row r="3883" spans="1:1" x14ac:dyDescent="0.3">
      <c r="A3883" s="6"/>
    </row>
    <row r="3884" spans="1:1" x14ac:dyDescent="0.3">
      <c r="A3884" s="6"/>
    </row>
    <row r="3885" spans="1:1" x14ac:dyDescent="0.3">
      <c r="A3885" s="6"/>
    </row>
    <row r="3886" spans="1:1" x14ac:dyDescent="0.3">
      <c r="A3886" s="6"/>
    </row>
    <row r="3887" spans="1:1" x14ac:dyDescent="0.3">
      <c r="A3887" s="6"/>
    </row>
    <row r="3888" spans="1:1" x14ac:dyDescent="0.3">
      <c r="A3888" s="6"/>
    </row>
    <row r="3889" spans="1:1" x14ac:dyDescent="0.3">
      <c r="A3889" s="6"/>
    </row>
    <row r="3890" spans="1:1" x14ac:dyDescent="0.3">
      <c r="A3890" s="6"/>
    </row>
    <row r="3891" spans="1:1" x14ac:dyDescent="0.3">
      <c r="A3891" s="6"/>
    </row>
    <row r="3892" spans="1:1" x14ac:dyDescent="0.3">
      <c r="A3892" s="6"/>
    </row>
    <row r="3893" spans="1:1" x14ac:dyDescent="0.3">
      <c r="A3893" s="6"/>
    </row>
    <row r="3894" spans="1:1" x14ac:dyDescent="0.3">
      <c r="A3894" s="6"/>
    </row>
    <row r="3895" spans="1:1" x14ac:dyDescent="0.3">
      <c r="A3895" s="6"/>
    </row>
    <row r="3896" spans="1:1" x14ac:dyDescent="0.3">
      <c r="A3896" s="6"/>
    </row>
    <row r="3897" spans="1:1" x14ac:dyDescent="0.3">
      <c r="A3897" s="6"/>
    </row>
    <row r="3898" spans="1:1" x14ac:dyDescent="0.3">
      <c r="A3898" s="6"/>
    </row>
    <row r="3899" spans="1:1" x14ac:dyDescent="0.3">
      <c r="A3899" s="6"/>
    </row>
    <row r="3900" spans="1:1" x14ac:dyDescent="0.3">
      <c r="A3900" s="6"/>
    </row>
    <row r="3901" spans="1:1" x14ac:dyDescent="0.3">
      <c r="A3901" s="6"/>
    </row>
    <row r="3902" spans="1:1" x14ac:dyDescent="0.3">
      <c r="A3902" s="6"/>
    </row>
    <row r="3903" spans="1:1" x14ac:dyDescent="0.3">
      <c r="A3903" s="6"/>
    </row>
    <row r="3904" spans="1:1" x14ac:dyDescent="0.3">
      <c r="A3904" s="6"/>
    </row>
    <row r="3905" spans="1:1" x14ac:dyDescent="0.3">
      <c r="A3905" s="6"/>
    </row>
    <row r="3906" spans="1:1" x14ac:dyDescent="0.3">
      <c r="A3906" s="6"/>
    </row>
    <row r="3907" spans="1:1" x14ac:dyDescent="0.3">
      <c r="A3907" s="6"/>
    </row>
    <row r="3908" spans="1:1" x14ac:dyDescent="0.3">
      <c r="A3908" s="6"/>
    </row>
    <row r="3909" spans="1:1" x14ac:dyDescent="0.3">
      <c r="A3909" s="6"/>
    </row>
    <row r="3910" spans="1:1" x14ac:dyDescent="0.3">
      <c r="A3910" s="6"/>
    </row>
    <row r="3911" spans="1:1" x14ac:dyDescent="0.3">
      <c r="A3911" s="6"/>
    </row>
    <row r="3912" spans="1:1" x14ac:dyDescent="0.3">
      <c r="A3912" s="6"/>
    </row>
    <row r="3913" spans="1:1" x14ac:dyDescent="0.3">
      <c r="A3913" s="6"/>
    </row>
    <row r="3914" spans="1:1" x14ac:dyDescent="0.3">
      <c r="A3914" s="6"/>
    </row>
    <row r="3915" spans="1:1" x14ac:dyDescent="0.3">
      <c r="A3915" s="6"/>
    </row>
    <row r="3916" spans="1:1" x14ac:dyDescent="0.3">
      <c r="A3916" s="6"/>
    </row>
    <row r="3917" spans="1:1" x14ac:dyDescent="0.3">
      <c r="A3917" s="6"/>
    </row>
    <row r="3918" spans="1:1" x14ac:dyDescent="0.3">
      <c r="A3918" s="6"/>
    </row>
    <row r="3919" spans="1:1" x14ac:dyDescent="0.3">
      <c r="A3919" s="6"/>
    </row>
    <row r="3920" spans="1:1" x14ac:dyDescent="0.3">
      <c r="A3920" s="6"/>
    </row>
    <row r="3921" spans="1:1" x14ac:dyDescent="0.3">
      <c r="A3921" s="6"/>
    </row>
    <row r="3922" spans="1:1" x14ac:dyDescent="0.3">
      <c r="A3922" s="6"/>
    </row>
    <row r="3923" spans="1:1" x14ac:dyDescent="0.3">
      <c r="A3923" s="6"/>
    </row>
    <row r="3924" spans="1:1" x14ac:dyDescent="0.3">
      <c r="A3924" s="6"/>
    </row>
    <row r="3925" spans="1:1" x14ac:dyDescent="0.3">
      <c r="A3925" s="6"/>
    </row>
    <row r="3926" spans="1:1" x14ac:dyDescent="0.3">
      <c r="A3926" s="6"/>
    </row>
    <row r="3927" spans="1:1" x14ac:dyDescent="0.3">
      <c r="A3927" s="6"/>
    </row>
    <row r="3928" spans="1:1" x14ac:dyDescent="0.3">
      <c r="A3928" s="6"/>
    </row>
    <row r="3929" spans="1:1" x14ac:dyDescent="0.3">
      <c r="A3929" s="6"/>
    </row>
    <row r="3930" spans="1:1" x14ac:dyDescent="0.3">
      <c r="A3930" s="6"/>
    </row>
    <row r="3931" spans="1:1" x14ac:dyDescent="0.3">
      <c r="A3931" s="6"/>
    </row>
    <row r="3932" spans="1:1" x14ac:dyDescent="0.3">
      <c r="A3932" s="6"/>
    </row>
    <row r="3933" spans="1:1" x14ac:dyDescent="0.3">
      <c r="A3933" s="6"/>
    </row>
    <row r="3934" spans="1:1" x14ac:dyDescent="0.3">
      <c r="A3934" s="6"/>
    </row>
    <row r="3935" spans="1:1" x14ac:dyDescent="0.3">
      <c r="A3935" s="6"/>
    </row>
    <row r="3936" spans="1:1" x14ac:dyDescent="0.3">
      <c r="A3936" s="6"/>
    </row>
    <row r="3937" spans="1:1" x14ac:dyDescent="0.3">
      <c r="A3937" s="6"/>
    </row>
    <row r="3938" spans="1:1" x14ac:dyDescent="0.3">
      <c r="A3938" s="6"/>
    </row>
    <row r="3939" spans="1:1" x14ac:dyDescent="0.3">
      <c r="A3939" s="6"/>
    </row>
    <row r="3940" spans="1:1" x14ac:dyDescent="0.3">
      <c r="A3940" s="6"/>
    </row>
    <row r="3941" spans="1:1" x14ac:dyDescent="0.3">
      <c r="A3941" s="6"/>
    </row>
    <row r="3942" spans="1:1" x14ac:dyDescent="0.3">
      <c r="A3942" s="6"/>
    </row>
    <row r="3943" spans="1:1" x14ac:dyDescent="0.3">
      <c r="A3943" s="6"/>
    </row>
    <row r="3944" spans="1:1" x14ac:dyDescent="0.3">
      <c r="A3944" s="6"/>
    </row>
    <row r="3945" spans="1:1" x14ac:dyDescent="0.3">
      <c r="A3945" s="6"/>
    </row>
    <row r="3946" spans="1:1" x14ac:dyDescent="0.3">
      <c r="A3946" s="6"/>
    </row>
    <row r="3947" spans="1:1" x14ac:dyDescent="0.3">
      <c r="A3947" s="6"/>
    </row>
    <row r="3948" spans="1:1" x14ac:dyDescent="0.3">
      <c r="A3948" s="6"/>
    </row>
    <row r="3949" spans="1:1" x14ac:dyDescent="0.3">
      <c r="A3949" s="6"/>
    </row>
    <row r="3950" spans="1:1" x14ac:dyDescent="0.3">
      <c r="A3950" s="6"/>
    </row>
    <row r="3951" spans="1:1" x14ac:dyDescent="0.3">
      <c r="A3951" s="6"/>
    </row>
    <row r="3952" spans="1:1" x14ac:dyDescent="0.3">
      <c r="A3952" s="6"/>
    </row>
    <row r="3953" spans="1:1" x14ac:dyDescent="0.3">
      <c r="A3953" s="6"/>
    </row>
    <row r="3954" spans="1:1" x14ac:dyDescent="0.3">
      <c r="A3954" s="6"/>
    </row>
    <row r="3955" spans="1:1" x14ac:dyDescent="0.3">
      <c r="A3955" s="6"/>
    </row>
    <row r="3956" spans="1:1" x14ac:dyDescent="0.3">
      <c r="A3956" s="6"/>
    </row>
    <row r="3957" spans="1:1" x14ac:dyDescent="0.3">
      <c r="A3957" s="6"/>
    </row>
    <row r="3958" spans="1:1" x14ac:dyDescent="0.3">
      <c r="A3958" s="6"/>
    </row>
    <row r="3959" spans="1:1" x14ac:dyDescent="0.3">
      <c r="A3959" s="6"/>
    </row>
    <row r="3960" spans="1:1" x14ac:dyDescent="0.3">
      <c r="A3960" s="6"/>
    </row>
    <row r="3961" spans="1:1" x14ac:dyDescent="0.3">
      <c r="A3961" s="6"/>
    </row>
    <row r="3962" spans="1:1" x14ac:dyDescent="0.3">
      <c r="A3962" s="6"/>
    </row>
    <row r="3963" spans="1:1" x14ac:dyDescent="0.3">
      <c r="A3963" s="6"/>
    </row>
    <row r="3964" spans="1:1" x14ac:dyDescent="0.3">
      <c r="A3964" s="6"/>
    </row>
    <row r="3965" spans="1:1" x14ac:dyDescent="0.3">
      <c r="A3965" s="6"/>
    </row>
    <row r="3966" spans="1:1" x14ac:dyDescent="0.3">
      <c r="A3966" s="6"/>
    </row>
    <row r="3967" spans="1:1" x14ac:dyDescent="0.3">
      <c r="A3967" s="6"/>
    </row>
    <row r="3968" spans="1:1" x14ac:dyDescent="0.3">
      <c r="A3968" s="6"/>
    </row>
    <row r="3969" spans="1:1" x14ac:dyDescent="0.3">
      <c r="A3969" s="6"/>
    </row>
    <row r="3970" spans="1:1" x14ac:dyDescent="0.3">
      <c r="A3970" s="6"/>
    </row>
    <row r="3971" spans="1:1" x14ac:dyDescent="0.3">
      <c r="A3971" s="6"/>
    </row>
    <row r="3972" spans="1:1" x14ac:dyDescent="0.3">
      <c r="A3972" s="6"/>
    </row>
    <row r="3973" spans="1:1" x14ac:dyDescent="0.3">
      <c r="A3973" s="6"/>
    </row>
    <row r="3974" spans="1:1" x14ac:dyDescent="0.3">
      <c r="A3974" s="6"/>
    </row>
    <row r="3975" spans="1:1" x14ac:dyDescent="0.3">
      <c r="A3975" s="6"/>
    </row>
    <row r="3976" spans="1:1" x14ac:dyDescent="0.3">
      <c r="A3976" s="6"/>
    </row>
    <row r="3977" spans="1:1" x14ac:dyDescent="0.3">
      <c r="A3977" s="6"/>
    </row>
    <row r="3978" spans="1:1" x14ac:dyDescent="0.3">
      <c r="A3978" s="6"/>
    </row>
    <row r="3979" spans="1:1" x14ac:dyDescent="0.3">
      <c r="A3979" s="6"/>
    </row>
    <row r="3980" spans="1:1" x14ac:dyDescent="0.3">
      <c r="A3980" s="6"/>
    </row>
    <row r="3981" spans="1:1" x14ac:dyDescent="0.3">
      <c r="A3981" s="6"/>
    </row>
    <row r="3982" spans="1:1" x14ac:dyDescent="0.3">
      <c r="A3982" s="6"/>
    </row>
    <row r="3983" spans="1:1" x14ac:dyDescent="0.3">
      <c r="A3983" s="6"/>
    </row>
    <row r="3984" spans="1:1" x14ac:dyDescent="0.3">
      <c r="A3984" s="6"/>
    </row>
    <row r="3985" spans="1:1" x14ac:dyDescent="0.3">
      <c r="A3985" s="6"/>
    </row>
    <row r="3986" spans="1:1" x14ac:dyDescent="0.3">
      <c r="A3986" s="6"/>
    </row>
    <row r="3987" spans="1:1" x14ac:dyDescent="0.3">
      <c r="A3987" s="6"/>
    </row>
    <row r="3988" spans="1:1" x14ac:dyDescent="0.3">
      <c r="A3988" s="6"/>
    </row>
    <row r="3989" spans="1:1" x14ac:dyDescent="0.3">
      <c r="A3989" s="6"/>
    </row>
    <row r="3990" spans="1:1" x14ac:dyDescent="0.3">
      <c r="A3990" s="6"/>
    </row>
    <row r="3991" spans="1:1" x14ac:dyDescent="0.3">
      <c r="A3991" s="6"/>
    </row>
    <row r="3992" spans="1:1" x14ac:dyDescent="0.3">
      <c r="A3992" s="6"/>
    </row>
    <row r="3993" spans="1:1" x14ac:dyDescent="0.3">
      <c r="A3993" s="6"/>
    </row>
    <row r="3994" spans="1:1" x14ac:dyDescent="0.3">
      <c r="A3994" s="6"/>
    </row>
    <row r="3995" spans="1:1" x14ac:dyDescent="0.3">
      <c r="A3995" s="6"/>
    </row>
    <row r="3996" spans="1:1" x14ac:dyDescent="0.3">
      <c r="A3996" s="6"/>
    </row>
    <row r="3997" spans="1:1" x14ac:dyDescent="0.3">
      <c r="A3997" s="6"/>
    </row>
    <row r="3998" spans="1:1" x14ac:dyDescent="0.3">
      <c r="A3998" s="6"/>
    </row>
    <row r="3999" spans="1:1" x14ac:dyDescent="0.3">
      <c r="A3999" s="6"/>
    </row>
    <row r="4000" spans="1:1" x14ac:dyDescent="0.3">
      <c r="A4000" s="6"/>
    </row>
    <row r="4001" spans="1:1" x14ac:dyDescent="0.3">
      <c r="A4001" s="6"/>
    </row>
    <row r="4002" spans="1:1" x14ac:dyDescent="0.3">
      <c r="A4002" s="6"/>
    </row>
    <row r="4003" spans="1:1" x14ac:dyDescent="0.3">
      <c r="A4003" s="6"/>
    </row>
    <row r="4004" spans="1:1" x14ac:dyDescent="0.3">
      <c r="A4004" s="6"/>
    </row>
    <row r="4005" spans="1:1" x14ac:dyDescent="0.3">
      <c r="A4005" s="6"/>
    </row>
    <row r="4006" spans="1:1" x14ac:dyDescent="0.3">
      <c r="A4006" s="6"/>
    </row>
    <row r="4007" spans="1:1" x14ac:dyDescent="0.3">
      <c r="A4007" s="6"/>
    </row>
    <row r="4008" spans="1:1" x14ac:dyDescent="0.3">
      <c r="A4008" s="6"/>
    </row>
    <row r="4009" spans="1:1" x14ac:dyDescent="0.3">
      <c r="A4009" s="6"/>
    </row>
    <row r="4010" spans="1:1" x14ac:dyDescent="0.3">
      <c r="A4010" s="6"/>
    </row>
    <row r="4011" spans="1:1" x14ac:dyDescent="0.3">
      <c r="A4011" s="6"/>
    </row>
    <row r="4012" spans="1:1" x14ac:dyDescent="0.3">
      <c r="A4012" s="6"/>
    </row>
    <row r="4013" spans="1:1" x14ac:dyDescent="0.3">
      <c r="A4013" s="6"/>
    </row>
    <row r="4014" spans="1:1" x14ac:dyDescent="0.3">
      <c r="A4014" s="6"/>
    </row>
    <row r="4015" spans="1:1" x14ac:dyDescent="0.3">
      <c r="A4015" s="6"/>
    </row>
    <row r="4016" spans="1:1" x14ac:dyDescent="0.3">
      <c r="A4016" s="6"/>
    </row>
    <row r="4017" spans="1:1" x14ac:dyDescent="0.3">
      <c r="A4017" s="6"/>
    </row>
    <row r="4018" spans="1:1" x14ac:dyDescent="0.3">
      <c r="A4018" s="6"/>
    </row>
    <row r="4019" spans="1:1" x14ac:dyDescent="0.3">
      <c r="A4019" s="6"/>
    </row>
    <row r="4020" spans="1:1" x14ac:dyDescent="0.3">
      <c r="A4020" s="6"/>
    </row>
    <row r="4021" spans="1:1" x14ac:dyDescent="0.3">
      <c r="A4021" s="6"/>
    </row>
    <row r="4022" spans="1:1" x14ac:dyDescent="0.3">
      <c r="A4022" s="6"/>
    </row>
    <row r="4023" spans="1:1" x14ac:dyDescent="0.3">
      <c r="A4023" s="6"/>
    </row>
    <row r="4024" spans="1:1" x14ac:dyDescent="0.3">
      <c r="A4024" s="6"/>
    </row>
    <row r="4025" spans="1:1" x14ac:dyDescent="0.3">
      <c r="A4025" s="6"/>
    </row>
    <row r="4026" spans="1:1" x14ac:dyDescent="0.3">
      <c r="A4026" s="6"/>
    </row>
    <row r="4027" spans="1:1" x14ac:dyDescent="0.3">
      <c r="A4027" s="6"/>
    </row>
    <row r="4028" spans="1:1" x14ac:dyDescent="0.3">
      <c r="A4028" s="6"/>
    </row>
    <row r="4029" spans="1:1" x14ac:dyDescent="0.3">
      <c r="A4029" s="6"/>
    </row>
    <row r="4030" spans="1:1" x14ac:dyDescent="0.3">
      <c r="A4030" s="6"/>
    </row>
    <row r="4031" spans="1:1" x14ac:dyDescent="0.3">
      <c r="A4031" s="6"/>
    </row>
    <row r="4032" spans="1:1" x14ac:dyDescent="0.3">
      <c r="A4032" s="6"/>
    </row>
    <row r="4033" spans="1:1" x14ac:dyDescent="0.3">
      <c r="A4033" s="6"/>
    </row>
    <row r="4034" spans="1:1" x14ac:dyDescent="0.3">
      <c r="A4034" s="6"/>
    </row>
    <row r="4035" spans="1:1" x14ac:dyDescent="0.3">
      <c r="A4035" s="6"/>
    </row>
    <row r="4036" spans="1:1" x14ac:dyDescent="0.3">
      <c r="A4036" s="6"/>
    </row>
    <row r="4037" spans="1:1" x14ac:dyDescent="0.3">
      <c r="A4037" s="6"/>
    </row>
    <row r="4038" spans="1:1" x14ac:dyDescent="0.3">
      <c r="A4038" s="6"/>
    </row>
    <row r="4039" spans="1:1" x14ac:dyDescent="0.3">
      <c r="A4039" s="6"/>
    </row>
    <row r="4040" spans="1:1" x14ac:dyDescent="0.3">
      <c r="A4040" s="6"/>
    </row>
    <row r="4041" spans="1:1" x14ac:dyDescent="0.3">
      <c r="A4041" s="6"/>
    </row>
    <row r="4042" spans="1:1" x14ac:dyDescent="0.3">
      <c r="A4042" s="6"/>
    </row>
    <row r="4043" spans="1:1" x14ac:dyDescent="0.3">
      <c r="A4043" s="6"/>
    </row>
    <row r="4044" spans="1:1" x14ac:dyDescent="0.3">
      <c r="A4044" s="6"/>
    </row>
    <row r="4045" spans="1:1" x14ac:dyDescent="0.3">
      <c r="A4045" s="6"/>
    </row>
    <row r="4046" spans="1:1" x14ac:dyDescent="0.3">
      <c r="A4046" s="6"/>
    </row>
    <row r="4047" spans="1:1" x14ac:dyDescent="0.3">
      <c r="A4047" s="6"/>
    </row>
    <row r="4048" spans="1:1" x14ac:dyDescent="0.3">
      <c r="A4048" s="6"/>
    </row>
    <row r="4049" spans="1:1" x14ac:dyDescent="0.3">
      <c r="A4049" s="6"/>
    </row>
    <row r="4050" spans="1:1" x14ac:dyDescent="0.3">
      <c r="A4050" s="6"/>
    </row>
    <row r="4051" spans="1:1" x14ac:dyDescent="0.3">
      <c r="A4051" s="6"/>
    </row>
    <row r="4052" spans="1:1" x14ac:dyDescent="0.3">
      <c r="A4052" s="6"/>
    </row>
    <row r="4053" spans="1:1" x14ac:dyDescent="0.3">
      <c r="A4053" s="6"/>
    </row>
    <row r="4054" spans="1:1" x14ac:dyDescent="0.3">
      <c r="A4054" s="6"/>
    </row>
    <row r="4055" spans="1:1" x14ac:dyDescent="0.3">
      <c r="A4055" s="6"/>
    </row>
    <row r="4056" spans="1:1" x14ac:dyDescent="0.3">
      <c r="A4056" s="6"/>
    </row>
    <row r="4057" spans="1:1" x14ac:dyDescent="0.3">
      <c r="A4057" s="6"/>
    </row>
    <row r="4058" spans="1:1" x14ac:dyDescent="0.3">
      <c r="A4058" s="6"/>
    </row>
    <row r="4059" spans="1:1" x14ac:dyDescent="0.3">
      <c r="A4059" s="6"/>
    </row>
    <row r="4060" spans="1:1" x14ac:dyDescent="0.3">
      <c r="A4060" s="6"/>
    </row>
    <row r="4061" spans="1:1" x14ac:dyDescent="0.3">
      <c r="A4061" s="6"/>
    </row>
    <row r="4062" spans="1:1" x14ac:dyDescent="0.3">
      <c r="A4062" s="6"/>
    </row>
    <row r="4063" spans="1:1" x14ac:dyDescent="0.3">
      <c r="A4063" s="6"/>
    </row>
    <row r="4064" spans="1:1" x14ac:dyDescent="0.3">
      <c r="A4064" s="6"/>
    </row>
    <row r="4065" spans="1:1" x14ac:dyDescent="0.3">
      <c r="A4065" s="6"/>
    </row>
    <row r="4066" spans="1:1" x14ac:dyDescent="0.3">
      <c r="A4066" s="6"/>
    </row>
    <row r="4067" spans="1:1" x14ac:dyDescent="0.3">
      <c r="A4067" s="6"/>
    </row>
    <row r="4068" spans="1:1" x14ac:dyDescent="0.3">
      <c r="A4068" s="6"/>
    </row>
    <row r="4069" spans="1:1" x14ac:dyDescent="0.3">
      <c r="A4069" s="6"/>
    </row>
    <row r="4070" spans="1:1" x14ac:dyDescent="0.3">
      <c r="A4070" s="6"/>
    </row>
    <row r="4071" spans="1:1" x14ac:dyDescent="0.3">
      <c r="A4071" s="6"/>
    </row>
    <row r="4072" spans="1:1" x14ac:dyDescent="0.3">
      <c r="A4072" s="6"/>
    </row>
    <row r="4073" spans="1:1" x14ac:dyDescent="0.3">
      <c r="A4073" s="6"/>
    </row>
    <row r="4074" spans="1:1" x14ac:dyDescent="0.3">
      <c r="A4074" s="6"/>
    </row>
    <row r="4075" spans="1:1" x14ac:dyDescent="0.3">
      <c r="A4075" s="6"/>
    </row>
    <row r="4076" spans="1:1" x14ac:dyDescent="0.3">
      <c r="A4076" s="6"/>
    </row>
    <row r="4077" spans="1:1" x14ac:dyDescent="0.3">
      <c r="A4077" s="6"/>
    </row>
    <row r="4078" spans="1:1" x14ac:dyDescent="0.3">
      <c r="A4078" s="6"/>
    </row>
    <row r="4079" spans="1:1" x14ac:dyDescent="0.3">
      <c r="A4079" s="6"/>
    </row>
    <row r="4080" spans="1:1" x14ac:dyDescent="0.3">
      <c r="A4080" s="6"/>
    </row>
    <row r="4081" spans="1:1" x14ac:dyDescent="0.3">
      <c r="A4081" s="6"/>
    </row>
    <row r="4082" spans="1:1" x14ac:dyDescent="0.3">
      <c r="A4082" s="6"/>
    </row>
    <row r="4083" spans="1:1" x14ac:dyDescent="0.3">
      <c r="A4083" s="6"/>
    </row>
    <row r="4084" spans="1:1" x14ac:dyDescent="0.3">
      <c r="A4084" s="6"/>
    </row>
    <row r="4085" spans="1:1" x14ac:dyDescent="0.3">
      <c r="A4085" s="6"/>
    </row>
    <row r="4086" spans="1:1" x14ac:dyDescent="0.3">
      <c r="A4086" s="6"/>
    </row>
    <row r="4087" spans="1:1" x14ac:dyDescent="0.3">
      <c r="A4087" s="6"/>
    </row>
    <row r="4088" spans="1:1" x14ac:dyDescent="0.3">
      <c r="A4088" s="6"/>
    </row>
    <row r="4089" spans="1:1" x14ac:dyDescent="0.3">
      <c r="A4089" s="6"/>
    </row>
    <row r="4090" spans="1:1" x14ac:dyDescent="0.3">
      <c r="A4090" s="6"/>
    </row>
    <row r="4091" spans="1:1" x14ac:dyDescent="0.3">
      <c r="A4091" s="6"/>
    </row>
    <row r="4092" spans="1:1" x14ac:dyDescent="0.3">
      <c r="A4092" s="6"/>
    </row>
    <row r="4093" spans="1:1" x14ac:dyDescent="0.3">
      <c r="A4093" s="6"/>
    </row>
    <row r="4094" spans="1:1" x14ac:dyDescent="0.3">
      <c r="A4094" s="6"/>
    </row>
    <row r="4095" spans="1:1" x14ac:dyDescent="0.3">
      <c r="A4095" s="6"/>
    </row>
    <row r="4096" spans="1:1" x14ac:dyDescent="0.3">
      <c r="A4096" s="6"/>
    </row>
    <row r="4097" spans="1:1" x14ac:dyDescent="0.3">
      <c r="A4097" s="6"/>
    </row>
    <row r="4098" spans="1:1" x14ac:dyDescent="0.3">
      <c r="A4098" s="6"/>
    </row>
    <row r="4099" spans="1:1" x14ac:dyDescent="0.3">
      <c r="A4099" s="6"/>
    </row>
    <row r="4100" spans="1:1" x14ac:dyDescent="0.3">
      <c r="A4100" s="6"/>
    </row>
    <row r="4101" spans="1:1" x14ac:dyDescent="0.3">
      <c r="A4101" s="6"/>
    </row>
    <row r="4102" spans="1:1" x14ac:dyDescent="0.3">
      <c r="A4102" s="6"/>
    </row>
    <row r="4103" spans="1:1" x14ac:dyDescent="0.3">
      <c r="A4103" s="6"/>
    </row>
    <row r="4104" spans="1:1" x14ac:dyDescent="0.3">
      <c r="A4104" s="6"/>
    </row>
    <row r="4105" spans="1:1" x14ac:dyDescent="0.3">
      <c r="A4105" s="6"/>
    </row>
    <row r="4106" spans="1:1" x14ac:dyDescent="0.3">
      <c r="A4106" s="6"/>
    </row>
    <row r="4107" spans="1:1" x14ac:dyDescent="0.3">
      <c r="A4107" s="6"/>
    </row>
    <row r="4108" spans="1:1" x14ac:dyDescent="0.3">
      <c r="A4108" s="6"/>
    </row>
    <row r="4109" spans="1:1" x14ac:dyDescent="0.3">
      <c r="A4109" s="6"/>
    </row>
    <row r="4110" spans="1:1" x14ac:dyDescent="0.3">
      <c r="A4110" s="6"/>
    </row>
    <row r="4111" spans="1:1" x14ac:dyDescent="0.3">
      <c r="A4111" s="6"/>
    </row>
    <row r="4112" spans="1:1" x14ac:dyDescent="0.3">
      <c r="A4112" s="6"/>
    </row>
    <row r="4113" spans="1:1" x14ac:dyDescent="0.3">
      <c r="A4113" s="6"/>
    </row>
    <row r="4114" spans="1:1" x14ac:dyDescent="0.3">
      <c r="A4114" s="6"/>
    </row>
    <row r="4115" spans="1:1" x14ac:dyDescent="0.3">
      <c r="A4115" s="6"/>
    </row>
    <row r="4116" spans="1:1" x14ac:dyDescent="0.3">
      <c r="A4116" s="6"/>
    </row>
    <row r="4117" spans="1:1" x14ac:dyDescent="0.3">
      <c r="A4117" s="6"/>
    </row>
    <row r="4118" spans="1:1" x14ac:dyDescent="0.3">
      <c r="A4118" s="6"/>
    </row>
    <row r="4119" spans="1:1" x14ac:dyDescent="0.3">
      <c r="A4119" s="6"/>
    </row>
    <row r="4120" spans="1:1" x14ac:dyDescent="0.3">
      <c r="A4120" s="6"/>
    </row>
    <row r="4121" spans="1:1" x14ac:dyDescent="0.3">
      <c r="A4121" s="6"/>
    </row>
    <row r="4122" spans="1:1" x14ac:dyDescent="0.3">
      <c r="A4122" s="6"/>
    </row>
    <row r="4123" spans="1:1" x14ac:dyDescent="0.3">
      <c r="A4123" s="6"/>
    </row>
    <row r="4124" spans="1:1" x14ac:dyDescent="0.3">
      <c r="A4124" s="6"/>
    </row>
    <row r="4125" spans="1:1" x14ac:dyDescent="0.3">
      <c r="A4125" s="6"/>
    </row>
    <row r="4126" spans="1:1" x14ac:dyDescent="0.3">
      <c r="A4126" s="6"/>
    </row>
    <row r="4127" spans="1:1" x14ac:dyDescent="0.3">
      <c r="A4127" s="6"/>
    </row>
    <row r="4128" spans="1:1" x14ac:dyDescent="0.3">
      <c r="A4128" s="6"/>
    </row>
    <row r="4129" spans="1:1" x14ac:dyDescent="0.3">
      <c r="A4129" s="6"/>
    </row>
    <row r="4130" spans="1:1" x14ac:dyDescent="0.3">
      <c r="A4130" s="6"/>
    </row>
    <row r="4131" spans="1:1" x14ac:dyDescent="0.3">
      <c r="A4131" s="6"/>
    </row>
    <row r="4132" spans="1:1" x14ac:dyDescent="0.3">
      <c r="A4132" s="6"/>
    </row>
    <row r="4133" spans="1:1" x14ac:dyDescent="0.3">
      <c r="A4133" s="6"/>
    </row>
    <row r="4134" spans="1:1" x14ac:dyDescent="0.3">
      <c r="A4134" s="6"/>
    </row>
    <row r="4135" spans="1:1" x14ac:dyDescent="0.3">
      <c r="A4135" s="6"/>
    </row>
    <row r="4136" spans="1:1" x14ac:dyDescent="0.3">
      <c r="A4136" s="6"/>
    </row>
    <row r="4137" spans="1:1" x14ac:dyDescent="0.3">
      <c r="A4137" s="6"/>
    </row>
    <row r="4138" spans="1:1" x14ac:dyDescent="0.3">
      <c r="A4138" s="6"/>
    </row>
    <row r="4139" spans="1:1" x14ac:dyDescent="0.3">
      <c r="A4139" s="6"/>
    </row>
    <row r="4140" spans="1:1" x14ac:dyDescent="0.3">
      <c r="A4140" s="6"/>
    </row>
    <row r="4141" spans="1:1" x14ac:dyDescent="0.3">
      <c r="A4141" s="6"/>
    </row>
    <row r="4142" spans="1:1" x14ac:dyDescent="0.3">
      <c r="A4142" s="6"/>
    </row>
    <row r="4143" spans="1:1" x14ac:dyDescent="0.3">
      <c r="A4143" s="6"/>
    </row>
    <row r="4144" spans="1:1" x14ac:dyDescent="0.3">
      <c r="A4144" s="6"/>
    </row>
    <row r="4145" spans="1:1" x14ac:dyDescent="0.3">
      <c r="A4145" s="6"/>
    </row>
    <row r="4146" spans="1:1" x14ac:dyDescent="0.3">
      <c r="A4146" s="6"/>
    </row>
    <row r="4147" spans="1:1" x14ac:dyDescent="0.3">
      <c r="A4147" s="6"/>
    </row>
    <row r="4148" spans="1:1" x14ac:dyDescent="0.3">
      <c r="A4148" s="6"/>
    </row>
    <row r="4149" spans="1:1" x14ac:dyDescent="0.3">
      <c r="A4149" s="6"/>
    </row>
    <row r="4150" spans="1:1" x14ac:dyDescent="0.3">
      <c r="A4150" s="6"/>
    </row>
    <row r="4151" spans="1:1" x14ac:dyDescent="0.3">
      <c r="A4151" s="6"/>
    </row>
    <row r="4152" spans="1:1" x14ac:dyDescent="0.3">
      <c r="A4152" s="6"/>
    </row>
    <row r="4153" spans="1:1" x14ac:dyDescent="0.3">
      <c r="A4153" s="6"/>
    </row>
    <row r="4154" spans="1:1" x14ac:dyDescent="0.3">
      <c r="A4154" s="6"/>
    </row>
    <row r="4155" spans="1:1" x14ac:dyDescent="0.3">
      <c r="A4155" s="6"/>
    </row>
    <row r="4156" spans="1:1" x14ac:dyDescent="0.3">
      <c r="A4156" s="6"/>
    </row>
    <row r="4157" spans="1:1" x14ac:dyDescent="0.3">
      <c r="A4157" s="6"/>
    </row>
    <row r="4158" spans="1:1" x14ac:dyDescent="0.3">
      <c r="A4158" s="6"/>
    </row>
    <row r="4159" spans="1:1" x14ac:dyDescent="0.3">
      <c r="A4159" s="6"/>
    </row>
    <row r="4160" spans="1:1" x14ac:dyDescent="0.3">
      <c r="A4160" s="6"/>
    </row>
    <row r="4161" spans="1:1" x14ac:dyDescent="0.3">
      <c r="A4161" s="6"/>
    </row>
    <row r="4162" spans="1:1" x14ac:dyDescent="0.3">
      <c r="A4162" s="6"/>
    </row>
    <row r="4163" spans="1:1" x14ac:dyDescent="0.3">
      <c r="A4163" s="6"/>
    </row>
    <row r="4164" spans="1:1" x14ac:dyDescent="0.3">
      <c r="A4164" s="6"/>
    </row>
    <row r="4165" spans="1:1" x14ac:dyDescent="0.3">
      <c r="A4165" s="6"/>
    </row>
    <row r="4166" spans="1:1" x14ac:dyDescent="0.3">
      <c r="A4166" s="6"/>
    </row>
    <row r="4167" spans="1:1" x14ac:dyDescent="0.3">
      <c r="A4167" s="6"/>
    </row>
    <row r="4168" spans="1:1" x14ac:dyDescent="0.3">
      <c r="A4168" s="6"/>
    </row>
    <row r="4169" spans="1:1" x14ac:dyDescent="0.3">
      <c r="A4169" s="6"/>
    </row>
    <row r="4170" spans="1:1" x14ac:dyDescent="0.3">
      <c r="A4170" s="6"/>
    </row>
    <row r="4171" spans="1:1" x14ac:dyDescent="0.3">
      <c r="A4171" s="6"/>
    </row>
    <row r="4172" spans="1:1" x14ac:dyDescent="0.3">
      <c r="A4172" s="6"/>
    </row>
    <row r="4173" spans="1:1" x14ac:dyDescent="0.3">
      <c r="A4173" s="6"/>
    </row>
    <row r="4174" spans="1:1" x14ac:dyDescent="0.3">
      <c r="A4174" s="6"/>
    </row>
    <row r="4175" spans="1:1" x14ac:dyDescent="0.3">
      <c r="A4175" s="6"/>
    </row>
    <row r="4176" spans="1:1" x14ac:dyDescent="0.3">
      <c r="A4176" s="6"/>
    </row>
    <row r="4177" spans="1:1" x14ac:dyDescent="0.3">
      <c r="A4177" s="6"/>
    </row>
    <row r="4178" spans="1:1" x14ac:dyDescent="0.3">
      <c r="A4178" s="6"/>
    </row>
    <row r="4179" spans="1:1" x14ac:dyDescent="0.3">
      <c r="A4179" s="6"/>
    </row>
    <row r="4180" spans="1:1" x14ac:dyDescent="0.3">
      <c r="A4180" s="6"/>
    </row>
    <row r="4181" spans="1:1" x14ac:dyDescent="0.3">
      <c r="A4181" s="6"/>
    </row>
    <row r="4182" spans="1:1" x14ac:dyDescent="0.3">
      <c r="A4182" s="6"/>
    </row>
    <row r="4183" spans="1:1" x14ac:dyDescent="0.3">
      <c r="A4183" s="6"/>
    </row>
    <row r="4184" spans="1:1" x14ac:dyDescent="0.3">
      <c r="A4184" s="6"/>
    </row>
    <row r="4185" spans="1:1" x14ac:dyDescent="0.3">
      <c r="A4185" s="6"/>
    </row>
    <row r="4186" spans="1:1" x14ac:dyDescent="0.3">
      <c r="A4186" s="6"/>
    </row>
    <row r="4187" spans="1:1" x14ac:dyDescent="0.3">
      <c r="A4187" s="6"/>
    </row>
    <row r="4188" spans="1:1" x14ac:dyDescent="0.3">
      <c r="A4188" s="6"/>
    </row>
    <row r="4189" spans="1:1" x14ac:dyDescent="0.3">
      <c r="A4189" s="6"/>
    </row>
    <row r="4190" spans="1:1" x14ac:dyDescent="0.3">
      <c r="A4190" s="6"/>
    </row>
    <row r="4191" spans="1:1" x14ac:dyDescent="0.3">
      <c r="A4191" s="6"/>
    </row>
    <row r="4192" spans="1:1" x14ac:dyDescent="0.3">
      <c r="A4192" s="6"/>
    </row>
    <row r="4193" spans="1:1" x14ac:dyDescent="0.3">
      <c r="A4193" s="6"/>
    </row>
    <row r="4194" spans="1:1" x14ac:dyDescent="0.3">
      <c r="A4194" s="6"/>
    </row>
    <row r="4195" spans="1:1" x14ac:dyDescent="0.3">
      <c r="A4195" s="6"/>
    </row>
    <row r="4196" spans="1:1" x14ac:dyDescent="0.3">
      <c r="A4196" s="6"/>
    </row>
    <row r="4197" spans="1:1" x14ac:dyDescent="0.3">
      <c r="A4197" s="6"/>
    </row>
    <row r="4198" spans="1:1" x14ac:dyDescent="0.3">
      <c r="A4198" s="6"/>
    </row>
    <row r="4199" spans="1:1" x14ac:dyDescent="0.3">
      <c r="A4199" s="6"/>
    </row>
    <row r="4200" spans="1:1" x14ac:dyDescent="0.3">
      <c r="A4200" s="6"/>
    </row>
    <row r="4201" spans="1:1" x14ac:dyDescent="0.3">
      <c r="A4201" s="6"/>
    </row>
    <row r="4202" spans="1:1" x14ac:dyDescent="0.3">
      <c r="A4202" s="6"/>
    </row>
    <row r="4203" spans="1:1" x14ac:dyDescent="0.3">
      <c r="A4203" s="6"/>
    </row>
    <row r="4204" spans="1:1" x14ac:dyDescent="0.3">
      <c r="A4204" s="6"/>
    </row>
    <row r="4205" spans="1:1" x14ac:dyDescent="0.3">
      <c r="A4205" s="6"/>
    </row>
    <row r="4206" spans="1:1" x14ac:dyDescent="0.3">
      <c r="A4206" s="6"/>
    </row>
    <row r="4207" spans="1:1" x14ac:dyDescent="0.3">
      <c r="A4207" s="6"/>
    </row>
    <row r="4208" spans="1:1" x14ac:dyDescent="0.3">
      <c r="A4208" s="6"/>
    </row>
    <row r="4209" spans="1:1" x14ac:dyDescent="0.3">
      <c r="A4209" s="6"/>
    </row>
    <row r="4210" spans="1:1" x14ac:dyDescent="0.3">
      <c r="A4210" s="6"/>
    </row>
    <row r="4211" spans="1:1" x14ac:dyDescent="0.3">
      <c r="A4211" s="6"/>
    </row>
    <row r="4212" spans="1:1" x14ac:dyDescent="0.3">
      <c r="A4212" s="6"/>
    </row>
    <row r="4213" spans="1:1" x14ac:dyDescent="0.3">
      <c r="A4213" s="6"/>
    </row>
    <row r="4214" spans="1:1" x14ac:dyDescent="0.3">
      <c r="A4214" s="6"/>
    </row>
    <row r="4215" spans="1:1" x14ac:dyDescent="0.3">
      <c r="A4215" s="6"/>
    </row>
    <row r="4216" spans="1:1" x14ac:dyDescent="0.3">
      <c r="A4216" s="6"/>
    </row>
    <row r="4217" spans="1:1" x14ac:dyDescent="0.3">
      <c r="A4217" s="6"/>
    </row>
    <row r="4218" spans="1:1" x14ac:dyDescent="0.3">
      <c r="A4218" s="6"/>
    </row>
    <row r="4219" spans="1:1" x14ac:dyDescent="0.3">
      <c r="A4219" s="6"/>
    </row>
    <row r="4220" spans="1:1" x14ac:dyDescent="0.3">
      <c r="A4220" s="6"/>
    </row>
    <row r="4221" spans="1:1" x14ac:dyDescent="0.3">
      <c r="A4221" s="6"/>
    </row>
    <row r="4222" spans="1:1" x14ac:dyDescent="0.3">
      <c r="A4222" s="6"/>
    </row>
    <row r="4223" spans="1:1" x14ac:dyDescent="0.3">
      <c r="A4223" s="6"/>
    </row>
    <row r="4224" spans="1:1" x14ac:dyDescent="0.3">
      <c r="A4224" s="6"/>
    </row>
    <row r="4225" spans="1:1" x14ac:dyDescent="0.3">
      <c r="A4225" s="6"/>
    </row>
    <row r="4226" spans="1:1" x14ac:dyDescent="0.3">
      <c r="A4226" s="6"/>
    </row>
    <row r="4227" spans="1:1" x14ac:dyDescent="0.3">
      <c r="A4227" s="6"/>
    </row>
    <row r="4228" spans="1:1" x14ac:dyDescent="0.3">
      <c r="A4228" s="6"/>
    </row>
    <row r="4229" spans="1:1" x14ac:dyDescent="0.3">
      <c r="A4229" s="6"/>
    </row>
    <row r="4230" spans="1:1" x14ac:dyDescent="0.3">
      <c r="A4230" s="6"/>
    </row>
    <row r="4231" spans="1:1" x14ac:dyDescent="0.3">
      <c r="A4231" s="6"/>
    </row>
    <row r="4232" spans="1:1" x14ac:dyDescent="0.3">
      <c r="A4232" s="6"/>
    </row>
    <row r="4233" spans="1:1" x14ac:dyDescent="0.3">
      <c r="A4233" s="6"/>
    </row>
    <row r="4234" spans="1:1" x14ac:dyDescent="0.3">
      <c r="A4234" s="6"/>
    </row>
    <row r="4235" spans="1:1" x14ac:dyDescent="0.3">
      <c r="A4235" s="6"/>
    </row>
    <row r="4236" spans="1:1" x14ac:dyDescent="0.3">
      <c r="A4236" s="6"/>
    </row>
    <row r="4237" spans="1:1" x14ac:dyDescent="0.3">
      <c r="A4237" s="6"/>
    </row>
    <row r="4238" spans="1:1" x14ac:dyDescent="0.3">
      <c r="A4238" s="6"/>
    </row>
    <row r="4239" spans="1:1" x14ac:dyDescent="0.3">
      <c r="A4239" s="6"/>
    </row>
    <row r="4240" spans="1:1" x14ac:dyDescent="0.3">
      <c r="A4240" s="6"/>
    </row>
    <row r="4241" spans="1:1" x14ac:dyDescent="0.3">
      <c r="A4241" s="6"/>
    </row>
    <row r="4242" spans="1:1" x14ac:dyDescent="0.3">
      <c r="A4242" s="6"/>
    </row>
    <row r="4243" spans="1:1" x14ac:dyDescent="0.3">
      <c r="A4243" s="6"/>
    </row>
    <row r="4244" spans="1:1" x14ac:dyDescent="0.3">
      <c r="A4244" s="6"/>
    </row>
    <row r="4245" spans="1:1" x14ac:dyDescent="0.3">
      <c r="A4245" s="6"/>
    </row>
    <row r="4246" spans="1:1" x14ac:dyDescent="0.3">
      <c r="A4246" s="6"/>
    </row>
    <row r="4247" spans="1:1" x14ac:dyDescent="0.3">
      <c r="A4247" s="6"/>
    </row>
    <row r="4248" spans="1:1" x14ac:dyDescent="0.3">
      <c r="A4248" s="6"/>
    </row>
    <row r="4249" spans="1:1" x14ac:dyDescent="0.3">
      <c r="A4249" s="6"/>
    </row>
    <row r="4250" spans="1:1" x14ac:dyDescent="0.3">
      <c r="A4250" s="6"/>
    </row>
    <row r="4251" spans="1:1" x14ac:dyDescent="0.3">
      <c r="A4251" s="6"/>
    </row>
    <row r="4252" spans="1:1" x14ac:dyDescent="0.3">
      <c r="A4252" s="6"/>
    </row>
    <row r="4253" spans="1:1" x14ac:dyDescent="0.3">
      <c r="A4253" s="6"/>
    </row>
    <row r="4254" spans="1:1" x14ac:dyDescent="0.3">
      <c r="A4254" s="6"/>
    </row>
    <row r="4255" spans="1:1" x14ac:dyDescent="0.3">
      <c r="A4255" s="6"/>
    </row>
    <row r="4256" spans="1:1" x14ac:dyDescent="0.3">
      <c r="A4256" s="6"/>
    </row>
    <row r="4257" spans="1:1" x14ac:dyDescent="0.3">
      <c r="A4257" s="6"/>
    </row>
    <row r="4258" spans="1:1" x14ac:dyDescent="0.3">
      <c r="A4258" s="6"/>
    </row>
    <row r="4259" spans="1:1" x14ac:dyDescent="0.3">
      <c r="A4259" s="6"/>
    </row>
    <row r="4260" spans="1:1" x14ac:dyDescent="0.3">
      <c r="A4260" s="6"/>
    </row>
    <row r="4261" spans="1:1" x14ac:dyDescent="0.3">
      <c r="A4261" s="6"/>
    </row>
    <row r="4262" spans="1:1" x14ac:dyDescent="0.3">
      <c r="A4262" s="6"/>
    </row>
    <row r="4263" spans="1:1" x14ac:dyDescent="0.3">
      <c r="A4263" s="6"/>
    </row>
    <row r="4264" spans="1:1" x14ac:dyDescent="0.3">
      <c r="A4264" s="6"/>
    </row>
    <row r="4265" spans="1:1" x14ac:dyDescent="0.3">
      <c r="A4265" s="6"/>
    </row>
    <row r="4266" spans="1:1" x14ac:dyDescent="0.3">
      <c r="A4266" s="6"/>
    </row>
    <row r="4267" spans="1:1" x14ac:dyDescent="0.3">
      <c r="A4267" s="6"/>
    </row>
    <row r="4268" spans="1:1" x14ac:dyDescent="0.3">
      <c r="A4268" s="6"/>
    </row>
    <row r="4269" spans="1:1" x14ac:dyDescent="0.3">
      <c r="A4269" s="6"/>
    </row>
    <row r="4270" spans="1:1" x14ac:dyDescent="0.3">
      <c r="A4270" s="6"/>
    </row>
    <row r="4271" spans="1:1" x14ac:dyDescent="0.3">
      <c r="A4271" s="6"/>
    </row>
    <row r="4272" spans="1:1" x14ac:dyDescent="0.3">
      <c r="A4272" s="6"/>
    </row>
    <row r="4273" spans="1:1" x14ac:dyDescent="0.3">
      <c r="A4273" s="6"/>
    </row>
    <row r="4274" spans="1:1" x14ac:dyDescent="0.3">
      <c r="A4274" s="6"/>
    </row>
    <row r="4275" spans="1:1" x14ac:dyDescent="0.3">
      <c r="A4275" s="6"/>
    </row>
    <row r="4276" spans="1:1" x14ac:dyDescent="0.3">
      <c r="A4276" s="6"/>
    </row>
    <row r="4277" spans="1:1" x14ac:dyDescent="0.3">
      <c r="A4277" s="6"/>
    </row>
    <row r="4278" spans="1:1" x14ac:dyDescent="0.3">
      <c r="A4278" s="6"/>
    </row>
    <row r="4279" spans="1:1" x14ac:dyDescent="0.3">
      <c r="A4279" s="6"/>
    </row>
    <row r="4280" spans="1:1" x14ac:dyDescent="0.3">
      <c r="A4280" s="6"/>
    </row>
    <row r="4281" spans="1:1" x14ac:dyDescent="0.3">
      <c r="A4281" s="6"/>
    </row>
    <row r="4282" spans="1:1" x14ac:dyDescent="0.3">
      <c r="A4282" s="6"/>
    </row>
    <row r="4283" spans="1:1" x14ac:dyDescent="0.3">
      <c r="A4283" s="6"/>
    </row>
    <row r="4284" spans="1:1" x14ac:dyDescent="0.3">
      <c r="A4284" s="6"/>
    </row>
    <row r="4285" spans="1:1" x14ac:dyDescent="0.3">
      <c r="A4285" s="6"/>
    </row>
    <row r="4286" spans="1:1" x14ac:dyDescent="0.3">
      <c r="A4286" s="6"/>
    </row>
    <row r="4287" spans="1:1" x14ac:dyDescent="0.3">
      <c r="A4287" s="6"/>
    </row>
    <row r="4288" spans="1:1" x14ac:dyDescent="0.3">
      <c r="A4288" s="6"/>
    </row>
    <row r="4289" spans="1:1" x14ac:dyDescent="0.3">
      <c r="A4289" s="6"/>
    </row>
    <row r="4290" spans="1:1" x14ac:dyDescent="0.3">
      <c r="A4290" s="6"/>
    </row>
    <row r="4291" spans="1:1" x14ac:dyDescent="0.3">
      <c r="A4291" s="6"/>
    </row>
    <row r="4292" spans="1:1" x14ac:dyDescent="0.3">
      <c r="A4292" s="6"/>
    </row>
    <row r="4293" spans="1:1" x14ac:dyDescent="0.3">
      <c r="A4293" s="6"/>
    </row>
    <row r="4294" spans="1:1" x14ac:dyDescent="0.3">
      <c r="A4294" s="6"/>
    </row>
    <row r="4295" spans="1:1" x14ac:dyDescent="0.3">
      <c r="A4295" s="6"/>
    </row>
    <row r="4296" spans="1:1" x14ac:dyDescent="0.3">
      <c r="A4296" s="6"/>
    </row>
    <row r="4297" spans="1:1" x14ac:dyDescent="0.3">
      <c r="A4297" s="6"/>
    </row>
    <row r="4298" spans="1:1" x14ac:dyDescent="0.3">
      <c r="A4298" s="6"/>
    </row>
    <row r="4299" spans="1:1" x14ac:dyDescent="0.3">
      <c r="A4299" s="6"/>
    </row>
    <row r="4300" spans="1:1" x14ac:dyDescent="0.3">
      <c r="A4300" s="6"/>
    </row>
    <row r="4301" spans="1:1" x14ac:dyDescent="0.3">
      <c r="A4301" s="6"/>
    </row>
    <row r="4302" spans="1:1" x14ac:dyDescent="0.3">
      <c r="A4302" s="6"/>
    </row>
    <row r="4303" spans="1:1" x14ac:dyDescent="0.3">
      <c r="A4303" s="6"/>
    </row>
    <row r="4304" spans="1:1" x14ac:dyDescent="0.3">
      <c r="A4304" s="6"/>
    </row>
    <row r="4305" spans="1:1" x14ac:dyDescent="0.3">
      <c r="A4305" s="6"/>
    </row>
    <row r="4306" spans="1:1" x14ac:dyDescent="0.3">
      <c r="A4306" s="6"/>
    </row>
    <row r="4307" spans="1:1" x14ac:dyDescent="0.3">
      <c r="A4307" s="6"/>
    </row>
    <row r="4308" spans="1:1" x14ac:dyDescent="0.3">
      <c r="A4308" s="6"/>
    </row>
    <row r="4309" spans="1:1" x14ac:dyDescent="0.3">
      <c r="A4309" s="6"/>
    </row>
    <row r="4310" spans="1:1" x14ac:dyDescent="0.3">
      <c r="A4310" s="6"/>
    </row>
    <row r="4311" spans="1:1" x14ac:dyDescent="0.3">
      <c r="A4311" s="6"/>
    </row>
    <row r="4312" spans="1:1" x14ac:dyDescent="0.3">
      <c r="A4312" s="6"/>
    </row>
    <row r="4313" spans="1:1" x14ac:dyDescent="0.3">
      <c r="A4313" s="6"/>
    </row>
    <row r="4314" spans="1:1" x14ac:dyDescent="0.3">
      <c r="A4314" s="6"/>
    </row>
    <row r="4315" spans="1:1" x14ac:dyDescent="0.3">
      <c r="A4315" s="6"/>
    </row>
    <row r="4316" spans="1:1" x14ac:dyDescent="0.3">
      <c r="A4316" s="6"/>
    </row>
    <row r="4317" spans="1:1" x14ac:dyDescent="0.3">
      <c r="A4317" s="6"/>
    </row>
    <row r="4318" spans="1:1" x14ac:dyDescent="0.3">
      <c r="A4318" s="6"/>
    </row>
    <row r="4319" spans="1:1" x14ac:dyDescent="0.3">
      <c r="A4319" s="6"/>
    </row>
    <row r="4320" spans="1:1" x14ac:dyDescent="0.3">
      <c r="A4320" s="6"/>
    </row>
    <row r="4321" spans="1:1" x14ac:dyDescent="0.3">
      <c r="A4321" s="6"/>
    </row>
    <row r="4322" spans="1:1" x14ac:dyDescent="0.3">
      <c r="A4322" s="6"/>
    </row>
    <row r="4323" spans="1:1" x14ac:dyDescent="0.3">
      <c r="A4323" s="6"/>
    </row>
    <row r="4324" spans="1:1" x14ac:dyDescent="0.3">
      <c r="A4324" s="6"/>
    </row>
    <row r="4325" spans="1:1" x14ac:dyDescent="0.3">
      <c r="A4325" s="6"/>
    </row>
    <row r="4326" spans="1:1" x14ac:dyDescent="0.3">
      <c r="A4326" s="6"/>
    </row>
    <row r="4327" spans="1:1" x14ac:dyDescent="0.3">
      <c r="A4327" s="6"/>
    </row>
    <row r="4328" spans="1:1" x14ac:dyDescent="0.3">
      <c r="A4328" s="6"/>
    </row>
    <row r="4329" spans="1:1" x14ac:dyDescent="0.3">
      <c r="A4329" s="6"/>
    </row>
    <row r="4330" spans="1:1" x14ac:dyDescent="0.3">
      <c r="A4330" s="6"/>
    </row>
    <row r="4331" spans="1:1" x14ac:dyDescent="0.3">
      <c r="A4331" s="6"/>
    </row>
    <row r="4332" spans="1:1" x14ac:dyDescent="0.3">
      <c r="A4332" s="6"/>
    </row>
    <row r="4333" spans="1:1" x14ac:dyDescent="0.3">
      <c r="A4333" s="6"/>
    </row>
    <row r="4334" spans="1:1" x14ac:dyDescent="0.3">
      <c r="A4334" s="6"/>
    </row>
    <row r="4335" spans="1:1" x14ac:dyDescent="0.3">
      <c r="A4335" s="6"/>
    </row>
    <row r="4336" spans="1:1" x14ac:dyDescent="0.3">
      <c r="A4336" s="6"/>
    </row>
    <row r="4337" spans="1:1" x14ac:dyDescent="0.3">
      <c r="A4337" s="6"/>
    </row>
    <row r="4338" spans="1:1" x14ac:dyDescent="0.3">
      <c r="A4338" s="6"/>
    </row>
    <row r="4339" spans="1:1" x14ac:dyDescent="0.3">
      <c r="A4339" s="6"/>
    </row>
    <row r="4340" spans="1:1" x14ac:dyDescent="0.3">
      <c r="A4340" s="6"/>
    </row>
    <row r="4341" spans="1:1" x14ac:dyDescent="0.3">
      <c r="A4341" s="6"/>
    </row>
    <row r="4342" spans="1:1" x14ac:dyDescent="0.3">
      <c r="A4342" s="6"/>
    </row>
    <row r="4343" spans="1:1" x14ac:dyDescent="0.3">
      <c r="A4343" s="6"/>
    </row>
    <row r="4344" spans="1:1" x14ac:dyDescent="0.3">
      <c r="A4344" s="6"/>
    </row>
    <row r="4345" spans="1:1" x14ac:dyDescent="0.3">
      <c r="A4345" s="6"/>
    </row>
    <row r="4346" spans="1:1" x14ac:dyDescent="0.3">
      <c r="A4346" s="6"/>
    </row>
    <row r="4347" spans="1:1" x14ac:dyDescent="0.3">
      <c r="A4347" s="6"/>
    </row>
    <row r="4348" spans="1:1" x14ac:dyDescent="0.3">
      <c r="A4348" s="6"/>
    </row>
    <row r="4349" spans="1:1" x14ac:dyDescent="0.3">
      <c r="A4349" s="6"/>
    </row>
    <row r="4350" spans="1:1" x14ac:dyDescent="0.3">
      <c r="A4350" s="6"/>
    </row>
    <row r="4351" spans="1:1" x14ac:dyDescent="0.3">
      <c r="A4351" s="6"/>
    </row>
    <row r="4352" spans="1:1" x14ac:dyDescent="0.3">
      <c r="A4352" s="6"/>
    </row>
    <row r="4353" spans="1:1" x14ac:dyDescent="0.3">
      <c r="A4353" s="6"/>
    </row>
    <row r="4354" spans="1:1" x14ac:dyDescent="0.3">
      <c r="A4354" s="6"/>
    </row>
    <row r="4355" spans="1:1" x14ac:dyDescent="0.3">
      <c r="A4355" s="6"/>
    </row>
    <row r="4356" spans="1:1" x14ac:dyDescent="0.3">
      <c r="A4356" s="6"/>
    </row>
    <row r="4357" spans="1:1" x14ac:dyDescent="0.3">
      <c r="A4357" s="6"/>
    </row>
    <row r="4358" spans="1:1" x14ac:dyDescent="0.3">
      <c r="A4358" s="6"/>
    </row>
    <row r="4359" spans="1:1" x14ac:dyDescent="0.3">
      <c r="A4359" s="6"/>
    </row>
    <row r="4360" spans="1:1" x14ac:dyDescent="0.3">
      <c r="A4360" s="6"/>
    </row>
    <row r="4361" spans="1:1" x14ac:dyDescent="0.3">
      <c r="A4361" s="6"/>
    </row>
    <row r="4362" spans="1:1" x14ac:dyDescent="0.3">
      <c r="A4362" s="6"/>
    </row>
    <row r="4363" spans="1:1" x14ac:dyDescent="0.3">
      <c r="A4363" s="6"/>
    </row>
    <row r="4364" spans="1:1" x14ac:dyDescent="0.3">
      <c r="A4364" s="6"/>
    </row>
    <row r="4365" spans="1:1" x14ac:dyDescent="0.3">
      <c r="A4365" s="6"/>
    </row>
    <row r="4366" spans="1:1" x14ac:dyDescent="0.3">
      <c r="A4366" s="6"/>
    </row>
    <row r="4367" spans="1:1" x14ac:dyDescent="0.3">
      <c r="A4367" s="6"/>
    </row>
    <row r="4368" spans="1:1" x14ac:dyDescent="0.3">
      <c r="A4368" s="6"/>
    </row>
    <row r="4369" spans="1:1" x14ac:dyDescent="0.3">
      <c r="A4369" s="6"/>
    </row>
    <row r="4370" spans="1:1" x14ac:dyDescent="0.3">
      <c r="A4370" s="6"/>
    </row>
    <row r="4371" spans="1:1" x14ac:dyDescent="0.3">
      <c r="A4371" s="6"/>
    </row>
    <row r="4372" spans="1:1" x14ac:dyDescent="0.3">
      <c r="A4372" s="6"/>
    </row>
    <row r="4373" spans="1:1" x14ac:dyDescent="0.3">
      <c r="A4373" s="6"/>
    </row>
    <row r="4374" spans="1:1" x14ac:dyDescent="0.3">
      <c r="A4374" s="6"/>
    </row>
    <row r="4375" spans="1:1" x14ac:dyDescent="0.3">
      <c r="A4375" s="6"/>
    </row>
    <row r="4376" spans="1:1" x14ac:dyDescent="0.3">
      <c r="A4376" s="6"/>
    </row>
    <row r="4377" spans="1:1" x14ac:dyDescent="0.3">
      <c r="A4377" s="6"/>
    </row>
    <row r="4378" spans="1:1" x14ac:dyDescent="0.3">
      <c r="A4378" s="6"/>
    </row>
    <row r="4379" spans="1:1" x14ac:dyDescent="0.3">
      <c r="A4379" s="6"/>
    </row>
    <row r="4380" spans="1:1" x14ac:dyDescent="0.3">
      <c r="A4380" s="6"/>
    </row>
    <row r="4381" spans="1:1" x14ac:dyDescent="0.3">
      <c r="A4381" s="6"/>
    </row>
    <row r="4382" spans="1:1" x14ac:dyDescent="0.3">
      <c r="A4382" s="6"/>
    </row>
    <row r="4383" spans="1:1" x14ac:dyDescent="0.3">
      <c r="A4383" s="6"/>
    </row>
    <row r="4384" spans="1:1" x14ac:dyDescent="0.3">
      <c r="A4384" s="6"/>
    </row>
    <row r="4385" spans="1:1" x14ac:dyDescent="0.3">
      <c r="A4385" s="6"/>
    </row>
    <row r="4386" spans="1:1" x14ac:dyDescent="0.3">
      <c r="A4386" s="6"/>
    </row>
    <row r="4387" spans="1:1" x14ac:dyDescent="0.3">
      <c r="A4387" s="6"/>
    </row>
    <row r="4388" spans="1:1" x14ac:dyDescent="0.3">
      <c r="A4388" s="6"/>
    </row>
    <row r="4389" spans="1:1" x14ac:dyDescent="0.3">
      <c r="A4389" s="6"/>
    </row>
    <row r="4390" spans="1:1" x14ac:dyDescent="0.3">
      <c r="A4390" s="6"/>
    </row>
    <row r="4391" spans="1:1" x14ac:dyDescent="0.3">
      <c r="A4391" s="6"/>
    </row>
    <row r="4392" spans="1:1" x14ac:dyDescent="0.3">
      <c r="A4392" s="6"/>
    </row>
    <row r="4393" spans="1:1" x14ac:dyDescent="0.3">
      <c r="A4393" s="6"/>
    </row>
    <row r="4394" spans="1:1" x14ac:dyDescent="0.3">
      <c r="A4394" s="6"/>
    </row>
    <row r="4395" spans="1:1" x14ac:dyDescent="0.3">
      <c r="A4395" s="6"/>
    </row>
    <row r="4396" spans="1:1" x14ac:dyDescent="0.3">
      <c r="A4396" s="6"/>
    </row>
    <row r="4397" spans="1:1" x14ac:dyDescent="0.3">
      <c r="A4397" s="6"/>
    </row>
    <row r="4398" spans="1:1" x14ac:dyDescent="0.3">
      <c r="A4398" s="6"/>
    </row>
    <row r="4399" spans="1:1" x14ac:dyDescent="0.3">
      <c r="A4399" s="6"/>
    </row>
    <row r="4400" spans="1:1" x14ac:dyDescent="0.3">
      <c r="A4400" s="6"/>
    </row>
    <row r="4401" spans="1:1" x14ac:dyDescent="0.3">
      <c r="A4401" s="6"/>
    </row>
    <row r="4402" spans="1:1" x14ac:dyDescent="0.3">
      <c r="A4402" s="6"/>
    </row>
    <row r="4403" spans="1:1" x14ac:dyDescent="0.3">
      <c r="A4403" s="6"/>
    </row>
    <row r="4404" spans="1:1" x14ac:dyDescent="0.3">
      <c r="A4404" s="6"/>
    </row>
    <row r="4405" spans="1:1" x14ac:dyDescent="0.3">
      <c r="A4405" s="6"/>
    </row>
    <row r="4406" spans="1:1" x14ac:dyDescent="0.3">
      <c r="A4406" s="6"/>
    </row>
    <row r="4407" spans="1:1" x14ac:dyDescent="0.3">
      <c r="A4407" s="6"/>
    </row>
    <row r="4408" spans="1:1" x14ac:dyDescent="0.3">
      <c r="A4408" s="6"/>
    </row>
    <row r="4409" spans="1:1" x14ac:dyDescent="0.3">
      <c r="A4409" s="6"/>
    </row>
    <row r="4410" spans="1:1" x14ac:dyDescent="0.3">
      <c r="A4410" s="6"/>
    </row>
    <row r="4411" spans="1:1" x14ac:dyDescent="0.3">
      <c r="A4411" s="6"/>
    </row>
    <row r="4412" spans="1:1" x14ac:dyDescent="0.3">
      <c r="A4412" s="6"/>
    </row>
    <row r="4413" spans="1:1" x14ac:dyDescent="0.3">
      <c r="A4413" s="6"/>
    </row>
    <row r="4414" spans="1:1" x14ac:dyDescent="0.3">
      <c r="A4414" s="6"/>
    </row>
    <row r="4415" spans="1:1" x14ac:dyDescent="0.3">
      <c r="A4415" s="6"/>
    </row>
    <row r="4416" spans="1:1" x14ac:dyDescent="0.3">
      <c r="A4416" s="6"/>
    </row>
    <row r="4417" spans="1:1" x14ac:dyDescent="0.3">
      <c r="A4417" s="6"/>
    </row>
    <row r="4418" spans="1:1" x14ac:dyDescent="0.3">
      <c r="A4418" s="6"/>
    </row>
    <row r="4419" spans="1:1" x14ac:dyDescent="0.3">
      <c r="A4419" s="6"/>
    </row>
    <row r="4420" spans="1:1" x14ac:dyDescent="0.3">
      <c r="A4420" s="6"/>
    </row>
    <row r="4421" spans="1:1" x14ac:dyDescent="0.3">
      <c r="A4421" s="6"/>
    </row>
    <row r="4422" spans="1:1" x14ac:dyDescent="0.3">
      <c r="A4422" s="6"/>
    </row>
    <row r="4423" spans="1:1" x14ac:dyDescent="0.3">
      <c r="A4423" s="6"/>
    </row>
    <row r="4424" spans="1:1" x14ac:dyDescent="0.3">
      <c r="A4424" s="6"/>
    </row>
    <row r="4425" spans="1:1" x14ac:dyDescent="0.3">
      <c r="A4425" s="6"/>
    </row>
    <row r="4426" spans="1:1" x14ac:dyDescent="0.3">
      <c r="A4426" s="6"/>
    </row>
    <row r="4427" spans="1:1" x14ac:dyDescent="0.3">
      <c r="A4427" s="6"/>
    </row>
    <row r="4428" spans="1:1" x14ac:dyDescent="0.3">
      <c r="A4428" s="6"/>
    </row>
    <row r="4429" spans="1:1" x14ac:dyDescent="0.3">
      <c r="A4429" s="6"/>
    </row>
    <row r="4430" spans="1:1" x14ac:dyDescent="0.3">
      <c r="A4430" s="6"/>
    </row>
    <row r="4431" spans="1:1" x14ac:dyDescent="0.3">
      <c r="A4431" s="6"/>
    </row>
    <row r="4432" spans="1:1" x14ac:dyDescent="0.3">
      <c r="A4432" s="6"/>
    </row>
    <row r="4433" spans="1:1" x14ac:dyDescent="0.3">
      <c r="A4433" s="6"/>
    </row>
    <row r="4434" spans="1:1" x14ac:dyDescent="0.3">
      <c r="A4434" s="6"/>
    </row>
    <row r="4435" spans="1:1" x14ac:dyDescent="0.3">
      <c r="A4435" s="6"/>
    </row>
    <row r="4436" spans="1:1" x14ac:dyDescent="0.3">
      <c r="A4436" s="6"/>
    </row>
    <row r="4437" spans="1:1" x14ac:dyDescent="0.3">
      <c r="A4437" s="6"/>
    </row>
    <row r="4438" spans="1:1" x14ac:dyDescent="0.3">
      <c r="A4438" s="6"/>
    </row>
    <row r="4439" spans="1:1" x14ac:dyDescent="0.3">
      <c r="A4439" s="6"/>
    </row>
    <row r="4440" spans="1:1" x14ac:dyDescent="0.3">
      <c r="A4440" s="6"/>
    </row>
    <row r="4441" spans="1:1" x14ac:dyDescent="0.3">
      <c r="A4441" s="6"/>
    </row>
    <row r="4442" spans="1:1" x14ac:dyDescent="0.3">
      <c r="A4442" s="6"/>
    </row>
    <row r="4443" spans="1:1" x14ac:dyDescent="0.3">
      <c r="A4443" s="6"/>
    </row>
    <row r="4444" spans="1:1" x14ac:dyDescent="0.3">
      <c r="A4444" s="6"/>
    </row>
    <row r="4445" spans="1:1" x14ac:dyDescent="0.3">
      <c r="A4445" s="6"/>
    </row>
    <row r="4446" spans="1:1" x14ac:dyDescent="0.3">
      <c r="A4446" s="6"/>
    </row>
    <row r="4447" spans="1:1" x14ac:dyDescent="0.3">
      <c r="A4447" s="6"/>
    </row>
    <row r="4448" spans="1:1" x14ac:dyDescent="0.3">
      <c r="A4448" s="6"/>
    </row>
    <row r="4449" spans="1:1" x14ac:dyDescent="0.3">
      <c r="A4449" s="6"/>
    </row>
    <row r="4450" spans="1:1" x14ac:dyDescent="0.3">
      <c r="A4450" s="6"/>
    </row>
    <row r="4451" spans="1:1" x14ac:dyDescent="0.3">
      <c r="A4451" s="6"/>
    </row>
    <row r="4452" spans="1:1" x14ac:dyDescent="0.3">
      <c r="A4452" s="6"/>
    </row>
    <row r="4453" spans="1:1" x14ac:dyDescent="0.3">
      <c r="A4453" s="6"/>
    </row>
    <row r="4454" spans="1:1" x14ac:dyDescent="0.3">
      <c r="A4454" s="6"/>
    </row>
    <row r="4455" spans="1:1" x14ac:dyDescent="0.3">
      <c r="A4455" s="6"/>
    </row>
    <row r="4456" spans="1:1" x14ac:dyDescent="0.3">
      <c r="A4456" s="6"/>
    </row>
    <row r="4457" spans="1:1" x14ac:dyDescent="0.3">
      <c r="A4457" s="6"/>
    </row>
    <row r="4458" spans="1:1" x14ac:dyDescent="0.3">
      <c r="A4458" s="6"/>
    </row>
    <row r="4459" spans="1:1" x14ac:dyDescent="0.3">
      <c r="A4459" s="6"/>
    </row>
    <row r="4460" spans="1:1" x14ac:dyDescent="0.3">
      <c r="A4460" s="6"/>
    </row>
    <row r="4461" spans="1:1" x14ac:dyDescent="0.3">
      <c r="A4461" s="6"/>
    </row>
    <row r="4462" spans="1:1" x14ac:dyDescent="0.3">
      <c r="A4462" s="6"/>
    </row>
    <row r="4463" spans="1:1" x14ac:dyDescent="0.3">
      <c r="A4463" s="6"/>
    </row>
    <row r="4464" spans="1:1" x14ac:dyDescent="0.3">
      <c r="A4464" s="6"/>
    </row>
    <row r="4465" spans="1:1" x14ac:dyDescent="0.3">
      <c r="A4465" s="6"/>
    </row>
    <row r="4466" spans="1:1" x14ac:dyDescent="0.3">
      <c r="A4466" s="6"/>
    </row>
    <row r="4467" spans="1:1" x14ac:dyDescent="0.3">
      <c r="A4467" s="6"/>
    </row>
    <row r="4468" spans="1:1" x14ac:dyDescent="0.3">
      <c r="A4468" s="6"/>
    </row>
    <row r="4469" spans="1:1" x14ac:dyDescent="0.3">
      <c r="A4469" s="6"/>
    </row>
    <row r="4470" spans="1:1" x14ac:dyDescent="0.3">
      <c r="A4470" s="6"/>
    </row>
    <row r="4471" spans="1:1" x14ac:dyDescent="0.3">
      <c r="A4471" s="6"/>
    </row>
    <row r="4472" spans="1:1" x14ac:dyDescent="0.3">
      <c r="A4472" s="6"/>
    </row>
    <row r="4473" spans="1:1" x14ac:dyDescent="0.3">
      <c r="A4473" s="6"/>
    </row>
    <row r="4474" spans="1:1" x14ac:dyDescent="0.3">
      <c r="A4474" s="6"/>
    </row>
    <row r="4475" spans="1:1" x14ac:dyDescent="0.3">
      <c r="A4475" s="6"/>
    </row>
    <row r="4476" spans="1:1" x14ac:dyDescent="0.3">
      <c r="A4476" s="6"/>
    </row>
    <row r="4477" spans="1:1" x14ac:dyDescent="0.3">
      <c r="A4477" s="6"/>
    </row>
    <row r="4478" spans="1:1" x14ac:dyDescent="0.3">
      <c r="A4478" s="6"/>
    </row>
    <row r="4479" spans="1:1" x14ac:dyDescent="0.3">
      <c r="A4479" s="6"/>
    </row>
    <row r="4480" spans="1:1" x14ac:dyDescent="0.3">
      <c r="A4480" s="6"/>
    </row>
    <row r="4481" spans="1:1" x14ac:dyDescent="0.3">
      <c r="A4481" s="6"/>
    </row>
    <row r="4482" spans="1:1" x14ac:dyDescent="0.3">
      <c r="A4482" s="6"/>
    </row>
    <row r="4483" spans="1:1" x14ac:dyDescent="0.3">
      <c r="A4483" s="6"/>
    </row>
    <row r="4484" spans="1:1" x14ac:dyDescent="0.3">
      <c r="A4484" s="6"/>
    </row>
    <row r="4485" spans="1:1" x14ac:dyDescent="0.3">
      <c r="A4485" s="6"/>
    </row>
    <row r="4486" spans="1:1" x14ac:dyDescent="0.3">
      <c r="A4486" s="6"/>
    </row>
    <row r="4487" spans="1:1" x14ac:dyDescent="0.3">
      <c r="A4487" s="6"/>
    </row>
    <row r="4488" spans="1:1" x14ac:dyDescent="0.3">
      <c r="A4488" s="6"/>
    </row>
    <row r="4489" spans="1:1" x14ac:dyDescent="0.3">
      <c r="A4489" s="6"/>
    </row>
    <row r="4490" spans="1:1" x14ac:dyDescent="0.3">
      <c r="A4490" s="6"/>
    </row>
    <row r="4491" spans="1:1" x14ac:dyDescent="0.3">
      <c r="A4491" s="6"/>
    </row>
    <row r="4492" spans="1:1" x14ac:dyDescent="0.3">
      <c r="A4492" s="6"/>
    </row>
    <row r="4493" spans="1:1" x14ac:dyDescent="0.3">
      <c r="A4493" s="6"/>
    </row>
    <row r="4494" spans="1:1" x14ac:dyDescent="0.3">
      <c r="A4494" s="6"/>
    </row>
    <row r="4495" spans="1:1" x14ac:dyDescent="0.3">
      <c r="A4495" s="6"/>
    </row>
    <row r="4496" spans="1:1" x14ac:dyDescent="0.3">
      <c r="A4496" s="6"/>
    </row>
    <row r="4497" spans="1:1" x14ac:dyDescent="0.3">
      <c r="A4497" s="6"/>
    </row>
    <row r="4498" spans="1:1" x14ac:dyDescent="0.3">
      <c r="A4498" s="6"/>
    </row>
    <row r="4499" spans="1:1" x14ac:dyDescent="0.3">
      <c r="A4499" s="6"/>
    </row>
    <row r="4500" spans="1:1" x14ac:dyDescent="0.3">
      <c r="A4500" s="6"/>
    </row>
    <row r="4501" spans="1:1" x14ac:dyDescent="0.3">
      <c r="A4501" s="6"/>
    </row>
    <row r="4502" spans="1:1" x14ac:dyDescent="0.3">
      <c r="A4502" s="6"/>
    </row>
    <row r="4503" spans="1:1" x14ac:dyDescent="0.3">
      <c r="A4503" s="6"/>
    </row>
    <row r="4504" spans="1:1" x14ac:dyDescent="0.3">
      <c r="A4504" s="6"/>
    </row>
    <row r="4505" spans="1:1" x14ac:dyDescent="0.3">
      <c r="A4505" s="6"/>
    </row>
    <row r="4506" spans="1:1" x14ac:dyDescent="0.3">
      <c r="A4506" s="6"/>
    </row>
    <row r="4507" spans="1:1" x14ac:dyDescent="0.3">
      <c r="A4507" s="6"/>
    </row>
    <row r="4508" spans="1:1" x14ac:dyDescent="0.3">
      <c r="A4508" s="6"/>
    </row>
    <row r="4509" spans="1:1" x14ac:dyDescent="0.3">
      <c r="A4509" s="6"/>
    </row>
    <row r="4510" spans="1:1" x14ac:dyDescent="0.3">
      <c r="A4510" s="6"/>
    </row>
    <row r="4511" spans="1:1" x14ac:dyDescent="0.3">
      <c r="A4511" s="6"/>
    </row>
    <row r="4512" spans="1:1" x14ac:dyDescent="0.3">
      <c r="A4512" s="6"/>
    </row>
    <row r="4513" spans="1:1" x14ac:dyDescent="0.3">
      <c r="A4513" s="6"/>
    </row>
    <row r="4514" spans="1:1" x14ac:dyDescent="0.3">
      <c r="A4514" s="6"/>
    </row>
    <row r="4515" spans="1:1" x14ac:dyDescent="0.3">
      <c r="A4515" s="6"/>
    </row>
    <row r="4516" spans="1:1" x14ac:dyDescent="0.3">
      <c r="A4516" s="6"/>
    </row>
    <row r="4517" spans="1:1" x14ac:dyDescent="0.3">
      <c r="A4517" s="6"/>
    </row>
    <row r="4518" spans="1:1" x14ac:dyDescent="0.3">
      <c r="A4518" s="6"/>
    </row>
    <row r="4519" spans="1:1" x14ac:dyDescent="0.3">
      <c r="A4519" s="6"/>
    </row>
    <row r="4520" spans="1:1" x14ac:dyDescent="0.3">
      <c r="A4520" s="6"/>
    </row>
    <row r="4521" spans="1:1" x14ac:dyDescent="0.3">
      <c r="A4521" s="6"/>
    </row>
    <row r="4522" spans="1:1" x14ac:dyDescent="0.3">
      <c r="A4522" s="6"/>
    </row>
    <row r="4523" spans="1:1" x14ac:dyDescent="0.3">
      <c r="A4523" s="6"/>
    </row>
    <row r="4524" spans="1:1" x14ac:dyDescent="0.3">
      <c r="A4524" s="6"/>
    </row>
    <row r="4525" spans="1:1" x14ac:dyDescent="0.3">
      <c r="A4525" s="6"/>
    </row>
    <row r="4526" spans="1:1" x14ac:dyDescent="0.3">
      <c r="A4526" s="6"/>
    </row>
    <row r="4527" spans="1:1" x14ac:dyDescent="0.3">
      <c r="A4527" s="6"/>
    </row>
    <row r="4528" spans="1:1" x14ac:dyDescent="0.3">
      <c r="A4528" s="6"/>
    </row>
    <row r="4529" spans="1:1" x14ac:dyDescent="0.3">
      <c r="A4529" s="6"/>
    </row>
    <row r="4530" spans="1:1" x14ac:dyDescent="0.3">
      <c r="A4530" s="6"/>
    </row>
    <row r="4531" spans="1:1" x14ac:dyDescent="0.3">
      <c r="A4531" s="6"/>
    </row>
    <row r="4532" spans="1:1" x14ac:dyDescent="0.3">
      <c r="A4532" s="6"/>
    </row>
    <row r="4533" spans="1:1" x14ac:dyDescent="0.3">
      <c r="A4533" s="6"/>
    </row>
    <row r="4534" spans="1:1" x14ac:dyDescent="0.3">
      <c r="A4534" s="6"/>
    </row>
    <row r="4535" spans="1:1" x14ac:dyDescent="0.3">
      <c r="A4535" s="6"/>
    </row>
    <row r="4536" spans="1:1" x14ac:dyDescent="0.3">
      <c r="A4536" s="6"/>
    </row>
    <row r="4537" spans="1:1" x14ac:dyDescent="0.3">
      <c r="A4537" s="6"/>
    </row>
    <row r="4538" spans="1:1" x14ac:dyDescent="0.3">
      <c r="A4538" s="6"/>
    </row>
    <row r="4539" spans="1:1" x14ac:dyDescent="0.3">
      <c r="A4539" s="6"/>
    </row>
    <row r="4540" spans="1:1" x14ac:dyDescent="0.3">
      <c r="A4540" s="6"/>
    </row>
    <row r="4541" spans="1:1" x14ac:dyDescent="0.3">
      <c r="A4541" s="6"/>
    </row>
    <row r="4542" spans="1:1" x14ac:dyDescent="0.3">
      <c r="A4542" s="6"/>
    </row>
    <row r="4543" spans="1:1" x14ac:dyDescent="0.3">
      <c r="A4543" s="6"/>
    </row>
    <row r="4544" spans="1:1" x14ac:dyDescent="0.3">
      <c r="A4544" s="6"/>
    </row>
    <row r="4545" spans="1:1" x14ac:dyDescent="0.3">
      <c r="A4545" s="6"/>
    </row>
    <row r="4546" spans="1:1" x14ac:dyDescent="0.3">
      <c r="A4546" s="6"/>
    </row>
    <row r="4547" spans="1:1" x14ac:dyDescent="0.3">
      <c r="A4547" s="6"/>
    </row>
    <row r="4548" spans="1:1" x14ac:dyDescent="0.3">
      <c r="A4548" s="6"/>
    </row>
    <row r="4549" spans="1:1" x14ac:dyDescent="0.3">
      <c r="A4549" s="6"/>
    </row>
    <row r="4550" spans="1:1" x14ac:dyDescent="0.3">
      <c r="A4550" s="6"/>
    </row>
    <row r="4551" spans="1:1" x14ac:dyDescent="0.3">
      <c r="A4551" s="6"/>
    </row>
    <row r="4552" spans="1:1" x14ac:dyDescent="0.3">
      <c r="A4552" s="6"/>
    </row>
    <row r="4553" spans="1:1" x14ac:dyDescent="0.3">
      <c r="A4553" s="6"/>
    </row>
    <row r="4554" spans="1:1" x14ac:dyDescent="0.3">
      <c r="A4554" s="6"/>
    </row>
    <row r="4555" spans="1:1" x14ac:dyDescent="0.3">
      <c r="A4555" s="6"/>
    </row>
    <row r="4556" spans="1:1" x14ac:dyDescent="0.3">
      <c r="A4556" s="6"/>
    </row>
    <row r="4557" spans="1:1" x14ac:dyDescent="0.3">
      <c r="A4557" s="6"/>
    </row>
    <row r="4558" spans="1:1" x14ac:dyDescent="0.3">
      <c r="A4558" s="6"/>
    </row>
    <row r="4559" spans="1:1" x14ac:dyDescent="0.3">
      <c r="A4559" s="6"/>
    </row>
    <row r="4560" spans="1:1" x14ac:dyDescent="0.3">
      <c r="A4560" s="6"/>
    </row>
    <row r="4561" spans="1:1" x14ac:dyDescent="0.3">
      <c r="A4561" s="6"/>
    </row>
    <row r="4562" spans="1:1" x14ac:dyDescent="0.3">
      <c r="A4562" s="6"/>
    </row>
    <row r="4563" spans="1:1" x14ac:dyDescent="0.3">
      <c r="A4563" s="6"/>
    </row>
    <row r="4564" spans="1:1" x14ac:dyDescent="0.3">
      <c r="A4564" s="6"/>
    </row>
    <row r="4565" spans="1:1" x14ac:dyDescent="0.3">
      <c r="A4565" s="6"/>
    </row>
    <row r="4566" spans="1:1" x14ac:dyDescent="0.3">
      <c r="A4566" s="6"/>
    </row>
    <row r="4567" spans="1:1" x14ac:dyDescent="0.3">
      <c r="A4567" s="6"/>
    </row>
    <row r="4568" spans="1:1" x14ac:dyDescent="0.3">
      <c r="A4568" s="6"/>
    </row>
    <row r="4569" spans="1:1" x14ac:dyDescent="0.3">
      <c r="A4569" s="6"/>
    </row>
    <row r="4570" spans="1:1" x14ac:dyDescent="0.3">
      <c r="A4570" s="6"/>
    </row>
    <row r="4571" spans="1:1" x14ac:dyDescent="0.3">
      <c r="A4571" s="6"/>
    </row>
    <row r="4572" spans="1:1" x14ac:dyDescent="0.3">
      <c r="A4572" s="6"/>
    </row>
    <row r="4573" spans="1:1" x14ac:dyDescent="0.3">
      <c r="A4573" s="6"/>
    </row>
    <row r="4574" spans="1:1" x14ac:dyDescent="0.3">
      <c r="A4574" s="6"/>
    </row>
    <row r="4575" spans="1:1" x14ac:dyDescent="0.3">
      <c r="A4575" s="6"/>
    </row>
    <row r="4576" spans="1:1" x14ac:dyDescent="0.3">
      <c r="A4576" s="6"/>
    </row>
    <row r="4577" spans="1:1" x14ac:dyDescent="0.3">
      <c r="A4577" s="6"/>
    </row>
    <row r="4578" spans="1:1" x14ac:dyDescent="0.3">
      <c r="A4578" s="6"/>
    </row>
    <row r="4579" spans="1:1" x14ac:dyDescent="0.3">
      <c r="A4579" s="6"/>
    </row>
    <row r="4580" spans="1:1" x14ac:dyDescent="0.3">
      <c r="A4580" s="6"/>
    </row>
    <row r="4581" spans="1:1" x14ac:dyDescent="0.3">
      <c r="A4581" s="6"/>
    </row>
    <row r="4582" spans="1:1" x14ac:dyDescent="0.3">
      <c r="A4582" s="6"/>
    </row>
    <row r="4583" spans="1:1" x14ac:dyDescent="0.3">
      <c r="A4583" s="6"/>
    </row>
    <row r="4584" spans="1:1" x14ac:dyDescent="0.3">
      <c r="A4584" s="6"/>
    </row>
    <row r="4585" spans="1:1" x14ac:dyDescent="0.3">
      <c r="A4585" s="6"/>
    </row>
    <row r="4586" spans="1:1" x14ac:dyDescent="0.3">
      <c r="A4586" s="6"/>
    </row>
    <row r="4587" spans="1:1" x14ac:dyDescent="0.3">
      <c r="A4587" s="6"/>
    </row>
    <row r="4588" spans="1:1" x14ac:dyDescent="0.3">
      <c r="A4588" s="6"/>
    </row>
    <row r="4589" spans="1:1" x14ac:dyDescent="0.3">
      <c r="A4589" s="6"/>
    </row>
    <row r="4590" spans="1:1" x14ac:dyDescent="0.3">
      <c r="A4590" s="6"/>
    </row>
    <row r="4591" spans="1:1" x14ac:dyDescent="0.3">
      <c r="A4591" s="6"/>
    </row>
    <row r="4592" spans="1:1" x14ac:dyDescent="0.3">
      <c r="A4592" s="6"/>
    </row>
    <row r="4593" spans="1:1" x14ac:dyDescent="0.3">
      <c r="A4593" s="6"/>
    </row>
    <row r="4594" spans="1:1" x14ac:dyDescent="0.3">
      <c r="A4594" s="6"/>
    </row>
    <row r="4595" spans="1:1" x14ac:dyDescent="0.3">
      <c r="A4595" s="6"/>
    </row>
    <row r="4596" spans="1:1" x14ac:dyDescent="0.3">
      <c r="A4596" s="6"/>
    </row>
    <row r="4597" spans="1:1" x14ac:dyDescent="0.3">
      <c r="A4597" s="6"/>
    </row>
    <row r="4598" spans="1:1" x14ac:dyDescent="0.3">
      <c r="A4598" s="6"/>
    </row>
    <row r="4599" spans="1:1" x14ac:dyDescent="0.3">
      <c r="A4599" s="6"/>
    </row>
    <row r="4600" spans="1:1" x14ac:dyDescent="0.3">
      <c r="A4600" s="6"/>
    </row>
    <row r="4601" spans="1:1" x14ac:dyDescent="0.3">
      <c r="A4601" s="6"/>
    </row>
    <row r="4602" spans="1:1" x14ac:dyDescent="0.3">
      <c r="A4602" s="6"/>
    </row>
    <row r="4603" spans="1:1" x14ac:dyDescent="0.3">
      <c r="A4603" s="6"/>
    </row>
    <row r="4604" spans="1:1" x14ac:dyDescent="0.3">
      <c r="A4604" s="6"/>
    </row>
    <row r="4605" spans="1:1" x14ac:dyDescent="0.3">
      <c r="A4605" s="6"/>
    </row>
    <row r="4606" spans="1:1" x14ac:dyDescent="0.3">
      <c r="A4606" s="6"/>
    </row>
    <row r="4607" spans="1:1" x14ac:dyDescent="0.3">
      <c r="A4607" s="6"/>
    </row>
    <row r="4608" spans="1:1" x14ac:dyDescent="0.3">
      <c r="A4608" s="6"/>
    </row>
    <row r="4609" spans="1:1" x14ac:dyDescent="0.3">
      <c r="A4609" s="6"/>
    </row>
    <row r="4610" spans="1:1" x14ac:dyDescent="0.3">
      <c r="A4610" s="6"/>
    </row>
    <row r="4611" spans="1:1" x14ac:dyDescent="0.3">
      <c r="A4611" s="6"/>
    </row>
    <row r="4612" spans="1:1" x14ac:dyDescent="0.3">
      <c r="A4612" s="6"/>
    </row>
    <row r="4613" spans="1:1" x14ac:dyDescent="0.3">
      <c r="A4613" s="6"/>
    </row>
    <row r="4614" spans="1:1" x14ac:dyDescent="0.3">
      <c r="A4614" s="6"/>
    </row>
    <row r="4615" spans="1:1" x14ac:dyDescent="0.3">
      <c r="A4615" s="6"/>
    </row>
    <row r="4616" spans="1:1" x14ac:dyDescent="0.3">
      <c r="A4616" s="6"/>
    </row>
    <row r="4617" spans="1:1" x14ac:dyDescent="0.3">
      <c r="A4617" s="6"/>
    </row>
    <row r="4618" spans="1:1" x14ac:dyDescent="0.3">
      <c r="A4618" s="6"/>
    </row>
    <row r="4619" spans="1:1" x14ac:dyDescent="0.3">
      <c r="A4619" s="6"/>
    </row>
    <row r="4620" spans="1:1" x14ac:dyDescent="0.3">
      <c r="A4620" s="6"/>
    </row>
    <row r="4621" spans="1:1" x14ac:dyDescent="0.3">
      <c r="A4621" s="6"/>
    </row>
    <row r="4622" spans="1:1" x14ac:dyDescent="0.3">
      <c r="A4622" s="6"/>
    </row>
    <row r="4623" spans="1:1" x14ac:dyDescent="0.3">
      <c r="A4623" s="6"/>
    </row>
    <row r="4624" spans="1:1" x14ac:dyDescent="0.3">
      <c r="A4624" s="6"/>
    </row>
    <row r="4625" spans="1:1" x14ac:dyDescent="0.3">
      <c r="A4625" s="6"/>
    </row>
    <row r="4626" spans="1:1" x14ac:dyDescent="0.3">
      <c r="A4626" s="6"/>
    </row>
    <row r="4627" spans="1:1" x14ac:dyDescent="0.3">
      <c r="A4627" s="6"/>
    </row>
    <row r="4628" spans="1:1" x14ac:dyDescent="0.3">
      <c r="A4628" s="6"/>
    </row>
    <row r="4629" spans="1:1" x14ac:dyDescent="0.3">
      <c r="A4629" s="6"/>
    </row>
    <row r="4630" spans="1:1" x14ac:dyDescent="0.3">
      <c r="A4630" s="6"/>
    </row>
    <row r="4631" spans="1:1" x14ac:dyDescent="0.3">
      <c r="A4631" s="6"/>
    </row>
    <row r="4632" spans="1:1" x14ac:dyDescent="0.3">
      <c r="A4632" s="6"/>
    </row>
    <row r="4633" spans="1:1" x14ac:dyDescent="0.3">
      <c r="A4633" s="6"/>
    </row>
    <row r="4634" spans="1:1" x14ac:dyDescent="0.3">
      <c r="A4634" s="6"/>
    </row>
    <row r="4635" spans="1:1" x14ac:dyDescent="0.3">
      <c r="A4635" s="6"/>
    </row>
    <row r="4636" spans="1:1" x14ac:dyDescent="0.3">
      <c r="A4636" s="6"/>
    </row>
    <row r="4637" spans="1:1" x14ac:dyDescent="0.3">
      <c r="A4637" s="6"/>
    </row>
    <row r="4638" spans="1:1" x14ac:dyDescent="0.3">
      <c r="A4638" s="6"/>
    </row>
    <row r="4639" spans="1:1" x14ac:dyDescent="0.3">
      <c r="A4639" s="6"/>
    </row>
    <row r="4640" spans="1:1" x14ac:dyDescent="0.3">
      <c r="A4640" s="6"/>
    </row>
    <row r="4641" spans="1:1" x14ac:dyDescent="0.3">
      <c r="A4641" s="6"/>
    </row>
    <row r="4642" spans="1:1" x14ac:dyDescent="0.3">
      <c r="A4642" s="6"/>
    </row>
    <row r="4643" spans="1:1" x14ac:dyDescent="0.3">
      <c r="A4643" s="6"/>
    </row>
    <row r="4644" spans="1:1" x14ac:dyDescent="0.3">
      <c r="A4644" s="6"/>
    </row>
    <row r="4645" spans="1:1" x14ac:dyDescent="0.3">
      <c r="A4645" s="6"/>
    </row>
    <row r="4646" spans="1:1" x14ac:dyDescent="0.3">
      <c r="A4646" s="6"/>
    </row>
    <row r="4647" spans="1:1" x14ac:dyDescent="0.3">
      <c r="A4647" s="6"/>
    </row>
    <row r="4648" spans="1:1" x14ac:dyDescent="0.3">
      <c r="A4648" s="6"/>
    </row>
    <row r="4649" spans="1:1" x14ac:dyDescent="0.3">
      <c r="A4649" s="6"/>
    </row>
    <row r="4650" spans="1:1" x14ac:dyDescent="0.3">
      <c r="A4650" s="6"/>
    </row>
    <row r="4651" spans="1:1" x14ac:dyDescent="0.3">
      <c r="A4651" s="6"/>
    </row>
    <row r="4652" spans="1:1" x14ac:dyDescent="0.3">
      <c r="A4652" s="6"/>
    </row>
    <row r="4653" spans="1:1" x14ac:dyDescent="0.3">
      <c r="A4653" s="6"/>
    </row>
    <row r="4654" spans="1:1" x14ac:dyDescent="0.3">
      <c r="A4654" s="6"/>
    </row>
    <row r="4655" spans="1:1" x14ac:dyDescent="0.3">
      <c r="A4655" s="6"/>
    </row>
    <row r="4656" spans="1:1" x14ac:dyDescent="0.3">
      <c r="A4656" s="6"/>
    </row>
    <row r="4657" spans="1:1" x14ac:dyDescent="0.3">
      <c r="A4657" s="6"/>
    </row>
    <row r="4658" spans="1:1" x14ac:dyDescent="0.3">
      <c r="A4658" s="6"/>
    </row>
    <row r="4659" spans="1:1" x14ac:dyDescent="0.3">
      <c r="A4659" s="6"/>
    </row>
    <row r="4660" spans="1:1" x14ac:dyDescent="0.3">
      <c r="A4660" s="6"/>
    </row>
    <row r="4661" spans="1:1" x14ac:dyDescent="0.3">
      <c r="A4661" s="6"/>
    </row>
    <row r="4662" spans="1:1" x14ac:dyDescent="0.3">
      <c r="A4662" s="6"/>
    </row>
    <row r="4663" spans="1:1" x14ac:dyDescent="0.3">
      <c r="A4663" s="6"/>
    </row>
    <row r="4664" spans="1:1" x14ac:dyDescent="0.3">
      <c r="A4664" s="6"/>
    </row>
    <row r="4665" spans="1:1" x14ac:dyDescent="0.3">
      <c r="A4665" s="6"/>
    </row>
    <row r="4666" spans="1:1" x14ac:dyDescent="0.3">
      <c r="A4666" s="6"/>
    </row>
    <row r="4667" spans="1:1" x14ac:dyDescent="0.3">
      <c r="A4667" s="6"/>
    </row>
    <row r="4668" spans="1:1" x14ac:dyDescent="0.3">
      <c r="A4668" s="6"/>
    </row>
    <row r="4669" spans="1:1" x14ac:dyDescent="0.3">
      <c r="A4669" s="6"/>
    </row>
    <row r="4670" spans="1:1" x14ac:dyDescent="0.3">
      <c r="A4670" s="6"/>
    </row>
    <row r="4671" spans="1:1" x14ac:dyDescent="0.3">
      <c r="A4671" s="6"/>
    </row>
    <row r="4672" spans="1:1" x14ac:dyDescent="0.3">
      <c r="A4672" s="6"/>
    </row>
    <row r="4673" spans="1:1" x14ac:dyDescent="0.3">
      <c r="A4673" s="6"/>
    </row>
    <row r="4674" spans="1:1" x14ac:dyDescent="0.3">
      <c r="A4674" s="6"/>
    </row>
    <row r="4675" spans="1:1" x14ac:dyDescent="0.3">
      <c r="A4675" s="6"/>
    </row>
    <row r="4676" spans="1:1" x14ac:dyDescent="0.3">
      <c r="A4676" s="6"/>
    </row>
    <row r="4677" spans="1:1" x14ac:dyDescent="0.3">
      <c r="A4677" s="6"/>
    </row>
    <row r="4678" spans="1:1" x14ac:dyDescent="0.3">
      <c r="A4678" s="6"/>
    </row>
    <row r="4679" spans="1:1" x14ac:dyDescent="0.3">
      <c r="A4679" s="6"/>
    </row>
    <row r="4680" spans="1:1" x14ac:dyDescent="0.3">
      <c r="A4680" s="6"/>
    </row>
    <row r="4681" spans="1:1" x14ac:dyDescent="0.3">
      <c r="A4681" s="6"/>
    </row>
    <row r="4682" spans="1:1" x14ac:dyDescent="0.3">
      <c r="A4682" s="6"/>
    </row>
    <row r="4683" spans="1:1" x14ac:dyDescent="0.3">
      <c r="A4683" s="6"/>
    </row>
    <row r="4684" spans="1:1" x14ac:dyDescent="0.3">
      <c r="A4684" s="6"/>
    </row>
    <row r="4685" spans="1:1" x14ac:dyDescent="0.3">
      <c r="A4685" s="6"/>
    </row>
    <row r="4686" spans="1:1" x14ac:dyDescent="0.3">
      <c r="A4686" s="6"/>
    </row>
    <row r="4687" spans="1:1" x14ac:dyDescent="0.3">
      <c r="A4687" s="6"/>
    </row>
    <row r="4688" spans="1:1" x14ac:dyDescent="0.3">
      <c r="A4688" s="6"/>
    </row>
    <row r="4689" spans="1:1" x14ac:dyDescent="0.3">
      <c r="A4689" s="6"/>
    </row>
    <row r="4690" spans="1:1" x14ac:dyDescent="0.3">
      <c r="A4690" s="6"/>
    </row>
    <row r="4691" spans="1:1" x14ac:dyDescent="0.3">
      <c r="A4691" s="6"/>
    </row>
    <row r="4692" spans="1:1" x14ac:dyDescent="0.3">
      <c r="A4692" s="6"/>
    </row>
    <row r="4693" spans="1:1" x14ac:dyDescent="0.3">
      <c r="A4693" s="6"/>
    </row>
    <row r="4694" spans="1:1" x14ac:dyDescent="0.3">
      <c r="A4694" s="6"/>
    </row>
    <row r="4695" spans="1:1" x14ac:dyDescent="0.3">
      <c r="A4695" s="6"/>
    </row>
    <row r="4696" spans="1:1" x14ac:dyDescent="0.3">
      <c r="A4696" s="6"/>
    </row>
    <row r="4697" spans="1:1" x14ac:dyDescent="0.3">
      <c r="A4697" s="6"/>
    </row>
    <row r="4698" spans="1:1" x14ac:dyDescent="0.3">
      <c r="A4698" s="6"/>
    </row>
    <row r="4699" spans="1:1" x14ac:dyDescent="0.3">
      <c r="A4699" s="6"/>
    </row>
    <row r="4700" spans="1:1" x14ac:dyDescent="0.3">
      <c r="A4700" s="6"/>
    </row>
    <row r="4701" spans="1:1" x14ac:dyDescent="0.3">
      <c r="A4701" s="6"/>
    </row>
    <row r="4702" spans="1:1" x14ac:dyDescent="0.3">
      <c r="A4702" s="6"/>
    </row>
    <row r="4703" spans="1:1" x14ac:dyDescent="0.3">
      <c r="A4703" s="6"/>
    </row>
    <row r="4704" spans="1:1" x14ac:dyDescent="0.3">
      <c r="A4704" s="6"/>
    </row>
    <row r="4705" spans="1:1" x14ac:dyDescent="0.3">
      <c r="A4705" s="6"/>
    </row>
    <row r="4706" spans="1:1" x14ac:dyDescent="0.3">
      <c r="A4706" s="6"/>
    </row>
    <row r="4707" spans="1:1" x14ac:dyDescent="0.3">
      <c r="A4707" s="6"/>
    </row>
    <row r="4708" spans="1:1" x14ac:dyDescent="0.3">
      <c r="A4708" s="6"/>
    </row>
    <row r="4709" spans="1:1" x14ac:dyDescent="0.3">
      <c r="A4709" s="6"/>
    </row>
    <row r="4710" spans="1:1" x14ac:dyDescent="0.3">
      <c r="A4710" s="6"/>
    </row>
    <row r="4711" spans="1:1" x14ac:dyDescent="0.3">
      <c r="A4711" s="6"/>
    </row>
    <row r="4712" spans="1:1" x14ac:dyDescent="0.3">
      <c r="A4712" s="6"/>
    </row>
    <row r="4713" spans="1:1" x14ac:dyDescent="0.3">
      <c r="A4713" s="6"/>
    </row>
    <row r="4714" spans="1:1" x14ac:dyDescent="0.3">
      <c r="A4714" s="6"/>
    </row>
    <row r="4715" spans="1:1" x14ac:dyDescent="0.3">
      <c r="A4715" s="6"/>
    </row>
    <row r="4716" spans="1:1" x14ac:dyDescent="0.3">
      <c r="A4716" s="6"/>
    </row>
    <row r="4717" spans="1:1" x14ac:dyDescent="0.3">
      <c r="A4717" s="6"/>
    </row>
    <row r="4718" spans="1:1" x14ac:dyDescent="0.3">
      <c r="A4718" s="6"/>
    </row>
    <row r="4719" spans="1:1" x14ac:dyDescent="0.3">
      <c r="A4719" s="6"/>
    </row>
    <row r="4720" spans="1:1" x14ac:dyDescent="0.3">
      <c r="A4720" s="6"/>
    </row>
    <row r="4721" spans="1:1" x14ac:dyDescent="0.3">
      <c r="A4721" s="6"/>
    </row>
    <row r="4722" spans="1:1" x14ac:dyDescent="0.3">
      <c r="A4722" s="6"/>
    </row>
    <row r="4723" spans="1:1" x14ac:dyDescent="0.3">
      <c r="A4723" s="6"/>
    </row>
    <row r="4724" spans="1:1" x14ac:dyDescent="0.3">
      <c r="A4724" s="6"/>
    </row>
    <row r="4725" spans="1:1" x14ac:dyDescent="0.3">
      <c r="A4725" s="6"/>
    </row>
    <row r="4726" spans="1:1" x14ac:dyDescent="0.3">
      <c r="A4726" s="6"/>
    </row>
    <row r="4727" spans="1:1" x14ac:dyDescent="0.3">
      <c r="A4727" s="6"/>
    </row>
    <row r="4728" spans="1:1" x14ac:dyDescent="0.3">
      <c r="A4728" s="6"/>
    </row>
    <row r="4729" spans="1:1" x14ac:dyDescent="0.3">
      <c r="A4729" s="6"/>
    </row>
    <row r="4730" spans="1:1" x14ac:dyDescent="0.3">
      <c r="A4730" s="6"/>
    </row>
    <row r="4731" spans="1:1" x14ac:dyDescent="0.3">
      <c r="A4731" s="6"/>
    </row>
    <row r="4732" spans="1:1" x14ac:dyDescent="0.3">
      <c r="A4732" s="6"/>
    </row>
    <row r="4733" spans="1:1" x14ac:dyDescent="0.3">
      <c r="A4733" s="6"/>
    </row>
    <row r="4734" spans="1:1" x14ac:dyDescent="0.3">
      <c r="A4734" s="6"/>
    </row>
    <row r="4735" spans="1:1" x14ac:dyDescent="0.3">
      <c r="A4735" s="6"/>
    </row>
    <row r="4736" spans="1:1" x14ac:dyDescent="0.3">
      <c r="A4736" s="6"/>
    </row>
    <row r="4737" spans="1:1" x14ac:dyDescent="0.3">
      <c r="A4737" s="6"/>
    </row>
    <row r="4738" spans="1:1" x14ac:dyDescent="0.3">
      <c r="A4738" s="6"/>
    </row>
    <row r="4739" spans="1:1" x14ac:dyDescent="0.3">
      <c r="A4739" s="6"/>
    </row>
    <row r="4740" spans="1:1" x14ac:dyDescent="0.3">
      <c r="A4740" s="6"/>
    </row>
    <row r="4741" spans="1:1" x14ac:dyDescent="0.3">
      <c r="A4741" s="6"/>
    </row>
    <row r="4742" spans="1:1" x14ac:dyDescent="0.3">
      <c r="A4742" s="6"/>
    </row>
    <row r="4743" spans="1:1" x14ac:dyDescent="0.3">
      <c r="A4743" s="6"/>
    </row>
    <row r="4744" spans="1:1" x14ac:dyDescent="0.3">
      <c r="A4744" s="6"/>
    </row>
    <row r="4745" spans="1:1" x14ac:dyDescent="0.3">
      <c r="A4745" s="6"/>
    </row>
    <row r="4746" spans="1:1" x14ac:dyDescent="0.3">
      <c r="A4746" s="6"/>
    </row>
    <row r="4747" spans="1:1" x14ac:dyDescent="0.3">
      <c r="A4747" s="6"/>
    </row>
    <row r="4748" spans="1:1" x14ac:dyDescent="0.3">
      <c r="A4748" s="6"/>
    </row>
    <row r="4749" spans="1:1" x14ac:dyDescent="0.3">
      <c r="A4749" s="6"/>
    </row>
    <row r="4750" spans="1:1" x14ac:dyDescent="0.3">
      <c r="A4750" s="6"/>
    </row>
    <row r="4751" spans="1:1" x14ac:dyDescent="0.3">
      <c r="A4751" s="6"/>
    </row>
    <row r="4752" spans="1:1" x14ac:dyDescent="0.3">
      <c r="A4752" s="6"/>
    </row>
    <row r="4753" spans="1:1" x14ac:dyDescent="0.3">
      <c r="A4753" s="6"/>
    </row>
    <row r="4754" spans="1:1" x14ac:dyDescent="0.3">
      <c r="A4754" s="6"/>
    </row>
    <row r="4755" spans="1:1" x14ac:dyDescent="0.3">
      <c r="A4755" s="6"/>
    </row>
    <row r="4756" spans="1:1" x14ac:dyDescent="0.3">
      <c r="A4756" s="6"/>
    </row>
    <row r="4757" spans="1:1" x14ac:dyDescent="0.3">
      <c r="A4757" s="6"/>
    </row>
    <row r="4758" spans="1:1" x14ac:dyDescent="0.3">
      <c r="A4758" s="6"/>
    </row>
    <row r="4759" spans="1:1" x14ac:dyDescent="0.3">
      <c r="A4759" s="6"/>
    </row>
    <row r="4760" spans="1:1" x14ac:dyDescent="0.3">
      <c r="A4760" s="6"/>
    </row>
    <row r="4761" spans="1:1" x14ac:dyDescent="0.3">
      <c r="A4761" s="6"/>
    </row>
    <row r="4762" spans="1:1" x14ac:dyDescent="0.3">
      <c r="A4762" s="6"/>
    </row>
    <row r="4763" spans="1:1" x14ac:dyDescent="0.3">
      <c r="A4763" s="6"/>
    </row>
    <row r="4764" spans="1:1" x14ac:dyDescent="0.3">
      <c r="A4764" s="6"/>
    </row>
    <row r="4765" spans="1:1" x14ac:dyDescent="0.3">
      <c r="A4765" s="6"/>
    </row>
    <row r="4766" spans="1:1" x14ac:dyDescent="0.3">
      <c r="A4766" s="6"/>
    </row>
    <row r="4767" spans="1:1" x14ac:dyDescent="0.3">
      <c r="A4767" s="6"/>
    </row>
    <row r="4768" spans="1:1" x14ac:dyDescent="0.3">
      <c r="A4768" s="6"/>
    </row>
    <row r="4769" spans="1:1" x14ac:dyDescent="0.3">
      <c r="A4769" s="6"/>
    </row>
    <row r="4770" spans="1:1" x14ac:dyDescent="0.3">
      <c r="A4770" s="6"/>
    </row>
    <row r="4771" spans="1:1" x14ac:dyDescent="0.3">
      <c r="A4771" s="6"/>
    </row>
    <row r="4772" spans="1:1" x14ac:dyDescent="0.3">
      <c r="A4772" s="6"/>
    </row>
    <row r="4773" spans="1:1" x14ac:dyDescent="0.3">
      <c r="A4773" s="6"/>
    </row>
    <row r="4774" spans="1:1" x14ac:dyDescent="0.3">
      <c r="A4774" s="6"/>
    </row>
    <row r="4775" spans="1:1" x14ac:dyDescent="0.3">
      <c r="A4775" s="6"/>
    </row>
    <row r="4776" spans="1:1" x14ac:dyDescent="0.3">
      <c r="A4776" s="6"/>
    </row>
    <row r="4777" spans="1:1" x14ac:dyDescent="0.3">
      <c r="A4777" s="6"/>
    </row>
    <row r="4778" spans="1:1" x14ac:dyDescent="0.3">
      <c r="A4778" s="6"/>
    </row>
    <row r="4779" spans="1:1" x14ac:dyDescent="0.3">
      <c r="A4779" s="6"/>
    </row>
    <row r="4780" spans="1:1" x14ac:dyDescent="0.3">
      <c r="A4780" s="6"/>
    </row>
    <row r="4781" spans="1:1" x14ac:dyDescent="0.3">
      <c r="A4781" s="6"/>
    </row>
    <row r="4782" spans="1:1" x14ac:dyDescent="0.3">
      <c r="A4782" s="6"/>
    </row>
    <row r="4783" spans="1:1" x14ac:dyDescent="0.3">
      <c r="A4783" s="6"/>
    </row>
    <row r="4784" spans="1:1" x14ac:dyDescent="0.3">
      <c r="A4784" s="6"/>
    </row>
    <row r="4785" spans="1:1" x14ac:dyDescent="0.3">
      <c r="A4785" s="6"/>
    </row>
    <row r="4786" spans="1:1" x14ac:dyDescent="0.3">
      <c r="A4786" s="6"/>
    </row>
    <row r="4787" spans="1:1" x14ac:dyDescent="0.3">
      <c r="A4787" s="6"/>
    </row>
    <row r="4788" spans="1:1" x14ac:dyDescent="0.3">
      <c r="A4788" s="6"/>
    </row>
    <row r="4789" spans="1:1" x14ac:dyDescent="0.3">
      <c r="A4789" s="6"/>
    </row>
    <row r="4790" spans="1:1" x14ac:dyDescent="0.3">
      <c r="A4790" s="6"/>
    </row>
    <row r="4791" spans="1:1" x14ac:dyDescent="0.3">
      <c r="A4791" s="6"/>
    </row>
    <row r="4792" spans="1:1" x14ac:dyDescent="0.3">
      <c r="A4792" s="6"/>
    </row>
    <row r="4793" spans="1:1" x14ac:dyDescent="0.3">
      <c r="A4793" s="6"/>
    </row>
    <row r="4794" spans="1:1" x14ac:dyDescent="0.3">
      <c r="A4794" s="6"/>
    </row>
    <row r="4795" spans="1:1" x14ac:dyDescent="0.3">
      <c r="A4795" s="6"/>
    </row>
    <row r="4796" spans="1:1" x14ac:dyDescent="0.3">
      <c r="A4796" s="6"/>
    </row>
    <row r="4797" spans="1:1" x14ac:dyDescent="0.3">
      <c r="A4797" s="6"/>
    </row>
    <row r="4798" spans="1:1" x14ac:dyDescent="0.3">
      <c r="A4798" s="6"/>
    </row>
    <row r="4799" spans="1:1" x14ac:dyDescent="0.3">
      <c r="A4799" s="6"/>
    </row>
    <row r="4800" spans="1:1" x14ac:dyDescent="0.3">
      <c r="A4800" s="6"/>
    </row>
    <row r="4801" spans="1:1" x14ac:dyDescent="0.3">
      <c r="A4801" s="6"/>
    </row>
    <row r="4802" spans="1:1" x14ac:dyDescent="0.3">
      <c r="A4802" s="6"/>
    </row>
    <row r="4803" spans="1:1" x14ac:dyDescent="0.3">
      <c r="A4803" s="6"/>
    </row>
    <row r="4804" spans="1:1" x14ac:dyDescent="0.3">
      <c r="A4804" s="6"/>
    </row>
    <row r="4805" spans="1:1" x14ac:dyDescent="0.3">
      <c r="A4805" s="6"/>
    </row>
    <row r="4806" spans="1:1" x14ac:dyDescent="0.3">
      <c r="A4806" s="6"/>
    </row>
    <row r="4807" spans="1:1" x14ac:dyDescent="0.3">
      <c r="A4807" s="6"/>
    </row>
    <row r="4808" spans="1:1" x14ac:dyDescent="0.3">
      <c r="A4808" s="6"/>
    </row>
    <row r="4809" spans="1:1" x14ac:dyDescent="0.3">
      <c r="A4809" s="6"/>
    </row>
    <row r="4810" spans="1:1" x14ac:dyDescent="0.3">
      <c r="A4810" s="6"/>
    </row>
    <row r="4811" spans="1:1" x14ac:dyDescent="0.3">
      <c r="A4811" s="6"/>
    </row>
    <row r="4812" spans="1:1" x14ac:dyDescent="0.3">
      <c r="A4812" s="6"/>
    </row>
    <row r="4813" spans="1:1" x14ac:dyDescent="0.3">
      <c r="A4813" s="6"/>
    </row>
    <row r="4814" spans="1:1" x14ac:dyDescent="0.3">
      <c r="A4814" s="6"/>
    </row>
    <row r="4815" spans="1:1" x14ac:dyDescent="0.3">
      <c r="A4815" s="6"/>
    </row>
    <row r="4816" spans="1:1" x14ac:dyDescent="0.3">
      <c r="A4816" s="6"/>
    </row>
    <row r="4817" spans="1:1" x14ac:dyDescent="0.3">
      <c r="A4817" s="6"/>
    </row>
    <row r="4818" spans="1:1" x14ac:dyDescent="0.3">
      <c r="A4818" s="6"/>
    </row>
    <row r="4819" spans="1:1" x14ac:dyDescent="0.3">
      <c r="A4819" s="6"/>
    </row>
    <row r="4820" spans="1:1" x14ac:dyDescent="0.3">
      <c r="A4820" s="6"/>
    </row>
    <row r="4821" spans="1:1" x14ac:dyDescent="0.3">
      <c r="A4821" s="6"/>
    </row>
    <row r="4822" spans="1:1" x14ac:dyDescent="0.3">
      <c r="A4822" s="6"/>
    </row>
    <row r="4823" spans="1:1" x14ac:dyDescent="0.3">
      <c r="A4823" s="6"/>
    </row>
    <row r="4824" spans="1:1" x14ac:dyDescent="0.3">
      <c r="A4824" s="6"/>
    </row>
    <row r="4825" spans="1:1" x14ac:dyDescent="0.3">
      <c r="A4825" s="6"/>
    </row>
    <row r="4826" spans="1:1" x14ac:dyDescent="0.3">
      <c r="A4826" s="6"/>
    </row>
    <row r="4827" spans="1:1" x14ac:dyDescent="0.3">
      <c r="A4827" s="6"/>
    </row>
    <row r="4828" spans="1:1" x14ac:dyDescent="0.3">
      <c r="A4828" s="6"/>
    </row>
    <row r="4829" spans="1:1" x14ac:dyDescent="0.3">
      <c r="A4829" s="6"/>
    </row>
    <row r="4830" spans="1:1" x14ac:dyDescent="0.3">
      <c r="A4830" s="6"/>
    </row>
    <row r="4831" spans="1:1" x14ac:dyDescent="0.3">
      <c r="A4831" s="6"/>
    </row>
    <row r="4832" spans="1:1" x14ac:dyDescent="0.3">
      <c r="A4832" s="6"/>
    </row>
    <row r="4833" spans="1:1" x14ac:dyDescent="0.3">
      <c r="A4833" s="6"/>
    </row>
    <row r="4834" spans="1:1" x14ac:dyDescent="0.3">
      <c r="A4834" s="6"/>
    </row>
    <row r="4835" spans="1:1" x14ac:dyDescent="0.3">
      <c r="A4835" s="6"/>
    </row>
    <row r="4836" spans="1:1" x14ac:dyDescent="0.3">
      <c r="A4836" s="6"/>
    </row>
    <row r="4837" spans="1:1" x14ac:dyDescent="0.3">
      <c r="A4837" s="6"/>
    </row>
    <row r="4838" spans="1:1" x14ac:dyDescent="0.3">
      <c r="A4838" s="6"/>
    </row>
    <row r="4839" spans="1:1" x14ac:dyDescent="0.3">
      <c r="A4839" s="6"/>
    </row>
    <row r="4840" spans="1:1" x14ac:dyDescent="0.3">
      <c r="A4840" s="6"/>
    </row>
    <row r="4841" spans="1:1" x14ac:dyDescent="0.3">
      <c r="A4841" s="6"/>
    </row>
    <row r="4842" spans="1:1" x14ac:dyDescent="0.3">
      <c r="A4842" s="6"/>
    </row>
    <row r="4843" spans="1:1" x14ac:dyDescent="0.3">
      <c r="A4843" s="6"/>
    </row>
    <row r="4844" spans="1:1" x14ac:dyDescent="0.3">
      <c r="A4844" s="6"/>
    </row>
    <row r="4845" spans="1:1" x14ac:dyDescent="0.3">
      <c r="A4845" s="6"/>
    </row>
    <row r="4846" spans="1:1" x14ac:dyDescent="0.3">
      <c r="A4846" s="6"/>
    </row>
    <row r="4847" spans="1:1" x14ac:dyDescent="0.3">
      <c r="A4847" s="6"/>
    </row>
    <row r="4848" spans="1:1" x14ac:dyDescent="0.3">
      <c r="A4848" s="6"/>
    </row>
    <row r="4849" spans="1:1" x14ac:dyDescent="0.3">
      <c r="A4849" s="6"/>
    </row>
    <row r="4850" spans="1:1" x14ac:dyDescent="0.3">
      <c r="A4850" s="6"/>
    </row>
    <row r="4851" spans="1:1" x14ac:dyDescent="0.3">
      <c r="A4851" s="6"/>
    </row>
    <row r="4852" spans="1:1" x14ac:dyDescent="0.3">
      <c r="A4852" s="6"/>
    </row>
    <row r="4853" spans="1:1" x14ac:dyDescent="0.3">
      <c r="A4853" s="6"/>
    </row>
    <row r="4854" spans="1:1" x14ac:dyDescent="0.3">
      <c r="A4854" s="6"/>
    </row>
    <row r="4855" spans="1:1" x14ac:dyDescent="0.3">
      <c r="A4855" s="6"/>
    </row>
    <row r="4856" spans="1:1" x14ac:dyDescent="0.3">
      <c r="A4856" s="6"/>
    </row>
    <row r="4857" spans="1:1" x14ac:dyDescent="0.3">
      <c r="A4857" s="6"/>
    </row>
    <row r="4858" spans="1:1" x14ac:dyDescent="0.3">
      <c r="A4858" s="6"/>
    </row>
    <row r="4859" spans="1:1" x14ac:dyDescent="0.3">
      <c r="A4859" s="6"/>
    </row>
    <row r="4860" spans="1:1" x14ac:dyDescent="0.3">
      <c r="A4860" s="6"/>
    </row>
    <row r="4861" spans="1:1" x14ac:dyDescent="0.3">
      <c r="A4861" s="6"/>
    </row>
    <row r="4862" spans="1:1" x14ac:dyDescent="0.3">
      <c r="A4862" s="6"/>
    </row>
    <row r="4863" spans="1:1" x14ac:dyDescent="0.3">
      <c r="A4863" s="6"/>
    </row>
    <row r="4864" spans="1:1" x14ac:dyDescent="0.3">
      <c r="A4864" s="6"/>
    </row>
    <row r="4865" spans="1:1" x14ac:dyDescent="0.3">
      <c r="A4865" s="6"/>
    </row>
    <row r="4866" spans="1:1" x14ac:dyDescent="0.3">
      <c r="A4866" s="6"/>
    </row>
    <row r="4867" spans="1:1" x14ac:dyDescent="0.3">
      <c r="A4867" s="6"/>
    </row>
    <row r="4868" spans="1:1" x14ac:dyDescent="0.3">
      <c r="A4868" s="6"/>
    </row>
    <row r="4869" spans="1:1" x14ac:dyDescent="0.3">
      <c r="A4869" s="6"/>
    </row>
    <row r="4870" spans="1:1" x14ac:dyDescent="0.3">
      <c r="A4870" s="6"/>
    </row>
    <row r="4871" spans="1:1" x14ac:dyDescent="0.3">
      <c r="A4871" s="6"/>
    </row>
    <row r="4872" spans="1:1" x14ac:dyDescent="0.3">
      <c r="A4872" s="6"/>
    </row>
    <row r="4873" spans="1:1" x14ac:dyDescent="0.3">
      <c r="A4873" s="6"/>
    </row>
    <row r="4874" spans="1:1" x14ac:dyDescent="0.3">
      <c r="A4874" s="6"/>
    </row>
    <row r="4875" spans="1:1" x14ac:dyDescent="0.3">
      <c r="A4875" s="6"/>
    </row>
    <row r="4876" spans="1:1" x14ac:dyDescent="0.3">
      <c r="A4876" s="6"/>
    </row>
    <row r="4877" spans="1:1" x14ac:dyDescent="0.3">
      <c r="A4877" s="6"/>
    </row>
    <row r="4878" spans="1:1" x14ac:dyDescent="0.3">
      <c r="A4878" s="6"/>
    </row>
    <row r="4879" spans="1:1" x14ac:dyDescent="0.3">
      <c r="A4879" s="6"/>
    </row>
    <row r="4880" spans="1:1" x14ac:dyDescent="0.3">
      <c r="A4880" s="6"/>
    </row>
    <row r="4881" spans="1:1" x14ac:dyDescent="0.3">
      <c r="A4881" s="6"/>
    </row>
    <row r="4882" spans="1:1" x14ac:dyDescent="0.3">
      <c r="A4882" s="6"/>
    </row>
    <row r="4883" spans="1:1" x14ac:dyDescent="0.3">
      <c r="A4883" s="6"/>
    </row>
    <row r="4884" spans="1:1" x14ac:dyDescent="0.3">
      <c r="A4884" s="6"/>
    </row>
    <row r="4885" spans="1:1" x14ac:dyDescent="0.3">
      <c r="A4885" s="6"/>
    </row>
    <row r="4886" spans="1:1" x14ac:dyDescent="0.3">
      <c r="A4886" s="6"/>
    </row>
    <row r="4887" spans="1:1" x14ac:dyDescent="0.3">
      <c r="A4887" s="6"/>
    </row>
    <row r="4888" spans="1:1" x14ac:dyDescent="0.3">
      <c r="A4888" s="6"/>
    </row>
    <row r="4889" spans="1:1" x14ac:dyDescent="0.3">
      <c r="A4889" s="6"/>
    </row>
    <row r="4890" spans="1:1" x14ac:dyDescent="0.3">
      <c r="A4890" s="6"/>
    </row>
    <row r="4891" spans="1:1" x14ac:dyDescent="0.3">
      <c r="A4891" s="6"/>
    </row>
    <row r="4892" spans="1:1" x14ac:dyDescent="0.3">
      <c r="A4892" s="6"/>
    </row>
    <row r="4893" spans="1:1" x14ac:dyDescent="0.3">
      <c r="A4893" s="6"/>
    </row>
    <row r="4894" spans="1:1" x14ac:dyDescent="0.3">
      <c r="A4894" s="6"/>
    </row>
    <row r="4895" spans="1:1" x14ac:dyDescent="0.3">
      <c r="A4895" s="6"/>
    </row>
    <row r="4896" spans="1:1" x14ac:dyDescent="0.3">
      <c r="A4896" s="6"/>
    </row>
    <row r="4897" spans="1:1" x14ac:dyDescent="0.3">
      <c r="A4897" s="6"/>
    </row>
    <row r="4898" spans="1:1" x14ac:dyDescent="0.3">
      <c r="A4898" s="6"/>
    </row>
    <row r="4899" spans="1:1" x14ac:dyDescent="0.3">
      <c r="A4899" s="6"/>
    </row>
    <row r="4900" spans="1:1" x14ac:dyDescent="0.3">
      <c r="A4900" s="6"/>
    </row>
    <row r="4901" spans="1:1" x14ac:dyDescent="0.3">
      <c r="A4901" s="6"/>
    </row>
    <row r="4902" spans="1:1" x14ac:dyDescent="0.3">
      <c r="A4902" s="6"/>
    </row>
    <row r="4903" spans="1:1" x14ac:dyDescent="0.3">
      <c r="A4903" s="6"/>
    </row>
    <row r="4904" spans="1:1" x14ac:dyDescent="0.3">
      <c r="A4904" s="6"/>
    </row>
    <row r="4905" spans="1:1" x14ac:dyDescent="0.3">
      <c r="A4905" s="6"/>
    </row>
    <row r="4906" spans="1:1" x14ac:dyDescent="0.3">
      <c r="A4906" s="6"/>
    </row>
    <row r="4907" spans="1:1" x14ac:dyDescent="0.3">
      <c r="A4907" s="6"/>
    </row>
    <row r="4908" spans="1:1" x14ac:dyDescent="0.3">
      <c r="A4908" s="6"/>
    </row>
    <row r="4909" spans="1:1" x14ac:dyDescent="0.3">
      <c r="A4909" s="6"/>
    </row>
    <row r="4910" spans="1:1" x14ac:dyDescent="0.3">
      <c r="A4910" s="6"/>
    </row>
    <row r="4911" spans="1:1" x14ac:dyDescent="0.3">
      <c r="A4911" s="6"/>
    </row>
    <row r="4912" spans="1:1" x14ac:dyDescent="0.3">
      <c r="A4912" s="6"/>
    </row>
    <row r="4913" spans="1:1" x14ac:dyDescent="0.3">
      <c r="A4913" s="6"/>
    </row>
    <row r="4914" spans="1:1" x14ac:dyDescent="0.3">
      <c r="A4914" s="6"/>
    </row>
    <row r="4915" spans="1:1" x14ac:dyDescent="0.3">
      <c r="A4915" s="6"/>
    </row>
    <row r="4916" spans="1:1" x14ac:dyDescent="0.3">
      <c r="A4916" s="6"/>
    </row>
    <row r="4917" spans="1:1" x14ac:dyDescent="0.3">
      <c r="A4917" s="6"/>
    </row>
    <row r="4918" spans="1:1" x14ac:dyDescent="0.3">
      <c r="A4918" s="6"/>
    </row>
    <row r="4919" spans="1:1" x14ac:dyDescent="0.3">
      <c r="A4919" s="6"/>
    </row>
    <row r="4920" spans="1:1" x14ac:dyDescent="0.3">
      <c r="A4920" s="6"/>
    </row>
    <row r="4921" spans="1:1" x14ac:dyDescent="0.3">
      <c r="A4921" s="6"/>
    </row>
    <row r="4922" spans="1:1" x14ac:dyDescent="0.3">
      <c r="A4922" s="6"/>
    </row>
    <row r="4923" spans="1:1" x14ac:dyDescent="0.3">
      <c r="A4923" s="6"/>
    </row>
    <row r="4924" spans="1:1" x14ac:dyDescent="0.3">
      <c r="A4924" s="6"/>
    </row>
    <row r="4925" spans="1:1" x14ac:dyDescent="0.3">
      <c r="A4925" s="6"/>
    </row>
    <row r="4926" spans="1:1" x14ac:dyDescent="0.3">
      <c r="A4926" s="6"/>
    </row>
    <row r="4927" spans="1:1" x14ac:dyDescent="0.3">
      <c r="A4927" s="6"/>
    </row>
    <row r="4928" spans="1:1" x14ac:dyDescent="0.3">
      <c r="A4928" s="6"/>
    </row>
    <row r="4929" spans="1:1" x14ac:dyDescent="0.3">
      <c r="A4929" s="6"/>
    </row>
    <row r="4930" spans="1:1" x14ac:dyDescent="0.3">
      <c r="A4930" s="6"/>
    </row>
    <row r="4931" spans="1:1" x14ac:dyDescent="0.3">
      <c r="A4931" s="6"/>
    </row>
    <row r="4932" spans="1:1" x14ac:dyDescent="0.3">
      <c r="A4932" s="6"/>
    </row>
    <row r="4933" spans="1:1" x14ac:dyDescent="0.3">
      <c r="A4933" s="6"/>
    </row>
    <row r="4934" spans="1:1" x14ac:dyDescent="0.3">
      <c r="A4934" s="6"/>
    </row>
    <row r="4935" spans="1:1" x14ac:dyDescent="0.3">
      <c r="A4935" s="6"/>
    </row>
    <row r="4936" spans="1:1" x14ac:dyDescent="0.3">
      <c r="A4936" s="6"/>
    </row>
    <row r="4937" spans="1:1" x14ac:dyDescent="0.3">
      <c r="A4937" s="6"/>
    </row>
    <row r="4938" spans="1:1" x14ac:dyDescent="0.3">
      <c r="A4938" s="6"/>
    </row>
    <row r="4939" spans="1:1" x14ac:dyDescent="0.3">
      <c r="A4939" s="6"/>
    </row>
    <row r="4940" spans="1:1" x14ac:dyDescent="0.3">
      <c r="A4940" s="6"/>
    </row>
    <row r="4941" spans="1:1" x14ac:dyDescent="0.3">
      <c r="A4941" s="6"/>
    </row>
    <row r="4942" spans="1:1" x14ac:dyDescent="0.3">
      <c r="A4942" s="6"/>
    </row>
    <row r="4943" spans="1:1" x14ac:dyDescent="0.3">
      <c r="A4943" s="6"/>
    </row>
    <row r="4944" spans="1:1" x14ac:dyDescent="0.3">
      <c r="A4944" s="6"/>
    </row>
    <row r="4945" spans="1:1" x14ac:dyDescent="0.3">
      <c r="A4945" s="6"/>
    </row>
    <row r="4946" spans="1:1" x14ac:dyDescent="0.3">
      <c r="A4946" s="6"/>
    </row>
    <row r="4947" spans="1:1" x14ac:dyDescent="0.3">
      <c r="A4947" s="6"/>
    </row>
    <row r="4948" spans="1:1" x14ac:dyDescent="0.3">
      <c r="A4948" s="6"/>
    </row>
    <row r="4949" spans="1:1" x14ac:dyDescent="0.3">
      <c r="A4949" s="6"/>
    </row>
    <row r="4950" spans="1:1" x14ac:dyDescent="0.3">
      <c r="A4950" s="6"/>
    </row>
    <row r="4951" spans="1:1" x14ac:dyDescent="0.3">
      <c r="A4951" s="6"/>
    </row>
    <row r="4952" spans="1:1" x14ac:dyDescent="0.3">
      <c r="A4952" s="6"/>
    </row>
    <row r="4953" spans="1:1" x14ac:dyDescent="0.3">
      <c r="A4953" s="6"/>
    </row>
    <row r="4954" spans="1:1" x14ac:dyDescent="0.3">
      <c r="A4954" s="6"/>
    </row>
    <row r="4955" spans="1:1" x14ac:dyDescent="0.3">
      <c r="A4955" s="6"/>
    </row>
    <row r="4956" spans="1:1" x14ac:dyDescent="0.3">
      <c r="A4956" s="6"/>
    </row>
    <row r="4957" spans="1:1" x14ac:dyDescent="0.3">
      <c r="A4957" s="6"/>
    </row>
    <row r="4958" spans="1:1" x14ac:dyDescent="0.3">
      <c r="A4958" s="6"/>
    </row>
    <row r="4959" spans="1:1" x14ac:dyDescent="0.3">
      <c r="A4959" s="6"/>
    </row>
    <row r="4960" spans="1:1" x14ac:dyDescent="0.3">
      <c r="A4960" s="6"/>
    </row>
    <row r="4961" spans="1:1" x14ac:dyDescent="0.3">
      <c r="A4961" s="6"/>
    </row>
    <row r="4962" spans="1:1" x14ac:dyDescent="0.3">
      <c r="A4962" s="6"/>
    </row>
    <row r="4963" spans="1:1" x14ac:dyDescent="0.3">
      <c r="A4963" s="6"/>
    </row>
    <row r="4964" spans="1:1" x14ac:dyDescent="0.3">
      <c r="A4964" s="6"/>
    </row>
    <row r="4965" spans="1:1" x14ac:dyDescent="0.3">
      <c r="A4965" s="6"/>
    </row>
    <row r="4966" spans="1:1" x14ac:dyDescent="0.3">
      <c r="A4966" s="6"/>
    </row>
    <row r="4967" spans="1:1" x14ac:dyDescent="0.3">
      <c r="A4967" s="6"/>
    </row>
    <row r="4968" spans="1:1" x14ac:dyDescent="0.3">
      <c r="A4968" s="6"/>
    </row>
    <row r="4969" spans="1:1" x14ac:dyDescent="0.3">
      <c r="A4969" s="6"/>
    </row>
    <row r="4970" spans="1:1" x14ac:dyDescent="0.3">
      <c r="A4970" s="6"/>
    </row>
    <row r="4971" spans="1:1" x14ac:dyDescent="0.3">
      <c r="A4971" s="6"/>
    </row>
    <row r="4972" spans="1:1" x14ac:dyDescent="0.3">
      <c r="A4972" s="6"/>
    </row>
    <row r="4973" spans="1:1" x14ac:dyDescent="0.3">
      <c r="A4973" s="6"/>
    </row>
    <row r="4974" spans="1:1" x14ac:dyDescent="0.3">
      <c r="A4974" s="6"/>
    </row>
    <row r="4975" spans="1:1" x14ac:dyDescent="0.3">
      <c r="A4975" s="6"/>
    </row>
    <row r="4976" spans="1:1" x14ac:dyDescent="0.3">
      <c r="A4976" s="6"/>
    </row>
    <row r="4977" spans="1:1" x14ac:dyDescent="0.3">
      <c r="A4977" s="6"/>
    </row>
    <row r="4978" spans="1:1" x14ac:dyDescent="0.3">
      <c r="A4978" s="6"/>
    </row>
    <row r="4979" spans="1:1" x14ac:dyDescent="0.3">
      <c r="A4979" s="6"/>
    </row>
    <row r="4980" spans="1:1" x14ac:dyDescent="0.3">
      <c r="A4980" s="6"/>
    </row>
    <row r="4981" spans="1:1" x14ac:dyDescent="0.3">
      <c r="A4981" s="6"/>
    </row>
    <row r="4982" spans="1:1" x14ac:dyDescent="0.3">
      <c r="A4982" s="6"/>
    </row>
    <row r="4983" spans="1:1" x14ac:dyDescent="0.3">
      <c r="A4983" s="6"/>
    </row>
    <row r="4984" spans="1:1" x14ac:dyDescent="0.3">
      <c r="A4984" s="6"/>
    </row>
    <row r="4985" spans="1:1" x14ac:dyDescent="0.3">
      <c r="A4985" s="6"/>
    </row>
    <row r="4986" spans="1:1" x14ac:dyDescent="0.3">
      <c r="A4986" s="6"/>
    </row>
    <row r="4987" spans="1:1" x14ac:dyDescent="0.3">
      <c r="A4987" s="6"/>
    </row>
    <row r="4988" spans="1:1" x14ac:dyDescent="0.3">
      <c r="A4988" s="6"/>
    </row>
    <row r="4989" spans="1:1" x14ac:dyDescent="0.3">
      <c r="A4989" s="6"/>
    </row>
    <row r="4990" spans="1:1" x14ac:dyDescent="0.3">
      <c r="A4990" s="6"/>
    </row>
    <row r="4991" spans="1:1" x14ac:dyDescent="0.3">
      <c r="A4991" s="6"/>
    </row>
    <row r="4992" spans="1:1" x14ac:dyDescent="0.3">
      <c r="A4992" s="6"/>
    </row>
    <row r="4993" spans="1:1" x14ac:dyDescent="0.3">
      <c r="A4993" s="6"/>
    </row>
    <row r="4994" spans="1:1" x14ac:dyDescent="0.3">
      <c r="A4994" s="6"/>
    </row>
    <row r="4995" spans="1:1" x14ac:dyDescent="0.3">
      <c r="A4995" s="6"/>
    </row>
    <row r="4996" spans="1:1" x14ac:dyDescent="0.3">
      <c r="A4996" s="6"/>
    </row>
    <row r="4997" spans="1:1" x14ac:dyDescent="0.3">
      <c r="A4997" s="6"/>
    </row>
    <row r="4998" spans="1:1" x14ac:dyDescent="0.3">
      <c r="A4998" s="6"/>
    </row>
    <row r="4999" spans="1:1" x14ac:dyDescent="0.3">
      <c r="A4999" s="6"/>
    </row>
    <row r="5000" spans="1:1" x14ac:dyDescent="0.3">
      <c r="A5000" s="6"/>
    </row>
  </sheetData>
  <dataValidations count="1">
    <dataValidation type="list" allowBlank="1" sqref="F2:F5000" xr:uid="{00000000-0002-0000-0700-000000000000}">
      <formula1>"Cash,EFT,Bank Deposit,Other"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602"/>
  <sheetViews>
    <sheetView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1" max="1" width="14" customWidth="1"/>
    <col min="2" max="2" width="18" customWidth="1"/>
    <col min="3" max="3" width="26" customWidth="1"/>
    <col min="4" max="4" width="10" customWidth="1"/>
    <col min="5" max="6" width="18" customWidth="1"/>
    <col min="7" max="7" width="22" customWidth="1"/>
    <col min="8" max="8" width="10" customWidth="1"/>
    <col min="9" max="9" width="18" customWidth="1"/>
    <col min="10" max="10" width="28" customWidth="1"/>
  </cols>
  <sheetData>
    <row r="1" spans="1:10" ht="28.8" customHeight="1" x14ac:dyDescent="0.3">
      <c r="A1" s="3" t="s">
        <v>817</v>
      </c>
      <c r="B1" s="3" t="s">
        <v>24</v>
      </c>
      <c r="C1" s="3" t="s">
        <v>329</v>
      </c>
      <c r="D1" s="3" t="s">
        <v>328</v>
      </c>
      <c r="E1" s="3" t="s">
        <v>818</v>
      </c>
      <c r="F1" s="3" t="s">
        <v>819</v>
      </c>
      <c r="G1" s="3" t="s">
        <v>820</v>
      </c>
      <c r="H1" s="3" t="s">
        <v>821</v>
      </c>
      <c r="I1" s="3" t="s">
        <v>822</v>
      </c>
      <c r="J1" s="3" t="s">
        <v>40</v>
      </c>
    </row>
    <row r="2" spans="1:10" x14ac:dyDescent="0.3">
      <c r="A2" t="s">
        <v>396</v>
      </c>
      <c r="B2" t="s">
        <v>50</v>
      </c>
      <c r="C2" s="7" t="str">
        <f ca="1">IFERROR(_xludf.XLOOKUP(B2,MASTER_REGISTER!E:E,MASTER_REGISTER!F:F,""),"")</f>
        <v/>
      </c>
      <c r="D2" s="4" t="str">
        <f ca="1">IFERROR(_xludf.XLOOKUP(B2,MASTER_REGISTER!E:E,MASTER_REGISTER!C:C,""),"")</f>
        <v/>
      </c>
      <c r="E2" t="s">
        <v>823</v>
      </c>
      <c r="F2" t="s">
        <v>824</v>
      </c>
      <c r="G2" t="s">
        <v>825</v>
      </c>
      <c r="H2" s="4">
        <v>66.099999999999994</v>
      </c>
      <c r="I2" t="s">
        <v>826</v>
      </c>
    </row>
    <row r="3" spans="1:10" x14ac:dyDescent="0.3">
      <c r="A3" t="s">
        <v>827</v>
      </c>
      <c r="B3" t="s">
        <v>50</v>
      </c>
      <c r="C3" s="7" t="str">
        <f ca="1">IFERROR(_xludf.XLOOKUP(B3,MASTER_REGISTER!E:E,MASTER_REGISTER!F:F,""),"")</f>
        <v/>
      </c>
      <c r="D3" s="4" t="str">
        <f ca="1">IFERROR(_xludf.XLOOKUP(B3,MASTER_REGISTER!E:E,MASTER_REGISTER!C:C,""),"")</f>
        <v/>
      </c>
      <c r="E3" t="s">
        <v>823</v>
      </c>
      <c r="F3" t="s">
        <v>824</v>
      </c>
      <c r="G3" t="s">
        <v>828</v>
      </c>
      <c r="H3" s="4">
        <v>52.4</v>
      </c>
      <c r="I3" t="s">
        <v>829</v>
      </c>
    </row>
    <row r="4" spans="1:10" x14ac:dyDescent="0.3">
      <c r="A4" t="s">
        <v>830</v>
      </c>
      <c r="B4" t="s">
        <v>50</v>
      </c>
      <c r="C4" s="7" t="str">
        <f ca="1">IFERROR(_xludf.XLOOKUP(B4,MASTER_REGISTER!E:E,MASTER_REGISTER!F:F,""),"")</f>
        <v/>
      </c>
      <c r="D4" s="4" t="str">
        <f ca="1">IFERROR(_xludf.XLOOKUP(B4,MASTER_REGISTER!E:E,MASTER_REGISTER!C:C,""),"")</f>
        <v/>
      </c>
      <c r="E4" t="s">
        <v>831</v>
      </c>
      <c r="F4" t="s">
        <v>832</v>
      </c>
      <c r="G4" t="s">
        <v>833</v>
      </c>
      <c r="H4" s="4">
        <v>67.7</v>
      </c>
      <c r="I4" t="s">
        <v>834</v>
      </c>
    </row>
    <row r="5" spans="1:10" x14ac:dyDescent="0.3">
      <c r="A5" t="s">
        <v>835</v>
      </c>
      <c r="B5" t="s">
        <v>50</v>
      </c>
      <c r="C5" s="7" t="str">
        <f ca="1">IFERROR(_xludf.XLOOKUP(B5,MASTER_REGISTER!E:E,MASTER_REGISTER!F:F,""),"")</f>
        <v/>
      </c>
      <c r="D5" s="4" t="str">
        <f ca="1">IFERROR(_xludf.XLOOKUP(B5,MASTER_REGISTER!E:E,MASTER_REGISTER!C:C,""),"")</f>
        <v/>
      </c>
      <c r="E5" t="s">
        <v>831</v>
      </c>
      <c r="F5" t="s">
        <v>832</v>
      </c>
      <c r="G5" t="s">
        <v>836</v>
      </c>
      <c r="H5" s="4">
        <v>44.6</v>
      </c>
      <c r="I5" t="s">
        <v>834</v>
      </c>
    </row>
    <row r="6" spans="1:10" x14ac:dyDescent="0.3">
      <c r="A6" t="s">
        <v>549</v>
      </c>
      <c r="B6" t="s">
        <v>50</v>
      </c>
      <c r="C6" s="7" t="str">
        <f ca="1">IFERROR(_xludf.XLOOKUP(B6,MASTER_REGISTER!E:E,MASTER_REGISTER!F:F,""),"")</f>
        <v/>
      </c>
      <c r="D6" s="4" t="str">
        <f ca="1">IFERROR(_xludf.XLOOKUP(B6,MASTER_REGISTER!E:E,MASTER_REGISTER!C:C,""),"")</f>
        <v/>
      </c>
      <c r="E6" t="s">
        <v>837</v>
      </c>
      <c r="F6" t="s">
        <v>838</v>
      </c>
      <c r="G6" t="s">
        <v>828</v>
      </c>
      <c r="H6" s="4">
        <v>59.5</v>
      </c>
      <c r="I6" t="s">
        <v>834</v>
      </c>
    </row>
    <row r="7" spans="1:10" x14ac:dyDescent="0.3">
      <c r="A7" t="s">
        <v>839</v>
      </c>
      <c r="B7" t="s">
        <v>50</v>
      </c>
      <c r="C7" s="7" t="str">
        <f ca="1">IFERROR(_xludf.XLOOKUP(B7,MASTER_REGISTER!E:E,MASTER_REGISTER!F:F,""),"")</f>
        <v/>
      </c>
      <c r="D7" s="4" t="str">
        <f ca="1">IFERROR(_xludf.XLOOKUP(B7,MASTER_REGISTER!E:E,MASTER_REGISTER!C:C,""),"")</f>
        <v/>
      </c>
      <c r="E7" t="s">
        <v>831</v>
      </c>
      <c r="F7" t="s">
        <v>840</v>
      </c>
      <c r="G7" t="s">
        <v>841</v>
      </c>
      <c r="H7" s="4">
        <v>67.900000000000006</v>
      </c>
      <c r="I7" t="s">
        <v>826</v>
      </c>
    </row>
    <row r="8" spans="1:10" x14ac:dyDescent="0.3">
      <c r="A8" t="s">
        <v>842</v>
      </c>
      <c r="B8" t="s">
        <v>50</v>
      </c>
      <c r="C8" s="7" t="str">
        <f ca="1">IFERROR(_xludf.XLOOKUP(B8,MASTER_REGISTER!E:E,MASTER_REGISTER!F:F,""),"")</f>
        <v/>
      </c>
      <c r="D8" s="4" t="str">
        <f ca="1">IFERROR(_xludf.XLOOKUP(B8,MASTER_REGISTER!E:E,MASTER_REGISTER!C:C,""),"")</f>
        <v/>
      </c>
      <c r="E8" t="s">
        <v>843</v>
      </c>
      <c r="F8" t="s">
        <v>840</v>
      </c>
      <c r="G8" t="s">
        <v>836</v>
      </c>
      <c r="H8" s="4">
        <v>69.5</v>
      </c>
      <c r="I8" t="s">
        <v>844</v>
      </c>
    </row>
    <row r="9" spans="1:10" x14ac:dyDescent="0.3">
      <c r="A9" t="s">
        <v>842</v>
      </c>
      <c r="B9" t="s">
        <v>50</v>
      </c>
      <c r="C9" s="7" t="str">
        <f ca="1">IFERROR(_xludf.XLOOKUP(B9,MASTER_REGISTER!E:E,MASTER_REGISTER!F:F,""),"")</f>
        <v/>
      </c>
      <c r="D9" s="4" t="str">
        <f ca="1">IFERROR(_xludf.XLOOKUP(B9,MASTER_REGISTER!E:E,MASTER_REGISTER!C:C,""),"")</f>
        <v/>
      </c>
      <c r="E9" t="s">
        <v>823</v>
      </c>
      <c r="F9" t="s">
        <v>840</v>
      </c>
      <c r="G9" t="s">
        <v>841</v>
      </c>
      <c r="H9" s="4">
        <v>61.4</v>
      </c>
      <c r="I9" t="s">
        <v>834</v>
      </c>
    </row>
    <row r="10" spans="1:10" x14ac:dyDescent="0.3">
      <c r="A10" t="s">
        <v>373</v>
      </c>
      <c r="B10" t="s">
        <v>50</v>
      </c>
      <c r="C10" s="7" t="str">
        <f ca="1">IFERROR(_xludf.XLOOKUP(B10,MASTER_REGISTER!E:E,MASTER_REGISTER!F:F,""),"")</f>
        <v/>
      </c>
      <c r="D10" s="4" t="str">
        <f ca="1">IFERROR(_xludf.XLOOKUP(B10,MASTER_REGISTER!E:E,MASTER_REGISTER!C:C,""),"")</f>
        <v/>
      </c>
      <c r="E10" t="s">
        <v>831</v>
      </c>
      <c r="F10" t="s">
        <v>824</v>
      </c>
      <c r="G10" t="s">
        <v>845</v>
      </c>
      <c r="H10" s="4">
        <v>57.7</v>
      </c>
      <c r="I10" t="s">
        <v>846</v>
      </c>
    </row>
    <row r="11" spans="1:10" x14ac:dyDescent="0.3">
      <c r="A11" t="s">
        <v>847</v>
      </c>
      <c r="B11" t="s">
        <v>50</v>
      </c>
      <c r="C11" s="7" t="str">
        <f ca="1">IFERROR(_xludf.XLOOKUP(B11,MASTER_REGISTER!E:E,MASTER_REGISTER!F:F,""),"")</f>
        <v/>
      </c>
      <c r="D11" s="4" t="str">
        <f ca="1">IFERROR(_xludf.XLOOKUP(B11,MASTER_REGISTER!E:E,MASTER_REGISTER!C:C,""),"")</f>
        <v/>
      </c>
      <c r="E11" t="s">
        <v>843</v>
      </c>
      <c r="F11" t="s">
        <v>840</v>
      </c>
      <c r="G11" t="s">
        <v>848</v>
      </c>
      <c r="H11" s="4">
        <v>75.599999999999994</v>
      </c>
      <c r="I11" t="s">
        <v>849</v>
      </c>
    </row>
    <row r="12" spans="1:10" x14ac:dyDescent="0.3">
      <c r="A12" t="s">
        <v>172</v>
      </c>
      <c r="B12" t="s">
        <v>58</v>
      </c>
      <c r="C12" s="7" t="str">
        <f ca="1">IFERROR(_xludf.XLOOKUP(B12,MASTER_REGISTER!E:E,MASTER_REGISTER!F:F,""),"")</f>
        <v/>
      </c>
      <c r="D12" s="4" t="str">
        <f ca="1">IFERROR(_xludf.XLOOKUP(B12,MASTER_REGISTER!E:E,MASTER_REGISTER!C:C,""),"")</f>
        <v/>
      </c>
      <c r="E12" t="s">
        <v>843</v>
      </c>
      <c r="F12" t="s">
        <v>824</v>
      </c>
      <c r="G12" t="s">
        <v>841</v>
      </c>
      <c r="H12" s="4">
        <v>77.400000000000006</v>
      </c>
      <c r="I12" t="s">
        <v>846</v>
      </c>
    </row>
    <row r="13" spans="1:10" x14ac:dyDescent="0.3">
      <c r="A13" t="s">
        <v>827</v>
      </c>
      <c r="B13" t="s">
        <v>58</v>
      </c>
      <c r="C13" s="7" t="str">
        <f ca="1">IFERROR(_xludf.XLOOKUP(B13,MASTER_REGISTER!E:E,MASTER_REGISTER!F:F,""),"")</f>
        <v/>
      </c>
      <c r="D13" s="4" t="str">
        <f ca="1">IFERROR(_xludf.XLOOKUP(B13,MASTER_REGISTER!E:E,MASTER_REGISTER!C:C,""),"")</f>
        <v/>
      </c>
      <c r="E13" t="s">
        <v>831</v>
      </c>
      <c r="F13" t="s">
        <v>832</v>
      </c>
      <c r="G13" t="s">
        <v>833</v>
      </c>
      <c r="H13" s="4">
        <v>48.5</v>
      </c>
      <c r="I13" t="s">
        <v>849</v>
      </c>
    </row>
    <row r="14" spans="1:10" x14ac:dyDescent="0.3">
      <c r="A14" t="s">
        <v>549</v>
      </c>
      <c r="B14" t="s">
        <v>58</v>
      </c>
      <c r="C14" s="7" t="str">
        <f ca="1">IFERROR(_xludf.XLOOKUP(B14,MASTER_REGISTER!E:E,MASTER_REGISTER!F:F,""),"")</f>
        <v/>
      </c>
      <c r="D14" s="4" t="str">
        <f ca="1">IFERROR(_xludf.XLOOKUP(B14,MASTER_REGISTER!E:E,MASTER_REGISTER!C:C,""),"")</f>
        <v/>
      </c>
      <c r="E14" t="s">
        <v>837</v>
      </c>
      <c r="F14" t="s">
        <v>838</v>
      </c>
      <c r="G14" t="s">
        <v>850</v>
      </c>
      <c r="H14" s="4">
        <v>71.5</v>
      </c>
      <c r="I14" t="s">
        <v>834</v>
      </c>
    </row>
    <row r="15" spans="1:10" x14ac:dyDescent="0.3">
      <c r="A15" t="s">
        <v>839</v>
      </c>
      <c r="B15" t="s">
        <v>58</v>
      </c>
      <c r="C15" s="7" t="str">
        <f ca="1">IFERROR(_xludf.XLOOKUP(B15,MASTER_REGISTER!E:E,MASTER_REGISTER!F:F,""),"")</f>
        <v/>
      </c>
      <c r="D15" s="4" t="str">
        <f ca="1">IFERROR(_xludf.XLOOKUP(B15,MASTER_REGISTER!E:E,MASTER_REGISTER!C:C,""),"")</f>
        <v/>
      </c>
      <c r="E15" t="s">
        <v>843</v>
      </c>
      <c r="F15" t="s">
        <v>838</v>
      </c>
      <c r="G15" t="s">
        <v>836</v>
      </c>
      <c r="H15" s="4">
        <v>63.3</v>
      </c>
      <c r="I15" t="s">
        <v>834</v>
      </c>
    </row>
    <row r="16" spans="1:10" x14ac:dyDescent="0.3">
      <c r="A16" t="s">
        <v>851</v>
      </c>
      <c r="B16" t="s">
        <v>58</v>
      </c>
      <c r="C16" s="7" t="str">
        <f ca="1">IFERROR(_xludf.XLOOKUP(B16,MASTER_REGISTER!E:E,MASTER_REGISTER!F:F,""),"")</f>
        <v/>
      </c>
      <c r="D16" s="4" t="str">
        <f ca="1">IFERROR(_xludf.XLOOKUP(B16,MASTER_REGISTER!E:E,MASTER_REGISTER!C:C,""),"")</f>
        <v/>
      </c>
      <c r="E16" t="s">
        <v>837</v>
      </c>
      <c r="F16" t="s">
        <v>832</v>
      </c>
      <c r="G16" t="s">
        <v>836</v>
      </c>
      <c r="H16" s="4">
        <v>65.599999999999994</v>
      </c>
      <c r="I16" t="s">
        <v>849</v>
      </c>
    </row>
    <row r="17" spans="1:9" x14ac:dyDescent="0.3">
      <c r="A17" t="s">
        <v>370</v>
      </c>
      <c r="B17" t="s">
        <v>58</v>
      </c>
      <c r="C17" s="7" t="str">
        <f ca="1">IFERROR(_xludf.XLOOKUP(B17,MASTER_REGISTER!E:E,MASTER_REGISTER!F:F,""),"")</f>
        <v/>
      </c>
      <c r="D17" s="4" t="str">
        <f ca="1">IFERROR(_xludf.XLOOKUP(B17,MASTER_REGISTER!E:E,MASTER_REGISTER!C:C,""),"")</f>
        <v/>
      </c>
      <c r="E17" t="s">
        <v>843</v>
      </c>
      <c r="F17" t="s">
        <v>838</v>
      </c>
      <c r="G17" t="s">
        <v>848</v>
      </c>
      <c r="H17" s="4">
        <v>68.8</v>
      </c>
      <c r="I17" t="s">
        <v>852</v>
      </c>
    </row>
    <row r="18" spans="1:9" x14ac:dyDescent="0.3">
      <c r="A18" t="s">
        <v>371</v>
      </c>
      <c r="B18" t="s">
        <v>58</v>
      </c>
      <c r="C18" s="7" t="str">
        <f ca="1">IFERROR(_xludf.XLOOKUP(B18,MASTER_REGISTER!E:E,MASTER_REGISTER!F:F,""),"")</f>
        <v/>
      </c>
      <c r="D18" s="4" t="str">
        <f ca="1">IFERROR(_xludf.XLOOKUP(B18,MASTER_REGISTER!E:E,MASTER_REGISTER!C:C,""),"")</f>
        <v/>
      </c>
      <c r="E18" t="s">
        <v>831</v>
      </c>
      <c r="F18" t="s">
        <v>838</v>
      </c>
      <c r="G18" t="s">
        <v>850</v>
      </c>
      <c r="H18" s="4">
        <v>67.3</v>
      </c>
      <c r="I18" t="s">
        <v>834</v>
      </c>
    </row>
    <row r="19" spans="1:9" x14ac:dyDescent="0.3">
      <c r="A19" t="s">
        <v>372</v>
      </c>
      <c r="B19" t="s">
        <v>58</v>
      </c>
      <c r="C19" s="7" t="str">
        <f ca="1">IFERROR(_xludf.XLOOKUP(B19,MASTER_REGISTER!E:E,MASTER_REGISTER!F:F,""),"")</f>
        <v/>
      </c>
      <c r="D19" s="4" t="str">
        <f ca="1">IFERROR(_xludf.XLOOKUP(B19,MASTER_REGISTER!E:E,MASTER_REGISTER!C:C,""),"")</f>
        <v/>
      </c>
      <c r="E19" t="s">
        <v>837</v>
      </c>
      <c r="F19" t="s">
        <v>838</v>
      </c>
      <c r="G19" t="s">
        <v>825</v>
      </c>
      <c r="H19" s="4">
        <v>65.8</v>
      </c>
      <c r="I19" t="s">
        <v>852</v>
      </c>
    </row>
    <row r="20" spans="1:9" x14ac:dyDescent="0.3">
      <c r="A20" t="s">
        <v>853</v>
      </c>
      <c r="B20" t="s">
        <v>58</v>
      </c>
      <c r="C20" s="7" t="str">
        <f ca="1">IFERROR(_xludf.XLOOKUP(B20,MASTER_REGISTER!E:E,MASTER_REGISTER!F:F,""),"")</f>
        <v/>
      </c>
      <c r="D20" s="4" t="str">
        <f ca="1">IFERROR(_xludf.XLOOKUP(B20,MASTER_REGISTER!E:E,MASTER_REGISTER!C:C,""),"")</f>
        <v/>
      </c>
      <c r="E20" t="s">
        <v>843</v>
      </c>
      <c r="F20" t="s">
        <v>824</v>
      </c>
      <c r="G20" t="s">
        <v>825</v>
      </c>
      <c r="H20" s="4">
        <v>39.799999999999997</v>
      </c>
      <c r="I20" t="s">
        <v>826</v>
      </c>
    </row>
    <row r="21" spans="1:9" x14ac:dyDescent="0.3">
      <c r="A21" t="s">
        <v>854</v>
      </c>
      <c r="B21" t="s">
        <v>58</v>
      </c>
      <c r="C21" s="7" t="str">
        <f ca="1">IFERROR(_xludf.XLOOKUP(B21,MASTER_REGISTER!E:E,MASTER_REGISTER!F:F,""),"")</f>
        <v/>
      </c>
      <c r="D21" s="4" t="str">
        <f ca="1">IFERROR(_xludf.XLOOKUP(B21,MASTER_REGISTER!E:E,MASTER_REGISTER!C:C,""),"")</f>
        <v/>
      </c>
      <c r="E21" t="s">
        <v>831</v>
      </c>
      <c r="F21" t="s">
        <v>824</v>
      </c>
      <c r="G21" t="s">
        <v>855</v>
      </c>
      <c r="H21" s="4">
        <v>74.3</v>
      </c>
      <c r="I21" t="s">
        <v>844</v>
      </c>
    </row>
    <row r="22" spans="1:9" x14ac:dyDescent="0.3">
      <c r="A22" t="s">
        <v>856</v>
      </c>
      <c r="B22" t="s">
        <v>64</v>
      </c>
      <c r="C22" s="7" t="str">
        <f ca="1">IFERROR(_xludf.XLOOKUP(B22,MASTER_REGISTER!E:E,MASTER_REGISTER!F:F,""),"")</f>
        <v/>
      </c>
      <c r="D22" s="4" t="str">
        <f ca="1">IFERROR(_xludf.XLOOKUP(B22,MASTER_REGISTER!E:E,MASTER_REGISTER!C:C,""),"")</f>
        <v/>
      </c>
      <c r="E22" t="s">
        <v>843</v>
      </c>
      <c r="F22" t="s">
        <v>832</v>
      </c>
      <c r="G22" t="s">
        <v>828</v>
      </c>
      <c r="H22" s="4">
        <v>63.5</v>
      </c>
      <c r="I22" t="s">
        <v>852</v>
      </c>
    </row>
    <row r="23" spans="1:9" x14ac:dyDescent="0.3">
      <c r="A23" t="s">
        <v>396</v>
      </c>
      <c r="B23" t="s">
        <v>64</v>
      </c>
      <c r="C23" s="7" t="str">
        <f ca="1">IFERROR(_xludf.XLOOKUP(B23,MASTER_REGISTER!E:E,MASTER_REGISTER!F:F,""),"")</f>
        <v/>
      </c>
      <c r="D23" s="4" t="str">
        <f ca="1">IFERROR(_xludf.XLOOKUP(B23,MASTER_REGISTER!E:E,MASTER_REGISTER!C:C,""),"")</f>
        <v/>
      </c>
      <c r="E23" t="s">
        <v>843</v>
      </c>
      <c r="F23" t="s">
        <v>824</v>
      </c>
      <c r="G23" t="s">
        <v>825</v>
      </c>
      <c r="H23" s="4">
        <v>57.7</v>
      </c>
      <c r="I23" t="s">
        <v>852</v>
      </c>
    </row>
    <row r="24" spans="1:9" x14ac:dyDescent="0.3">
      <c r="A24" t="s">
        <v>857</v>
      </c>
      <c r="B24" t="s">
        <v>64</v>
      </c>
      <c r="C24" s="7" t="str">
        <f ca="1">IFERROR(_xludf.XLOOKUP(B24,MASTER_REGISTER!E:E,MASTER_REGISTER!F:F,""),"")</f>
        <v/>
      </c>
      <c r="D24" s="4" t="str">
        <f ca="1">IFERROR(_xludf.XLOOKUP(B24,MASTER_REGISTER!E:E,MASTER_REGISTER!C:C,""),"")</f>
        <v/>
      </c>
      <c r="E24" t="s">
        <v>831</v>
      </c>
      <c r="F24" t="s">
        <v>832</v>
      </c>
      <c r="G24" t="s">
        <v>848</v>
      </c>
      <c r="H24" s="4">
        <v>76.099999999999994</v>
      </c>
      <c r="I24" t="s">
        <v>844</v>
      </c>
    </row>
    <row r="25" spans="1:9" x14ac:dyDescent="0.3">
      <c r="A25" t="s">
        <v>830</v>
      </c>
      <c r="B25" t="s">
        <v>64</v>
      </c>
      <c r="C25" s="7" t="str">
        <f ca="1">IFERROR(_xludf.XLOOKUP(B25,MASTER_REGISTER!E:E,MASTER_REGISTER!F:F,""),"")</f>
        <v/>
      </c>
      <c r="D25" s="4" t="str">
        <f ca="1">IFERROR(_xludf.XLOOKUP(B25,MASTER_REGISTER!E:E,MASTER_REGISTER!C:C,""),"")</f>
        <v/>
      </c>
      <c r="E25" t="s">
        <v>831</v>
      </c>
      <c r="F25" t="s">
        <v>838</v>
      </c>
      <c r="G25" t="s">
        <v>845</v>
      </c>
      <c r="H25" s="4">
        <v>65.3</v>
      </c>
      <c r="I25" t="s">
        <v>829</v>
      </c>
    </row>
    <row r="26" spans="1:9" x14ac:dyDescent="0.3">
      <c r="A26" t="s">
        <v>858</v>
      </c>
      <c r="B26" t="s">
        <v>64</v>
      </c>
      <c r="C26" s="7" t="str">
        <f ca="1">IFERROR(_xludf.XLOOKUP(B26,MASTER_REGISTER!E:E,MASTER_REGISTER!F:F,""),"")</f>
        <v/>
      </c>
      <c r="D26" s="4" t="str">
        <f ca="1">IFERROR(_xludf.XLOOKUP(B26,MASTER_REGISTER!E:E,MASTER_REGISTER!C:C,""),"")</f>
        <v/>
      </c>
      <c r="E26" t="s">
        <v>843</v>
      </c>
      <c r="F26" t="s">
        <v>840</v>
      </c>
      <c r="G26" t="s">
        <v>833</v>
      </c>
      <c r="H26" s="4">
        <v>56.7</v>
      </c>
      <c r="I26" t="s">
        <v>852</v>
      </c>
    </row>
    <row r="27" spans="1:9" x14ac:dyDescent="0.3">
      <c r="A27" t="s">
        <v>842</v>
      </c>
      <c r="B27" t="s">
        <v>64</v>
      </c>
      <c r="C27" s="7" t="str">
        <f ca="1">IFERROR(_xludf.XLOOKUP(B27,MASTER_REGISTER!E:E,MASTER_REGISTER!F:F,""),"")</f>
        <v/>
      </c>
      <c r="D27" s="4" t="str">
        <f ca="1">IFERROR(_xludf.XLOOKUP(B27,MASTER_REGISTER!E:E,MASTER_REGISTER!C:C,""),"")</f>
        <v/>
      </c>
      <c r="E27" t="s">
        <v>837</v>
      </c>
      <c r="F27" t="s">
        <v>840</v>
      </c>
      <c r="G27" t="s">
        <v>848</v>
      </c>
      <c r="H27" s="4">
        <v>62.4</v>
      </c>
      <c r="I27" t="s">
        <v>846</v>
      </c>
    </row>
    <row r="28" spans="1:9" x14ac:dyDescent="0.3">
      <c r="A28" t="s">
        <v>851</v>
      </c>
      <c r="B28" t="s">
        <v>64</v>
      </c>
      <c r="C28" s="7" t="str">
        <f ca="1">IFERROR(_xludf.XLOOKUP(B28,MASTER_REGISTER!E:E,MASTER_REGISTER!F:F,""),"")</f>
        <v/>
      </c>
      <c r="D28" s="4" t="str">
        <f ca="1">IFERROR(_xludf.XLOOKUP(B28,MASTER_REGISTER!E:E,MASTER_REGISTER!C:C,""),"")</f>
        <v/>
      </c>
      <c r="E28" t="s">
        <v>843</v>
      </c>
      <c r="F28" t="s">
        <v>838</v>
      </c>
      <c r="G28" t="s">
        <v>841</v>
      </c>
      <c r="H28" s="4">
        <v>47.2</v>
      </c>
      <c r="I28" t="s">
        <v>846</v>
      </c>
    </row>
    <row r="29" spans="1:9" x14ac:dyDescent="0.3">
      <c r="A29" t="s">
        <v>579</v>
      </c>
      <c r="B29" t="s">
        <v>64</v>
      </c>
      <c r="C29" s="7" t="str">
        <f ca="1">IFERROR(_xludf.XLOOKUP(B29,MASTER_REGISTER!E:E,MASTER_REGISTER!F:F,""),"")</f>
        <v/>
      </c>
      <c r="D29" s="4" t="str">
        <f ca="1">IFERROR(_xludf.XLOOKUP(B29,MASTER_REGISTER!E:E,MASTER_REGISTER!C:C,""),"")</f>
        <v/>
      </c>
      <c r="E29" t="s">
        <v>837</v>
      </c>
      <c r="F29" t="s">
        <v>838</v>
      </c>
      <c r="G29" t="s">
        <v>859</v>
      </c>
      <c r="H29" s="4">
        <v>62.5</v>
      </c>
      <c r="I29" t="s">
        <v>846</v>
      </c>
    </row>
    <row r="30" spans="1:9" x14ac:dyDescent="0.3">
      <c r="A30" t="s">
        <v>579</v>
      </c>
      <c r="B30" t="s">
        <v>64</v>
      </c>
      <c r="C30" s="7" t="str">
        <f ca="1">IFERROR(_xludf.XLOOKUP(B30,MASTER_REGISTER!E:E,MASTER_REGISTER!F:F,""),"")</f>
        <v/>
      </c>
      <c r="D30" s="4" t="str">
        <f ca="1">IFERROR(_xludf.XLOOKUP(B30,MASTER_REGISTER!E:E,MASTER_REGISTER!C:C,""),"")</f>
        <v/>
      </c>
      <c r="E30" t="s">
        <v>843</v>
      </c>
      <c r="F30" t="s">
        <v>824</v>
      </c>
      <c r="G30" t="s">
        <v>845</v>
      </c>
      <c r="H30" s="4">
        <v>40.6</v>
      </c>
      <c r="I30" t="s">
        <v>826</v>
      </c>
    </row>
    <row r="31" spans="1:9" x14ac:dyDescent="0.3">
      <c r="A31" t="s">
        <v>854</v>
      </c>
      <c r="B31" t="s">
        <v>64</v>
      </c>
      <c r="C31" s="7" t="str">
        <f ca="1">IFERROR(_xludf.XLOOKUP(B31,MASTER_REGISTER!E:E,MASTER_REGISTER!F:F,""),"")</f>
        <v/>
      </c>
      <c r="D31" s="4" t="str">
        <f ca="1">IFERROR(_xludf.XLOOKUP(B31,MASTER_REGISTER!E:E,MASTER_REGISTER!C:C,""),"")</f>
        <v/>
      </c>
      <c r="E31" t="s">
        <v>843</v>
      </c>
      <c r="F31" t="s">
        <v>824</v>
      </c>
      <c r="G31" t="s">
        <v>860</v>
      </c>
      <c r="H31" s="4">
        <v>57.7</v>
      </c>
      <c r="I31" t="s">
        <v>834</v>
      </c>
    </row>
    <row r="32" spans="1:9" x14ac:dyDescent="0.3">
      <c r="A32" t="s">
        <v>172</v>
      </c>
      <c r="B32" t="s">
        <v>70</v>
      </c>
      <c r="C32" s="7" t="str">
        <f ca="1">IFERROR(_xludf.XLOOKUP(B32,MASTER_REGISTER!E:E,MASTER_REGISTER!F:F,""),"")</f>
        <v/>
      </c>
      <c r="D32" s="4" t="str">
        <f ca="1">IFERROR(_xludf.XLOOKUP(B32,MASTER_REGISTER!E:E,MASTER_REGISTER!C:C,""),"")</f>
        <v/>
      </c>
      <c r="E32" t="s">
        <v>843</v>
      </c>
      <c r="F32" t="s">
        <v>840</v>
      </c>
      <c r="G32" t="s">
        <v>850</v>
      </c>
      <c r="H32" s="4">
        <v>63.5</v>
      </c>
      <c r="I32" t="s">
        <v>829</v>
      </c>
    </row>
    <row r="33" spans="1:9" x14ac:dyDescent="0.3">
      <c r="A33" t="s">
        <v>861</v>
      </c>
      <c r="B33" t="s">
        <v>70</v>
      </c>
      <c r="C33" s="7" t="str">
        <f ca="1">IFERROR(_xludf.XLOOKUP(B33,MASTER_REGISTER!E:E,MASTER_REGISTER!F:F,""),"")</f>
        <v/>
      </c>
      <c r="D33" s="4" t="str">
        <f ca="1">IFERROR(_xludf.XLOOKUP(B33,MASTER_REGISTER!E:E,MASTER_REGISTER!C:C,""),"")</f>
        <v/>
      </c>
      <c r="E33" t="s">
        <v>831</v>
      </c>
      <c r="F33" t="s">
        <v>840</v>
      </c>
      <c r="G33" t="s">
        <v>860</v>
      </c>
      <c r="H33" s="4">
        <v>61.8</v>
      </c>
      <c r="I33" t="s">
        <v>846</v>
      </c>
    </row>
    <row r="34" spans="1:9" x14ac:dyDescent="0.3">
      <c r="A34" t="s">
        <v>827</v>
      </c>
      <c r="B34" t="s">
        <v>70</v>
      </c>
      <c r="C34" s="7" t="str">
        <f ca="1">IFERROR(_xludf.XLOOKUP(B34,MASTER_REGISTER!E:E,MASTER_REGISTER!F:F,""),"")</f>
        <v/>
      </c>
      <c r="D34" s="4" t="str">
        <f ca="1">IFERROR(_xludf.XLOOKUP(B34,MASTER_REGISTER!E:E,MASTER_REGISTER!C:C,""),"")</f>
        <v/>
      </c>
      <c r="E34" t="s">
        <v>843</v>
      </c>
      <c r="F34" t="s">
        <v>838</v>
      </c>
      <c r="G34" t="s">
        <v>825</v>
      </c>
      <c r="H34" s="4">
        <v>41.5</v>
      </c>
      <c r="I34" t="s">
        <v>852</v>
      </c>
    </row>
    <row r="35" spans="1:9" x14ac:dyDescent="0.3">
      <c r="A35" t="s">
        <v>433</v>
      </c>
      <c r="B35" t="s">
        <v>70</v>
      </c>
      <c r="C35" s="7" t="str">
        <f ca="1">IFERROR(_xludf.XLOOKUP(B35,MASTER_REGISTER!E:E,MASTER_REGISTER!F:F,""),"")</f>
        <v/>
      </c>
      <c r="D35" s="4" t="str">
        <f ca="1">IFERROR(_xludf.XLOOKUP(B35,MASTER_REGISTER!E:E,MASTER_REGISTER!C:C,""),"")</f>
        <v/>
      </c>
      <c r="E35" t="s">
        <v>831</v>
      </c>
      <c r="F35" t="s">
        <v>838</v>
      </c>
      <c r="G35" t="s">
        <v>850</v>
      </c>
      <c r="H35" s="4">
        <v>85.2</v>
      </c>
      <c r="I35" t="s">
        <v>849</v>
      </c>
    </row>
    <row r="36" spans="1:9" x14ac:dyDescent="0.3">
      <c r="A36" t="s">
        <v>830</v>
      </c>
      <c r="B36" t="s">
        <v>70</v>
      </c>
      <c r="C36" s="7" t="str">
        <f ca="1">IFERROR(_xludf.XLOOKUP(B36,MASTER_REGISTER!E:E,MASTER_REGISTER!F:F,""),"")</f>
        <v/>
      </c>
      <c r="D36" s="4" t="str">
        <f ca="1">IFERROR(_xludf.XLOOKUP(B36,MASTER_REGISTER!E:E,MASTER_REGISTER!C:C,""),"")</f>
        <v/>
      </c>
      <c r="E36" t="s">
        <v>843</v>
      </c>
      <c r="F36" t="s">
        <v>832</v>
      </c>
      <c r="G36" t="s">
        <v>860</v>
      </c>
      <c r="H36" s="4">
        <v>99.4</v>
      </c>
      <c r="I36" t="s">
        <v>862</v>
      </c>
    </row>
    <row r="37" spans="1:9" x14ac:dyDescent="0.3">
      <c r="A37" t="s">
        <v>839</v>
      </c>
      <c r="B37" t="s">
        <v>70</v>
      </c>
      <c r="C37" s="7" t="str">
        <f ca="1">IFERROR(_xludf.XLOOKUP(B37,MASTER_REGISTER!E:E,MASTER_REGISTER!F:F,""),"")</f>
        <v/>
      </c>
      <c r="D37" s="4" t="str">
        <f ca="1">IFERROR(_xludf.XLOOKUP(B37,MASTER_REGISTER!E:E,MASTER_REGISTER!C:C,""),"")</f>
        <v/>
      </c>
      <c r="E37" t="s">
        <v>837</v>
      </c>
      <c r="F37" t="s">
        <v>840</v>
      </c>
      <c r="G37" t="s">
        <v>833</v>
      </c>
      <c r="H37" s="4">
        <v>52.5</v>
      </c>
      <c r="I37" t="s">
        <v>829</v>
      </c>
    </row>
    <row r="38" spans="1:9" x14ac:dyDescent="0.3">
      <c r="A38" t="s">
        <v>863</v>
      </c>
      <c r="B38" t="s">
        <v>70</v>
      </c>
      <c r="C38" s="7" t="str">
        <f ca="1">IFERROR(_xludf.XLOOKUP(B38,MASTER_REGISTER!E:E,MASTER_REGISTER!F:F,""),"")</f>
        <v/>
      </c>
      <c r="D38" s="4" t="str">
        <f ca="1">IFERROR(_xludf.XLOOKUP(B38,MASTER_REGISTER!E:E,MASTER_REGISTER!C:C,""),"")</f>
        <v/>
      </c>
      <c r="E38" t="s">
        <v>831</v>
      </c>
      <c r="F38" t="s">
        <v>832</v>
      </c>
      <c r="G38" t="s">
        <v>841</v>
      </c>
      <c r="H38" s="4">
        <v>66.900000000000006</v>
      </c>
      <c r="I38" t="s">
        <v>844</v>
      </c>
    </row>
    <row r="39" spans="1:9" x14ac:dyDescent="0.3">
      <c r="A39" t="s">
        <v>373</v>
      </c>
      <c r="B39" t="s">
        <v>70</v>
      </c>
      <c r="C39" s="7" t="str">
        <f ca="1">IFERROR(_xludf.XLOOKUP(B39,MASTER_REGISTER!E:E,MASTER_REGISTER!F:F,""),"")</f>
        <v/>
      </c>
      <c r="D39" s="4" t="str">
        <f ca="1">IFERROR(_xludf.XLOOKUP(B39,MASTER_REGISTER!E:E,MASTER_REGISTER!C:C,""),"")</f>
        <v/>
      </c>
      <c r="E39" t="s">
        <v>831</v>
      </c>
      <c r="F39" t="s">
        <v>832</v>
      </c>
      <c r="G39" t="s">
        <v>848</v>
      </c>
      <c r="H39" s="4">
        <v>56.3</v>
      </c>
      <c r="I39" t="s">
        <v>826</v>
      </c>
    </row>
    <row r="40" spans="1:9" x14ac:dyDescent="0.3">
      <c r="A40" t="s">
        <v>853</v>
      </c>
      <c r="B40" t="s">
        <v>70</v>
      </c>
      <c r="C40" s="7" t="str">
        <f ca="1">IFERROR(_xludf.XLOOKUP(B40,MASTER_REGISTER!E:E,MASTER_REGISTER!F:F,""),"")</f>
        <v/>
      </c>
      <c r="D40" s="4" t="str">
        <f ca="1">IFERROR(_xludf.XLOOKUP(B40,MASTER_REGISTER!E:E,MASTER_REGISTER!C:C,""),"")</f>
        <v/>
      </c>
      <c r="E40" t="s">
        <v>831</v>
      </c>
      <c r="F40" t="s">
        <v>840</v>
      </c>
      <c r="G40" t="s">
        <v>825</v>
      </c>
      <c r="H40" s="4">
        <v>74.5</v>
      </c>
      <c r="I40" t="s">
        <v>829</v>
      </c>
    </row>
    <row r="41" spans="1:9" x14ac:dyDescent="0.3">
      <c r="A41" t="s">
        <v>847</v>
      </c>
      <c r="B41" t="s">
        <v>70</v>
      </c>
      <c r="C41" s="7" t="str">
        <f ca="1">IFERROR(_xludf.XLOOKUP(B41,MASTER_REGISTER!E:E,MASTER_REGISTER!F:F,""),"")</f>
        <v/>
      </c>
      <c r="D41" s="4" t="str">
        <f ca="1">IFERROR(_xludf.XLOOKUP(B41,MASTER_REGISTER!E:E,MASTER_REGISTER!C:C,""),"")</f>
        <v/>
      </c>
      <c r="E41" t="s">
        <v>823</v>
      </c>
      <c r="F41" t="s">
        <v>840</v>
      </c>
      <c r="G41" t="s">
        <v>848</v>
      </c>
      <c r="H41" s="4">
        <v>61.7</v>
      </c>
      <c r="I41" t="s">
        <v>834</v>
      </c>
    </row>
    <row r="42" spans="1:9" x14ac:dyDescent="0.3">
      <c r="A42" t="s">
        <v>856</v>
      </c>
      <c r="B42" t="s">
        <v>76</v>
      </c>
      <c r="C42" s="7" t="str">
        <f ca="1">IFERROR(_xludf.XLOOKUP(B42,MASTER_REGISTER!E:E,MASTER_REGISTER!F:F,""),"")</f>
        <v/>
      </c>
      <c r="D42" s="4" t="str">
        <f ca="1">IFERROR(_xludf.XLOOKUP(B42,MASTER_REGISTER!E:E,MASTER_REGISTER!C:C,""),"")</f>
        <v/>
      </c>
      <c r="E42" t="s">
        <v>837</v>
      </c>
      <c r="F42" t="s">
        <v>840</v>
      </c>
      <c r="G42" t="s">
        <v>825</v>
      </c>
      <c r="H42" s="4">
        <v>74.900000000000006</v>
      </c>
      <c r="I42" t="s">
        <v>849</v>
      </c>
    </row>
    <row r="43" spans="1:9" x14ac:dyDescent="0.3">
      <c r="A43" t="s">
        <v>396</v>
      </c>
      <c r="B43" t="s">
        <v>76</v>
      </c>
      <c r="C43" s="7" t="str">
        <f ca="1">IFERROR(_xludf.XLOOKUP(B43,MASTER_REGISTER!E:E,MASTER_REGISTER!F:F,""),"")</f>
        <v/>
      </c>
      <c r="D43" s="4" t="str">
        <f ca="1">IFERROR(_xludf.XLOOKUP(B43,MASTER_REGISTER!E:E,MASTER_REGISTER!C:C,""),"")</f>
        <v/>
      </c>
      <c r="E43" t="s">
        <v>831</v>
      </c>
      <c r="F43" t="s">
        <v>832</v>
      </c>
      <c r="G43" t="s">
        <v>836</v>
      </c>
      <c r="H43" s="4">
        <v>82.5</v>
      </c>
      <c r="I43" t="s">
        <v>844</v>
      </c>
    </row>
    <row r="44" spans="1:9" x14ac:dyDescent="0.3">
      <c r="A44" t="s">
        <v>830</v>
      </c>
      <c r="B44" t="s">
        <v>76</v>
      </c>
      <c r="C44" s="7" t="str">
        <f ca="1">IFERROR(_xludf.XLOOKUP(B44,MASTER_REGISTER!E:E,MASTER_REGISTER!F:F,""),"")</f>
        <v/>
      </c>
      <c r="D44" s="4" t="str">
        <f ca="1">IFERROR(_xludf.XLOOKUP(B44,MASTER_REGISTER!E:E,MASTER_REGISTER!C:C,""),"")</f>
        <v/>
      </c>
      <c r="E44" t="s">
        <v>843</v>
      </c>
      <c r="F44" t="s">
        <v>832</v>
      </c>
      <c r="G44" t="s">
        <v>845</v>
      </c>
      <c r="H44" s="4">
        <v>77.900000000000006</v>
      </c>
      <c r="I44" t="s">
        <v>844</v>
      </c>
    </row>
    <row r="45" spans="1:9" x14ac:dyDescent="0.3">
      <c r="A45" t="s">
        <v>864</v>
      </c>
      <c r="B45" t="s">
        <v>76</v>
      </c>
      <c r="C45" s="7" t="str">
        <f ca="1">IFERROR(_xludf.XLOOKUP(B45,MASTER_REGISTER!E:E,MASTER_REGISTER!F:F,""),"")</f>
        <v/>
      </c>
      <c r="D45" s="4" t="str">
        <f ca="1">IFERROR(_xludf.XLOOKUP(B45,MASTER_REGISTER!E:E,MASTER_REGISTER!C:C,""),"")</f>
        <v/>
      </c>
      <c r="E45" t="s">
        <v>823</v>
      </c>
      <c r="F45" t="s">
        <v>840</v>
      </c>
      <c r="G45" t="s">
        <v>850</v>
      </c>
      <c r="H45" s="4">
        <v>76.599999999999994</v>
      </c>
      <c r="I45" t="s">
        <v>846</v>
      </c>
    </row>
    <row r="46" spans="1:9" x14ac:dyDescent="0.3">
      <c r="A46" t="s">
        <v>842</v>
      </c>
      <c r="B46" t="s">
        <v>76</v>
      </c>
      <c r="C46" s="7" t="str">
        <f ca="1">IFERROR(_xludf.XLOOKUP(B46,MASTER_REGISTER!E:E,MASTER_REGISTER!F:F,""),"")</f>
        <v/>
      </c>
      <c r="D46" s="4" t="str">
        <f ca="1">IFERROR(_xludf.XLOOKUP(B46,MASTER_REGISTER!E:E,MASTER_REGISTER!C:C,""),"")</f>
        <v/>
      </c>
      <c r="E46" t="s">
        <v>831</v>
      </c>
      <c r="F46" t="s">
        <v>840</v>
      </c>
      <c r="G46" t="s">
        <v>825</v>
      </c>
      <c r="H46" s="4">
        <v>71</v>
      </c>
      <c r="I46" t="s">
        <v>846</v>
      </c>
    </row>
    <row r="47" spans="1:9" x14ac:dyDescent="0.3">
      <c r="A47" t="s">
        <v>853</v>
      </c>
      <c r="B47" t="s">
        <v>76</v>
      </c>
      <c r="C47" s="7" t="str">
        <f ca="1">IFERROR(_xludf.XLOOKUP(B47,MASTER_REGISTER!E:E,MASTER_REGISTER!F:F,""),"")</f>
        <v/>
      </c>
      <c r="D47" s="4" t="str">
        <f ca="1">IFERROR(_xludf.XLOOKUP(B47,MASTER_REGISTER!E:E,MASTER_REGISTER!C:C,""),"")</f>
        <v/>
      </c>
      <c r="E47" t="s">
        <v>843</v>
      </c>
      <c r="F47" t="s">
        <v>838</v>
      </c>
      <c r="G47" t="s">
        <v>860</v>
      </c>
      <c r="H47" s="4">
        <v>41.7</v>
      </c>
      <c r="I47" t="s">
        <v>834</v>
      </c>
    </row>
    <row r="48" spans="1:9" x14ac:dyDescent="0.3">
      <c r="A48" t="s">
        <v>865</v>
      </c>
      <c r="B48" t="s">
        <v>76</v>
      </c>
      <c r="C48" s="7" t="str">
        <f ca="1">IFERROR(_xludf.XLOOKUP(B48,MASTER_REGISTER!E:E,MASTER_REGISTER!F:F,""),"")</f>
        <v/>
      </c>
      <c r="D48" s="4" t="str">
        <f ca="1">IFERROR(_xludf.XLOOKUP(B48,MASTER_REGISTER!E:E,MASTER_REGISTER!C:C,""),"")</f>
        <v/>
      </c>
      <c r="E48" t="s">
        <v>831</v>
      </c>
      <c r="F48" t="s">
        <v>824</v>
      </c>
      <c r="G48" t="s">
        <v>836</v>
      </c>
      <c r="H48" s="4">
        <v>64.2</v>
      </c>
      <c r="I48" t="s">
        <v>852</v>
      </c>
    </row>
    <row r="49" spans="1:9" x14ac:dyDescent="0.3">
      <c r="A49" t="s">
        <v>866</v>
      </c>
      <c r="B49" t="s">
        <v>76</v>
      </c>
      <c r="C49" s="7" t="str">
        <f ca="1">IFERROR(_xludf.XLOOKUP(B49,MASTER_REGISTER!E:E,MASTER_REGISTER!F:F,""),"")</f>
        <v/>
      </c>
      <c r="D49" s="4" t="str">
        <f ca="1">IFERROR(_xludf.XLOOKUP(B49,MASTER_REGISTER!E:E,MASTER_REGISTER!C:C,""),"")</f>
        <v/>
      </c>
      <c r="E49" t="s">
        <v>843</v>
      </c>
      <c r="F49" t="s">
        <v>832</v>
      </c>
      <c r="G49" t="s">
        <v>860</v>
      </c>
      <c r="H49" s="4">
        <v>37.700000000000003</v>
      </c>
      <c r="I49" t="s">
        <v>849</v>
      </c>
    </row>
    <row r="50" spans="1:9" x14ac:dyDescent="0.3">
      <c r="A50" t="s">
        <v>854</v>
      </c>
      <c r="B50" t="s">
        <v>76</v>
      </c>
      <c r="C50" s="7" t="str">
        <f ca="1">IFERROR(_xludf.XLOOKUP(B50,MASTER_REGISTER!E:E,MASTER_REGISTER!F:F,""),"")</f>
        <v/>
      </c>
      <c r="D50" s="4" t="str">
        <f ca="1">IFERROR(_xludf.XLOOKUP(B50,MASTER_REGISTER!E:E,MASTER_REGISTER!C:C,""),"")</f>
        <v/>
      </c>
      <c r="E50" t="s">
        <v>823</v>
      </c>
      <c r="F50" t="s">
        <v>824</v>
      </c>
      <c r="G50" t="s">
        <v>825</v>
      </c>
      <c r="H50" s="4">
        <v>45.2</v>
      </c>
      <c r="I50" t="s">
        <v>834</v>
      </c>
    </row>
    <row r="51" spans="1:9" x14ac:dyDescent="0.3">
      <c r="A51" t="s">
        <v>854</v>
      </c>
      <c r="B51" t="s">
        <v>76</v>
      </c>
      <c r="C51" s="7" t="str">
        <f ca="1">IFERROR(_xludf.XLOOKUP(B51,MASTER_REGISTER!E:E,MASTER_REGISTER!F:F,""),"")</f>
        <v/>
      </c>
      <c r="D51" s="4" t="str">
        <f ca="1">IFERROR(_xludf.XLOOKUP(B51,MASTER_REGISTER!E:E,MASTER_REGISTER!C:C,""),"")</f>
        <v/>
      </c>
      <c r="E51" t="s">
        <v>831</v>
      </c>
      <c r="F51" t="s">
        <v>838</v>
      </c>
      <c r="G51" t="s">
        <v>833</v>
      </c>
      <c r="H51" s="4">
        <v>74.099999999999994</v>
      </c>
      <c r="I51" t="s">
        <v>862</v>
      </c>
    </row>
    <row r="52" spans="1:9" x14ac:dyDescent="0.3">
      <c r="A52" t="s">
        <v>856</v>
      </c>
      <c r="B52" t="s">
        <v>82</v>
      </c>
      <c r="C52" s="7" t="str">
        <f ca="1">IFERROR(_xludf.XLOOKUP(B52,MASTER_REGISTER!E:E,MASTER_REGISTER!F:F,""),"")</f>
        <v/>
      </c>
      <c r="D52" s="4" t="str">
        <f ca="1">IFERROR(_xludf.XLOOKUP(B52,MASTER_REGISTER!E:E,MASTER_REGISTER!C:C,""),"")</f>
        <v/>
      </c>
      <c r="E52" t="s">
        <v>823</v>
      </c>
      <c r="F52" t="s">
        <v>840</v>
      </c>
      <c r="G52" t="s">
        <v>860</v>
      </c>
      <c r="H52" s="4">
        <v>73.2</v>
      </c>
      <c r="I52" t="s">
        <v>846</v>
      </c>
    </row>
    <row r="53" spans="1:9" x14ac:dyDescent="0.3">
      <c r="A53" t="s">
        <v>856</v>
      </c>
      <c r="B53" t="s">
        <v>82</v>
      </c>
      <c r="C53" s="7" t="str">
        <f ca="1">IFERROR(_xludf.XLOOKUP(B53,MASTER_REGISTER!E:E,MASTER_REGISTER!F:F,""),"")</f>
        <v/>
      </c>
      <c r="D53" s="4" t="str">
        <f ca="1">IFERROR(_xludf.XLOOKUP(B53,MASTER_REGISTER!E:E,MASTER_REGISTER!C:C,""),"")</f>
        <v/>
      </c>
      <c r="E53" t="s">
        <v>831</v>
      </c>
      <c r="F53" t="s">
        <v>824</v>
      </c>
      <c r="G53" t="s">
        <v>825</v>
      </c>
      <c r="H53" s="4">
        <v>76.3</v>
      </c>
      <c r="I53" t="s">
        <v>826</v>
      </c>
    </row>
    <row r="54" spans="1:9" x14ac:dyDescent="0.3">
      <c r="A54" t="s">
        <v>396</v>
      </c>
      <c r="B54" t="s">
        <v>82</v>
      </c>
      <c r="C54" s="7" t="str">
        <f ca="1">IFERROR(_xludf.XLOOKUP(B54,MASTER_REGISTER!E:E,MASTER_REGISTER!F:F,""),"")</f>
        <v/>
      </c>
      <c r="D54" s="4" t="str">
        <f ca="1">IFERROR(_xludf.XLOOKUP(B54,MASTER_REGISTER!E:E,MASTER_REGISTER!C:C,""),"")</f>
        <v/>
      </c>
      <c r="E54" t="s">
        <v>837</v>
      </c>
      <c r="F54" t="s">
        <v>824</v>
      </c>
      <c r="G54" t="s">
        <v>828</v>
      </c>
      <c r="H54" s="4">
        <v>85.8</v>
      </c>
      <c r="I54" t="s">
        <v>829</v>
      </c>
    </row>
    <row r="55" spans="1:9" x14ac:dyDescent="0.3">
      <c r="A55" t="s">
        <v>433</v>
      </c>
      <c r="B55" t="s">
        <v>82</v>
      </c>
      <c r="C55" s="7" t="str">
        <f ca="1">IFERROR(_xludf.XLOOKUP(B55,MASTER_REGISTER!E:E,MASTER_REGISTER!F:F,""),"")</f>
        <v/>
      </c>
      <c r="D55" s="4" t="str">
        <f ca="1">IFERROR(_xludf.XLOOKUP(B55,MASTER_REGISTER!E:E,MASTER_REGISTER!C:C,""),"")</f>
        <v/>
      </c>
      <c r="E55" t="s">
        <v>823</v>
      </c>
      <c r="F55" t="s">
        <v>824</v>
      </c>
      <c r="G55" t="s">
        <v>867</v>
      </c>
      <c r="H55" s="4">
        <v>54.7</v>
      </c>
      <c r="I55" t="s">
        <v>846</v>
      </c>
    </row>
    <row r="56" spans="1:9" x14ac:dyDescent="0.3">
      <c r="A56" t="s">
        <v>433</v>
      </c>
      <c r="B56" t="s">
        <v>82</v>
      </c>
      <c r="C56" s="7" t="str">
        <f ca="1">IFERROR(_xludf.XLOOKUP(B56,MASTER_REGISTER!E:E,MASTER_REGISTER!F:F,""),"")</f>
        <v/>
      </c>
      <c r="D56" s="4" t="str">
        <f ca="1">IFERROR(_xludf.XLOOKUP(B56,MASTER_REGISTER!E:E,MASTER_REGISTER!C:C,""),"")</f>
        <v/>
      </c>
      <c r="E56" t="s">
        <v>823</v>
      </c>
      <c r="F56" t="s">
        <v>824</v>
      </c>
      <c r="G56" t="s">
        <v>828</v>
      </c>
      <c r="H56" s="4">
        <v>53.6</v>
      </c>
      <c r="I56" t="s">
        <v>849</v>
      </c>
    </row>
    <row r="57" spans="1:9" x14ac:dyDescent="0.3">
      <c r="A57" t="s">
        <v>863</v>
      </c>
      <c r="B57" t="s">
        <v>82</v>
      </c>
      <c r="C57" s="7" t="str">
        <f ca="1">IFERROR(_xludf.XLOOKUP(B57,MASTER_REGISTER!E:E,MASTER_REGISTER!F:F,""),"")</f>
        <v/>
      </c>
      <c r="D57" s="4" t="str">
        <f ca="1">IFERROR(_xludf.XLOOKUP(B57,MASTER_REGISTER!E:E,MASTER_REGISTER!C:C,""),"")</f>
        <v/>
      </c>
      <c r="E57" t="s">
        <v>823</v>
      </c>
      <c r="F57" t="s">
        <v>832</v>
      </c>
      <c r="G57" t="s">
        <v>841</v>
      </c>
      <c r="H57" s="4">
        <v>65.5</v>
      </c>
      <c r="I57" t="s">
        <v>826</v>
      </c>
    </row>
    <row r="58" spans="1:9" x14ac:dyDescent="0.3">
      <c r="A58" t="s">
        <v>842</v>
      </c>
      <c r="B58" t="s">
        <v>82</v>
      </c>
      <c r="C58" s="7" t="str">
        <f ca="1">IFERROR(_xludf.XLOOKUP(B58,MASTER_REGISTER!E:E,MASTER_REGISTER!F:F,""),"")</f>
        <v/>
      </c>
      <c r="D58" s="4" t="str">
        <f ca="1">IFERROR(_xludf.XLOOKUP(B58,MASTER_REGISTER!E:E,MASTER_REGISTER!C:C,""),"")</f>
        <v/>
      </c>
      <c r="E58" t="s">
        <v>831</v>
      </c>
      <c r="F58" t="s">
        <v>824</v>
      </c>
      <c r="G58" t="s">
        <v>859</v>
      </c>
      <c r="H58" s="4">
        <v>59.9</v>
      </c>
      <c r="I58" t="s">
        <v>844</v>
      </c>
    </row>
    <row r="59" spans="1:9" x14ac:dyDescent="0.3">
      <c r="A59" t="s">
        <v>370</v>
      </c>
      <c r="B59" t="s">
        <v>82</v>
      </c>
      <c r="C59" s="7" t="str">
        <f ca="1">IFERROR(_xludf.XLOOKUP(B59,MASTER_REGISTER!E:E,MASTER_REGISTER!F:F,""),"")</f>
        <v/>
      </c>
      <c r="D59" s="4" t="str">
        <f ca="1">IFERROR(_xludf.XLOOKUP(B59,MASTER_REGISTER!E:E,MASTER_REGISTER!C:C,""),"")</f>
        <v/>
      </c>
      <c r="E59" t="s">
        <v>843</v>
      </c>
      <c r="F59" t="s">
        <v>840</v>
      </c>
      <c r="G59" t="s">
        <v>848</v>
      </c>
      <c r="H59" s="4">
        <v>61.4</v>
      </c>
      <c r="I59" t="s">
        <v>862</v>
      </c>
    </row>
    <row r="60" spans="1:9" x14ac:dyDescent="0.3">
      <c r="A60" t="s">
        <v>579</v>
      </c>
      <c r="B60" t="s">
        <v>82</v>
      </c>
      <c r="C60" s="7" t="str">
        <f ca="1">IFERROR(_xludf.XLOOKUP(B60,MASTER_REGISTER!E:E,MASTER_REGISTER!F:F,""),"")</f>
        <v/>
      </c>
      <c r="D60" s="4" t="str">
        <f ca="1">IFERROR(_xludf.XLOOKUP(B60,MASTER_REGISTER!E:E,MASTER_REGISTER!C:C,""),"")</f>
        <v/>
      </c>
      <c r="E60" t="s">
        <v>831</v>
      </c>
      <c r="F60" t="s">
        <v>838</v>
      </c>
      <c r="G60" t="s">
        <v>841</v>
      </c>
      <c r="H60" s="4">
        <v>69.099999999999994</v>
      </c>
      <c r="I60" t="s">
        <v>849</v>
      </c>
    </row>
    <row r="61" spans="1:9" x14ac:dyDescent="0.3">
      <c r="A61" t="s">
        <v>854</v>
      </c>
      <c r="B61" t="s">
        <v>82</v>
      </c>
      <c r="C61" s="7" t="str">
        <f ca="1">IFERROR(_xludf.XLOOKUP(B61,MASTER_REGISTER!E:E,MASTER_REGISTER!F:F,""),"")</f>
        <v/>
      </c>
      <c r="D61" s="4" t="str">
        <f ca="1">IFERROR(_xludf.XLOOKUP(B61,MASTER_REGISTER!E:E,MASTER_REGISTER!C:C,""),"")</f>
        <v/>
      </c>
      <c r="E61" t="s">
        <v>823</v>
      </c>
      <c r="F61" t="s">
        <v>832</v>
      </c>
      <c r="G61" t="s">
        <v>825</v>
      </c>
      <c r="H61" s="4">
        <v>77.900000000000006</v>
      </c>
      <c r="I61" t="s">
        <v>862</v>
      </c>
    </row>
    <row r="62" spans="1:9" x14ac:dyDescent="0.3">
      <c r="A62" t="s">
        <v>137</v>
      </c>
      <c r="B62" t="s">
        <v>88</v>
      </c>
      <c r="C62" s="7" t="str">
        <f ca="1">IFERROR(_xludf.XLOOKUP(B62,MASTER_REGISTER!E:E,MASTER_REGISTER!F:F,""),"")</f>
        <v/>
      </c>
      <c r="D62" s="4" t="str">
        <f ca="1">IFERROR(_xludf.XLOOKUP(B62,MASTER_REGISTER!E:E,MASTER_REGISTER!C:C,""),"")</f>
        <v/>
      </c>
      <c r="E62" t="s">
        <v>831</v>
      </c>
      <c r="F62" t="s">
        <v>832</v>
      </c>
      <c r="G62" t="s">
        <v>860</v>
      </c>
      <c r="H62" s="4">
        <v>75.8</v>
      </c>
      <c r="I62" t="s">
        <v>862</v>
      </c>
    </row>
    <row r="63" spans="1:9" x14ac:dyDescent="0.3">
      <c r="A63" t="s">
        <v>856</v>
      </c>
      <c r="B63" t="s">
        <v>88</v>
      </c>
      <c r="C63" s="7" t="str">
        <f ca="1">IFERROR(_xludf.XLOOKUP(B63,MASTER_REGISTER!E:E,MASTER_REGISTER!F:F,""),"")</f>
        <v/>
      </c>
      <c r="D63" s="4" t="str">
        <f ca="1">IFERROR(_xludf.XLOOKUP(B63,MASTER_REGISTER!E:E,MASTER_REGISTER!C:C,""),"")</f>
        <v/>
      </c>
      <c r="E63" t="s">
        <v>831</v>
      </c>
      <c r="F63" t="s">
        <v>832</v>
      </c>
      <c r="G63" t="s">
        <v>855</v>
      </c>
      <c r="H63" s="4">
        <v>89.3</v>
      </c>
      <c r="I63" t="s">
        <v>846</v>
      </c>
    </row>
    <row r="64" spans="1:9" x14ac:dyDescent="0.3">
      <c r="A64" t="s">
        <v>172</v>
      </c>
      <c r="B64" t="s">
        <v>88</v>
      </c>
      <c r="C64" s="7" t="str">
        <f ca="1">IFERROR(_xludf.XLOOKUP(B64,MASTER_REGISTER!E:E,MASTER_REGISTER!F:F,""),"")</f>
        <v/>
      </c>
      <c r="D64" s="4" t="str">
        <f ca="1">IFERROR(_xludf.XLOOKUP(B64,MASTER_REGISTER!E:E,MASTER_REGISTER!C:C,""),"")</f>
        <v/>
      </c>
      <c r="E64" t="s">
        <v>831</v>
      </c>
      <c r="F64" t="s">
        <v>838</v>
      </c>
      <c r="G64" t="s">
        <v>855</v>
      </c>
      <c r="H64" s="4">
        <v>44.7</v>
      </c>
      <c r="I64" t="s">
        <v>844</v>
      </c>
    </row>
    <row r="65" spans="1:9" x14ac:dyDescent="0.3">
      <c r="A65" t="s">
        <v>861</v>
      </c>
      <c r="B65" t="s">
        <v>88</v>
      </c>
      <c r="C65" s="7" t="str">
        <f ca="1">IFERROR(_xludf.XLOOKUP(B65,MASTER_REGISTER!E:E,MASTER_REGISTER!F:F,""),"")</f>
        <v/>
      </c>
      <c r="D65" s="4" t="str">
        <f ca="1">IFERROR(_xludf.XLOOKUP(B65,MASTER_REGISTER!E:E,MASTER_REGISTER!C:C,""),"")</f>
        <v/>
      </c>
      <c r="E65" t="s">
        <v>831</v>
      </c>
      <c r="F65" t="s">
        <v>840</v>
      </c>
      <c r="G65" t="s">
        <v>850</v>
      </c>
      <c r="H65" s="4">
        <v>73.900000000000006</v>
      </c>
      <c r="I65" t="s">
        <v>834</v>
      </c>
    </row>
    <row r="66" spans="1:9" x14ac:dyDescent="0.3">
      <c r="A66" t="s">
        <v>857</v>
      </c>
      <c r="B66" t="s">
        <v>88</v>
      </c>
      <c r="C66" s="7" t="str">
        <f ca="1">IFERROR(_xludf.XLOOKUP(B66,MASTER_REGISTER!E:E,MASTER_REGISTER!F:F,""),"")</f>
        <v/>
      </c>
      <c r="D66" s="4" t="str">
        <f ca="1">IFERROR(_xludf.XLOOKUP(B66,MASTER_REGISTER!E:E,MASTER_REGISTER!C:C,""),"")</f>
        <v/>
      </c>
      <c r="E66" t="s">
        <v>837</v>
      </c>
      <c r="F66" t="s">
        <v>824</v>
      </c>
      <c r="G66" t="s">
        <v>848</v>
      </c>
      <c r="H66" s="4">
        <v>60</v>
      </c>
      <c r="I66" t="s">
        <v>844</v>
      </c>
    </row>
    <row r="67" spans="1:9" x14ac:dyDescent="0.3">
      <c r="A67" t="s">
        <v>842</v>
      </c>
      <c r="B67" t="s">
        <v>88</v>
      </c>
      <c r="C67" s="7" t="str">
        <f ca="1">IFERROR(_xludf.XLOOKUP(B67,MASTER_REGISTER!E:E,MASTER_REGISTER!F:F,""),"")</f>
        <v/>
      </c>
      <c r="D67" s="4" t="str">
        <f ca="1">IFERROR(_xludf.XLOOKUP(B67,MASTER_REGISTER!E:E,MASTER_REGISTER!C:C,""),"")</f>
        <v/>
      </c>
      <c r="E67" t="s">
        <v>837</v>
      </c>
      <c r="F67" t="s">
        <v>832</v>
      </c>
      <c r="G67" t="s">
        <v>860</v>
      </c>
      <c r="H67" s="4">
        <v>66.2</v>
      </c>
      <c r="I67" t="s">
        <v>852</v>
      </c>
    </row>
    <row r="68" spans="1:9" x14ac:dyDescent="0.3">
      <c r="A68" t="s">
        <v>842</v>
      </c>
      <c r="B68" t="s">
        <v>88</v>
      </c>
      <c r="C68" s="7" t="str">
        <f ca="1">IFERROR(_xludf.XLOOKUP(B68,MASTER_REGISTER!E:E,MASTER_REGISTER!F:F,""),"")</f>
        <v/>
      </c>
      <c r="D68" s="4" t="str">
        <f ca="1">IFERROR(_xludf.XLOOKUP(B68,MASTER_REGISTER!E:E,MASTER_REGISTER!C:C,""),"")</f>
        <v/>
      </c>
      <c r="E68" t="s">
        <v>823</v>
      </c>
      <c r="F68" t="s">
        <v>824</v>
      </c>
      <c r="G68" t="s">
        <v>859</v>
      </c>
      <c r="H68" s="4">
        <v>51.8</v>
      </c>
      <c r="I68" t="s">
        <v>829</v>
      </c>
    </row>
    <row r="69" spans="1:9" x14ac:dyDescent="0.3">
      <c r="A69" t="s">
        <v>371</v>
      </c>
      <c r="B69" t="s">
        <v>88</v>
      </c>
      <c r="C69" s="7" t="str">
        <f ca="1">IFERROR(_xludf.XLOOKUP(B69,MASTER_REGISTER!E:E,MASTER_REGISTER!F:F,""),"")</f>
        <v/>
      </c>
      <c r="D69" s="4" t="str">
        <f ca="1">IFERROR(_xludf.XLOOKUP(B69,MASTER_REGISTER!E:E,MASTER_REGISTER!C:C,""),"")</f>
        <v/>
      </c>
      <c r="E69" t="s">
        <v>843</v>
      </c>
      <c r="F69" t="s">
        <v>832</v>
      </c>
      <c r="G69" t="s">
        <v>836</v>
      </c>
      <c r="H69" s="4">
        <v>51.5</v>
      </c>
      <c r="I69" t="s">
        <v>844</v>
      </c>
    </row>
    <row r="70" spans="1:9" x14ac:dyDescent="0.3">
      <c r="A70" t="s">
        <v>372</v>
      </c>
      <c r="B70" t="s">
        <v>88</v>
      </c>
      <c r="C70" s="7" t="str">
        <f ca="1">IFERROR(_xludf.XLOOKUP(B70,MASTER_REGISTER!E:E,MASTER_REGISTER!F:F,""),"")</f>
        <v/>
      </c>
      <c r="D70" s="4" t="str">
        <f ca="1">IFERROR(_xludf.XLOOKUP(B70,MASTER_REGISTER!E:E,MASTER_REGISTER!C:C,""),"")</f>
        <v/>
      </c>
      <c r="E70" t="s">
        <v>823</v>
      </c>
      <c r="F70" t="s">
        <v>824</v>
      </c>
      <c r="G70" t="s">
        <v>859</v>
      </c>
      <c r="H70" s="4">
        <v>89</v>
      </c>
      <c r="I70" t="s">
        <v>844</v>
      </c>
    </row>
    <row r="71" spans="1:9" x14ac:dyDescent="0.3">
      <c r="A71" t="s">
        <v>865</v>
      </c>
      <c r="B71" t="s">
        <v>88</v>
      </c>
      <c r="C71" s="7" t="str">
        <f ca="1">IFERROR(_xludf.XLOOKUP(B71,MASTER_REGISTER!E:E,MASTER_REGISTER!F:F,""),"")</f>
        <v/>
      </c>
      <c r="D71" s="4" t="str">
        <f ca="1">IFERROR(_xludf.XLOOKUP(B71,MASTER_REGISTER!E:E,MASTER_REGISTER!C:C,""),"")</f>
        <v/>
      </c>
      <c r="E71" t="s">
        <v>831</v>
      </c>
      <c r="F71" t="s">
        <v>824</v>
      </c>
      <c r="G71" t="s">
        <v>833</v>
      </c>
      <c r="H71" s="4">
        <v>80.7</v>
      </c>
      <c r="I71" t="s">
        <v>852</v>
      </c>
    </row>
    <row r="72" spans="1:9" x14ac:dyDescent="0.3">
      <c r="A72" t="s">
        <v>861</v>
      </c>
      <c r="B72" t="s">
        <v>94</v>
      </c>
      <c r="C72" s="7" t="str">
        <f ca="1">IFERROR(_xludf.XLOOKUP(B72,MASTER_REGISTER!E:E,MASTER_REGISTER!F:F,""),"")</f>
        <v/>
      </c>
      <c r="D72" s="4" t="str">
        <f ca="1">IFERROR(_xludf.XLOOKUP(B72,MASTER_REGISTER!E:E,MASTER_REGISTER!C:C,""),"")</f>
        <v/>
      </c>
      <c r="E72" t="s">
        <v>831</v>
      </c>
      <c r="F72" t="s">
        <v>840</v>
      </c>
      <c r="G72" t="s">
        <v>850</v>
      </c>
      <c r="H72" s="4">
        <v>71.900000000000006</v>
      </c>
      <c r="I72" t="s">
        <v>852</v>
      </c>
    </row>
    <row r="73" spans="1:9" x14ac:dyDescent="0.3">
      <c r="A73" t="s">
        <v>433</v>
      </c>
      <c r="B73" t="s">
        <v>94</v>
      </c>
      <c r="C73" s="7" t="str">
        <f ca="1">IFERROR(_xludf.XLOOKUP(B73,MASTER_REGISTER!E:E,MASTER_REGISTER!F:F,""),"")</f>
        <v/>
      </c>
      <c r="D73" s="4" t="str">
        <f ca="1">IFERROR(_xludf.XLOOKUP(B73,MASTER_REGISTER!E:E,MASTER_REGISTER!C:C,""),"")</f>
        <v/>
      </c>
      <c r="E73" t="s">
        <v>823</v>
      </c>
      <c r="F73" t="s">
        <v>832</v>
      </c>
      <c r="G73" t="s">
        <v>828</v>
      </c>
      <c r="H73" s="4">
        <v>63.5</v>
      </c>
      <c r="I73" t="s">
        <v>862</v>
      </c>
    </row>
    <row r="74" spans="1:9" x14ac:dyDescent="0.3">
      <c r="A74" t="s">
        <v>549</v>
      </c>
      <c r="B74" t="s">
        <v>94</v>
      </c>
      <c r="C74" s="7" t="str">
        <f ca="1">IFERROR(_xludf.XLOOKUP(B74,MASTER_REGISTER!E:E,MASTER_REGISTER!F:F,""),"")</f>
        <v/>
      </c>
      <c r="D74" s="4" t="str">
        <f ca="1">IFERROR(_xludf.XLOOKUP(B74,MASTER_REGISTER!E:E,MASTER_REGISTER!C:C,""),"")</f>
        <v/>
      </c>
      <c r="E74" t="s">
        <v>823</v>
      </c>
      <c r="F74" t="s">
        <v>832</v>
      </c>
      <c r="G74" t="s">
        <v>848</v>
      </c>
      <c r="H74" s="4">
        <v>70</v>
      </c>
      <c r="I74" t="s">
        <v>834</v>
      </c>
    </row>
    <row r="75" spans="1:9" x14ac:dyDescent="0.3">
      <c r="A75" t="s">
        <v>549</v>
      </c>
      <c r="B75" t="s">
        <v>94</v>
      </c>
      <c r="C75" s="7" t="str">
        <f ca="1">IFERROR(_xludf.XLOOKUP(B75,MASTER_REGISTER!E:E,MASTER_REGISTER!F:F,""),"")</f>
        <v/>
      </c>
      <c r="D75" s="4" t="str">
        <f ca="1">IFERROR(_xludf.XLOOKUP(B75,MASTER_REGISTER!E:E,MASTER_REGISTER!C:C,""),"")</f>
        <v/>
      </c>
      <c r="E75" t="s">
        <v>837</v>
      </c>
      <c r="F75" t="s">
        <v>838</v>
      </c>
      <c r="G75" t="s">
        <v>828</v>
      </c>
      <c r="H75" s="4">
        <v>48.2</v>
      </c>
      <c r="I75" t="s">
        <v>849</v>
      </c>
    </row>
    <row r="76" spans="1:9" x14ac:dyDescent="0.3">
      <c r="A76" t="s">
        <v>864</v>
      </c>
      <c r="B76" t="s">
        <v>94</v>
      </c>
      <c r="C76" s="7" t="str">
        <f ca="1">IFERROR(_xludf.XLOOKUP(B76,MASTER_REGISTER!E:E,MASTER_REGISTER!F:F,""),"")</f>
        <v/>
      </c>
      <c r="D76" s="4" t="str">
        <f ca="1">IFERROR(_xludf.XLOOKUP(B76,MASTER_REGISTER!E:E,MASTER_REGISTER!C:C,""),"")</f>
        <v/>
      </c>
      <c r="E76" t="s">
        <v>843</v>
      </c>
      <c r="F76" t="s">
        <v>824</v>
      </c>
      <c r="G76" t="s">
        <v>836</v>
      </c>
      <c r="H76" s="4">
        <v>47.8</v>
      </c>
      <c r="I76" t="s">
        <v>826</v>
      </c>
    </row>
    <row r="77" spans="1:9" x14ac:dyDescent="0.3">
      <c r="A77" t="s">
        <v>370</v>
      </c>
      <c r="B77" t="s">
        <v>94</v>
      </c>
      <c r="C77" s="7" t="str">
        <f ca="1">IFERROR(_xludf.XLOOKUP(B77,MASTER_REGISTER!E:E,MASTER_REGISTER!F:F,""),"")</f>
        <v/>
      </c>
      <c r="D77" s="4" t="str">
        <f ca="1">IFERROR(_xludf.XLOOKUP(B77,MASTER_REGISTER!E:E,MASTER_REGISTER!C:C,""),"")</f>
        <v/>
      </c>
      <c r="E77" t="s">
        <v>837</v>
      </c>
      <c r="F77" t="s">
        <v>838</v>
      </c>
      <c r="G77" t="s">
        <v>860</v>
      </c>
      <c r="H77" s="4">
        <v>63.8</v>
      </c>
      <c r="I77" t="s">
        <v>852</v>
      </c>
    </row>
    <row r="78" spans="1:9" x14ac:dyDescent="0.3">
      <c r="A78" t="s">
        <v>371</v>
      </c>
      <c r="B78" t="s">
        <v>94</v>
      </c>
      <c r="C78" s="7" t="str">
        <f ca="1">IFERROR(_xludf.XLOOKUP(B78,MASTER_REGISTER!E:E,MASTER_REGISTER!F:F,""),"")</f>
        <v/>
      </c>
      <c r="D78" s="4" t="str">
        <f ca="1">IFERROR(_xludf.XLOOKUP(B78,MASTER_REGISTER!E:E,MASTER_REGISTER!C:C,""),"")</f>
        <v/>
      </c>
      <c r="E78" t="s">
        <v>823</v>
      </c>
      <c r="F78" t="s">
        <v>832</v>
      </c>
      <c r="G78" t="s">
        <v>841</v>
      </c>
      <c r="H78" s="4">
        <v>62.8</v>
      </c>
      <c r="I78" t="s">
        <v>844</v>
      </c>
    </row>
    <row r="79" spans="1:9" x14ac:dyDescent="0.3">
      <c r="A79" t="s">
        <v>579</v>
      </c>
      <c r="B79" t="s">
        <v>94</v>
      </c>
      <c r="C79" s="7" t="str">
        <f ca="1">IFERROR(_xludf.XLOOKUP(B79,MASTER_REGISTER!E:E,MASTER_REGISTER!F:F,""),"")</f>
        <v/>
      </c>
      <c r="D79" s="4" t="str">
        <f ca="1">IFERROR(_xludf.XLOOKUP(B79,MASTER_REGISTER!E:E,MASTER_REGISTER!C:C,""),"")</f>
        <v/>
      </c>
      <c r="E79" t="s">
        <v>837</v>
      </c>
      <c r="F79" t="s">
        <v>824</v>
      </c>
      <c r="G79" t="s">
        <v>860</v>
      </c>
      <c r="H79" s="4">
        <v>66</v>
      </c>
      <c r="I79" t="s">
        <v>852</v>
      </c>
    </row>
    <row r="80" spans="1:9" x14ac:dyDescent="0.3">
      <c r="A80" t="s">
        <v>866</v>
      </c>
      <c r="B80" t="s">
        <v>94</v>
      </c>
      <c r="C80" s="7" t="str">
        <f ca="1">IFERROR(_xludf.XLOOKUP(B80,MASTER_REGISTER!E:E,MASTER_REGISTER!F:F,""),"")</f>
        <v/>
      </c>
      <c r="D80" s="4" t="str">
        <f ca="1">IFERROR(_xludf.XLOOKUP(B80,MASTER_REGISTER!E:E,MASTER_REGISTER!C:C,""),"")</f>
        <v/>
      </c>
      <c r="E80" t="s">
        <v>843</v>
      </c>
      <c r="F80" t="s">
        <v>838</v>
      </c>
      <c r="G80" t="s">
        <v>845</v>
      </c>
      <c r="H80" s="4">
        <v>58.5</v>
      </c>
      <c r="I80" t="s">
        <v>862</v>
      </c>
    </row>
    <row r="81" spans="1:9" x14ac:dyDescent="0.3">
      <c r="A81" t="s">
        <v>847</v>
      </c>
      <c r="B81" t="s">
        <v>94</v>
      </c>
      <c r="C81" s="7" t="str">
        <f ca="1">IFERROR(_xludf.XLOOKUP(B81,MASTER_REGISTER!E:E,MASTER_REGISTER!F:F,""),"")</f>
        <v/>
      </c>
      <c r="D81" s="4" t="str">
        <f ca="1">IFERROR(_xludf.XLOOKUP(B81,MASTER_REGISTER!E:E,MASTER_REGISTER!C:C,""),"")</f>
        <v/>
      </c>
      <c r="E81" t="s">
        <v>823</v>
      </c>
      <c r="F81" t="s">
        <v>838</v>
      </c>
      <c r="G81" t="s">
        <v>825</v>
      </c>
      <c r="H81" s="4">
        <v>91.5</v>
      </c>
      <c r="I81" t="s">
        <v>862</v>
      </c>
    </row>
    <row r="82" spans="1:9" x14ac:dyDescent="0.3">
      <c r="A82" t="s">
        <v>137</v>
      </c>
      <c r="B82" t="s">
        <v>100</v>
      </c>
      <c r="C82" s="7" t="str">
        <f ca="1">IFERROR(_xludf.XLOOKUP(B82,MASTER_REGISTER!E:E,MASTER_REGISTER!F:F,""),"")</f>
        <v/>
      </c>
      <c r="D82" s="4" t="str">
        <f ca="1">IFERROR(_xludf.XLOOKUP(B82,MASTER_REGISTER!E:E,MASTER_REGISTER!C:C,""),"")</f>
        <v/>
      </c>
      <c r="E82" t="s">
        <v>837</v>
      </c>
      <c r="F82" t="s">
        <v>840</v>
      </c>
      <c r="G82" t="s">
        <v>867</v>
      </c>
      <c r="H82" s="4">
        <v>69</v>
      </c>
      <c r="I82" t="s">
        <v>852</v>
      </c>
    </row>
    <row r="83" spans="1:9" x14ac:dyDescent="0.3">
      <c r="A83" t="s">
        <v>827</v>
      </c>
      <c r="B83" t="s">
        <v>100</v>
      </c>
      <c r="C83" s="7" t="str">
        <f ca="1">IFERROR(_xludf.XLOOKUP(B83,MASTER_REGISTER!E:E,MASTER_REGISTER!F:F,""),"")</f>
        <v/>
      </c>
      <c r="D83" s="4" t="str">
        <f ca="1">IFERROR(_xludf.XLOOKUP(B83,MASTER_REGISTER!E:E,MASTER_REGISTER!C:C,""),"")</f>
        <v/>
      </c>
      <c r="E83" t="s">
        <v>837</v>
      </c>
      <c r="F83" t="s">
        <v>840</v>
      </c>
      <c r="G83" t="s">
        <v>860</v>
      </c>
      <c r="H83" s="4">
        <v>76.5</v>
      </c>
      <c r="I83" t="s">
        <v>844</v>
      </c>
    </row>
    <row r="84" spans="1:9" x14ac:dyDescent="0.3">
      <c r="A84" t="s">
        <v>827</v>
      </c>
      <c r="B84" t="s">
        <v>100</v>
      </c>
      <c r="C84" s="7" t="str">
        <f ca="1">IFERROR(_xludf.XLOOKUP(B84,MASTER_REGISTER!E:E,MASTER_REGISTER!F:F,""),"")</f>
        <v/>
      </c>
      <c r="D84" s="4" t="str">
        <f ca="1">IFERROR(_xludf.XLOOKUP(B84,MASTER_REGISTER!E:E,MASTER_REGISTER!C:C,""),"")</f>
        <v/>
      </c>
      <c r="E84" t="s">
        <v>837</v>
      </c>
      <c r="F84" t="s">
        <v>840</v>
      </c>
      <c r="G84" t="s">
        <v>867</v>
      </c>
      <c r="H84" s="4">
        <v>81.400000000000006</v>
      </c>
      <c r="I84" t="s">
        <v>844</v>
      </c>
    </row>
    <row r="85" spans="1:9" x14ac:dyDescent="0.3">
      <c r="A85" t="s">
        <v>827</v>
      </c>
      <c r="B85" t="s">
        <v>100</v>
      </c>
      <c r="C85" s="7" t="str">
        <f ca="1">IFERROR(_xludf.XLOOKUP(B85,MASTER_REGISTER!E:E,MASTER_REGISTER!F:F,""),"")</f>
        <v/>
      </c>
      <c r="D85" s="4" t="str">
        <f ca="1">IFERROR(_xludf.XLOOKUP(B85,MASTER_REGISTER!E:E,MASTER_REGISTER!C:C,""),"")</f>
        <v/>
      </c>
      <c r="E85" t="s">
        <v>831</v>
      </c>
      <c r="F85" t="s">
        <v>840</v>
      </c>
      <c r="G85" t="s">
        <v>860</v>
      </c>
      <c r="H85" s="4">
        <v>70.599999999999994</v>
      </c>
      <c r="I85" t="s">
        <v>852</v>
      </c>
    </row>
    <row r="86" spans="1:9" x14ac:dyDescent="0.3">
      <c r="A86" t="s">
        <v>549</v>
      </c>
      <c r="B86" t="s">
        <v>100</v>
      </c>
      <c r="C86" s="7" t="str">
        <f ca="1">IFERROR(_xludf.XLOOKUP(B86,MASTER_REGISTER!E:E,MASTER_REGISTER!F:F,""),"")</f>
        <v/>
      </c>
      <c r="D86" s="4" t="str">
        <f ca="1">IFERROR(_xludf.XLOOKUP(B86,MASTER_REGISTER!E:E,MASTER_REGISTER!C:C,""),"")</f>
        <v/>
      </c>
      <c r="E86" t="s">
        <v>837</v>
      </c>
      <c r="F86" t="s">
        <v>838</v>
      </c>
      <c r="G86" t="s">
        <v>848</v>
      </c>
      <c r="H86" s="4">
        <v>85.7</v>
      </c>
      <c r="I86" t="s">
        <v>826</v>
      </c>
    </row>
    <row r="87" spans="1:9" x14ac:dyDescent="0.3">
      <c r="A87" t="s">
        <v>842</v>
      </c>
      <c r="B87" t="s">
        <v>100</v>
      </c>
      <c r="C87" s="7" t="str">
        <f ca="1">IFERROR(_xludf.XLOOKUP(B87,MASTER_REGISTER!E:E,MASTER_REGISTER!F:F,""),"")</f>
        <v/>
      </c>
      <c r="D87" s="4" t="str">
        <f ca="1">IFERROR(_xludf.XLOOKUP(B87,MASTER_REGISTER!E:E,MASTER_REGISTER!C:C,""),"")</f>
        <v/>
      </c>
      <c r="E87" t="s">
        <v>837</v>
      </c>
      <c r="F87" t="s">
        <v>832</v>
      </c>
      <c r="G87" t="s">
        <v>836</v>
      </c>
      <c r="H87" s="4">
        <v>81.3</v>
      </c>
      <c r="I87" t="s">
        <v>862</v>
      </c>
    </row>
    <row r="88" spans="1:9" x14ac:dyDescent="0.3">
      <c r="A88" t="s">
        <v>418</v>
      </c>
      <c r="B88" t="s">
        <v>100</v>
      </c>
      <c r="C88" s="7" t="str">
        <f ca="1">IFERROR(_xludf.XLOOKUP(B88,MASTER_REGISTER!E:E,MASTER_REGISTER!F:F,""),"")</f>
        <v/>
      </c>
      <c r="D88" s="4" t="str">
        <f ca="1">IFERROR(_xludf.XLOOKUP(B88,MASTER_REGISTER!E:E,MASTER_REGISTER!C:C,""),"")</f>
        <v/>
      </c>
      <c r="E88" t="s">
        <v>831</v>
      </c>
      <c r="F88" t="s">
        <v>840</v>
      </c>
      <c r="G88" t="s">
        <v>833</v>
      </c>
      <c r="H88" s="4">
        <v>57</v>
      </c>
      <c r="I88" t="s">
        <v>862</v>
      </c>
    </row>
    <row r="89" spans="1:9" x14ac:dyDescent="0.3">
      <c r="A89" t="s">
        <v>868</v>
      </c>
      <c r="B89" t="s">
        <v>100</v>
      </c>
      <c r="C89" s="7" t="str">
        <f ca="1">IFERROR(_xludf.XLOOKUP(B89,MASTER_REGISTER!E:E,MASTER_REGISTER!F:F,""),"")</f>
        <v/>
      </c>
      <c r="D89" s="4" t="str">
        <f ca="1">IFERROR(_xludf.XLOOKUP(B89,MASTER_REGISTER!E:E,MASTER_REGISTER!C:C,""),"")</f>
        <v/>
      </c>
      <c r="E89" t="s">
        <v>831</v>
      </c>
      <c r="F89" t="s">
        <v>832</v>
      </c>
      <c r="G89" t="s">
        <v>828</v>
      </c>
      <c r="H89" s="4">
        <v>57.6</v>
      </c>
      <c r="I89" t="s">
        <v>849</v>
      </c>
    </row>
    <row r="90" spans="1:9" x14ac:dyDescent="0.3">
      <c r="A90" t="s">
        <v>866</v>
      </c>
      <c r="B90" t="s">
        <v>100</v>
      </c>
      <c r="C90" s="7" t="str">
        <f ca="1">IFERROR(_xludf.XLOOKUP(B90,MASTER_REGISTER!E:E,MASTER_REGISTER!F:F,""),"")</f>
        <v/>
      </c>
      <c r="D90" s="4" t="str">
        <f ca="1">IFERROR(_xludf.XLOOKUP(B90,MASTER_REGISTER!E:E,MASTER_REGISTER!C:C,""),"")</f>
        <v/>
      </c>
      <c r="E90" t="s">
        <v>831</v>
      </c>
      <c r="F90" t="s">
        <v>840</v>
      </c>
      <c r="G90" t="s">
        <v>841</v>
      </c>
      <c r="H90" s="4">
        <v>71.5</v>
      </c>
      <c r="I90" t="s">
        <v>849</v>
      </c>
    </row>
    <row r="91" spans="1:9" x14ac:dyDescent="0.3">
      <c r="A91" t="s">
        <v>847</v>
      </c>
      <c r="B91" t="s">
        <v>100</v>
      </c>
      <c r="C91" s="7" t="str">
        <f ca="1">IFERROR(_xludf.XLOOKUP(B91,MASTER_REGISTER!E:E,MASTER_REGISTER!F:F,""),"")</f>
        <v/>
      </c>
      <c r="D91" s="4" t="str">
        <f ca="1">IFERROR(_xludf.XLOOKUP(B91,MASTER_REGISTER!E:E,MASTER_REGISTER!C:C,""),"")</f>
        <v/>
      </c>
      <c r="E91" t="s">
        <v>843</v>
      </c>
      <c r="F91" t="s">
        <v>832</v>
      </c>
      <c r="G91" t="s">
        <v>850</v>
      </c>
      <c r="H91" s="4">
        <v>53.4</v>
      </c>
      <c r="I91" t="s">
        <v>862</v>
      </c>
    </row>
    <row r="92" spans="1:9" x14ac:dyDescent="0.3">
      <c r="A92" t="s">
        <v>396</v>
      </c>
      <c r="B92" t="s">
        <v>106</v>
      </c>
      <c r="C92" s="7" t="str">
        <f ca="1">IFERROR(_xludf.XLOOKUP(B92,MASTER_REGISTER!E:E,MASTER_REGISTER!F:F,""),"")</f>
        <v/>
      </c>
      <c r="D92" s="4" t="str">
        <f ca="1">IFERROR(_xludf.XLOOKUP(B92,MASTER_REGISTER!E:E,MASTER_REGISTER!C:C,""),"")</f>
        <v/>
      </c>
      <c r="E92" t="s">
        <v>831</v>
      </c>
      <c r="F92" t="s">
        <v>824</v>
      </c>
      <c r="G92" t="s">
        <v>859</v>
      </c>
      <c r="H92" s="4">
        <v>58.2</v>
      </c>
      <c r="I92" t="s">
        <v>849</v>
      </c>
    </row>
    <row r="93" spans="1:9" x14ac:dyDescent="0.3">
      <c r="A93" t="s">
        <v>861</v>
      </c>
      <c r="B93" t="s">
        <v>106</v>
      </c>
      <c r="C93" s="7" t="str">
        <f ca="1">IFERROR(_xludf.XLOOKUP(B93,MASTER_REGISTER!E:E,MASTER_REGISTER!F:F,""),"")</f>
        <v/>
      </c>
      <c r="D93" s="4" t="str">
        <f ca="1">IFERROR(_xludf.XLOOKUP(B93,MASTER_REGISTER!E:E,MASTER_REGISTER!C:C,""),"")</f>
        <v/>
      </c>
      <c r="E93" t="s">
        <v>837</v>
      </c>
      <c r="F93" t="s">
        <v>824</v>
      </c>
      <c r="G93" t="s">
        <v>841</v>
      </c>
      <c r="H93" s="4">
        <v>59.3</v>
      </c>
      <c r="I93" t="s">
        <v>852</v>
      </c>
    </row>
    <row r="94" spans="1:9" x14ac:dyDescent="0.3">
      <c r="A94" t="s">
        <v>827</v>
      </c>
      <c r="B94" t="s">
        <v>106</v>
      </c>
      <c r="C94" s="7" t="str">
        <f ca="1">IFERROR(_xludf.XLOOKUP(B94,MASTER_REGISTER!E:E,MASTER_REGISTER!F:F,""),"")</f>
        <v/>
      </c>
      <c r="D94" s="4" t="str">
        <f ca="1">IFERROR(_xludf.XLOOKUP(B94,MASTER_REGISTER!E:E,MASTER_REGISTER!C:C,""),"")</f>
        <v/>
      </c>
      <c r="E94" t="s">
        <v>831</v>
      </c>
      <c r="F94" t="s">
        <v>824</v>
      </c>
      <c r="G94" t="s">
        <v>845</v>
      </c>
      <c r="H94" s="4">
        <v>53.7</v>
      </c>
      <c r="I94" t="s">
        <v>829</v>
      </c>
    </row>
    <row r="95" spans="1:9" x14ac:dyDescent="0.3">
      <c r="A95" t="s">
        <v>433</v>
      </c>
      <c r="B95" t="s">
        <v>106</v>
      </c>
      <c r="C95" s="7" t="str">
        <f ca="1">IFERROR(_xludf.XLOOKUP(B95,MASTER_REGISTER!E:E,MASTER_REGISTER!F:F,""),"")</f>
        <v/>
      </c>
      <c r="D95" s="4" t="str">
        <f ca="1">IFERROR(_xludf.XLOOKUP(B95,MASTER_REGISTER!E:E,MASTER_REGISTER!C:C,""),"")</f>
        <v/>
      </c>
      <c r="E95" t="s">
        <v>843</v>
      </c>
      <c r="F95" t="s">
        <v>824</v>
      </c>
      <c r="G95" t="s">
        <v>825</v>
      </c>
      <c r="H95" s="4">
        <v>59.8</v>
      </c>
      <c r="I95" t="s">
        <v>844</v>
      </c>
    </row>
    <row r="96" spans="1:9" x14ac:dyDescent="0.3">
      <c r="A96" t="s">
        <v>830</v>
      </c>
      <c r="B96" t="s">
        <v>106</v>
      </c>
      <c r="C96" s="7" t="str">
        <f ca="1">IFERROR(_xludf.XLOOKUP(B96,MASTER_REGISTER!E:E,MASTER_REGISTER!F:F,""),"")</f>
        <v/>
      </c>
      <c r="D96" s="4" t="str">
        <f ca="1">IFERROR(_xludf.XLOOKUP(B96,MASTER_REGISTER!E:E,MASTER_REGISTER!C:C,""),"")</f>
        <v/>
      </c>
      <c r="E96" t="s">
        <v>823</v>
      </c>
      <c r="F96" t="s">
        <v>832</v>
      </c>
      <c r="G96" t="s">
        <v>850</v>
      </c>
      <c r="H96" s="4">
        <v>37</v>
      </c>
      <c r="I96" t="s">
        <v>826</v>
      </c>
    </row>
    <row r="97" spans="1:9" x14ac:dyDescent="0.3">
      <c r="A97" t="s">
        <v>851</v>
      </c>
      <c r="B97" t="s">
        <v>106</v>
      </c>
      <c r="C97" s="7" t="str">
        <f ca="1">IFERROR(_xludf.XLOOKUP(B97,MASTER_REGISTER!E:E,MASTER_REGISTER!F:F,""),"")</f>
        <v/>
      </c>
      <c r="D97" s="4" t="str">
        <f ca="1">IFERROR(_xludf.XLOOKUP(B97,MASTER_REGISTER!E:E,MASTER_REGISTER!C:C,""),"")</f>
        <v/>
      </c>
      <c r="E97" t="s">
        <v>837</v>
      </c>
      <c r="F97" t="s">
        <v>832</v>
      </c>
      <c r="G97" t="s">
        <v>833</v>
      </c>
      <c r="H97" s="4">
        <v>55.7</v>
      </c>
      <c r="I97" t="s">
        <v>829</v>
      </c>
    </row>
    <row r="98" spans="1:9" x14ac:dyDescent="0.3">
      <c r="A98" t="s">
        <v>370</v>
      </c>
      <c r="B98" t="s">
        <v>106</v>
      </c>
      <c r="C98" s="7" t="str">
        <f ca="1">IFERROR(_xludf.XLOOKUP(B98,MASTER_REGISTER!E:E,MASTER_REGISTER!F:F,""),"")</f>
        <v/>
      </c>
      <c r="D98" s="4" t="str">
        <f ca="1">IFERROR(_xludf.XLOOKUP(B98,MASTER_REGISTER!E:E,MASTER_REGISTER!C:C,""),"")</f>
        <v/>
      </c>
      <c r="E98" t="s">
        <v>831</v>
      </c>
      <c r="F98" t="s">
        <v>824</v>
      </c>
      <c r="G98" t="s">
        <v>850</v>
      </c>
      <c r="H98" s="4">
        <v>59.3</v>
      </c>
      <c r="I98" t="s">
        <v>849</v>
      </c>
    </row>
    <row r="99" spans="1:9" x14ac:dyDescent="0.3">
      <c r="A99" t="s">
        <v>853</v>
      </c>
      <c r="B99" t="s">
        <v>106</v>
      </c>
      <c r="C99" s="7" t="str">
        <f ca="1">IFERROR(_xludf.XLOOKUP(B99,MASTER_REGISTER!E:E,MASTER_REGISTER!F:F,""),"")</f>
        <v/>
      </c>
      <c r="D99" s="4" t="str">
        <f ca="1">IFERROR(_xludf.XLOOKUP(B99,MASTER_REGISTER!E:E,MASTER_REGISTER!C:C,""),"")</f>
        <v/>
      </c>
      <c r="E99" t="s">
        <v>843</v>
      </c>
      <c r="F99" t="s">
        <v>840</v>
      </c>
      <c r="G99" t="s">
        <v>860</v>
      </c>
      <c r="H99" s="4">
        <v>75.900000000000006</v>
      </c>
      <c r="I99" t="s">
        <v>849</v>
      </c>
    </row>
    <row r="100" spans="1:9" x14ac:dyDescent="0.3">
      <c r="A100" t="s">
        <v>579</v>
      </c>
      <c r="B100" t="s">
        <v>106</v>
      </c>
      <c r="C100" s="7" t="str">
        <f ca="1">IFERROR(_xludf.XLOOKUP(B100,MASTER_REGISTER!E:E,MASTER_REGISTER!F:F,""),"")</f>
        <v/>
      </c>
      <c r="D100" s="4" t="str">
        <f ca="1">IFERROR(_xludf.XLOOKUP(B100,MASTER_REGISTER!E:E,MASTER_REGISTER!C:C,""),"")</f>
        <v/>
      </c>
      <c r="E100" t="s">
        <v>831</v>
      </c>
      <c r="F100" t="s">
        <v>824</v>
      </c>
      <c r="G100" t="s">
        <v>859</v>
      </c>
      <c r="H100" s="4">
        <v>91.5</v>
      </c>
      <c r="I100" t="s">
        <v>846</v>
      </c>
    </row>
    <row r="101" spans="1:9" x14ac:dyDescent="0.3">
      <c r="A101" t="s">
        <v>866</v>
      </c>
      <c r="B101" t="s">
        <v>106</v>
      </c>
      <c r="C101" s="7" t="str">
        <f ca="1">IFERROR(_xludf.XLOOKUP(B101,MASTER_REGISTER!E:E,MASTER_REGISTER!F:F,""),"")</f>
        <v/>
      </c>
      <c r="D101" s="4" t="str">
        <f ca="1">IFERROR(_xludf.XLOOKUP(B101,MASTER_REGISTER!E:E,MASTER_REGISTER!C:C,""),"")</f>
        <v/>
      </c>
      <c r="E101" t="s">
        <v>843</v>
      </c>
      <c r="F101" t="s">
        <v>832</v>
      </c>
      <c r="G101" t="s">
        <v>845</v>
      </c>
      <c r="H101" s="4">
        <v>100</v>
      </c>
      <c r="I101" t="s">
        <v>834</v>
      </c>
    </row>
    <row r="102" spans="1:9" x14ac:dyDescent="0.3">
      <c r="A102" t="s">
        <v>869</v>
      </c>
      <c r="B102" t="s">
        <v>112</v>
      </c>
      <c r="C102" s="7" t="str">
        <f ca="1">IFERROR(_xludf.XLOOKUP(B102,MASTER_REGISTER!E:E,MASTER_REGISTER!F:F,""),"")</f>
        <v/>
      </c>
      <c r="D102" s="4" t="str">
        <f ca="1">IFERROR(_xludf.XLOOKUP(B102,MASTER_REGISTER!E:E,MASTER_REGISTER!C:C,""),"")</f>
        <v/>
      </c>
      <c r="E102" t="s">
        <v>843</v>
      </c>
      <c r="F102" t="s">
        <v>824</v>
      </c>
      <c r="G102" t="s">
        <v>859</v>
      </c>
      <c r="H102" s="4">
        <v>82.1</v>
      </c>
      <c r="I102" t="s">
        <v>834</v>
      </c>
    </row>
    <row r="103" spans="1:9" x14ac:dyDescent="0.3">
      <c r="A103" t="s">
        <v>861</v>
      </c>
      <c r="B103" t="s">
        <v>112</v>
      </c>
      <c r="C103" s="7" t="str">
        <f ca="1">IFERROR(_xludf.XLOOKUP(B103,MASTER_REGISTER!E:E,MASTER_REGISTER!F:F,""),"")</f>
        <v/>
      </c>
      <c r="D103" s="4" t="str">
        <f ca="1">IFERROR(_xludf.XLOOKUP(B103,MASTER_REGISTER!E:E,MASTER_REGISTER!C:C,""),"")</f>
        <v/>
      </c>
      <c r="E103" t="s">
        <v>823</v>
      </c>
      <c r="F103" t="s">
        <v>840</v>
      </c>
      <c r="G103" t="s">
        <v>850</v>
      </c>
      <c r="H103" s="4">
        <v>61</v>
      </c>
      <c r="I103" t="s">
        <v>844</v>
      </c>
    </row>
    <row r="104" spans="1:9" x14ac:dyDescent="0.3">
      <c r="A104" t="s">
        <v>835</v>
      </c>
      <c r="B104" t="s">
        <v>112</v>
      </c>
      <c r="C104" s="7" t="str">
        <f ca="1">IFERROR(_xludf.XLOOKUP(B104,MASTER_REGISTER!E:E,MASTER_REGISTER!F:F,""),"")</f>
        <v/>
      </c>
      <c r="D104" s="4" t="str">
        <f ca="1">IFERROR(_xludf.XLOOKUP(B104,MASTER_REGISTER!E:E,MASTER_REGISTER!C:C,""),"")</f>
        <v/>
      </c>
      <c r="E104" t="s">
        <v>823</v>
      </c>
      <c r="F104" t="s">
        <v>840</v>
      </c>
      <c r="G104" t="s">
        <v>850</v>
      </c>
      <c r="H104" s="4">
        <v>85</v>
      </c>
      <c r="I104" t="s">
        <v>852</v>
      </c>
    </row>
    <row r="105" spans="1:9" x14ac:dyDescent="0.3">
      <c r="A105" t="s">
        <v>835</v>
      </c>
      <c r="B105" t="s">
        <v>112</v>
      </c>
      <c r="C105" s="7" t="str">
        <f ca="1">IFERROR(_xludf.XLOOKUP(B105,MASTER_REGISTER!E:E,MASTER_REGISTER!F:F,""),"")</f>
        <v/>
      </c>
      <c r="D105" s="4" t="str">
        <f ca="1">IFERROR(_xludf.XLOOKUP(B105,MASTER_REGISTER!E:E,MASTER_REGISTER!C:C,""),"")</f>
        <v/>
      </c>
      <c r="E105" t="s">
        <v>831</v>
      </c>
      <c r="F105" t="s">
        <v>832</v>
      </c>
      <c r="G105" t="s">
        <v>848</v>
      </c>
      <c r="H105" s="4">
        <v>77.400000000000006</v>
      </c>
      <c r="I105" t="s">
        <v>826</v>
      </c>
    </row>
    <row r="106" spans="1:9" x14ac:dyDescent="0.3">
      <c r="A106" t="s">
        <v>371</v>
      </c>
      <c r="B106" t="s">
        <v>112</v>
      </c>
      <c r="C106" s="7" t="str">
        <f ca="1">IFERROR(_xludf.XLOOKUP(B106,MASTER_REGISTER!E:E,MASTER_REGISTER!F:F,""),"")</f>
        <v/>
      </c>
      <c r="D106" s="4" t="str">
        <f ca="1">IFERROR(_xludf.XLOOKUP(B106,MASTER_REGISTER!E:E,MASTER_REGISTER!C:C,""),"")</f>
        <v/>
      </c>
      <c r="E106" t="s">
        <v>843</v>
      </c>
      <c r="F106" t="s">
        <v>840</v>
      </c>
      <c r="G106" t="s">
        <v>855</v>
      </c>
      <c r="H106" s="4">
        <v>66.400000000000006</v>
      </c>
      <c r="I106" t="s">
        <v>826</v>
      </c>
    </row>
    <row r="107" spans="1:9" x14ac:dyDescent="0.3">
      <c r="A107" t="s">
        <v>868</v>
      </c>
      <c r="B107" t="s">
        <v>112</v>
      </c>
      <c r="C107" s="7" t="str">
        <f ca="1">IFERROR(_xludf.XLOOKUP(B107,MASTER_REGISTER!E:E,MASTER_REGISTER!F:F,""),"")</f>
        <v/>
      </c>
      <c r="D107" s="4" t="str">
        <f ca="1">IFERROR(_xludf.XLOOKUP(B107,MASTER_REGISTER!E:E,MASTER_REGISTER!C:C,""),"")</f>
        <v/>
      </c>
      <c r="E107" t="s">
        <v>837</v>
      </c>
      <c r="F107" t="s">
        <v>832</v>
      </c>
      <c r="G107" t="s">
        <v>828</v>
      </c>
      <c r="H107" s="4">
        <v>37.5</v>
      </c>
      <c r="I107" t="s">
        <v>834</v>
      </c>
    </row>
    <row r="108" spans="1:9" x14ac:dyDescent="0.3">
      <c r="A108" t="s">
        <v>868</v>
      </c>
      <c r="B108" t="s">
        <v>112</v>
      </c>
      <c r="C108" s="7" t="str">
        <f ca="1">IFERROR(_xludf.XLOOKUP(B108,MASTER_REGISTER!E:E,MASTER_REGISTER!F:F,""),"")</f>
        <v/>
      </c>
      <c r="D108" s="4" t="str">
        <f ca="1">IFERROR(_xludf.XLOOKUP(B108,MASTER_REGISTER!E:E,MASTER_REGISTER!C:C,""),"")</f>
        <v/>
      </c>
      <c r="E108" t="s">
        <v>831</v>
      </c>
      <c r="F108" t="s">
        <v>840</v>
      </c>
      <c r="G108" t="s">
        <v>848</v>
      </c>
      <c r="H108" s="4">
        <v>81</v>
      </c>
      <c r="I108" t="s">
        <v>844</v>
      </c>
    </row>
    <row r="109" spans="1:9" x14ac:dyDescent="0.3">
      <c r="A109" t="s">
        <v>865</v>
      </c>
      <c r="B109" t="s">
        <v>112</v>
      </c>
      <c r="C109" s="7" t="str">
        <f ca="1">IFERROR(_xludf.XLOOKUP(B109,MASTER_REGISTER!E:E,MASTER_REGISTER!F:F,""),"")</f>
        <v/>
      </c>
      <c r="D109" s="4" t="str">
        <f ca="1">IFERROR(_xludf.XLOOKUP(B109,MASTER_REGISTER!E:E,MASTER_REGISTER!C:C,""),"")</f>
        <v/>
      </c>
      <c r="E109" t="s">
        <v>831</v>
      </c>
      <c r="F109" t="s">
        <v>824</v>
      </c>
      <c r="G109" t="s">
        <v>836</v>
      </c>
      <c r="H109" s="4">
        <v>59.3</v>
      </c>
      <c r="I109" t="s">
        <v>852</v>
      </c>
    </row>
    <row r="110" spans="1:9" x14ac:dyDescent="0.3">
      <c r="A110" t="s">
        <v>854</v>
      </c>
      <c r="B110" t="s">
        <v>112</v>
      </c>
      <c r="C110" s="7" t="str">
        <f ca="1">IFERROR(_xludf.XLOOKUP(B110,MASTER_REGISTER!E:E,MASTER_REGISTER!F:F,""),"")</f>
        <v/>
      </c>
      <c r="D110" s="4" t="str">
        <f ca="1">IFERROR(_xludf.XLOOKUP(B110,MASTER_REGISTER!E:E,MASTER_REGISTER!C:C,""),"")</f>
        <v/>
      </c>
      <c r="E110" t="s">
        <v>843</v>
      </c>
      <c r="F110" t="s">
        <v>832</v>
      </c>
      <c r="G110" t="s">
        <v>850</v>
      </c>
      <c r="H110" s="4">
        <v>85.7</v>
      </c>
      <c r="I110" t="s">
        <v>852</v>
      </c>
    </row>
    <row r="111" spans="1:9" x14ac:dyDescent="0.3">
      <c r="A111" t="s">
        <v>854</v>
      </c>
      <c r="B111" t="s">
        <v>112</v>
      </c>
      <c r="C111" s="7" t="str">
        <f ca="1">IFERROR(_xludf.XLOOKUP(B111,MASTER_REGISTER!E:E,MASTER_REGISTER!F:F,""),"")</f>
        <v/>
      </c>
      <c r="D111" s="4" t="str">
        <f ca="1">IFERROR(_xludf.XLOOKUP(B111,MASTER_REGISTER!E:E,MASTER_REGISTER!C:C,""),"")</f>
        <v/>
      </c>
      <c r="E111" t="s">
        <v>823</v>
      </c>
      <c r="F111" t="s">
        <v>840</v>
      </c>
      <c r="G111" t="s">
        <v>841</v>
      </c>
      <c r="H111" s="4">
        <v>58.7</v>
      </c>
      <c r="I111" t="s">
        <v>846</v>
      </c>
    </row>
    <row r="112" spans="1:9" x14ac:dyDescent="0.3">
      <c r="A112" t="s">
        <v>137</v>
      </c>
      <c r="B112" t="s">
        <v>118</v>
      </c>
      <c r="C112" s="7" t="str">
        <f ca="1">IFERROR(_xludf.XLOOKUP(B112,MASTER_REGISTER!E:E,MASTER_REGISTER!F:F,""),"")</f>
        <v/>
      </c>
      <c r="D112" s="4" t="str">
        <f ca="1">IFERROR(_xludf.XLOOKUP(B112,MASTER_REGISTER!E:E,MASTER_REGISTER!C:C,""),"")</f>
        <v/>
      </c>
      <c r="E112" t="s">
        <v>843</v>
      </c>
      <c r="F112" t="s">
        <v>824</v>
      </c>
      <c r="G112" t="s">
        <v>850</v>
      </c>
      <c r="H112" s="4">
        <v>68.7</v>
      </c>
      <c r="I112" t="s">
        <v>834</v>
      </c>
    </row>
    <row r="113" spans="1:9" x14ac:dyDescent="0.3">
      <c r="A113" t="s">
        <v>172</v>
      </c>
      <c r="B113" t="s">
        <v>118</v>
      </c>
      <c r="C113" s="7" t="str">
        <f ca="1">IFERROR(_xludf.XLOOKUP(B113,MASTER_REGISTER!E:E,MASTER_REGISTER!F:F,""),"")</f>
        <v/>
      </c>
      <c r="D113" s="4" t="str">
        <f ca="1">IFERROR(_xludf.XLOOKUP(B113,MASTER_REGISTER!E:E,MASTER_REGISTER!C:C,""),"")</f>
        <v/>
      </c>
      <c r="E113" t="s">
        <v>837</v>
      </c>
      <c r="F113" t="s">
        <v>832</v>
      </c>
      <c r="G113" t="s">
        <v>860</v>
      </c>
      <c r="H113" s="4">
        <v>75.599999999999994</v>
      </c>
      <c r="I113" t="s">
        <v>846</v>
      </c>
    </row>
    <row r="114" spans="1:9" x14ac:dyDescent="0.3">
      <c r="A114" t="s">
        <v>172</v>
      </c>
      <c r="B114" t="s">
        <v>118</v>
      </c>
      <c r="C114" s="7" t="str">
        <f ca="1">IFERROR(_xludf.XLOOKUP(B114,MASTER_REGISTER!E:E,MASTER_REGISTER!F:F,""),"")</f>
        <v/>
      </c>
      <c r="D114" s="4" t="str">
        <f ca="1">IFERROR(_xludf.XLOOKUP(B114,MASTER_REGISTER!E:E,MASTER_REGISTER!C:C,""),"")</f>
        <v/>
      </c>
      <c r="E114" t="s">
        <v>831</v>
      </c>
      <c r="F114" t="s">
        <v>840</v>
      </c>
      <c r="G114" t="s">
        <v>859</v>
      </c>
      <c r="H114" s="4">
        <v>69</v>
      </c>
      <c r="I114" t="s">
        <v>846</v>
      </c>
    </row>
    <row r="115" spans="1:9" x14ac:dyDescent="0.3">
      <c r="A115" t="s">
        <v>433</v>
      </c>
      <c r="B115" t="s">
        <v>118</v>
      </c>
      <c r="C115" s="7" t="str">
        <f ca="1">IFERROR(_xludf.XLOOKUP(B115,MASTER_REGISTER!E:E,MASTER_REGISTER!F:F,""),"")</f>
        <v/>
      </c>
      <c r="D115" s="4" t="str">
        <f ca="1">IFERROR(_xludf.XLOOKUP(B115,MASTER_REGISTER!E:E,MASTER_REGISTER!C:C,""),"")</f>
        <v/>
      </c>
      <c r="E115" t="s">
        <v>843</v>
      </c>
      <c r="F115" t="s">
        <v>824</v>
      </c>
      <c r="G115" t="s">
        <v>825</v>
      </c>
      <c r="H115" s="4">
        <v>80.900000000000006</v>
      </c>
      <c r="I115" t="s">
        <v>852</v>
      </c>
    </row>
    <row r="116" spans="1:9" x14ac:dyDescent="0.3">
      <c r="A116" t="s">
        <v>830</v>
      </c>
      <c r="B116" t="s">
        <v>118</v>
      </c>
      <c r="C116" s="7" t="str">
        <f ca="1">IFERROR(_xludf.XLOOKUP(B116,MASTER_REGISTER!E:E,MASTER_REGISTER!F:F,""),"")</f>
        <v/>
      </c>
      <c r="D116" s="4" t="str">
        <f ca="1">IFERROR(_xludf.XLOOKUP(B116,MASTER_REGISTER!E:E,MASTER_REGISTER!C:C,""),"")</f>
        <v/>
      </c>
      <c r="E116" t="s">
        <v>823</v>
      </c>
      <c r="F116" t="s">
        <v>832</v>
      </c>
      <c r="G116" t="s">
        <v>860</v>
      </c>
      <c r="H116" s="4">
        <v>54.7</v>
      </c>
      <c r="I116" t="s">
        <v>862</v>
      </c>
    </row>
    <row r="117" spans="1:9" x14ac:dyDescent="0.3">
      <c r="A117" t="s">
        <v>870</v>
      </c>
      <c r="B117" t="s">
        <v>118</v>
      </c>
      <c r="C117" s="7" t="str">
        <f ca="1">IFERROR(_xludf.XLOOKUP(B117,MASTER_REGISTER!E:E,MASTER_REGISTER!F:F,""),"")</f>
        <v/>
      </c>
      <c r="D117" s="4" t="str">
        <f ca="1">IFERROR(_xludf.XLOOKUP(B117,MASTER_REGISTER!E:E,MASTER_REGISTER!C:C,""),"")</f>
        <v/>
      </c>
      <c r="E117" t="s">
        <v>843</v>
      </c>
      <c r="F117" t="s">
        <v>840</v>
      </c>
      <c r="G117" t="s">
        <v>855</v>
      </c>
      <c r="H117" s="4">
        <v>71.099999999999994</v>
      </c>
      <c r="I117" t="s">
        <v>829</v>
      </c>
    </row>
    <row r="118" spans="1:9" x14ac:dyDescent="0.3">
      <c r="A118" t="s">
        <v>842</v>
      </c>
      <c r="B118" t="s">
        <v>118</v>
      </c>
      <c r="C118" s="7" t="str">
        <f ca="1">IFERROR(_xludf.XLOOKUP(B118,MASTER_REGISTER!E:E,MASTER_REGISTER!F:F,""),"")</f>
        <v/>
      </c>
      <c r="D118" s="4" t="str">
        <f ca="1">IFERROR(_xludf.XLOOKUP(B118,MASTER_REGISTER!E:E,MASTER_REGISTER!C:C,""),"")</f>
        <v/>
      </c>
      <c r="E118" t="s">
        <v>831</v>
      </c>
      <c r="F118" t="s">
        <v>824</v>
      </c>
      <c r="G118" t="s">
        <v>860</v>
      </c>
      <c r="H118" s="4">
        <v>55.4</v>
      </c>
      <c r="I118" t="s">
        <v>852</v>
      </c>
    </row>
    <row r="119" spans="1:9" x14ac:dyDescent="0.3">
      <c r="A119" t="s">
        <v>842</v>
      </c>
      <c r="B119" t="s">
        <v>118</v>
      </c>
      <c r="C119" s="7" t="str">
        <f ca="1">IFERROR(_xludf.XLOOKUP(B119,MASTER_REGISTER!E:E,MASTER_REGISTER!F:F,""),"")</f>
        <v/>
      </c>
      <c r="D119" s="4" t="str">
        <f ca="1">IFERROR(_xludf.XLOOKUP(B119,MASTER_REGISTER!E:E,MASTER_REGISTER!C:C,""),"")</f>
        <v/>
      </c>
      <c r="E119" t="s">
        <v>831</v>
      </c>
      <c r="F119" t="s">
        <v>840</v>
      </c>
      <c r="G119" t="s">
        <v>855</v>
      </c>
      <c r="H119" s="4">
        <v>65.599999999999994</v>
      </c>
      <c r="I119" t="s">
        <v>844</v>
      </c>
    </row>
    <row r="120" spans="1:9" x14ac:dyDescent="0.3">
      <c r="A120" t="s">
        <v>579</v>
      </c>
      <c r="B120" t="s">
        <v>118</v>
      </c>
      <c r="C120" s="7" t="str">
        <f ca="1">IFERROR(_xludf.XLOOKUP(B120,MASTER_REGISTER!E:E,MASTER_REGISTER!F:F,""),"")</f>
        <v/>
      </c>
      <c r="D120" s="4" t="str">
        <f ca="1">IFERROR(_xludf.XLOOKUP(B120,MASTER_REGISTER!E:E,MASTER_REGISTER!C:C,""),"")</f>
        <v/>
      </c>
      <c r="E120" t="s">
        <v>823</v>
      </c>
      <c r="F120" t="s">
        <v>832</v>
      </c>
      <c r="G120" t="s">
        <v>848</v>
      </c>
      <c r="H120" s="4">
        <v>48.5</v>
      </c>
      <c r="I120" t="s">
        <v>829</v>
      </c>
    </row>
    <row r="121" spans="1:9" x14ac:dyDescent="0.3">
      <c r="A121" t="s">
        <v>847</v>
      </c>
      <c r="B121" t="s">
        <v>118</v>
      </c>
      <c r="C121" s="7" t="str">
        <f ca="1">IFERROR(_xludf.XLOOKUP(B121,MASTER_REGISTER!E:E,MASTER_REGISTER!F:F,""),"")</f>
        <v/>
      </c>
      <c r="D121" s="4" t="str">
        <f ca="1">IFERROR(_xludf.XLOOKUP(B121,MASTER_REGISTER!E:E,MASTER_REGISTER!C:C,""),"")</f>
        <v/>
      </c>
      <c r="E121" t="s">
        <v>837</v>
      </c>
      <c r="F121" t="s">
        <v>824</v>
      </c>
      <c r="G121" t="s">
        <v>836</v>
      </c>
      <c r="H121" s="4">
        <v>45.2</v>
      </c>
      <c r="I121" t="s">
        <v>852</v>
      </c>
    </row>
    <row r="122" spans="1:9" x14ac:dyDescent="0.3">
      <c r="A122" t="s">
        <v>137</v>
      </c>
      <c r="B122" t="s">
        <v>123</v>
      </c>
      <c r="C122" s="7" t="str">
        <f ca="1">IFERROR(_xludf.XLOOKUP(B122,MASTER_REGISTER!E:E,MASTER_REGISTER!F:F,""),"")</f>
        <v/>
      </c>
      <c r="D122" s="4" t="str">
        <f ca="1">IFERROR(_xludf.XLOOKUP(B122,MASTER_REGISTER!E:E,MASTER_REGISTER!C:C,""),"")</f>
        <v/>
      </c>
      <c r="E122" t="s">
        <v>837</v>
      </c>
      <c r="F122" t="s">
        <v>838</v>
      </c>
      <c r="G122" t="s">
        <v>825</v>
      </c>
      <c r="H122" s="4">
        <v>73.2</v>
      </c>
      <c r="I122" t="s">
        <v>849</v>
      </c>
    </row>
    <row r="123" spans="1:9" x14ac:dyDescent="0.3">
      <c r="A123" t="s">
        <v>869</v>
      </c>
      <c r="B123" t="s">
        <v>123</v>
      </c>
      <c r="C123" s="7" t="str">
        <f ca="1">IFERROR(_xludf.XLOOKUP(B123,MASTER_REGISTER!E:E,MASTER_REGISTER!F:F,""),"")</f>
        <v/>
      </c>
      <c r="D123" s="4" t="str">
        <f ca="1">IFERROR(_xludf.XLOOKUP(B123,MASTER_REGISTER!E:E,MASTER_REGISTER!C:C,""),"")</f>
        <v/>
      </c>
      <c r="E123" t="s">
        <v>823</v>
      </c>
      <c r="F123" t="s">
        <v>832</v>
      </c>
      <c r="G123" t="s">
        <v>845</v>
      </c>
      <c r="H123" s="4">
        <v>68.8</v>
      </c>
      <c r="I123" t="s">
        <v>846</v>
      </c>
    </row>
    <row r="124" spans="1:9" x14ac:dyDescent="0.3">
      <c r="A124" t="s">
        <v>396</v>
      </c>
      <c r="B124" t="s">
        <v>123</v>
      </c>
      <c r="C124" s="7" t="str">
        <f ca="1">IFERROR(_xludf.XLOOKUP(B124,MASTER_REGISTER!E:E,MASTER_REGISTER!F:F,""),"")</f>
        <v/>
      </c>
      <c r="D124" s="4" t="str">
        <f ca="1">IFERROR(_xludf.XLOOKUP(B124,MASTER_REGISTER!E:E,MASTER_REGISTER!C:C,""),"")</f>
        <v/>
      </c>
      <c r="E124" t="s">
        <v>831</v>
      </c>
      <c r="F124" t="s">
        <v>838</v>
      </c>
      <c r="G124" t="s">
        <v>845</v>
      </c>
      <c r="H124" s="4">
        <v>64.900000000000006</v>
      </c>
      <c r="I124" t="s">
        <v>862</v>
      </c>
    </row>
    <row r="125" spans="1:9" x14ac:dyDescent="0.3">
      <c r="A125" t="s">
        <v>857</v>
      </c>
      <c r="B125" t="s">
        <v>123</v>
      </c>
      <c r="C125" s="7" t="str">
        <f ca="1">IFERROR(_xludf.XLOOKUP(B125,MASTER_REGISTER!E:E,MASTER_REGISTER!F:F,""),"")</f>
        <v/>
      </c>
      <c r="D125" s="4" t="str">
        <f ca="1">IFERROR(_xludf.XLOOKUP(B125,MASTER_REGISTER!E:E,MASTER_REGISTER!C:C,""),"")</f>
        <v/>
      </c>
      <c r="E125" t="s">
        <v>823</v>
      </c>
      <c r="F125" t="s">
        <v>840</v>
      </c>
      <c r="G125" t="s">
        <v>836</v>
      </c>
      <c r="H125" s="4">
        <v>59.4</v>
      </c>
      <c r="I125" t="s">
        <v>829</v>
      </c>
    </row>
    <row r="126" spans="1:9" x14ac:dyDescent="0.3">
      <c r="A126" t="s">
        <v>839</v>
      </c>
      <c r="B126" t="s">
        <v>123</v>
      </c>
      <c r="C126" s="7" t="str">
        <f ca="1">IFERROR(_xludf.XLOOKUP(B126,MASTER_REGISTER!E:E,MASTER_REGISTER!F:F,""),"")</f>
        <v/>
      </c>
      <c r="D126" s="4" t="str">
        <f ca="1">IFERROR(_xludf.XLOOKUP(B126,MASTER_REGISTER!E:E,MASTER_REGISTER!C:C,""),"")</f>
        <v/>
      </c>
      <c r="E126" t="s">
        <v>837</v>
      </c>
      <c r="F126" t="s">
        <v>824</v>
      </c>
      <c r="G126" t="s">
        <v>860</v>
      </c>
      <c r="H126" s="4">
        <v>69.900000000000006</v>
      </c>
      <c r="I126" t="s">
        <v>834</v>
      </c>
    </row>
    <row r="127" spans="1:9" x14ac:dyDescent="0.3">
      <c r="A127" t="s">
        <v>864</v>
      </c>
      <c r="B127" t="s">
        <v>123</v>
      </c>
      <c r="C127" s="7" t="str">
        <f ca="1">IFERROR(_xludf.XLOOKUP(B127,MASTER_REGISTER!E:E,MASTER_REGISTER!F:F,""),"")</f>
        <v/>
      </c>
      <c r="D127" s="4" t="str">
        <f ca="1">IFERROR(_xludf.XLOOKUP(B127,MASTER_REGISTER!E:E,MASTER_REGISTER!C:C,""),"")</f>
        <v/>
      </c>
      <c r="E127" t="s">
        <v>831</v>
      </c>
      <c r="F127" t="s">
        <v>840</v>
      </c>
      <c r="G127" t="s">
        <v>828</v>
      </c>
      <c r="H127" s="4">
        <v>58.5</v>
      </c>
      <c r="I127" t="s">
        <v>834</v>
      </c>
    </row>
    <row r="128" spans="1:9" x14ac:dyDescent="0.3">
      <c r="A128" t="s">
        <v>370</v>
      </c>
      <c r="B128" t="s">
        <v>123</v>
      </c>
      <c r="C128" s="7" t="str">
        <f ca="1">IFERROR(_xludf.XLOOKUP(B128,MASTER_REGISTER!E:E,MASTER_REGISTER!F:F,""),"")</f>
        <v/>
      </c>
      <c r="D128" s="4" t="str">
        <f ca="1">IFERROR(_xludf.XLOOKUP(B128,MASTER_REGISTER!E:E,MASTER_REGISTER!C:C,""),"")</f>
        <v/>
      </c>
      <c r="E128" t="s">
        <v>837</v>
      </c>
      <c r="F128" t="s">
        <v>824</v>
      </c>
      <c r="G128" t="s">
        <v>860</v>
      </c>
      <c r="H128" s="4">
        <v>55</v>
      </c>
      <c r="I128" t="s">
        <v>849</v>
      </c>
    </row>
    <row r="129" spans="1:9" x14ac:dyDescent="0.3">
      <c r="A129" t="s">
        <v>371</v>
      </c>
      <c r="B129" t="s">
        <v>123</v>
      </c>
      <c r="C129" s="7" t="str">
        <f ca="1">IFERROR(_xludf.XLOOKUP(B129,MASTER_REGISTER!E:E,MASTER_REGISTER!F:F,""),"")</f>
        <v/>
      </c>
      <c r="D129" s="4" t="str">
        <f ca="1">IFERROR(_xludf.XLOOKUP(B129,MASTER_REGISTER!E:E,MASTER_REGISTER!C:C,""),"")</f>
        <v/>
      </c>
      <c r="E129" t="s">
        <v>831</v>
      </c>
      <c r="F129" t="s">
        <v>838</v>
      </c>
      <c r="G129" t="s">
        <v>855</v>
      </c>
      <c r="H129" s="4">
        <v>73.099999999999994</v>
      </c>
      <c r="I129" t="s">
        <v>862</v>
      </c>
    </row>
    <row r="130" spans="1:9" x14ac:dyDescent="0.3">
      <c r="A130" t="s">
        <v>865</v>
      </c>
      <c r="B130" t="s">
        <v>123</v>
      </c>
      <c r="C130" s="7" t="str">
        <f ca="1">IFERROR(_xludf.XLOOKUP(B130,MASTER_REGISTER!E:E,MASTER_REGISTER!F:F,""),"")</f>
        <v/>
      </c>
      <c r="D130" s="4" t="str">
        <f ca="1">IFERROR(_xludf.XLOOKUP(B130,MASTER_REGISTER!E:E,MASTER_REGISTER!C:C,""),"")</f>
        <v/>
      </c>
      <c r="E130" t="s">
        <v>823</v>
      </c>
      <c r="F130" t="s">
        <v>838</v>
      </c>
      <c r="G130" t="s">
        <v>848</v>
      </c>
      <c r="H130" s="4">
        <v>69</v>
      </c>
      <c r="I130" t="s">
        <v>826</v>
      </c>
    </row>
    <row r="131" spans="1:9" x14ac:dyDescent="0.3">
      <c r="A131" t="s">
        <v>847</v>
      </c>
      <c r="B131" t="s">
        <v>123</v>
      </c>
      <c r="C131" s="7" t="str">
        <f ca="1">IFERROR(_xludf.XLOOKUP(B131,MASTER_REGISTER!E:E,MASTER_REGISTER!F:F,""),"")</f>
        <v/>
      </c>
      <c r="D131" s="4" t="str">
        <f ca="1">IFERROR(_xludf.XLOOKUP(B131,MASTER_REGISTER!E:E,MASTER_REGISTER!C:C,""),"")</f>
        <v/>
      </c>
      <c r="E131" t="s">
        <v>831</v>
      </c>
      <c r="F131" t="s">
        <v>824</v>
      </c>
      <c r="G131" t="s">
        <v>845</v>
      </c>
      <c r="H131" s="4">
        <v>59.6</v>
      </c>
      <c r="I131" t="s">
        <v>834</v>
      </c>
    </row>
    <row r="132" spans="1:9" x14ac:dyDescent="0.3">
      <c r="A132" t="s">
        <v>869</v>
      </c>
      <c r="B132" t="s">
        <v>128</v>
      </c>
      <c r="C132" s="7" t="str">
        <f ca="1">IFERROR(_xludf.XLOOKUP(B132,MASTER_REGISTER!E:E,MASTER_REGISTER!F:F,""),"")</f>
        <v/>
      </c>
      <c r="D132" s="4" t="str">
        <f ca="1">IFERROR(_xludf.XLOOKUP(B132,MASTER_REGISTER!E:E,MASTER_REGISTER!C:C,""),"")</f>
        <v/>
      </c>
      <c r="E132" t="s">
        <v>843</v>
      </c>
      <c r="F132" t="s">
        <v>832</v>
      </c>
      <c r="G132" t="s">
        <v>859</v>
      </c>
      <c r="H132" s="4">
        <v>89.2</v>
      </c>
      <c r="I132" t="s">
        <v>862</v>
      </c>
    </row>
    <row r="133" spans="1:9" x14ac:dyDescent="0.3">
      <c r="A133" t="s">
        <v>869</v>
      </c>
      <c r="B133" t="s">
        <v>128</v>
      </c>
      <c r="C133" s="7" t="str">
        <f ca="1">IFERROR(_xludf.XLOOKUP(B133,MASTER_REGISTER!E:E,MASTER_REGISTER!F:F,""),"")</f>
        <v/>
      </c>
      <c r="D133" s="4" t="str">
        <f ca="1">IFERROR(_xludf.XLOOKUP(B133,MASTER_REGISTER!E:E,MASTER_REGISTER!C:C,""),"")</f>
        <v/>
      </c>
      <c r="E133" t="s">
        <v>823</v>
      </c>
      <c r="F133" t="s">
        <v>824</v>
      </c>
      <c r="G133" t="s">
        <v>828</v>
      </c>
      <c r="H133" s="4">
        <v>61.7</v>
      </c>
      <c r="I133" t="s">
        <v>852</v>
      </c>
    </row>
    <row r="134" spans="1:9" x14ac:dyDescent="0.3">
      <c r="A134" t="s">
        <v>869</v>
      </c>
      <c r="B134" t="s">
        <v>128</v>
      </c>
      <c r="C134" s="7" t="str">
        <f ca="1">IFERROR(_xludf.XLOOKUP(B134,MASTER_REGISTER!E:E,MASTER_REGISTER!F:F,""),"")</f>
        <v/>
      </c>
      <c r="D134" s="4" t="str">
        <f ca="1">IFERROR(_xludf.XLOOKUP(B134,MASTER_REGISTER!E:E,MASTER_REGISTER!C:C,""),"")</f>
        <v/>
      </c>
      <c r="E134" t="s">
        <v>831</v>
      </c>
      <c r="F134" t="s">
        <v>832</v>
      </c>
      <c r="G134" t="s">
        <v>855</v>
      </c>
      <c r="H134" s="4">
        <v>85.3</v>
      </c>
      <c r="I134" t="s">
        <v>844</v>
      </c>
    </row>
    <row r="135" spans="1:9" x14ac:dyDescent="0.3">
      <c r="A135" t="s">
        <v>396</v>
      </c>
      <c r="B135" t="s">
        <v>128</v>
      </c>
      <c r="C135" s="7" t="str">
        <f ca="1">IFERROR(_xludf.XLOOKUP(B135,MASTER_REGISTER!E:E,MASTER_REGISTER!F:F,""),"")</f>
        <v/>
      </c>
      <c r="D135" s="4" t="str">
        <f ca="1">IFERROR(_xludf.XLOOKUP(B135,MASTER_REGISTER!E:E,MASTER_REGISTER!C:C,""),"")</f>
        <v/>
      </c>
      <c r="E135" t="s">
        <v>837</v>
      </c>
      <c r="F135" t="s">
        <v>832</v>
      </c>
      <c r="G135" t="s">
        <v>867</v>
      </c>
      <c r="H135" s="4">
        <v>67.7</v>
      </c>
      <c r="I135" t="s">
        <v>852</v>
      </c>
    </row>
    <row r="136" spans="1:9" x14ac:dyDescent="0.3">
      <c r="A136" t="s">
        <v>433</v>
      </c>
      <c r="B136" t="s">
        <v>128</v>
      </c>
      <c r="C136" s="7" t="str">
        <f ca="1">IFERROR(_xludf.XLOOKUP(B136,MASTER_REGISTER!E:E,MASTER_REGISTER!F:F,""),"")</f>
        <v/>
      </c>
      <c r="D136" s="4" t="str">
        <f ca="1">IFERROR(_xludf.XLOOKUP(B136,MASTER_REGISTER!E:E,MASTER_REGISTER!C:C,""),"")</f>
        <v/>
      </c>
      <c r="E136" t="s">
        <v>843</v>
      </c>
      <c r="F136" t="s">
        <v>838</v>
      </c>
      <c r="G136" t="s">
        <v>848</v>
      </c>
      <c r="H136" s="4">
        <v>79.5</v>
      </c>
      <c r="I136" t="s">
        <v>849</v>
      </c>
    </row>
    <row r="137" spans="1:9" x14ac:dyDescent="0.3">
      <c r="A137" t="s">
        <v>863</v>
      </c>
      <c r="B137" t="s">
        <v>128</v>
      </c>
      <c r="C137" s="7" t="str">
        <f ca="1">IFERROR(_xludf.XLOOKUP(B137,MASTER_REGISTER!E:E,MASTER_REGISTER!F:F,""),"")</f>
        <v/>
      </c>
      <c r="D137" s="4" t="str">
        <f ca="1">IFERROR(_xludf.XLOOKUP(B137,MASTER_REGISTER!E:E,MASTER_REGISTER!C:C,""),"")</f>
        <v/>
      </c>
      <c r="E137" t="s">
        <v>837</v>
      </c>
      <c r="F137" t="s">
        <v>840</v>
      </c>
      <c r="G137" t="s">
        <v>845</v>
      </c>
      <c r="H137" s="4">
        <v>70.900000000000006</v>
      </c>
      <c r="I137" t="s">
        <v>844</v>
      </c>
    </row>
    <row r="138" spans="1:9" x14ac:dyDescent="0.3">
      <c r="A138" t="s">
        <v>851</v>
      </c>
      <c r="B138" t="s">
        <v>128</v>
      </c>
      <c r="C138" s="7" t="str">
        <f ca="1">IFERROR(_xludf.XLOOKUP(B138,MASTER_REGISTER!E:E,MASTER_REGISTER!F:F,""),"")</f>
        <v/>
      </c>
      <c r="D138" s="4" t="str">
        <f ca="1">IFERROR(_xludf.XLOOKUP(B138,MASTER_REGISTER!E:E,MASTER_REGISTER!C:C,""),"")</f>
        <v/>
      </c>
      <c r="E138" t="s">
        <v>831</v>
      </c>
      <c r="F138" t="s">
        <v>832</v>
      </c>
      <c r="G138" t="s">
        <v>855</v>
      </c>
      <c r="H138" s="4">
        <v>60.8</v>
      </c>
      <c r="I138" t="s">
        <v>834</v>
      </c>
    </row>
    <row r="139" spans="1:9" x14ac:dyDescent="0.3">
      <c r="A139" t="s">
        <v>373</v>
      </c>
      <c r="B139" t="s">
        <v>128</v>
      </c>
      <c r="C139" s="7" t="str">
        <f ca="1">IFERROR(_xludf.XLOOKUP(B139,MASTER_REGISTER!E:E,MASTER_REGISTER!F:F,""),"")</f>
        <v/>
      </c>
      <c r="D139" s="4" t="str">
        <f ca="1">IFERROR(_xludf.XLOOKUP(B139,MASTER_REGISTER!E:E,MASTER_REGISTER!C:C,""),"")</f>
        <v/>
      </c>
      <c r="E139" t="s">
        <v>843</v>
      </c>
      <c r="F139" t="s">
        <v>832</v>
      </c>
      <c r="G139" t="s">
        <v>850</v>
      </c>
      <c r="H139" s="4">
        <v>71</v>
      </c>
      <c r="I139" t="s">
        <v>849</v>
      </c>
    </row>
    <row r="140" spans="1:9" x14ac:dyDescent="0.3">
      <c r="A140" t="s">
        <v>418</v>
      </c>
      <c r="B140" t="s">
        <v>128</v>
      </c>
      <c r="C140" s="7" t="str">
        <f ca="1">IFERROR(_xludf.XLOOKUP(B140,MASTER_REGISTER!E:E,MASTER_REGISTER!F:F,""),"")</f>
        <v/>
      </c>
      <c r="D140" s="4" t="str">
        <f ca="1">IFERROR(_xludf.XLOOKUP(B140,MASTER_REGISTER!E:E,MASTER_REGISTER!C:C,""),"")</f>
        <v/>
      </c>
      <c r="E140" t="s">
        <v>831</v>
      </c>
      <c r="F140" t="s">
        <v>840</v>
      </c>
      <c r="G140" t="s">
        <v>845</v>
      </c>
      <c r="H140" s="4">
        <v>72.599999999999994</v>
      </c>
      <c r="I140" t="s">
        <v>862</v>
      </c>
    </row>
    <row r="141" spans="1:9" x14ac:dyDescent="0.3">
      <c r="A141" t="s">
        <v>854</v>
      </c>
      <c r="B141" t="s">
        <v>128</v>
      </c>
      <c r="C141" s="7" t="str">
        <f ca="1">IFERROR(_xludf.XLOOKUP(B141,MASTER_REGISTER!E:E,MASTER_REGISTER!F:F,""),"")</f>
        <v/>
      </c>
      <c r="D141" s="4" t="str">
        <f ca="1">IFERROR(_xludf.XLOOKUP(B141,MASTER_REGISTER!E:E,MASTER_REGISTER!C:C,""),"")</f>
        <v/>
      </c>
      <c r="E141" t="s">
        <v>831</v>
      </c>
      <c r="F141" t="s">
        <v>832</v>
      </c>
      <c r="G141" t="s">
        <v>825</v>
      </c>
      <c r="H141" s="4">
        <v>51.4</v>
      </c>
      <c r="I141" t="s">
        <v>844</v>
      </c>
    </row>
    <row r="142" spans="1:9" x14ac:dyDescent="0.3">
      <c r="A142" t="s">
        <v>856</v>
      </c>
      <c r="B142" t="s">
        <v>133</v>
      </c>
      <c r="C142" s="7" t="str">
        <f ca="1">IFERROR(_xludf.XLOOKUP(B142,MASTER_REGISTER!E:E,MASTER_REGISTER!F:F,""),"")</f>
        <v/>
      </c>
      <c r="D142" s="4" t="str">
        <f ca="1">IFERROR(_xludf.XLOOKUP(B142,MASTER_REGISTER!E:E,MASTER_REGISTER!C:C,""),"")</f>
        <v/>
      </c>
      <c r="E142" t="s">
        <v>823</v>
      </c>
      <c r="F142" t="s">
        <v>824</v>
      </c>
      <c r="G142" t="s">
        <v>845</v>
      </c>
      <c r="H142" s="4">
        <v>60.9</v>
      </c>
      <c r="I142" t="s">
        <v>826</v>
      </c>
    </row>
    <row r="143" spans="1:9" x14ac:dyDescent="0.3">
      <c r="A143" t="s">
        <v>856</v>
      </c>
      <c r="B143" t="s">
        <v>133</v>
      </c>
      <c r="C143" s="7" t="str">
        <f ca="1">IFERROR(_xludf.XLOOKUP(B143,MASTER_REGISTER!E:E,MASTER_REGISTER!F:F,""),"")</f>
        <v/>
      </c>
      <c r="D143" s="4" t="str">
        <f ca="1">IFERROR(_xludf.XLOOKUP(B143,MASTER_REGISTER!E:E,MASTER_REGISTER!C:C,""),"")</f>
        <v/>
      </c>
      <c r="E143" t="s">
        <v>823</v>
      </c>
      <c r="F143" t="s">
        <v>832</v>
      </c>
      <c r="G143" t="s">
        <v>867</v>
      </c>
      <c r="H143" s="4">
        <v>70</v>
      </c>
      <c r="I143" t="s">
        <v>849</v>
      </c>
    </row>
    <row r="144" spans="1:9" x14ac:dyDescent="0.3">
      <c r="A144" t="s">
        <v>172</v>
      </c>
      <c r="B144" t="s">
        <v>133</v>
      </c>
      <c r="C144" s="7" t="str">
        <f ca="1">IFERROR(_xludf.XLOOKUP(B144,MASTER_REGISTER!E:E,MASTER_REGISTER!F:F,""),"")</f>
        <v/>
      </c>
      <c r="D144" s="4" t="str">
        <f ca="1">IFERROR(_xludf.XLOOKUP(B144,MASTER_REGISTER!E:E,MASTER_REGISTER!C:C,""),"")</f>
        <v/>
      </c>
      <c r="E144" t="s">
        <v>823</v>
      </c>
      <c r="F144" t="s">
        <v>838</v>
      </c>
      <c r="G144" t="s">
        <v>859</v>
      </c>
      <c r="H144" s="4">
        <v>56.1</v>
      </c>
      <c r="I144" t="s">
        <v>829</v>
      </c>
    </row>
    <row r="145" spans="1:9" x14ac:dyDescent="0.3">
      <c r="A145" t="s">
        <v>869</v>
      </c>
      <c r="B145" t="s">
        <v>133</v>
      </c>
      <c r="C145" s="7" t="str">
        <f ca="1">IFERROR(_xludf.XLOOKUP(B145,MASTER_REGISTER!E:E,MASTER_REGISTER!F:F,""),"")</f>
        <v/>
      </c>
      <c r="D145" s="4" t="str">
        <f ca="1">IFERROR(_xludf.XLOOKUP(B145,MASTER_REGISTER!E:E,MASTER_REGISTER!C:C,""),"")</f>
        <v/>
      </c>
      <c r="E145" t="s">
        <v>837</v>
      </c>
      <c r="F145" t="s">
        <v>832</v>
      </c>
      <c r="G145" t="s">
        <v>855</v>
      </c>
      <c r="H145" s="4">
        <v>87.5</v>
      </c>
      <c r="I145" t="s">
        <v>846</v>
      </c>
    </row>
    <row r="146" spans="1:9" x14ac:dyDescent="0.3">
      <c r="A146" t="s">
        <v>861</v>
      </c>
      <c r="B146" t="s">
        <v>133</v>
      </c>
      <c r="C146" s="7" t="str">
        <f ca="1">IFERROR(_xludf.XLOOKUP(B146,MASTER_REGISTER!E:E,MASTER_REGISTER!F:F,""),"")</f>
        <v/>
      </c>
      <c r="D146" s="4" t="str">
        <f ca="1">IFERROR(_xludf.XLOOKUP(B146,MASTER_REGISTER!E:E,MASTER_REGISTER!C:C,""),"")</f>
        <v/>
      </c>
      <c r="E146" t="s">
        <v>837</v>
      </c>
      <c r="F146" t="s">
        <v>838</v>
      </c>
      <c r="G146" t="s">
        <v>825</v>
      </c>
      <c r="H146" s="4">
        <v>59</v>
      </c>
      <c r="I146" t="s">
        <v>826</v>
      </c>
    </row>
    <row r="147" spans="1:9" x14ac:dyDescent="0.3">
      <c r="A147" t="s">
        <v>549</v>
      </c>
      <c r="B147" t="s">
        <v>133</v>
      </c>
      <c r="C147" s="7" t="str">
        <f ca="1">IFERROR(_xludf.XLOOKUP(B147,MASTER_REGISTER!E:E,MASTER_REGISTER!F:F,""),"")</f>
        <v/>
      </c>
      <c r="D147" s="4" t="str">
        <f ca="1">IFERROR(_xludf.XLOOKUP(B147,MASTER_REGISTER!E:E,MASTER_REGISTER!C:C,""),"")</f>
        <v/>
      </c>
      <c r="E147" t="s">
        <v>837</v>
      </c>
      <c r="F147" t="s">
        <v>838</v>
      </c>
      <c r="G147" t="s">
        <v>859</v>
      </c>
      <c r="H147" s="4">
        <v>62</v>
      </c>
      <c r="I147" t="s">
        <v>846</v>
      </c>
    </row>
    <row r="148" spans="1:9" x14ac:dyDescent="0.3">
      <c r="A148" t="s">
        <v>839</v>
      </c>
      <c r="B148" t="s">
        <v>133</v>
      </c>
      <c r="C148" s="7" t="str">
        <f ca="1">IFERROR(_xludf.XLOOKUP(B148,MASTER_REGISTER!E:E,MASTER_REGISTER!F:F,""),"")</f>
        <v/>
      </c>
      <c r="D148" s="4" t="str">
        <f ca="1">IFERROR(_xludf.XLOOKUP(B148,MASTER_REGISTER!E:E,MASTER_REGISTER!C:C,""),"")</f>
        <v/>
      </c>
      <c r="E148" t="s">
        <v>837</v>
      </c>
      <c r="F148" t="s">
        <v>838</v>
      </c>
      <c r="G148" t="s">
        <v>867</v>
      </c>
      <c r="H148" s="4">
        <v>68.599999999999994</v>
      </c>
      <c r="I148" t="s">
        <v>846</v>
      </c>
    </row>
    <row r="149" spans="1:9" x14ac:dyDescent="0.3">
      <c r="A149" t="s">
        <v>579</v>
      </c>
      <c r="B149" t="s">
        <v>133</v>
      </c>
      <c r="C149" s="7" t="str">
        <f ca="1">IFERROR(_xludf.XLOOKUP(B149,MASTER_REGISTER!E:E,MASTER_REGISTER!F:F,""),"")</f>
        <v/>
      </c>
      <c r="D149" s="4" t="str">
        <f ca="1">IFERROR(_xludf.XLOOKUP(B149,MASTER_REGISTER!E:E,MASTER_REGISTER!C:C,""),"")</f>
        <v/>
      </c>
      <c r="E149" t="s">
        <v>823</v>
      </c>
      <c r="F149" t="s">
        <v>840</v>
      </c>
      <c r="G149" t="s">
        <v>860</v>
      </c>
      <c r="H149" s="4">
        <v>83.8</v>
      </c>
      <c r="I149" t="s">
        <v>834</v>
      </c>
    </row>
    <row r="150" spans="1:9" x14ac:dyDescent="0.3">
      <c r="A150" t="s">
        <v>579</v>
      </c>
      <c r="B150" t="s">
        <v>133</v>
      </c>
      <c r="C150" s="7" t="str">
        <f ca="1">IFERROR(_xludf.XLOOKUP(B150,MASTER_REGISTER!E:E,MASTER_REGISTER!F:F,""),"")</f>
        <v/>
      </c>
      <c r="D150" s="4" t="str">
        <f ca="1">IFERROR(_xludf.XLOOKUP(B150,MASTER_REGISTER!E:E,MASTER_REGISTER!C:C,""),"")</f>
        <v/>
      </c>
      <c r="E150" t="s">
        <v>831</v>
      </c>
      <c r="F150" t="s">
        <v>832</v>
      </c>
      <c r="G150" t="s">
        <v>825</v>
      </c>
      <c r="H150" s="4">
        <v>95.4</v>
      </c>
      <c r="I150" t="s">
        <v>852</v>
      </c>
    </row>
    <row r="151" spans="1:9" x14ac:dyDescent="0.3">
      <c r="A151" t="s">
        <v>866</v>
      </c>
      <c r="B151" t="s">
        <v>133</v>
      </c>
      <c r="C151" s="7" t="str">
        <f ca="1">IFERROR(_xludf.XLOOKUP(B151,MASTER_REGISTER!E:E,MASTER_REGISTER!F:F,""),"")</f>
        <v/>
      </c>
      <c r="D151" s="4" t="str">
        <f ca="1">IFERROR(_xludf.XLOOKUP(B151,MASTER_REGISTER!E:E,MASTER_REGISTER!C:C,""),"")</f>
        <v/>
      </c>
      <c r="E151" t="s">
        <v>831</v>
      </c>
      <c r="F151" t="s">
        <v>840</v>
      </c>
      <c r="G151" t="s">
        <v>850</v>
      </c>
      <c r="H151" s="4">
        <v>69.2</v>
      </c>
      <c r="I151" t="s">
        <v>846</v>
      </c>
    </row>
    <row r="152" spans="1:9" x14ac:dyDescent="0.3">
      <c r="A152" t="s">
        <v>856</v>
      </c>
      <c r="B152" t="s">
        <v>138</v>
      </c>
      <c r="C152" s="7" t="str">
        <f ca="1">IFERROR(_xludf.XLOOKUP(B152,MASTER_REGISTER!E:E,MASTER_REGISTER!F:F,""),"")</f>
        <v/>
      </c>
      <c r="D152" s="4" t="str">
        <f ca="1">IFERROR(_xludf.XLOOKUP(B152,MASTER_REGISTER!E:E,MASTER_REGISTER!C:C,""),"")</f>
        <v/>
      </c>
      <c r="E152" t="s">
        <v>843</v>
      </c>
      <c r="F152" t="s">
        <v>840</v>
      </c>
      <c r="G152" t="s">
        <v>855</v>
      </c>
      <c r="H152" s="4">
        <v>62.8</v>
      </c>
      <c r="I152" t="s">
        <v>849</v>
      </c>
    </row>
    <row r="153" spans="1:9" x14ac:dyDescent="0.3">
      <c r="A153" t="s">
        <v>857</v>
      </c>
      <c r="B153" t="s">
        <v>138</v>
      </c>
      <c r="C153" s="7" t="str">
        <f ca="1">IFERROR(_xludf.XLOOKUP(B153,MASTER_REGISTER!E:E,MASTER_REGISTER!F:F,""),"")</f>
        <v/>
      </c>
      <c r="D153" s="4" t="str">
        <f ca="1">IFERROR(_xludf.XLOOKUP(B153,MASTER_REGISTER!E:E,MASTER_REGISTER!C:C,""),"")</f>
        <v/>
      </c>
      <c r="E153" t="s">
        <v>823</v>
      </c>
      <c r="F153" t="s">
        <v>838</v>
      </c>
      <c r="G153" t="s">
        <v>855</v>
      </c>
      <c r="H153" s="4">
        <v>59.9</v>
      </c>
      <c r="I153" t="s">
        <v>862</v>
      </c>
    </row>
    <row r="154" spans="1:9" x14ac:dyDescent="0.3">
      <c r="A154" t="s">
        <v>857</v>
      </c>
      <c r="B154" t="s">
        <v>138</v>
      </c>
      <c r="C154" s="7" t="str">
        <f ca="1">IFERROR(_xludf.XLOOKUP(B154,MASTER_REGISTER!E:E,MASTER_REGISTER!F:F,""),"")</f>
        <v/>
      </c>
      <c r="D154" s="4" t="str">
        <f ca="1">IFERROR(_xludf.XLOOKUP(B154,MASTER_REGISTER!E:E,MASTER_REGISTER!C:C,""),"")</f>
        <v/>
      </c>
      <c r="E154" t="s">
        <v>831</v>
      </c>
      <c r="F154" t="s">
        <v>838</v>
      </c>
      <c r="G154" t="s">
        <v>860</v>
      </c>
      <c r="H154" s="4">
        <v>66.3</v>
      </c>
      <c r="I154" t="s">
        <v>844</v>
      </c>
    </row>
    <row r="155" spans="1:9" x14ac:dyDescent="0.3">
      <c r="A155" t="s">
        <v>433</v>
      </c>
      <c r="B155" t="s">
        <v>138</v>
      </c>
      <c r="C155" s="7" t="str">
        <f ca="1">IFERROR(_xludf.XLOOKUP(B155,MASTER_REGISTER!E:E,MASTER_REGISTER!F:F,""),"")</f>
        <v/>
      </c>
      <c r="D155" s="4" t="str">
        <f ca="1">IFERROR(_xludf.XLOOKUP(B155,MASTER_REGISTER!E:E,MASTER_REGISTER!C:C,""),"")</f>
        <v/>
      </c>
      <c r="E155" t="s">
        <v>837</v>
      </c>
      <c r="F155" t="s">
        <v>838</v>
      </c>
      <c r="G155" t="s">
        <v>859</v>
      </c>
      <c r="H155" s="4">
        <v>64.900000000000006</v>
      </c>
      <c r="I155" t="s">
        <v>852</v>
      </c>
    </row>
    <row r="156" spans="1:9" x14ac:dyDescent="0.3">
      <c r="A156" t="s">
        <v>835</v>
      </c>
      <c r="B156" t="s">
        <v>138</v>
      </c>
      <c r="C156" s="7" t="str">
        <f ca="1">IFERROR(_xludf.XLOOKUP(B156,MASTER_REGISTER!E:E,MASTER_REGISTER!F:F,""),"")</f>
        <v/>
      </c>
      <c r="D156" s="4" t="str">
        <f ca="1">IFERROR(_xludf.XLOOKUP(B156,MASTER_REGISTER!E:E,MASTER_REGISTER!C:C,""),"")</f>
        <v/>
      </c>
      <c r="E156" t="s">
        <v>837</v>
      </c>
      <c r="F156" t="s">
        <v>840</v>
      </c>
      <c r="G156" t="s">
        <v>825</v>
      </c>
      <c r="H156" s="4">
        <v>71.099999999999994</v>
      </c>
      <c r="I156" t="s">
        <v>846</v>
      </c>
    </row>
    <row r="157" spans="1:9" x14ac:dyDescent="0.3">
      <c r="A157" t="s">
        <v>549</v>
      </c>
      <c r="B157" t="s">
        <v>138</v>
      </c>
      <c r="C157" s="7" t="str">
        <f ca="1">IFERROR(_xludf.XLOOKUP(B157,MASTER_REGISTER!E:E,MASTER_REGISTER!F:F,""),"")</f>
        <v/>
      </c>
      <c r="D157" s="4" t="str">
        <f ca="1">IFERROR(_xludf.XLOOKUP(B157,MASTER_REGISTER!E:E,MASTER_REGISTER!C:C,""),"")</f>
        <v/>
      </c>
      <c r="E157" t="s">
        <v>843</v>
      </c>
      <c r="F157" t="s">
        <v>832</v>
      </c>
      <c r="G157" t="s">
        <v>867</v>
      </c>
      <c r="H157" s="4">
        <v>70.400000000000006</v>
      </c>
      <c r="I157" t="s">
        <v>826</v>
      </c>
    </row>
    <row r="158" spans="1:9" x14ac:dyDescent="0.3">
      <c r="A158" t="s">
        <v>839</v>
      </c>
      <c r="B158" t="s">
        <v>138</v>
      </c>
      <c r="C158" s="7" t="str">
        <f ca="1">IFERROR(_xludf.XLOOKUP(B158,MASTER_REGISTER!E:E,MASTER_REGISTER!F:F,""),"")</f>
        <v/>
      </c>
      <c r="D158" s="4" t="str">
        <f ca="1">IFERROR(_xludf.XLOOKUP(B158,MASTER_REGISTER!E:E,MASTER_REGISTER!C:C,""),"")</f>
        <v/>
      </c>
      <c r="E158" t="s">
        <v>823</v>
      </c>
      <c r="F158" t="s">
        <v>838</v>
      </c>
      <c r="G158" t="s">
        <v>850</v>
      </c>
      <c r="H158" s="4">
        <v>53.1</v>
      </c>
      <c r="I158" t="s">
        <v>829</v>
      </c>
    </row>
    <row r="159" spans="1:9" x14ac:dyDescent="0.3">
      <c r="A159" t="s">
        <v>851</v>
      </c>
      <c r="B159" t="s">
        <v>138</v>
      </c>
      <c r="C159" s="7" t="str">
        <f ca="1">IFERROR(_xludf.XLOOKUP(B159,MASTER_REGISTER!E:E,MASTER_REGISTER!F:F,""),"")</f>
        <v/>
      </c>
      <c r="D159" s="4" t="str">
        <f ca="1">IFERROR(_xludf.XLOOKUP(B159,MASTER_REGISTER!E:E,MASTER_REGISTER!C:C,""),"")</f>
        <v/>
      </c>
      <c r="E159" t="s">
        <v>843</v>
      </c>
      <c r="F159" t="s">
        <v>824</v>
      </c>
      <c r="G159" t="s">
        <v>833</v>
      </c>
      <c r="H159" s="4">
        <v>73.400000000000006</v>
      </c>
      <c r="I159" t="s">
        <v>826</v>
      </c>
    </row>
    <row r="160" spans="1:9" x14ac:dyDescent="0.3">
      <c r="A160" t="s">
        <v>373</v>
      </c>
      <c r="B160" t="s">
        <v>138</v>
      </c>
      <c r="C160" s="7" t="str">
        <f ca="1">IFERROR(_xludf.XLOOKUP(B160,MASTER_REGISTER!E:E,MASTER_REGISTER!F:F,""),"")</f>
        <v/>
      </c>
      <c r="D160" s="4" t="str">
        <f ca="1">IFERROR(_xludf.XLOOKUP(B160,MASTER_REGISTER!E:E,MASTER_REGISTER!C:C,""),"")</f>
        <v/>
      </c>
      <c r="E160" t="s">
        <v>837</v>
      </c>
      <c r="F160" t="s">
        <v>838</v>
      </c>
      <c r="G160" t="s">
        <v>845</v>
      </c>
      <c r="H160" s="4">
        <v>69</v>
      </c>
      <c r="I160" t="s">
        <v>849</v>
      </c>
    </row>
    <row r="161" spans="1:9" x14ac:dyDescent="0.3">
      <c r="A161" t="s">
        <v>868</v>
      </c>
      <c r="B161" t="s">
        <v>138</v>
      </c>
      <c r="C161" s="7" t="str">
        <f ca="1">IFERROR(_xludf.XLOOKUP(B161,MASTER_REGISTER!E:E,MASTER_REGISTER!F:F,""),"")</f>
        <v/>
      </c>
      <c r="D161" s="4" t="str">
        <f ca="1">IFERROR(_xludf.XLOOKUP(B161,MASTER_REGISTER!E:E,MASTER_REGISTER!C:C,""),"")</f>
        <v/>
      </c>
      <c r="E161" t="s">
        <v>831</v>
      </c>
      <c r="F161" t="s">
        <v>838</v>
      </c>
      <c r="G161" t="s">
        <v>845</v>
      </c>
      <c r="H161" s="4">
        <v>80.3</v>
      </c>
      <c r="I161" t="s">
        <v>862</v>
      </c>
    </row>
    <row r="162" spans="1:9" x14ac:dyDescent="0.3">
      <c r="A162" t="s">
        <v>172</v>
      </c>
      <c r="B162" t="s">
        <v>143</v>
      </c>
      <c r="C162" s="7" t="str">
        <f ca="1">IFERROR(_xludf.XLOOKUP(B162,MASTER_REGISTER!E:E,MASTER_REGISTER!F:F,""),"")</f>
        <v/>
      </c>
      <c r="D162" s="4" t="str">
        <f ca="1">IFERROR(_xludf.XLOOKUP(B162,MASTER_REGISTER!E:E,MASTER_REGISTER!C:C,""),"")</f>
        <v/>
      </c>
      <c r="E162" t="s">
        <v>843</v>
      </c>
      <c r="F162" t="s">
        <v>832</v>
      </c>
      <c r="G162" t="s">
        <v>867</v>
      </c>
      <c r="H162" s="4">
        <v>60.9</v>
      </c>
      <c r="I162" t="s">
        <v>844</v>
      </c>
    </row>
    <row r="163" spans="1:9" x14ac:dyDescent="0.3">
      <c r="A163" t="s">
        <v>433</v>
      </c>
      <c r="B163" t="s">
        <v>143</v>
      </c>
      <c r="C163" s="7" t="str">
        <f ca="1">IFERROR(_xludf.XLOOKUP(B163,MASTER_REGISTER!E:E,MASTER_REGISTER!F:F,""),"")</f>
        <v/>
      </c>
      <c r="D163" s="4" t="str">
        <f ca="1">IFERROR(_xludf.XLOOKUP(B163,MASTER_REGISTER!E:E,MASTER_REGISTER!C:C,""),"")</f>
        <v/>
      </c>
      <c r="E163" t="s">
        <v>843</v>
      </c>
      <c r="F163" t="s">
        <v>824</v>
      </c>
      <c r="G163" t="s">
        <v>841</v>
      </c>
      <c r="H163" s="4">
        <v>69.900000000000006</v>
      </c>
      <c r="I163" t="s">
        <v>846</v>
      </c>
    </row>
    <row r="164" spans="1:9" x14ac:dyDescent="0.3">
      <c r="A164" t="s">
        <v>835</v>
      </c>
      <c r="B164" t="s">
        <v>143</v>
      </c>
      <c r="C164" s="7" t="str">
        <f ca="1">IFERROR(_xludf.XLOOKUP(B164,MASTER_REGISTER!E:E,MASTER_REGISTER!F:F,""),"")</f>
        <v/>
      </c>
      <c r="D164" s="4" t="str">
        <f ca="1">IFERROR(_xludf.XLOOKUP(B164,MASTER_REGISTER!E:E,MASTER_REGISTER!C:C,""),"")</f>
        <v/>
      </c>
      <c r="E164" t="s">
        <v>843</v>
      </c>
      <c r="F164" t="s">
        <v>838</v>
      </c>
      <c r="G164" t="s">
        <v>845</v>
      </c>
      <c r="H164" s="4">
        <v>55.6</v>
      </c>
      <c r="I164" t="s">
        <v>849</v>
      </c>
    </row>
    <row r="165" spans="1:9" x14ac:dyDescent="0.3">
      <c r="A165" t="s">
        <v>864</v>
      </c>
      <c r="B165" t="s">
        <v>143</v>
      </c>
      <c r="C165" s="7" t="str">
        <f ca="1">IFERROR(_xludf.XLOOKUP(B165,MASTER_REGISTER!E:E,MASTER_REGISTER!F:F,""),"")</f>
        <v/>
      </c>
      <c r="D165" s="4" t="str">
        <f ca="1">IFERROR(_xludf.XLOOKUP(B165,MASTER_REGISTER!E:E,MASTER_REGISTER!C:C,""),"")</f>
        <v/>
      </c>
      <c r="E165" t="s">
        <v>831</v>
      </c>
      <c r="F165" t="s">
        <v>840</v>
      </c>
      <c r="G165" t="s">
        <v>836</v>
      </c>
      <c r="H165" s="4">
        <v>75.7</v>
      </c>
      <c r="I165" t="s">
        <v>834</v>
      </c>
    </row>
    <row r="166" spans="1:9" x14ac:dyDescent="0.3">
      <c r="A166" t="s">
        <v>858</v>
      </c>
      <c r="B166" t="s">
        <v>143</v>
      </c>
      <c r="C166" s="7" t="str">
        <f ca="1">IFERROR(_xludf.XLOOKUP(B166,MASTER_REGISTER!E:E,MASTER_REGISTER!F:F,""),"")</f>
        <v/>
      </c>
      <c r="D166" s="4" t="str">
        <f ca="1">IFERROR(_xludf.XLOOKUP(B166,MASTER_REGISTER!E:E,MASTER_REGISTER!C:C,""),"")</f>
        <v/>
      </c>
      <c r="E166" t="s">
        <v>831</v>
      </c>
      <c r="F166" t="s">
        <v>838</v>
      </c>
      <c r="G166" t="s">
        <v>833</v>
      </c>
      <c r="H166" s="4">
        <v>60.6</v>
      </c>
      <c r="I166" t="s">
        <v>846</v>
      </c>
    </row>
    <row r="167" spans="1:9" x14ac:dyDescent="0.3">
      <c r="A167" t="s">
        <v>371</v>
      </c>
      <c r="B167" t="s">
        <v>143</v>
      </c>
      <c r="C167" s="7" t="str">
        <f ca="1">IFERROR(_xludf.XLOOKUP(B167,MASTER_REGISTER!E:E,MASTER_REGISTER!F:F,""),"")</f>
        <v/>
      </c>
      <c r="D167" s="4" t="str">
        <f ca="1">IFERROR(_xludf.XLOOKUP(B167,MASTER_REGISTER!E:E,MASTER_REGISTER!C:C,""),"")</f>
        <v/>
      </c>
      <c r="E167" t="s">
        <v>823</v>
      </c>
      <c r="F167" t="s">
        <v>840</v>
      </c>
      <c r="G167" t="s">
        <v>825</v>
      </c>
      <c r="H167" s="4">
        <v>82</v>
      </c>
      <c r="I167" t="s">
        <v>834</v>
      </c>
    </row>
    <row r="168" spans="1:9" x14ac:dyDescent="0.3">
      <c r="A168" t="s">
        <v>372</v>
      </c>
      <c r="B168" t="s">
        <v>143</v>
      </c>
      <c r="C168" s="7" t="str">
        <f ca="1">IFERROR(_xludf.XLOOKUP(B168,MASTER_REGISTER!E:E,MASTER_REGISTER!F:F,""),"")</f>
        <v/>
      </c>
      <c r="D168" s="4" t="str">
        <f ca="1">IFERROR(_xludf.XLOOKUP(B168,MASTER_REGISTER!E:E,MASTER_REGISTER!C:C,""),"")</f>
        <v/>
      </c>
      <c r="E168" t="s">
        <v>831</v>
      </c>
      <c r="F168" t="s">
        <v>832</v>
      </c>
      <c r="G168" t="s">
        <v>859</v>
      </c>
      <c r="H168" s="4">
        <v>54.6</v>
      </c>
      <c r="I168" t="s">
        <v>826</v>
      </c>
    </row>
    <row r="169" spans="1:9" x14ac:dyDescent="0.3">
      <c r="A169" t="s">
        <v>868</v>
      </c>
      <c r="B169" t="s">
        <v>143</v>
      </c>
      <c r="C169" s="7" t="str">
        <f ca="1">IFERROR(_xludf.XLOOKUP(B169,MASTER_REGISTER!E:E,MASTER_REGISTER!F:F,""),"")</f>
        <v/>
      </c>
      <c r="D169" s="4" t="str">
        <f ca="1">IFERROR(_xludf.XLOOKUP(B169,MASTER_REGISTER!E:E,MASTER_REGISTER!C:C,""),"")</f>
        <v/>
      </c>
      <c r="E169" t="s">
        <v>831</v>
      </c>
      <c r="F169" t="s">
        <v>840</v>
      </c>
      <c r="G169" t="s">
        <v>833</v>
      </c>
      <c r="H169" s="4">
        <v>65.3</v>
      </c>
      <c r="I169" t="s">
        <v>826</v>
      </c>
    </row>
    <row r="170" spans="1:9" x14ac:dyDescent="0.3">
      <c r="A170" t="s">
        <v>579</v>
      </c>
      <c r="B170" t="s">
        <v>143</v>
      </c>
      <c r="C170" s="7" t="str">
        <f ca="1">IFERROR(_xludf.XLOOKUP(B170,MASTER_REGISTER!E:E,MASTER_REGISTER!F:F,""),"")</f>
        <v/>
      </c>
      <c r="D170" s="4" t="str">
        <f ca="1">IFERROR(_xludf.XLOOKUP(B170,MASTER_REGISTER!E:E,MASTER_REGISTER!C:C,""),"")</f>
        <v/>
      </c>
      <c r="E170" t="s">
        <v>823</v>
      </c>
      <c r="F170" t="s">
        <v>840</v>
      </c>
      <c r="G170" t="s">
        <v>833</v>
      </c>
      <c r="H170" s="4">
        <v>74.8</v>
      </c>
      <c r="I170" t="s">
        <v>826</v>
      </c>
    </row>
    <row r="171" spans="1:9" x14ac:dyDescent="0.3">
      <c r="A171" t="s">
        <v>866</v>
      </c>
      <c r="B171" t="s">
        <v>143</v>
      </c>
      <c r="C171" s="7" t="str">
        <f ca="1">IFERROR(_xludf.XLOOKUP(B171,MASTER_REGISTER!E:E,MASTER_REGISTER!F:F,""),"")</f>
        <v/>
      </c>
      <c r="D171" s="4" t="str">
        <f ca="1">IFERROR(_xludf.XLOOKUP(B171,MASTER_REGISTER!E:E,MASTER_REGISTER!C:C,""),"")</f>
        <v/>
      </c>
      <c r="E171" t="s">
        <v>823</v>
      </c>
      <c r="F171" t="s">
        <v>840</v>
      </c>
      <c r="G171" t="s">
        <v>855</v>
      </c>
      <c r="H171" s="4">
        <v>75.400000000000006</v>
      </c>
      <c r="I171" t="s">
        <v>852</v>
      </c>
    </row>
    <row r="172" spans="1:9" x14ac:dyDescent="0.3">
      <c r="A172" t="s">
        <v>137</v>
      </c>
      <c r="B172" t="s">
        <v>148</v>
      </c>
      <c r="C172" s="7" t="str">
        <f ca="1">IFERROR(_xludf.XLOOKUP(B172,MASTER_REGISTER!E:E,MASTER_REGISTER!F:F,""),"")</f>
        <v/>
      </c>
      <c r="D172" s="4" t="str">
        <f ca="1">IFERROR(_xludf.XLOOKUP(B172,MASTER_REGISTER!E:E,MASTER_REGISTER!C:C,""),"")</f>
        <v/>
      </c>
      <c r="E172" t="s">
        <v>837</v>
      </c>
      <c r="F172" t="s">
        <v>832</v>
      </c>
      <c r="G172" t="s">
        <v>848</v>
      </c>
      <c r="H172" s="4">
        <v>84.9</v>
      </c>
      <c r="I172" t="s">
        <v>834</v>
      </c>
    </row>
    <row r="173" spans="1:9" x14ac:dyDescent="0.3">
      <c r="A173" t="s">
        <v>172</v>
      </c>
      <c r="B173" t="s">
        <v>148</v>
      </c>
      <c r="C173" s="7" t="str">
        <f ca="1">IFERROR(_xludf.XLOOKUP(B173,MASTER_REGISTER!E:E,MASTER_REGISTER!F:F,""),"")</f>
        <v/>
      </c>
      <c r="D173" s="4" t="str">
        <f ca="1">IFERROR(_xludf.XLOOKUP(B173,MASTER_REGISTER!E:E,MASTER_REGISTER!C:C,""),"")</f>
        <v/>
      </c>
      <c r="E173" t="s">
        <v>823</v>
      </c>
      <c r="F173" t="s">
        <v>840</v>
      </c>
      <c r="G173" t="s">
        <v>828</v>
      </c>
      <c r="H173" s="4">
        <v>61.9</v>
      </c>
      <c r="I173" t="s">
        <v>862</v>
      </c>
    </row>
    <row r="174" spans="1:9" x14ac:dyDescent="0.3">
      <c r="A174" t="s">
        <v>869</v>
      </c>
      <c r="B174" t="s">
        <v>148</v>
      </c>
      <c r="C174" s="7" t="str">
        <f ca="1">IFERROR(_xludf.XLOOKUP(B174,MASTER_REGISTER!E:E,MASTER_REGISTER!F:F,""),"")</f>
        <v/>
      </c>
      <c r="D174" s="4" t="str">
        <f ca="1">IFERROR(_xludf.XLOOKUP(B174,MASTER_REGISTER!E:E,MASTER_REGISTER!C:C,""),"")</f>
        <v/>
      </c>
      <c r="E174" t="s">
        <v>823</v>
      </c>
      <c r="F174" t="s">
        <v>824</v>
      </c>
      <c r="G174" t="s">
        <v>828</v>
      </c>
      <c r="H174" s="4">
        <v>74.900000000000006</v>
      </c>
      <c r="I174" t="s">
        <v>826</v>
      </c>
    </row>
    <row r="175" spans="1:9" x14ac:dyDescent="0.3">
      <c r="A175" t="s">
        <v>835</v>
      </c>
      <c r="B175" t="s">
        <v>148</v>
      </c>
      <c r="C175" s="7" t="str">
        <f ca="1">IFERROR(_xludf.XLOOKUP(B175,MASTER_REGISTER!E:E,MASTER_REGISTER!F:F,""),"")</f>
        <v/>
      </c>
      <c r="D175" s="4" t="str">
        <f ca="1">IFERROR(_xludf.XLOOKUP(B175,MASTER_REGISTER!E:E,MASTER_REGISTER!C:C,""),"")</f>
        <v/>
      </c>
      <c r="E175" t="s">
        <v>843</v>
      </c>
      <c r="F175" t="s">
        <v>838</v>
      </c>
      <c r="G175" t="s">
        <v>828</v>
      </c>
      <c r="H175" s="4">
        <v>81.7</v>
      </c>
      <c r="I175" t="s">
        <v>849</v>
      </c>
    </row>
    <row r="176" spans="1:9" x14ac:dyDescent="0.3">
      <c r="A176" t="s">
        <v>549</v>
      </c>
      <c r="B176" t="s">
        <v>148</v>
      </c>
      <c r="C176" s="7" t="str">
        <f ca="1">IFERROR(_xludf.XLOOKUP(B176,MASTER_REGISTER!E:E,MASTER_REGISTER!F:F,""),"")</f>
        <v/>
      </c>
      <c r="D176" s="4" t="str">
        <f ca="1">IFERROR(_xludf.XLOOKUP(B176,MASTER_REGISTER!E:E,MASTER_REGISTER!C:C,""),"")</f>
        <v/>
      </c>
      <c r="E176" t="s">
        <v>823</v>
      </c>
      <c r="F176" t="s">
        <v>840</v>
      </c>
      <c r="G176" t="s">
        <v>850</v>
      </c>
      <c r="H176" s="4">
        <v>82.7</v>
      </c>
      <c r="I176" t="s">
        <v>849</v>
      </c>
    </row>
    <row r="177" spans="1:9" x14ac:dyDescent="0.3">
      <c r="A177" t="s">
        <v>373</v>
      </c>
      <c r="B177" t="s">
        <v>148</v>
      </c>
      <c r="C177" s="7" t="str">
        <f ca="1">IFERROR(_xludf.XLOOKUP(B177,MASTER_REGISTER!E:E,MASTER_REGISTER!F:F,""),"")</f>
        <v/>
      </c>
      <c r="D177" s="4" t="str">
        <f ca="1">IFERROR(_xludf.XLOOKUP(B177,MASTER_REGISTER!E:E,MASTER_REGISTER!C:C,""),"")</f>
        <v/>
      </c>
      <c r="E177" t="s">
        <v>843</v>
      </c>
      <c r="F177" t="s">
        <v>824</v>
      </c>
      <c r="G177" t="s">
        <v>828</v>
      </c>
      <c r="H177" s="4">
        <v>62.1</v>
      </c>
      <c r="I177" t="s">
        <v>852</v>
      </c>
    </row>
    <row r="178" spans="1:9" x14ac:dyDescent="0.3">
      <c r="A178" t="s">
        <v>868</v>
      </c>
      <c r="B178" t="s">
        <v>148</v>
      </c>
      <c r="C178" s="7" t="str">
        <f ca="1">IFERROR(_xludf.XLOOKUP(B178,MASTER_REGISTER!E:E,MASTER_REGISTER!F:F,""),"")</f>
        <v/>
      </c>
      <c r="D178" s="4" t="str">
        <f ca="1">IFERROR(_xludf.XLOOKUP(B178,MASTER_REGISTER!E:E,MASTER_REGISTER!C:C,""),"")</f>
        <v/>
      </c>
      <c r="E178" t="s">
        <v>831</v>
      </c>
      <c r="F178" t="s">
        <v>824</v>
      </c>
      <c r="G178" t="s">
        <v>825</v>
      </c>
      <c r="H178" s="4">
        <v>78.2</v>
      </c>
      <c r="I178" t="s">
        <v>862</v>
      </c>
    </row>
    <row r="179" spans="1:9" x14ac:dyDescent="0.3">
      <c r="A179" t="s">
        <v>853</v>
      </c>
      <c r="B179" t="s">
        <v>148</v>
      </c>
      <c r="C179" s="7" t="str">
        <f ca="1">IFERROR(_xludf.XLOOKUP(B179,MASTER_REGISTER!E:E,MASTER_REGISTER!F:F,""),"")</f>
        <v/>
      </c>
      <c r="D179" s="4" t="str">
        <f ca="1">IFERROR(_xludf.XLOOKUP(B179,MASTER_REGISTER!E:E,MASTER_REGISTER!C:C,""),"")</f>
        <v/>
      </c>
      <c r="E179" t="s">
        <v>823</v>
      </c>
      <c r="F179" t="s">
        <v>840</v>
      </c>
      <c r="G179" t="s">
        <v>850</v>
      </c>
      <c r="H179" s="4">
        <v>72.3</v>
      </c>
      <c r="I179" t="s">
        <v>852</v>
      </c>
    </row>
    <row r="180" spans="1:9" x14ac:dyDescent="0.3">
      <c r="A180" t="s">
        <v>853</v>
      </c>
      <c r="B180" t="s">
        <v>148</v>
      </c>
      <c r="C180" s="7" t="str">
        <f ca="1">IFERROR(_xludf.XLOOKUP(B180,MASTER_REGISTER!E:E,MASTER_REGISTER!F:F,""),"")</f>
        <v/>
      </c>
      <c r="D180" s="4" t="str">
        <f ca="1">IFERROR(_xludf.XLOOKUP(B180,MASTER_REGISTER!E:E,MASTER_REGISTER!C:C,""),"")</f>
        <v/>
      </c>
      <c r="E180" t="s">
        <v>831</v>
      </c>
      <c r="F180" t="s">
        <v>824</v>
      </c>
      <c r="G180" t="s">
        <v>855</v>
      </c>
      <c r="H180" s="4">
        <v>88.6</v>
      </c>
      <c r="I180" t="s">
        <v>826</v>
      </c>
    </row>
    <row r="181" spans="1:9" x14ac:dyDescent="0.3">
      <c r="A181" t="s">
        <v>866</v>
      </c>
      <c r="B181" t="s">
        <v>148</v>
      </c>
      <c r="C181" s="7" t="str">
        <f ca="1">IFERROR(_xludf.XLOOKUP(B181,MASTER_REGISTER!E:E,MASTER_REGISTER!F:F,""),"")</f>
        <v/>
      </c>
      <c r="D181" s="4" t="str">
        <f ca="1">IFERROR(_xludf.XLOOKUP(B181,MASTER_REGISTER!E:E,MASTER_REGISTER!C:C,""),"")</f>
        <v/>
      </c>
      <c r="E181" t="s">
        <v>843</v>
      </c>
      <c r="F181" t="s">
        <v>840</v>
      </c>
      <c r="G181" t="s">
        <v>845</v>
      </c>
      <c r="H181" s="4">
        <v>60.7</v>
      </c>
      <c r="I181" t="s">
        <v>826</v>
      </c>
    </row>
    <row r="182" spans="1:9" x14ac:dyDescent="0.3">
      <c r="A182" t="s">
        <v>172</v>
      </c>
      <c r="B182" t="s">
        <v>153</v>
      </c>
      <c r="C182" s="7" t="str">
        <f ca="1">IFERROR(_xludf.XLOOKUP(B182,MASTER_REGISTER!E:E,MASTER_REGISTER!F:F,""),"")</f>
        <v/>
      </c>
      <c r="D182" s="4" t="str">
        <f ca="1">IFERROR(_xludf.XLOOKUP(B182,MASTER_REGISTER!E:E,MASTER_REGISTER!C:C,""),"")</f>
        <v/>
      </c>
      <c r="E182" t="s">
        <v>823</v>
      </c>
      <c r="F182" t="s">
        <v>824</v>
      </c>
      <c r="G182" t="s">
        <v>833</v>
      </c>
      <c r="H182" s="4">
        <v>90.4</v>
      </c>
      <c r="I182" t="s">
        <v>849</v>
      </c>
    </row>
    <row r="183" spans="1:9" x14ac:dyDescent="0.3">
      <c r="A183" t="s">
        <v>861</v>
      </c>
      <c r="B183" t="s">
        <v>153</v>
      </c>
      <c r="C183" s="7" t="str">
        <f ca="1">IFERROR(_xludf.XLOOKUP(B183,MASTER_REGISTER!E:E,MASTER_REGISTER!F:F,""),"")</f>
        <v/>
      </c>
      <c r="D183" s="4" t="str">
        <f ca="1">IFERROR(_xludf.XLOOKUP(B183,MASTER_REGISTER!E:E,MASTER_REGISTER!C:C,""),"")</f>
        <v/>
      </c>
      <c r="E183" t="s">
        <v>837</v>
      </c>
      <c r="F183" t="s">
        <v>840</v>
      </c>
      <c r="G183" t="s">
        <v>841</v>
      </c>
      <c r="H183" s="4">
        <v>77.400000000000006</v>
      </c>
      <c r="I183" t="s">
        <v>844</v>
      </c>
    </row>
    <row r="184" spans="1:9" x14ac:dyDescent="0.3">
      <c r="A184" t="s">
        <v>830</v>
      </c>
      <c r="B184" t="s">
        <v>153</v>
      </c>
      <c r="C184" s="7" t="str">
        <f ca="1">IFERROR(_xludf.XLOOKUP(B184,MASTER_REGISTER!E:E,MASTER_REGISTER!F:F,""),"")</f>
        <v/>
      </c>
      <c r="D184" s="4" t="str">
        <f ca="1">IFERROR(_xludf.XLOOKUP(B184,MASTER_REGISTER!E:E,MASTER_REGISTER!C:C,""),"")</f>
        <v/>
      </c>
      <c r="E184" t="s">
        <v>837</v>
      </c>
      <c r="F184" t="s">
        <v>840</v>
      </c>
      <c r="G184" t="s">
        <v>841</v>
      </c>
      <c r="H184" s="4">
        <v>60.6</v>
      </c>
      <c r="I184" t="s">
        <v>862</v>
      </c>
    </row>
    <row r="185" spans="1:9" x14ac:dyDescent="0.3">
      <c r="A185" t="s">
        <v>835</v>
      </c>
      <c r="B185" t="s">
        <v>153</v>
      </c>
      <c r="C185" s="7" t="str">
        <f ca="1">IFERROR(_xludf.XLOOKUP(B185,MASTER_REGISTER!E:E,MASTER_REGISTER!F:F,""),"")</f>
        <v/>
      </c>
      <c r="D185" s="4" t="str">
        <f ca="1">IFERROR(_xludf.XLOOKUP(B185,MASTER_REGISTER!E:E,MASTER_REGISTER!C:C,""),"")</f>
        <v/>
      </c>
      <c r="E185" t="s">
        <v>831</v>
      </c>
      <c r="F185" t="s">
        <v>824</v>
      </c>
      <c r="G185" t="s">
        <v>841</v>
      </c>
      <c r="H185" s="4">
        <v>55.3</v>
      </c>
      <c r="I185" t="s">
        <v>846</v>
      </c>
    </row>
    <row r="186" spans="1:9" x14ac:dyDescent="0.3">
      <c r="A186" t="s">
        <v>504</v>
      </c>
      <c r="B186" t="s">
        <v>153</v>
      </c>
      <c r="C186" s="7" t="str">
        <f ca="1">IFERROR(_xludf.XLOOKUP(B186,MASTER_REGISTER!E:E,MASTER_REGISTER!F:F,""),"")</f>
        <v/>
      </c>
      <c r="D186" s="4" t="str">
        <f ca="1">IFERROR(_xludf.XLOOKUP(B186,MASTER_REGISTER!E:E,MASTER_REGISTER!C:C,""),"")</f>
        <v/>
      </c>
      <c r="E186" t="s">
        <v>837</v>
      </c>
      <c r="F186" t="s">
        <v>838</v>
      </c>
      <c r="G186" t="s">
        <v>836</v>
      </c>
      <c r="H186" s="4">
        <v>69.7</v>
      </c>
      <c r="I186" t="s">
        <v>852</v>
      </c>
    </row>
    <row r="187" spans="1:9" x14ac:dyDescent="0.3">
      <c r="A187" t="s">
        <v>504</v>
      </c>
      <c r="B187" t="s">
        <v>153</v>
      </c>
      <c r="C187" s="7" t="str">
        <f ca="1">IFERROR(_xludf.XLOOKUP(B187,MASTER_REGISTER!E:E,MASTER_REGISTER!F:F,""),"")</f>
        <v/>
      </c>
      <c r="D187" s="4" t="str">
        <f ca="1">IFERROR(_xludf.XLOOKUP(B187,MASTER_REGISTER!E:E,MASTER_REGISTER!C:C,""),"")</f>
        <v/>
      </c>
      <c r="E187" t="s">
        <v>823</v>
      </c>
      <c r="F187" t="s">
        <v>838</v>
      </c>
      <c r="G187" t="s">
        <v>828</v>
      </c>
      <c r="H187" s="4">
        <v>79.5</v>
      </c>
      <c r="I187" t="s">
        <v>852</v>
      </c>
    </row>
    <row r="188" spans="1:9" x14ac:dyDescent="0.3">
      <c r="A188" t="s">
        <v>868</v>
      </c>
      <c r="B188" t="s">
        <v>153</v>
      </c>
      <c r="C188" s="7" t="str">
        <f ca="1">IFERROR(_xludf.XLOOKUP(B188,MASTER_REGISTER!E:E,MASTER_REGISTER!F:F,""),"")</f>
        <v/>
      </c>
      <c r="D188" s="4" t="str">
        <f ca="1">IFERROR(_xludf.XLOOKUP(B188,MASTER_REGISTER!E:E,MASTER_REGISTER!C:C,""),"")</f>
        <v/>
      </c>
      <c r="E188" t="s">
        <v>831</v>
      </c>
      <c r="F188" t="s">
        <v>838</v>
      </c>
      <c r="G188" t="s">
        <v>841</v>
      </c>
      <c r="H188" s="4">
        <v>84.8</v>
      </c>
      <c r="I188" t="s">
        <v>852</v>
      </c>
    </row>
    <row r="189" spans="1:9" x14ac:dyDescent="0.3">
      <c r="A189" t="s">
        <v>868</v>
      </c>
      <c r="B189" t="s">
        <v>153</v>
      </c>
      <c r="C189" s="7" t="str">
        <f ca="1">IFERROR(_xludf.XLOOKUP(B189,MASTER_REGISTER!E:E,MASTER_REGISTER!F:F,""),"")</f>
        <v/>
      </c>
      <c r="D189" s="4" t="str">
        <f ca="1">IFERROR(_xludf.XLOOKUP(B189,MASTER_REGISTER!E:E,MASTER_REGISTER!C:C,""),"")</f>
        <v/>
      </c>
      <c r="E189" t="s">
        <v>843</v>
      </c>
      <c r="F189" t="s">
        <v>838</v>
      </c>
      <c r="G189" t="s">
        <v>850</v>
      </c>
      <c r="H189" s="4">
        <v>59.3</v>
      </c>
      <c r="I189" t="s">
        <v>846</v>
      </c>
    </row>
    <row r="190" spans="1:9" x14ac:dyDescent="0.3">
      <c r="A190" t="s">
        <v>865</v>
      </c>
      <c r="B190" t="s">
        <v>153</v>
      </c>
      <c r="C190" s="7" t="str">
        <f ca="1">IFERROR(_xludf.XLOOKUP(B190,MASTER_REGISTER!E:E,MASTER_REGISTER!F:F,""),"")</f>
        <v/>
      </c>
      <c r="D190" s="4" t="str">
        <f ca="1">IFERROR(_xludf.XLOOKUP(B190,MASTER_REGISTER!E:E,MASTER_REGISTER!C:C,""),"")</f>
        <v/>
      </c>
      <c r="E190" t="s">
        <v>843</v>
      </c>
      <c r="F190" t="s">
        <v>838</v>
      </c>
      <c r="G190" t="s">
        <v>845</v>
      </c>
      <c r="H190" s="4">
        <v>78.099999999999994</v>
      </c>
      <c r="I190" t="s">
        <v>846</v>
      </c>
    </row>
    <row r="191" spans="1:9" x14ac:dyDescent="0.3">
      <c r="A191" t="s">
        <v>847</v>
      </c>
      <c r="B191" t="s">
        <v>153</v>
      </c>
      <c r="C191" s="7" t="str">
        <f ca="1">IFERROR(_xludf.XLOOKUP(B191,MASTER_REGISTER!E:E,MASTER_REGISTER!F:F,""),"")</f>
        <v/>
      </c>
      <c r="D191" s="4" t="str">
        <f ca="1">IFERROR(_xludf.XLOOKUP(B191,MASTER_REGISTER!E:E,MASTER_REGISTER!C:C,""),"")</f>
        <v/>
      </c>
      <c r="E191" t="s">
        <v>831</v>
      </c>
      <c r="F191" t="s">
        <v>824</v>
      </c>
      <c r="G191" t="s">
        <v>828</v>
      </c>
      <c r="H191" s="4">
        <v>70.7</v>
      </c>
      <c r="I191" t="s">
        <v>846</v>
      </c>
    </row>
    <row r="192" spans="1:9" x14ac:dyDescent="0.3">
      <c r="A192" t="s">
        <v>869</v>
      </c>
      <c r="B192" t="s">
        <v>158</v>
      </c>
      <c r="C192" s="7" t="str">
        <f ca="1">IFERROR(_xludf.XLOOKUP(B192,MASTER_REGISTER!E:E,MASTER_REGISTER!F:F,""),"")</f>
        <v/>
      </c>
      <c r="D192" s="4" t="str">
        <f ca="1">IFERROR(_xludf.XLOOKUP(B192,MASTER_REGISTER!E:E,MASTER_REGISTER!C:C,""),"")</f>
        <v/>
      </c>
      <c r="E192" t="s">
        <v>831</v>
      </c>
      <c r="F192" t="s">
        <v>824</v>
      </c>
      <c r="G192" t="s">
        <v>841</v>
      </c>
      <c r="H192" s="4">
        <v>57.3</v>
      </c>
      <c r="I192" t="s">
        <v>862</v>
      </c>
    </row>
    <row r="193" spans="1:9" x14ac:dyDescent="0.3">
      <c r="A193" t="s">
        <v>433</v>
      </c>
      <c r="B193" t="s">
        <v>158</v>
      </c>
      <c r="C193" s="7" t="str">
        <f ca="1">IFERROR(_xludf.XLOOKUP(B193,MASTER_REGISTER!E:E,MASTER_REGISTER!F:F,""),"")</f>
        <v/>
      </c>
      <c r="D193" s="4" t="str">
        <f ca="1">IFERROR(_xludf.XLOOKUP(B193,MASTER_REGISTER!E:E,MASTER_REGISTER!C:C,""),"")</f>
        <v/>
      </c>
      <c r="E193" t="s">
        <v>837</v>
      </c>
      <c r="F193" t="s">
        <v>832</v>
      </c>
      <c r="G193" t="s">
        <v>850</v>
      </c>
      <c r="H193" s="4">
        <v>49.4</v>
      </c>
      <c r="I193" t="s">
        <v>862</v>
      </c>
    </row>
    <row r="194" spans="1:9" x14ac:dyDescent="0.3">
      <c r="A194" t="s">
        <v>870</v>
      </c>
      <c r="B194" t="s">
        <v>158</v>
      </c>
      <c r="C194" s="7" t="str">
        <f ca="1">IFERROR(_xludf.XLOOKUP(B194,MASTER_REGISTER!E:E,MASTER_REGISTER!F:F,""),"")</f>
        <v/>
      </c>
      <c r="D194" s="4" t="str">
        <f ca="1">IFERROR(_xludf.XLOOKUP(B194,MASTER_REGISTER!E:E,MASTER_REGISTER!C:C,""),"")</f>
        <v/>
      </c>
      <c r="E194" t="s">
        <v>823</v>
      </c>
      <c r="F194" t="s">
        <v>838</v>
      </c>
      <c r="G194" t="s">
        <v>855</v>
      </c>
      <c r="H194" s="4">
        <v>58.2</v>
      </c>
      <c r="I194" t="s">
        <v>829</v>
      </c>
    </row>
    <row r="195" spans="1:9" x14ac:dyDescent="0.3">
      <c r="A195" t="s">
        <v>549</v>
      </c>
      <c r="B195" t="s">
        <v>158</v>
      </c>
      <c r="C195" s="7" t="str">
        <f ca="1">IFERROR(_xludf.XLOOKUP(B195,MASTER_REGISTER!E:E,MASTER_REGISTER!F:F,""),"")</f>
        <v/>
      </c>
      <c r="D195" s="4" t="str">
        <f ca="1">IFERROR(_xludf.XLOOKUP(B195,MASTER_REGISTER!E:E,MASTER_REGISTER!C:C,""),"")</f>
        <v/>
      </c>
      <c r="E195" t="s">
        <v>843</v>
      </c>
      <c r="F195" t="s">
        <v>840</v>
      </c>
      <c r="G195" t="s">
        <v>828</v>
      </c>
      <c r="H195" s="4">
        <v>64.8</v>
      </c>
      <c r="I195" t="s">
        <v>826</v>
      </c>
    </row>
    <row r="196" spans="1:9" x14ac:dyDescent="0.3">
      <c r="A196" t="s">
        <v>504</v>
      </c>
      <c r="B196" t="s">
        <v>158</v>
      </c>
      <c r="C196" s="7" t="str">
        <f ca="1">IFERROR(_xludf.XLOOKUP(B196,MASTER_REGISTER!E:E,MASTER_REGISTER!F:F,""),"")</f>
        <v/>
      </c>
      <c r="D196" s="4" t="str">
        <f ca="1">IFERROR(_xludf.XLOOKUP(B196,MASTER_REGISTER!E:E,MASTER_REGISTER!C:C,""),"")</f>
        <v/>
      </c>
      <c r="E196" t="s">
        <v>837</v>
      </c>
      <c r="F196" t="s">
        <v>832</v>
      </c>
      <c r="G196" t="s">
        <v>841</v>
      </c>
      <c r="H196" s="4">
        <v>58</v>
      </c>
      <c r="I196" t="s">
        <v>849</v>
      </c>
    </row>
    <row r="197" spans="1:9" x14ac:dyDescent="0.3">
      <c r="A197" t="s">
        <v>372</v>
      </c>
      <c r="B197" t="s">
        <v>158</v>
      </c>
      <c r="C197" s="7" t="str">
        <f ca="1">IFERROR(_xludf.XLOOKUP(B197,MASTER_REGISTER!E:E,MASTER_REGISTER!F:F,""),"")</f>
        <v/>
      </c>
      <c r="D197" s="4" t="str">
        <f ca="1">IFERROR(_xludf.XLOOKUP(B197,MASTER_REGISTER!E:E,MASTER_REGISTER!C:C,""),"")</f>
        <v/>
      </c>
      <c r="E197" t="s">
        <v>837</v>
      </c>
      <c r="F197" t="s">
        <v>838</v>
      </c>
      <c r="G197" t="s">
        <v>825</v>
      </c>
      <c r="H197" s="4">
        <v>55.7</v>
      </c>
      <c r="I197" t="s">
        <v>826</v>
      </c>
    </row>
    <row r="198" spans="1:9" x14ac:dyDescent="0.3">
      <c r="A198" t="s">
        <v>372</v>
      </c>
      <c r="B198" t="s">
        <v>158</v>
      </c>
      <c r="C198" s="7" t="str">
        <f ca="1">IFERROR(_xludf.XLOOKUP(B198,MASTER_REGISTER!E:E,MASTER_REGISTER!F:F,""),"")</f>
        <v/>
      </c>
      <c r="D198" s="4" t="str">
        <f ca="1">IFERROR(_xludf.XLOOKUP(B198,MASTER_REGISTER!E:E,MASTER_REGISTER!C:C,""),"")</f>
        <v/>
      </c>
      <c r="E198" t="s">
        <v>831</v>
      </c>
      <c r="F198" t="s">
        <v>832</v>
      </c>
      <c r="G198" t="s">
        <v>848</v>
      </c>
      <c r="H198" s="4">
        <v>57</v>
      </c>
      <c r="I198" t="s">
        <v>834</v>
      </c>
    </row>
    <row r="199" spans="1:9" x14ac:dyDescent="0.3">
      <c r="A199" t="s">
        <v>866</v>
      </c>
      <c r="B199" t="s">
        <v>158</v>
      </c>
      <c r="C199" s="7" t="str">
        <f ca="1">IFERROR(_xludf.XLOOKUP(B199,MASTER_REGISTER!E:E,MASTER_REGISTER!F:F,""),"")</f>
        <v/>
      </c>
      <c r="D199" s="4" t="str">
        <f ca="1">IFERROR(_xludf.XLOOKUP(B199,MASTER_REGISTER!E:E,MASTER_REGISTER!C:C,""),"")</f>
        <v/>
      </c>
      <c r="E199" t="s">
        <v>837</v>
      </c>
      <c r="F199" t="s">
        <v>840</v>
      </c>
      <c r="G199" t="s">
        <v>860</v>
      </c>
      <c r="H199" s="4">
        <v>76.599999999999994</v>
      </c>
      <c r="I199" t="s">
        <v>829</v>
      </c>
    </row>
    <row r="200" spans="1:9" x14ac:dyDescent="0.3">
      <c r="A200" t="s">
        <v>866</v>
      </c>
      <c r="B200" t="s">
        <v>158</v>
      </c>
      <c r="C200" s="7" t="str">
        <f ca="1">IFERROR(_xludf.XLOOKUP(B200,MASTER_REGISTER!E:E,MASTER_REGISTER!F:F,""),"")</f>
        <v/>
      </c>
      <c r="D200" s="4" t="str">
        <f ca="1">IFERROR(_xludf.XLOOKUP(B200,MASTER_REGISTER!E:E,MASTER_REGISTER!C:C,""),"")</f>
        <v/>
      </c>
      <c r="E200" t="s">
        <v>837</v>
      </c>
      <c r="F200" t="s">
        <v>840</v>
      </c>
      <c r="G200" t="s">
        <v>828</v>
      </c>
      <c r="H200" s="4">
        <v>79</v>
      </c>
      <c r="I200" t="s">
        <v>852</v>
      </c>
    </row>
    <row r="201" spans="1:9" x14ac:dyDescent="0.3">
      <c r="A201" t="s">
        <v>847</v>
      </c>
      <c r="B201" t="s">
        <v>158</v>
      </c>
      <c r="C201" s="7" t="str">
        <f ca="1">IFERROR(_xludf.XLOOKUP(B201,MASTER_REGISTER!E:E,MASTER_REGISTER!F:F,""),"")</f>
        <v/>
      </c>
      <c r="D201" s="4" t="str">
        <f ca="1">IFERROR(_xludf.XLOOKUP(B201,MASTER_REGISTER!E:E,MASTER_REGISTER!C:C,""),"")</f>
        <v/>
      </c>
      <c r="E201" t="s">
        <v>831</v>
      </c>
      <c r="F201" t="s">
        <v>832</v>
      </c>
      <c r="G201" t="s">
        <v>833</v>
      </c>
      <c r="H201" s="4">
        <v>68.8</v>
      </c>
      <c r="I201" t="s">
        <v>862</v>
      </c>
    </row>
    <row r="202" spans="1:9" x14ac:dyDescent="0.3">
      <c r="A202" t="s">
        <v>869</v>
      </c>
      <c r="B202" t="s">
        <v>163</v>
      </c>
      <c r="C202" s="7" t="str">
        <f ca="1">IFERROR(_xludf.XLOOKUP(B202,MASTER_REGISTER!E:E,MASTER_REGISTER!F:F,""),"")</f>
        <v/>
      </c>
      <c r="D202" s="4" t="str">
        <f ca="1">IFERROR(_xludf.XLOOKUP(B202,MASTER_REGISTER!E:E,MASTER_REGISTER!C:C,""),"")</f>
        <v/>
      </c>
      <c r="E202" t="s">
        <v>843</v>
      </c>
      <c r="F202" t="s">
        <v>840</v>
      </c>
      <c r="G202" t="s">
        <v>850</v>
      </c>
      <c r="H202" s="4">
        <v>43.8</v>
      </c>
      <c r="I202" t="s">
        <v>849</v>
      </c>
    </row>
    <row r="203" spans="1:9" x14ac:dyDescent="0.3">
      <c r="A203" t="s">
        <v>433</v>
      </c>
      <c r="B203" t="s">
        <v>163</v>
      </c>
      <c r="C203" s="7" t="str">
        <f ca="1">IFERROR(_xludf.XLOOKUP(B203,MASTER_REGISTER!E:E,MASTER_REGISTER!F:F,""),"")</f>
        <v/>
      </c>
      <c r="D203" s="4" t="str">
        <f ca="1">IFERROR(_xludf.XLOOKUP(B203,MASTER_REGISTER!E:E,MASTER_REGISTER!C:C,""),"")</f>
        <v/>
      </c>
      <c r="E203" t="s">
        <v>843</v>
      </c>
      <c r="F203" t="s">
        <v>840</v>
      </c>
      <c r="G203" t="s">
        <v>836</v>
      </c>
      <c r="H203" s="4">
        <v>57</v>
      </c>
      <c r="I203" t="s">
        <v>862</v>
      </c>
    </row>
    <row r="204" spans="1:9" x14ac:dyDescent="0.3">
      <c r="A204" t="s">
        <v>830</v>
      </c>
      <c r="B204" t="s">
        <v>163</v>
      </c>
      <c r="C204" s="7" t="str">
        <f ca="1">IFERROR(_xludf.XLOOKUP(B204,MASTER_REGISTER!E:E,MASTER_REGISTER!F:F,""),"")</f>
        <v/>
      </c>
      <c r="D204" s="4" t="str">
        <f ca="1">IFERROR(_xludf.XLOOKUP(B204,MASTER_REGISTER!E:E,MASTER_REGISTER!C:C,""),"")</f>
        <v/>
      </c>
      <c r="E204" t="s">
        <v>823</v>
      </c>
      <c r="F204" t="s">
        <v>824</v>
      </c>
      <c r="G204" t="s">
        <v>841</v>
      </c>
      <c r="H204" s="4">
        <v>62.9</v>
      </c>
      <c r="I204" t="s">
        <v>862</v>
      </c>
    </row>
    <row r="205" spans="1:9" x14ac:dyDescent="0.3">
      <c r="A205" t="s">
        <v>863</v>
      </c>
      <c r="B205" t="s">
        <v>163</v>
      </c>
      <c r="C205" s="7" t="str">
        <f ca="1">IFERROR(_xludf.XLOOKUP(B205,MASTER_REGISTER!E:E,MASTER_REGISTER!F:F,""),"")</f>
        <v/>
      </c>
      <c r="D205" s="4" t="str">
        <f ca="1">IFERROR(_xludf.XLOOKUP(B205,MASTER_REGISTER!E:E,MASTER_REGISTER!C:C,""),"")</f>
        <v/>
      </c>
      <c r="E205" t="s">
        <v>843</v>
      </c>
      <c r="F205" t="s">
        <v>832</v>
      </c>
      <c r="G205" t="s">
        <v>825</v>
      </c>
      <c r="H205" s="4">
        <v>82.5</v>
      </c>
      <c r="I205" t="s">
        <v>846</v>
      </c>
    </row>
    <row r="206" spans="1:9" x14ac:dyDescent="0.3">
      <c r="A206" t="s">
        <v>851</v>
      </c>
      <c r="B206" t="s">
        <v>163</v>
      </c>
      <c r="C206" s="7" t="str">
        <f ca="1">IFERROR(_xludf.XLOOKUP(B206,MASTER_REGISTER!E:E,MASTER_REGISTER!F:F,""),"")</f>
        <v/>
      </c>
      <c r="D206" s="4" t="str">
        <f ca="1">IFERROR(_xludf.XLOOKUP(B206,MASTER_REGISTER!E:E,MASTER_REGISTER!C:C,""),"")</f>
        <v/>
      </c>
      <c r="E206" t="s">
        <v>837</v>
      </c>
      <c r="F206" t="s">
        <v>824</v>
      </c>
      <c r="G206" t="s">
        <v>855</v>
      </c>
      <c r="H206" s="4">
        <v>74.900000000000006</v>
      </c>
      <c r="I206" t="s">
        <v>852</v>
      </c>
    </row>
    <row r="207" spans="1:9" x14ac:dyDescent="0.3">
      <c r="A207" t="s">
        <v>851</v>
      </c>
      <c r="B207" t="s">
        <v>163</v>
      </c>
      <c r="C207" s="7" t="str">
        <f ca="1">IFERROR(_xludf.XLOOKUP(B207,MASTER_REGISTER!E:E,MASTER_REGISTER!F:F,""),"")</f>
        <v/>
      </c>
      <c r="D207" s="4" t="str">
        <f ca="1">IFERROR(_xludf.XLOOKUP(B207,MASTER_REGISTER!E:E,MASTER_REGISTER!C:C,""),"")</f>
        <v/>
      </c>
      <c r="E207" t="s">
        <v>831</v>
      </c>
      <c r="F207" t="s">
        <v>838</v>
      </c>
      <c r="G207" t="s">
        <v>867</v>
      </c>
      <c r="H207" s="4">
        <v>56.3</v>
      </c>
      <c r="I207" t="s">
        <v>849</v>
      </c>
    </row>
    <row r="208" spans="1:9" x14ac:dyDescent="0.3">
      <c r="A208" t="s">
        <v>370</v>
      </c>
      <c r="B208" t="s">
        <v>163</v>
      </c>
      <c r="C208" s="7" t="str">
        <f ca="1">IFERROR(_xludf.XLOOKUP(B208,MASTER_REGISTER!E:E,MASTER_REGISTER!F:F,""),"")</f>
        <v/>
      </c>
      <c r="D208" s="4" t="str">
        <f ca="1">IFERROR(_xludf.XLOOKUP(B208,MASTER_REGISTER!E:E,MASTER_REGISTER!C:C,""),"")</f>
        <v/>
      </c>
      <c r="E208" t="s">
        <v>823</v>
      </c>
      <c r="F208" t="s">
        <v>832</v>
      </c>
      <c r="G208" t="s">
        <v>836</v>
      </c>
      <c r="H208" s="4">
        <v>36.200000000000003</v>
      </c>
      <c r="I208" t="s">
        <v>844</v>
      </c>
    </row>
    <row r="209" spans="1:9" x14ac:dyDescent="0.3">
      <c r="A209" t="s">
        <v>418</v>
      </c>
      <c r="B209" t="s">
        <v>163</v>
      </c>
      <c r="C209" s="7" t="str">
        <f ca="1">IFERROR(_xludf.XLOOKUP(B209,MASTER_REGISTER!E:E,MASTER_REGISTER!F:F,""),"")</f>
        <v/>
      </c>
      <c r="D209" s="4" t="str">
        <f ca="1">IFERROR(_xludf.XLOOKUP(B209,MASTER_REGISTER!E:E,MASTER_REGISTER!C:C,""),"")</f>
        <v/>
      </c>
      <c r="E209" t="s">
        <v>831</v>
      </c>
      <c r="F209" t="s">
        <v>840</v>
      </c>
      <c r="G209" t="s">
        <v>836</v>
      </c>
      <c r="H209" s="4">
        <v>69.400000000000006</v>
      </c>
      <c r="I209" t="s">
        <v>862</v>
      </c>
    </row>
    <row r="210" spans="1:9" x14ac:dyDescent="0.3">
      <c r="A210" t="s">
        <v>865</v>
      </c>
      <c r="B210" t="s">
        <v>163</v>
      </c>
      <c r="C210" s="7" t="str">
        <f ca="1">IFERROR(_xludf.XLOOKUP(B210,MASTER_REGISTER!E:E,MASTER_REGISTER!F:F,""),"")</f>
        <v/>
      </c>
      <c r="D210" s="4" t="str">
        <f ca="1">IFERROR(_xludf.XLOOKUP(B210,MASTER_REGISTER!E:E,MASTER_REGISTER!C:C,""),"")</f>
        <v/>
      </c>
      <c r="E210" t="s">
        <v>823</v>
      </c>
      <c r="F210" t="s">
        <v>824</v>
      </c>
      <c r="G210" t="s">
        <v>848</v>
      </c>
      <c r="H210" s="4">
        <v>67.8</v>
      </c>
      <c r="I210" t="s">
        <v>852</v>
      </c>
    </row>
    <row r="211" spans="1:9" x14ac:dyDescent="0.3">
      <c r="A211" t="s">
        <v>865</v>
      </c>
      <c r="B211" t="s">
        <v>163</v>
      </c>
      <c r="C211" s="7" t="str">
        <f ca="1">IFERROR(_xludf.XLOOKUP(B211,MASTER_REGISTER!E:E,MASTER_REGISTER!F:F,""),"")</f>
        <v/>
      </c>
      <c r="D211" s="4" t="str">
        <f ca="1">IFERROR(_xludf.XLOOKUP(B211,MASTER_REGISTER!E:E,MASTER_REGISTER!C:C,""),"")</f>
        <v/>
      </c>
      <c r="E211" t="s">
        <v>843</v>
      </c>
      <c r="F211" t="s">
        <v>832</v>
      </c>
      <c r="G211" t="s">
        <v>860</v>
      </c>
      <c r="H211" s="4">
        <v>65.8</v>
      </c>
      <c r="I211" t="s">
        <v>844</v>
      </c>
    </row>
    <row r="212" spans="1:9" x14ac:dyDescent="0.3">
      <c r="A212" t="s">
        <v>172</v>
      </c>
      <c r="B212" t="s">
        <v>168</v>
      </c>
      <c r="C212" s="7" t="str">
        <f ca="1">IFERROR(_xludf.XLOOKUP(B212,MASTER_REGISTER!E:E,MASTER_REGISTER!F:F,""),"")</f>
        <v/>
      </c>
      <c r="D212" s="4" t="str">
        <f ca="1">IFERROR(_xludf.XLOOKUP(B212,MASTER_REGISTER!E:E,MASTER_REGISTER!C:C,""),"")</f>
        <v/>
      </c>
      <c r="E212" t="s">
        <v>837</v>
      </c>
      <c r="F212" t="s">
        <v>824</v>
      </c>
      <c r="G212" t="s">
        <v>845</v>
      </c>
      <c r="H212" s="4">
        <v>57.1</v>
      </c>
      <c r="I212" t="s">
        <v>846</v>
      </c>
    </row>
    <row r="213" spans="1:9" x14ac:dyDescent="0.3">
      <c r="A213" t="s">
        <v>861</v>
      </c>
      <c r="B213" t="s">
        <v>168</v>
      </c>
      <c r="C213" s="7" t="str">
        <f ca="1">IFERROR(_xludf.XLOOKUP(B213,MASTER_REGISTER!E:E,MASTER_REGISTER!F:F,""),"")</f>
        <v/>
      </c>
      <c r="D213" s="4" t="str">
        <f ca="1">IFERROR(_xludf.XLOOKUP(B213,MASTER_REGISTER!E:E,MASTER_REGISTER!C:C,""),"")</f>
        <v/>
      </c>
      <c r="E213" t="s">
        <v>823</v>
      </c>
      <c r="F213" t="s">
        <v>838</v>
      </c>
      <c r="G213" t="s">
        <v>848</v>
      </c>
      <c r="H213" s="4">
        <v>65.599999999999994</v>
      </c>
      <c r="I213" t="s">
        <v>852</v>
      </c>
    </row>
    <row r="214" spans="1:9" x14ac:dyDescent="0.3">
      <c r="A214" t="s">
        <v>433</v>
      </c>
      <c r="B214" t="s">
        <v>168</v>
      </c>
      <c r="C214" s="7" t="str">
        <f ca="1">IFERROR(_xludf.XLOOKUP(B214,MASTER_REGISTER!E:E,MASTER_REGISTER!F:F,""),"")</f>
        <v/>
      </c>
      <c r="D214" s="4" t="str">
        <f ca="1">IFERROR(_xludf.XLOOKUP(B214,MASTER_REGISTER!E:E,MASTER_REGISTER!C:C,""),"")</f>
        <v/>
      </c>
      <c r="E214" t="s">
        <v>837</v>
      </c>
      <c r="F214" t="s">
        <v>840</v>
      </c>
      <c r="G214" t="s">
        <v>859</v>
      </c>
      <c r="H214" s="4">
        <v>53.8</v>
      </c>
      <c r="I214" t="s">
        <v>826</v>
      </c>
    </row>
    <row r="215" spans="1:9" x14ac:dyDescent="0.3">
      <c r="A215" t="s">
        <v>870</v>
      </c>
      <c r="B215" t="s">
        <v>168</v>
      </c>
      <c r="C215" s="7" t="str">
        <f ca="1">IFERROR(_xludf.XLOOKUP(B215,MASTER_REGISTER!E:E,MASTER_REGISTER!F:F,""),"")</f>
        <v/>
      </c>
      <c r="D215" s="4" t="str">
        <f ca="1">IFERROR(_xludf.XLOOKUP(B215,MASTER_REGISTER!E:E,MASTER_REGISTER!C:C,""),"")</f>
        <v/>
      </c>
      <c r="E215" t="s">
        <v>843</v>
      </c>
      <c r="F215" t="s">
        <v>838</v>
      </c>
      <c r="G215" t="s">
        <v>848</v>
      </c>
      <c r="H215" s="4">
        <v>90.2</v>
      </c>
      <c r="I215" t="s">
        <v>849</v>
      </c>
    </row>
    <row r="216" spans="1:9" x14ac:dyDescent="0.3">
      <c r="A216" t="s">
        <v>842</v>
      </c>
      <c r="B216" t="s">
        <v>168</v>
      </c>
      <c r="C216" s="7" t="str">
        <f ca="1">IFERROR(_xludf.XLOOKUP(B216,MASTER_REGISTER!E:E,MASTER_REGISTER!F:F,""),"")</f>
        <v/>
      </c>
      <c r="D216" s="4" t="str">
        <f ca="1">IFERROR(_xludf.XLOOKUP(B216,MASTER_REGISTER!E:E,MASTER_REGISTER!C:C,""),"")</f>
        <v/>
      </c>
      <c r="E216" t="s">
        <v>843</v>
      </c>
      <c r="F216" t="s">
        <v>832</v>
      </c>
      <c r="G216" t="s">
        <v>859</v>
      </c>
      <c r="H216" s="4">
        <v>63.4</v>
      </c>
      <c r="I216" t="s">
        <v>846</v>
      </c>
    </row>
    <row r="217" spans="1:9" x14ac:dyDescent="0.3">
      <c r="A217" t="s">
        <v>370</v>
      </c>
      <c r="B217" t="s">
        <v>168</v>
      </c>
      <c r="C217" s="7" t="str">
        <f ca="1">IFERROR(_xludf.XLOOKUP(B217,MASTER_REGISTER!E:E,MASTER_REGISTER!F:F,""),"")</f>
        <v/>
      </c>
      <c r="D217" s="4" t="str">
        <f ca="1">IFERROR(_xludf.XLOOKUP(B217,MASTER_REGISTER!E:E,MASTER_REGISTER!C:C,""),"")</f>
        <v/>
      </c>
      <c r="E217" t="s">
        <v>823</v>
      </c>
      <c r="F217" t="s">
        <v>840</v>
      </c>
      <c r="G217" t="s">
        <v>828</v>
      </c>
      <c r="H217" s="4">
        <v>69.2</v>
      </c>
      <c r="I217" t="s">
        <v>852</v>
      </c>
    </row>
    <row r="218" spans="1:9" x14ac:dyDescent="0.3">
      <c r="A218" t="s">
        <v>371</v>
      </c>
      <c r="B218" t="s">
        <v>168</v>
      </c>
      <c r="C218" s="7" t="str">
        <f ca="1">IFERROR(_xludf.XLOOKUP(B218,MASTER_REGISTER!E:E,MASTER_REGISTER!F:F,""),"")</f>
        <v/>
      </c>
      <c r="D218" s="4" t="str">
        <f ca="1">IFERROR(_xludf.XLOOKUP(B218,MASTER_REGISTER!E:E,MASTER_REGISTER!C:C,""),"")</f>
        <v/>
      </c>
      <c r="E218" t="s">
        <v>837</v>
      </c>
      <c r="F218" t="s">
        <v>838</v>
      </c>
      <c r="G218" t="s">
        <v>867</v>
      </c>
      <c r="H218" s="4">
        <v>80.5</v>
      </c>
      <c r="I218" t="s">
        <v>844</v>
      </c>
    </row>
    <row r="219" spans="1:9" x14ac:dyDescent="0.3">
      <c r="A219" t="s">
        <v>372</v>
      </c>
      <c r="B219" t="s">
        <v>168</v>
      </c>
      <c r="C219" s="7" t="str">
        <f ca="1">IFERROR(_xludf.XLOOKUP(B219,MASTER_REGISTER!E:E,MASTER_REGISTER!F:F,""),"")</f>
        <v/>
      </c>
      <c r="D219" s="4" t="str">
        <f ca="1">IFERROR(_xludf.XLOOKUP(B219,MASTER_REGISTER!E:E,MASTER_REGISTER!C:C,""),"")</f>
        <v/>
      </c>
      <c r="E219" t="s">
        <v>843</v>
      </c>
      <c r="F219" t="s">
        <v>824</v>
      </c>
      <c r="G219" t="s">
        <v>825</v>
      </c>
      <c r="H219" s="4">
        <v>57.7</v>
      </c>
      <c r="I219" t="s">
        <v>826</v>
      </c>
    </row>
    <row r="220" spans="1:9" x14ac:dyDescent="0.3">
      <c r="A220" t="s">
        <v>373</v>
      </c>
      <c r="B220" t="s">
        <v>168</v>
      </c>
      <c r="C220" s="7" t="str">
        <f ca="1">IFERROR(_xludf.XLOOKUP(B220,MASTER_REGISTER!E:E,MASTER_REGISTER!F:F,""),"")</f>
        <v/>
      </c>
      <c r="D220" s="4" t="str">
        <f ca="1">IFERROR(_xludf.XLOOKUP(B220,MASTER_REGISTER!E:E,MASTER_REGISTER!C:C,""),"")</f>
        <v/>
      </c>
      <c r="E220" t="s">
        <v>843</v>
      </c>
      <c r="F220" t="s">
        <v>838</v>
      </c>
      <c r="G220" t="s">
        <v>850</v>
      </c>
      <c r="H220" s="4">
        <v>73.400000000000006</v>
      </c>
      <c r="I220" t="s">
        <v>846</v>
      </c>
    </row>
    <row r="221" spans="1:9" x14ac:dyDescent="0.3">
      <c r="A221" t="s">
        <v>866</v>
      </c>
      <c r="B221" t="s">
        <v>168</v>
      </c>
      <c r="C221" s="7" t="str">
        <f ca="1">IFERROR(_xludf.XLOOKUP(B221,MASTER_REGISTER!E:E,MASTER_REGISTER!F:F,""),"")</f>
        <v/>
      </c>
      <c r="D221" s="4" t="str">
        <f ca="1">IFERROR(_xludf.XLOOKUP(B221,MASTER_REGISTER!E:E,MASTER_REGISTER!C:C,""),"")</f>
        <v/>
      </c>
      <c r="E221" t="s">
        <v>843</v>
      </c>
      <c r="F221" t="s">
        <v>838</v>
      </c>
      <c r="G221" t="s">
        <v>845</v>
      </c>
      <c r="H221" s="4">
        <v>74.7</v>
      </c>
      <c r="I221" t="s">
        <v>829</v>
      </c>
    </row>
    <row r="222" spans="1:9" x14ac:dyDescent="0.3">
      <c r="A222" t="s">
        <v>137</v>
      </c>
      <c r="B222" t="s">
        <v>173</v>
      </c>
      <c r="C222" s="7" t="str">
        <f ca="1">IFERROR(_xludf.XLOOKUP(B222,MASTER_REGISTER!E:E,MASTER_REGISTER!F:F,""),"")</f>
        <v/>
      </c>
      <c r="D222" s="4" t="str">
        <f ca="1">IFERROR(_xludf.XLOOKUP(B222,MASTER_REGISTER!E:E,MASTER_REGISTER!C:C,""),"")</f>
        <v/>
      </c>
      <c r="E222" t="s">
        <v>843</v>
      </c>
      <c r="F222" t="s">
        <v>838</v>
      </c>
      <c r="G222" t="s">
        <v>855</v>
      </c>
      <c r="H222" s="4">
        <v>64.900000000000006</v>
      </c>
      <c r="I222" t="s">
        <v>852</v>
      </c>
    </row>
    <row r="223" spans="1:9" x14ac:dyDescent="0.3">
      <c r="A223" t="s">
        <v>137</v>
      </c>
      <c r="B223" t="s">
        <v>173</v>
      </c>
      <c r="C223" s="7" t="str">
        <f ca="1">IFERROR(_xludf.XLOOKUP(B223,MASTER_REGISTER!E:E,MASTER_REGISTER!F:F,""),"")</f>
        <v/>
      </c>
      <c r="D223" s="4" t="str">
        <f ca="1">IFERROR(_xludf.XLOOKUP(B223,MASTER_REGISTER!E:E,MASTER_REGISTER!C:C,""),"")</f>
        <v/>
      </c>
      <c r="E223" t="s">
        <v>837</v>
      </c>
      <c r="F223" t="s">
        <v>824</v>
      </c>
      <c r="G223" t="s">
        <v>860</v>
      </c>
      <c r="H223" s="4">
        <v>72.2</v>
      </c>
      <c r="I223" t="s">
        <v>849</v>
      </c>
    </row>
    <row r="224" spans="1:9" x14ac:dyDescent="0.3">
      <c r="A224" t="s">
        <v>869</v>
      </c>
      <c r="B224" t="s">
        <v>173</v>
      </c>
      <c r="C224" s="7" t="str">
        <f ca="1">IFERROR(_xludf.XLOOKUP(B224,MASTER_REGISTER!E:E,MASTER_REGISTER!F:F,""),"")</f>
        <v/>
      </c>
      <c r="D224" s="4" t="str">
        <f ca="1">IFERROR(_xludf.XLOOKUP(B224,MASTER_REGISTER!E:E,MASTER_REGISTER!C:C,""),"")</f>
        <v/>
      </c>
      <c r="E224" t="s">
        <v>823</v>
      </c>
      <c r="F224" t="s">
        <v>832</v>
      </c>
      <c r="G224" t="s">
        <v>841</v>
      </c>
      <c r="H224" s="4">
        <v>69.2</v>
      </c>
      <c r="I224" t="s">
        <v>849</v>
      </c>
    </row>
    <row r="225" spans="1:9" x14ac:dyDescent="0.3">
      <c r="A225" t="s">
        <v>396</v>
      </c>
      <c r="B225" t="s">
        <v>173</v>
      </c>
      <c r="C225" s="7" t="str">
        <f ca="1">IFERROR(_xludf.XLOOKUP(B225,MASTER_REGISTER!E:E,MASTER_REGISTER!F:F,""),"")</f>
        <v/>
      </c>
      <c r="D225" s="4" t="str">
        <f ca="1">IFERROR(_xludf.XLOOKUP(B225,MASTER_REGISTER!E:E,MASTER_REGISTER!C:C,""),"")</f>
        <v/>
      </c>
      <c r="E225" t="s">
        <v>837</v>
      </c>
      <c r="F225" t="s">
        <v>838</v>
      </c>
      <c r="G225" t="s">
        <v>848</v>
      </c>
      <c r="H225" s="4">
        <v>53.3</v>
      </c>
      <c r="I225" t="s">
        <v>834</v>
      </c>
    </row>
    <row r="226" spans="1:9" x14ac:dyDescent="0.3">
      <c r="A226" t="s">
        <v>861</v>
      </c>
      <c r="B226" t="s">
        <v>173</v>
      </c>
      <c r="C226" s="7" t="str">
        <f ca="1">IFERROR(_xludf.XLOOKUP(B226,MASTER_REGISTER!E:E,MASTER_REGISTER!F:F,""),"")</f>
        <v/>
      </c>
      <c r="D226" s="4" t="str">
        <f ca="1">IFERROR(_xludf.XLOOKUP(B226,MASTER_REGISTER!E:E,MASTER_REGISTER!C:C,""),"")</f>
        <v/>
      </c>
      <c r="E226" t="s">
        <v>823</v>
      </c>
      <c r="F226" t="s">
        <v>838</v>
      </c>
      <c r="G226" t="s">
        <v>848</v>
      </c>
      <c r="H226" s="4">
        <v>76.099999999999994</v>
      </c>
      <c r="I226" t="s">
        <v>846</v>
      </c>
    </row>
    <row r="227" spans="1:9" x14ac:dyDescent="0.3">
      <c r="A227" t="s">
        <v>857</v>
      </c>
      <c r="B227" t="s">
        <v>173</v>
      </c>
      <c r="C227" s="7" t="str">
        <f ca="1">IFERROR(_xludf.XLOOKUP(B227,MASTER_REGISTER!E:E,MASTER_REGISTER!F:F,""),"")</f>
        <v/>
      </c>
      <c r="D227" s="4" t="str">
        <f ca="1">IFERROR(_xludf.XLOOKUP(B227,MASTER_REGISTER!E:E,MASTER_REGISTER!C:C,""),"")</f>
        <v/>
      </c>
      <c r="E227" t="s">
        <v>831</v>
      </c>
      <c r="F227" t="s">
        <v>832</v>
      </c>
      <c r="G227" t="s">
        <v>860</v>
      </c>
      <c r="H227" s="4">
        <v>57</v>
      </c>
      <c r="I227" t="s">
        <v>844</v>
      </c>
    </row>
    <row r="228" spans="1:9" x14ac:dyDescent="0.3">
      <c r="A228" t="s">
        <v>549</v>
      </c>
      <c r="B228" t="s">
        <v>173</v>
      </c>
      <c r="C228" s="7" t="str">
        <f ca="1">IFERROR(_xludf.XLOOKUP(B228,MASTER_REGISTER!E:E,MASTER_REGISTER!F:F,""),"")</f>
        <v/>
      </c>
      <c r="D228" s="4" t="str">
        <f ca="1">IFERROR(_xludf.XLOOKUP(B228,MASTER_REGISTER!E:E,MASTER_REGISTER!C:C,""),"")</f>
        <v/>
      </c>
      <c r="E228" t="s">
        <v>831</v>
      </c>
      <c r="F228" t="s">
        <v>840</v>
      </c>
      <c r="G228" t="s">
        <v>833</v>
      </c>
      <c r="H228" s="4">
        <v>55.8</v>
      </c>
      <c r="I228" t="s">
        <v>844</v>
      </c>
    </row>
    <row r="229" spans="1:9" x14ac:dyDescent="0.3">
      <c r="A229" t="s">
        <v>504</v>
      </c>
      <c r="B229" t="s">
        <v>173</v>
      </c>
      <c r="C229" s="7" t="str">
        <f ca="1">IFERROR(_xludf.XLOOKUP(B229,MASTER_REGISTER!E:E,MASTER_REGISTER!F:F,""),"")</f>
        <v/>
      </c>
      <c r="D229" s="4" t="str">
        <f ca="1">IFERROR(_xludf.XLOOKUP(B229,MASTER_REGISTER!E:E,MASTER_REGISTER!C:C,""),"")</f>
        <v/>
      </c>
      <c r="E229" t="s">
        <v>823</v>
      </c>
      <c r="F229" t="s">
        <v>840</v>
      </c>
      <c r="G229" t="s">
        <v>845</v>
      </c>
      <c r="H229" s="4">
        <v>66.900000000000006</v>
      </c>
      <c r="I229" t="s">
        <v>846</v>
      </c>
    </row>
    <row r="230" spans="1:9" x14ac:dyDescent="0.3">
      <c r="A230" t="s">
        <v>418</v>
      </c>
      <c r="B230" t="s">
        <v>173</v>
      </c>
      <c r="C230" s="7" t="str">
        <f ca="1">IFERROR(_xludf.XLOOKUP(B230,MASTER_REGISTER!E:E,MASTER_REGISTER!F:F,""),"")</f>
        <v/>
      </c>
      <c r="D230" s="4" t="str">
        <f ca="1">IFERROR(_xludf.XLOOKUP(B230,MASTER_REGISTER!E:E,MASTER_REGISTER!C:C,""),"")</f>
        <v/>
      </c>
      <c r="E230" t="s">
        <v>831</v>
      </c>
      <c r="F230" t="s">
        <v>824</v>
      </c>
      <c r="G230" t="s">
        <v>850</v>
      </c>
      <c r="H230" s="4">
        <v>63.4</v>
      </c>
      <c r="I230" t="s">
        <v>826</v>
      </c>
    </row>
    <row r="231" spans="1:9" x14ac:dyDescent="0.3">
      <c r="A231" t="s">
        <v>579</v>
      </c>
      <c r="B231" t="s">
        <v>173</v>
      </c>
      <c r="C231" s="7" t="str">
        <f ca="1">IFERROR(_xludf.XLOOKUP(B231,MASTER_REGISTER!E:E,MASTER_REGISTER!F:F,""),"")</f>
        <v/>
      </c>
      <c r="D231" s="4" t="str">
        <f ca="1">IFERROR(_xludf.XLOOKUP(B231,MASTER_REGISTER!E:E,MASTER_REGISTER!C:C,""),"")</f>
        <v/>
      </c>
      <c r="E231" t="s">
        <v>837</v>
      </c>
      <c r="F231" t="s">
        <v>840</v>
      </c>
      <c r="G231" t="s">
        <v>845</v>
      </c>
      <c r="H231" s="4">
        <v>86.7</v>
      </c>
      <c r="I231" t="s">
        <v>829</v>
      </c>
    </row>
    <row r="232" spans="1:9" x14ac:dyDescent="0.3">
      <c r="A232" t="s">
        <v>396</v>
      </c>
      <c r="B232" t="s">
        <v>178</v>
      </c>
      <c r="C232" s="7" t="str">
        <f ca="1">IFERROR(_xludf.XLOOKUP(B232,MASTER_REGISTER!E:E,MASTER_REGISTER!F:F,""),"")</f>
        <v/>
      </c>
      <c r="D232" s="4" t="str">
        <f ca="1">IFERROR(_xludf.XLOOKUP(B232,MASTER_REGISTER!E:E,MASTER_REGISTER!C:C,""),"")</f>
        <v/>
      </c>
      <c r="E232" t="s">
        <v>843</v>
      </c>
      <c r="F232" t="s">
        <v>840</v>
      </c>
      <c r="G232" t="s">
        <v>859</v>
      </c>
      <c r="H232" s="4">
        <v>56.8</v>
      </c>
      <c r="I232" t="s">
        <v>846</v>
      </c>
    </row>
    <row r="233" spans="1:9" x14ac:dyDescent="0.3">
      <c r="A233" t="s">
        <v>433</v>
      </c>
      <c r="B233" t="s">
        <v>178</v>
      </c>
      <c r="C233" s="7" t="str">
        <f ca="1">IFERROR(_xludf.XLOOKUP(B233,MASTER_REGISTER!E:E,MASTER_REGISTER!F:F,""),"")</f>
        <v/>
      </c>
      <c r="D233" s="4" t="str">
        <f ca="1">IFERROR(_xludf.XLOOKUP(B233,MASTER_REGISTER!E:E,MASTER_REGISTER!C:C,""),"")</f>
        <v/>
      </c>
      <c r="E233" t="s">
        <v>823</v>
      </c>
      <c r="F233" t="s">
        <v>824</v>
      </c>
      <c r="G233" t="s">
        <v>833</v>
      </c>
      <c r="H233" s="4">
        <v>36.9</v>
      </c>
      <c r="I233" t="s">
        <v>844</v>
      </c>
    </row>
    <row r="234" spans="1:9" x14ac:dyDescent="0.3">
      <c r="A234" t="s">
        <v>549</v>
      </c>
      <c r="B234" t="s">
        <v>178</v>
      </c>
      <c r="C234" s="7" t="str">
        <f ca="1">IFERROR(_xludf.XLOOKUP(B234,MASTER_REGISTER!E:E,MASTER_REGISTER!F:F,""),"")</f>
        <v/>
      </c>
      <c r="D234" s="4" t="str">
        <f ca="1">IFERROR(_xludf.XLOOKUP(B234,MASTER_REGISTER!E:E,MASTER_REGISTER!C:C,""),"")</f>
        <v/>
      </c>
      <c r="E234" t="s">
        <v>843</v>
      </c>
      <c r="F234" t="s">
        <v>840</v>
      </c>
      <c r="G234" t="s">
        <v>845</v>
      </c>
      <c r="H234" s="4">
        <v>69.400000000000006</v>
      </c>
      <c r="I234" t="s">
        <v>862</v>
      </c>
    </row>
    <row r="235" spans="1:9" x14ac:dyDescent="0.3">
      <c r="A235" t="s">
        <v>858</v>
      </c>
      <c r="B235" t="s">
        <v>178</v>
      </c>
      <c r="C235" s="7" t="str">
        <f ca="1">IFERROR(_xludf.XLOOKUP(B235,MASTER_REGISTER!E:E,MASTER_REGISTER!F:F,""),"")</f>
        <v/>
      </c>
      <c r="D235" s="4" t="str">
        <f ca="1">IFERROR(_xludf.XLOOKUP(B235,MASTER_REGISTER!E:E,MASTER_REGISTER!C:C,""),"")</f>
        <v/>
      </c>
      <c r="E235" t="s">
        <v>837</v>
      </c>
      <c r="F235" t="s">
        <v>824</v>
      </c>
      <c r="G235" t="s">
        <v>855</v>
      </c>
      <c r="H235" s="4">
        <v>80.5</v>
      </c>
      <c r="I235" t="s">
        <v>829</v>
      </c>
    </row>
    <row r="236" spans="1:9" x14ac:dyDescent="0.3">
      <c r="A236" t="s">
        <v>851</v>
      </c>
      <c r="B236" t="s">
        <v>178</v>
      </c>
      <c r="C236" s="7" t="str">
        <f ca="1">IFERROR(_xludf.XLOOKUP(B236,MASTER_REGISTER!E:E,MASTER_REGISTER!F:F,""),"")</f>
        <v/>
      </c>
      <c r="D236" s="4" t="str">
        <f ca="1">IFERROR(_xludf.XLOOKUP(B236,MASTER_REGISTER!E:E,MASTER_REGISTER!C:C,""),"")</f>
        <v/>
      </c>
      <c r="E236" t="s">
        <v>837</v>
      </c>
      <c r="F236" t="s">
        <v>840</v>
      </c>
      <c r="G236" t="s">
        <v>855</v>
      </c>
      <c r="H236" s="4">
        <v>58.3</v>
      </c>
      <c r="I236" t="s">
        <v>862</v>
      </c>
    </row>
    <row r="237" spans="1:9" x14ac:dyDescent="0.3">
      <c r="A237" t="s">
        <v>851</v>
      </c>
      <c r="B237" t="s">
        <v>178</v>
      </c>
      <c r="C237" s="7" t="str">
        <f ca="1">IFERROR(_xludf.XLOOKUP(B237,MASTER_REGISTER!E:E,MASTER_REGISTER!F:F,""),"")</f>
        <v/>
      </c>
      <c r="D237" s="4" t="str">
        <f ca="1">IFERROR(_xludf.XLOOKUP(B237,MASTER_REGISTER!E:E,MASTER_REGISTER!C:C,""),"")</f>
        <v/>
      </c>
      <c r="E237" t="s">
        <v>837</v>
      </c>
      <c r="F237" t="s">
        <v>838</v>
      </c>
      <c r="G237" t="s">
        <v>867</v>
      </c>
      <c r="H237" s="4">
        <v>60.6</v>
      </c>
      <c r="I237" t="s">
        <v>826</v>
      </c>
    </row>
    <row r="238" spans="1:9" x14ac:dyDescent="0.3">
      <c r="A238" t="s">
        <v>851</v>
      </c>
      <c r="B238" t="s">
        <v>178</v>
      </c>
      <c r="C238" s="7" t="str">
        <f ca="1">IFERROR(_xludf.XLOOKUP(B238,MASTER_REGISTER!E:E,MASTER_REGISTER!F:F,""),"")</f>
        <v/>
      </c>
      <c r="D238" s="4" t="str">
        <f ca="1">IFERROR(_xludf.XLOOKUP(B238,MASTER_REGISTER!E:E,MASTER_REGISTER!C:C,""),"")</f>
        <v/>
      </c>
      <c r="E238" t="s">
        <v>823</v>
      </c>
      <c r="F238" t="s">
        <v>824</v>
      </c>
      <c r="G238" t="s">
        <v>867</v>
      </c>
      <c r="H238" s="4">
        <v>51.1</v>
      </c>
      <c r="I238" t="s">
        <v>846</v>
      </c>
    </row>
    <row r="239" spans="1:9" x14ac:dyDescent="0.3">
      <c r="A239" t="s">
        <v>865</v>
      </c>
      <c r="B239" t="s">
        <v>178</v>
      </c>
      <c r="C239" s="7" t="str">
        <f ca="1">IFERROR(_xludf.XLOOKUP(B239,MASTER_REGISTER!E:E,MASTER_REGISTER!F:F,""),"")</f>
        <v/>
      </c>
      <c r="D239" s="4" t="str">
        <f ca="1">IFERROR(_xludf.XLOOKUP(B239,MASTER_REGISTER!E:E,MASTER_REGISTER!C:C,""),"")</f>
        <v/>
      </c>
      <c r="E239" t="s">
        <v>823</v>
      </c>
      <c r="F239" t="s">
        <v>832</v>
      </c>
      <c r="G239" t="s">
        <v>850</v>
      </c>
      <c r="H239" s="4">
        <v>68.3</v>
      </c>
      <c r="I239" t="s">
        <v>834</v>
      </c>
    </row>
    <row r="240" spans="1:9" x14ac:dyDescent="0.3">
      <c r="A240" t="s">
        <v>579</v>
      </c>
      <c r="B240" t="s">
        <v>178</v>
      </c>
      <c r="C240" s="7" t="str">
        <f ca="1">IFERROR(_xludf.XLOOKUP(B240,MASTER_REGISTER!E:E,MASTER_REGISTER!F:F,""),"")</f>
        <v/>
      </c>
      <c r="D240" s="4" t="str">
        <f ca="1">IFERROR(_xludf.XLOOKUP(B240,MASTER_REGISTER!E:E,MASTER_REGISTER!C:C,""),"")</f>
        <v/>
      </c>
      <c r="E240" t="s">
        <v>823</v>
      </c>
      <c r="F240" t="s">
        <v>840</v>
      </c>
      <c r="G240" t="s">
        <v>855</v>
      </c>
      <c r="H240" s="4">
        <v>75.400000000000006</v>
      </c>
      <c r="I240" t="s">
        <v>844</v>
      </c>
    </row>
    <row r="241" spans="1:9" x14ac:dyDescent="0.3">
      <c r="A241" t="s">
        <v>847</v>
      </c>
      <c r="B241" t="s">
        <v>178</v>
      </c>
      <c r="C241" s="7" t="str">
        <f ca="1">IFERROR(_xludf.XLOOKUP(B241,MASTER_REGISTER!E:E,MASTER_REGISTER!F:F,""),"")</f>
        <v/>
      </c>
      <c r="D241" s="4" t="str">
        <f ca="1">IFERROR(_xludf.XLOOKUP(B241,MASTER_REGISTER!E:E,MASTER_REGISTER!C:C,""),"")</f>
        <v/>
      </c>
      <c r="E241" t="s">
        <v>843</v>
      </c>
      <c r="F241" t="s">
        <v>824</v>
      </c>
      <c r="G241" t="s">
        <v>841</v>
      </c>
      <c r="H241" s="4">
        <v>69.3</v>
      </c>
      <c r="I241" t="s">
        <v>826</v>
      </c>
    </row>
    <row r="242" spans="1:9" x14ac:dyDescent="0.3">
      <c r="A242" t="s">
        <v>869</v>
      </c>
      <c r="B242" t="s">
        <v>183</v>
      </c>
      <c r="C242" s="7" t="str">
        <f ca="1">IFERROR(_xludf.XLOOKUP(B242,MASTER_REGISTER!E:E,MASTER_REGISTER!F:F,""),"")</f>
        <v/>
      </c>
      <c r="D242" s="4" t="str">
        <f ca="1">IFERROR(_xludf.XLOOKUP(B242,MASTER_REGISTER!E:E,MASTER_REGISTER!C:C,""),"")</f>
        <v/>
      </c>
      <c r="E242" t="s">
        <v>823</v>
      </c>
      <c r="F242" t="s">
        <v>838</v>
      </c>
      <c r="G242" t="s">
        <v>848</v>
      </c>
      <c r="H242" s="4">
        <v>50.8</v>
      </c>
      <c r="I242" t="s">
        <v>846</v>
      </c>
    </row>
    <row r="243" spans="1:9" x14ac:dyDescent="0.3">
      <c r="A243" t="s">
        <v>827</v>
      </c>
      <c r="B243" t="s">
        <v>183</v>
      </c>
      <c r="C243" s="7" t="str">
        <f ca="1">IFERROR(_xludf.XLOOKUP(B243,MASTER_REGISTER!E:E,MASTER_REGISTER!F:F,""),"")</f>
        <v/>
      </c>
      <c r="D243" s="4" t="str">
        <f ca="1">IFERROR(_xludf.XLOOKUP(B243,MASTER_REGISTER!E:E,MASTER_REGISTER!C:C,""),"")</f>
        <v/>
      </c>
      <c r="E243" t="s">
        <v>871</v>
      </c>
      <c r="F243" t="s">
        <v>840</v>
      </c>
      <c r="G243" t="s">
        <v>860</v>
      </c>
      <c r="H243" s="4">
        <v>44.4</v>
      </c>
      <c r="I243" t="s">
        <v>852</v>
      </c>
    </row>
    <row r="244" spans="1:9" x14ac:dyDescent="0.3">
      <c r="A244" t="s">
        <v>827</v>
      </c>
      <c r="B244" t="s">
        <v>183</v>
      </c>
      <c r="C244" s="7" t="str">
        <f ca="1">IFERROR(_xludf.XLOOKUP(B244,MASTER_REGISTER!E:E,MASTER_REGISTER!F:F,""),"")</f>
        <v/>
      </c>
      <c r="D244" s="4" t="str">
        <f ca="1">IFERROR(_xludf.XLOOKUP(B244,MASTER_REGISTER!E:E,MASTER_REGISTER!C:C,""),"")</f>
        <v/>
      </c>
      <c r="E244" t="s">
        <v>843</v>
      </c>
      <c r="F244" t="s">
        <v>840</v>
      </c>
      <c r="G244" t="s">
        <v>867</v>
      </c>
      <c r="H244" s="4">
        <v>63.4</v>
      </c>
      <c r="I244" t="s">
        <v>862</v>
      </c>
    </row>
    <row r="245" spans="1:9" x14ac:dyDescent="0.3">
      <c r="A245" t="s">
        <v>851</v>
      </c>
      <c r="B245" t="s">
        <v>183</v>
      </c>
      <c r="C245" s="7" t="str">
        <f ca="1">IFERROR(_xludf.XLOOKUP(B245,MASTER_REGISTER!E:E,MASTER_REGISTER!F:F,""),"")</f>
        <v/>
      </c>
      <c r="D245" s="4" t="str">
        <f ca="1">IFERROR(_xludf.XLOOKUP(B245,MASTER_REGISTER!E:E,MASTER_REGISTER!C:C,""),"")</f>
        <v/>
      </c>
      <c r="E245" t="s">
        <v>843</v>
      </c>
      <c r="F245" t="s">
        <v>840</v>
      </c>
      <c r="G245" t="s">
        <v>867</v>
      </c>
      <c r="H245" s="4">
        <v>46.5</v>
      </c>
      <c r="I245" t="s">
        <v>846</v>
      </c>
    </row>
    <row r="246" spans="1:9" x14ac:dyDescent="0.3">
      <c r="A246" t="s">
        <v>370</v>
      </c>
      <c r="B246" t="s">
        <v>183</v>
      </c>
      <c r="C246" s="7" t="str">
        <f ca="1">IFERROR(_xludf.XLOOKUP(B246,MASTER_REGISTER!E:E,MASTER_REGISTER!F:F,""),"")</f>
        <v/>
      </c>
      <c r="D246" s="4" t="str">
        <f ca="1">IFERROR(_xludf.XLOOKUP(B246,MASTER_REGISTER!E:E,MASTER_REGISTER!C:C,""),"")</f>
        <v/>
      </c>
      <c r="E246" t="s">
        <v>872</v>
      </c>
      <c r="F246" t="s">
        <v>832</v>
      </c>
      <c r="G246" t="s">
        <v>859</v>
      </c>
      <c r="H246" s="4">
        <v>60.7</v>
      </c>
      <c r="I246" t="s">
        <v>829</v>
      </c>
    </row>
    <row r="247" spans="1:9" x14ac:dyDescent="0.3">
      <c r="A247" t="s">
        <v>865</v>
      </c>
      <c r="B247" t="s">
        <v>183</v>
      </c>
      <c r="C247" s="7" t="str">
        <f ca="1">IFERROR(_xludf.XLOOKUP(B247,MASTER_REGISTER!E:E,MASTER_REGISTER!F:F,""),"")</f>
        <v/>
      </c>
      <c r="D247" s="4" t="str">
        <f ca="1">IFERROR(_xludf.XLOOKUP(B247,MASTER_REGISTER!E:E,MASTER_REGISTER!C:C,""),"")</f>
        <v/>
      </c>
      <c r="E247" t="s">
        <v>872</v>
      </c>
      <c r="F247" t="s">
        <v>824</v>
      </c>
      <c r="G247" t="s">
        <v>836</v>
      </c>
      <c r="H247" s="4">
        <v>78</v>
      </c>
      <c r="I247" t="s">
        <v>844</v>
      </c>
    </row>
    <row r="248" spans="1:9" x14ac:dyDescent="0.3">
      <c r="A248" t="s">
        <v>579</v>
      </c>
      <c r="B248" t="s">
        <v>183</v>
      </c>
      <c r="C248" s="7" t="str">
        <f ca="1">IFERROR(_xludf.XLOOKUP(B248,MASTER_REGISTER!E:E,MASTER_REGISTER!F:F,""),"")</f>
        <v/>
      </c>
      <c r="D248" s="4" t="str">
        <f ca="1">IFERROR(_xludf.XLOOKUP(B248,MASTER_REGISTER!E:E,MASTER_REGISTER!C:C,""),"")</f>
        <v/>
      </c>
      <c r="E248" t="s">
        <v>823</v>
      </c>
      <c r="F248" t="s">
        <v>832</v>
      </c>
      <c r="G248" t="s">
        <v>841</v>
      </c>
      <c r="H248" s="4">
        <v>83.9</v>
      </c>
      <c r="I248" t="s">
        <v>844</v>
      </c>
    </row>
    <row r="249" spans="1:9" x14ac:dyDescent="0.3">
      <c r="A249" t="s">
        <v>866</v>
      </c>
      <c r="B249" t="s">
        <v>183</v>
      </c>
      <c r="C249" s="7" t="str">
        <f ca="1">IFERROR(_xludf.XLOOKUP(B249,MASTER_REGISTER!E:E,MASTER_REGISTER!F:F,""),"")</f>
        <v/>
      </c>
      <c r="D249" s="4" t="str">
        <f ca="1">IFERROR(_xludf.XLOOKUP(B249,MASTER_REGISTER!E:E,MASTER_REGISTER!C:C,""),"")</f>
        <v/>
      </c>
      <c r="E249" t="s">
        <v>843</v>
      </c>
      <c r="F249" t="s">
        <v>832</v>
      </c>
      <c r="G249" t="s">
        <v>855</v>
      </c>
      <c r="H249" s="4">
        <v>68.400000000000006</v>
      </c>
      <c r="I249" t="s">
        <v>844</v>
      </c>
    </row>
    <row r="250" spans="1:9" x14ac:dyDescent="0.3">
      <c r="A250" t="s">
        <v>847</v>
      </c>
      <c r="B250" t="s">
        <v>183</v>
      </c>
      <c r="C250" s="7" t="str">
        <f ca="1">IFERROR(_xludf.XLOOKUP(B250,MASTER_REGISTER!E:E,MASTER_REGISTER!F:F,""),"")</f>
        <v/>
      </c>
      <c r="D250" s="4" t="str">
        <f ca="1">IFERROR(_xludf.XLOOKUP(B250,MASTER_REGISTER!E:E,MASTER_REGISTER!C:C,""),"")</f>
        <v/>
      </c>
      <c r="E250" t="s">
        <v>871</v>
      </c>
      <c r="F250" t="s">
        <v>832</v>
      </c>
      <c r="G250" t="s">
        <v>859</v>
      </c>
      <c r="H250" s="4">
        <v>55.6</v>
      </c>
      <c r="I250" t="s">
        <v>844</v>
      </c>
    </row>
    <row r="251" spans="1:9" x14ac:dyDescent="0.3">
      <c r="A251" t="s">
        <v>847</v>
      </c>
      <c r="B251" t="s">
        <v>183</v>
      </c>
      <c r="C251" s="7" t="str">
        <f ca="1">IFERROR(_xludf.XLOOKUP(B251,MASTER_REGISTER!E:E,MASTER_REGISTER!F:F,""),"")</f>
        <v/>
      </c>
      <c r="D251" s="4" t="str">
        <f ca="1">IFERROR(_xludf.XLOOKUP(B251,MASTER_REGISTER!E:E,MASTER_REGISTER!C:C,""),"")</f>
        <v/>
      </c>
      <c r="E251" t="s">
        <v>823</v>
      </c>
      <c r="F251" t="s">
        <v>838</v>
      </c>
      <c r="G251" t="s">
        <v>833</v>
      </c>
      <c r="H251" s="4">
        <v>71.3</v>
      </c>
      <c r="I251" t="s">
        <v>849</v>
      </c>
    </row>
    <row r="252" spans="1:9" x14ac:dyDescent="0.3">
      <c r="A252" t="s">
        <v>172</v>
      </c>
      <c r="B252" t="s">
        <v>188</v>
      </c>
      <c r="C252" s="7" t="str">
        <f ca="1">IFERROR(_xludf.XLOOKUP(B252,MASTER_REGISTER!E:E,MASTER_REGISTER!F:F,""),"")</f>
        <v/>
      </c>
      <c r="D252" s="4" t="str">
        <f ca="1">IFERROR(_xludf.XLOOKUP(B252,MASTER_REGISTER!E:E,MASTER_REGISTER!C:C,""),"")</f>
        <v/>
      </c>
      <c r="E252" t="s">
        <v>873</v>
      </c>
      <c r="F252" t="s">
        <v>832</v>
      </c>
      <c r="G252" t="s">
        <v>867</v>
      </c>
      <c r="H252" s="4">
        <v>76.599999999999994</v>
      </c>
      <c r="I252" t="s">
        <v>844</v>
      </c>
    </row>
    <row r="253" spans="1:9" x14ac:dyDescent="0.3">
      <c r="A253" t="s">
        <v>869</v>
      </c>
      <c r="B253" t="s">
        <v>188</v>
      </c>
      <c r="C253" s="7" t="str">
        <f ca="1">IFERROR(_xludf.XLOOKUP(B253,MASTER_REGISTER!E:E,MASTER_REGISTER!F:F,""),"")</f>
        <v/>
      </c>
      <c r="D253" s="4" t="str">
        <f ca="1">IFERROR(_xludf.XLOOKUP(B253,MASTER_REGISTER!E:E,MASTER_REGISTER!C:C,""),"")</f>
        <v/>
      </c>
      <c r="E253" t="s">
        <v>871</v>
      </c>
      <c r="F253" t="s">
        <v>824</v>
      </c>
      <c r="G253" t="s">
        <v>860</v>
      </c>
      <c r="H253" s="4">
        <v>72.599999999999994</v>
      </c>
      <c r="I253" t="s">
        <v>852</v>
      </c>
    </row>
    <row r="254" spans="1:9" x14ac:dyDescent="0.3">
      <c r="A254" t="s">
        <v>857</v>
      </c>
      <c r="B254" t="s">
        <v>188</v>
      </c>
      <c r="C254" s="7" t="str">
        <f ca="1">IFERROR(_xludf.XLOOKUP(B254,MASTER_REGISTER!E:E,MASTER_REGISTER!F:F,""),"")</f>
        <v/>
      </c>
      <c r="D254" s="4" t="str">
        <f ca="1">IFERROR(_xludf.XLOOKUP(B254,MASTER_REGISTER!E:E,MASTER_REGISTER!C:C,""),"")</f>
        <v/>
      </c>
      <c r="E254" t="s">
        <v>873</v>
      </c>
      <c r="F254" t="s">
        <v>840</v>
      </c>
      <c r="G254" t="s">
        <v>833</v>
      </c>
      <c r="H254" s="4">
        <v>38.700000000000003</v>
      </c>
      <c r="I254" t="s">
        <v>826</v>
      </c>
    </row>
    <row r="255" spans="1:9" x14ac:dyDescent="0.3">
      <c r="A255" t="s">
        <v>857</v>
      </c>
      <c r="B255" t="s">
        <v>188</v>
      </c>
      <c r="C255" s="7" t="str">
        <f ca="1">IFERROR(_xludf.XLOOKUP(B255,MASTER_REGISTER!E:E,MASTER_REGISTER!F:F,""),"")</f>
        <v/>
      </c>
      <c r="D255" s="4" t="str">
        <f ca="1">IFERROR(_xludf.XLOOKUP(B255,MASTER_REGISTER!E:E,MASTER_REGISTER!C:C,""),"")</f>
        <v/>
      </c>
      <c r="E255" t="s">
        <v>872</v>
      </c>
      <c r="F255" t="s">
        <v>838</v>
      </c>
      <c r="G255" t="s">
        <v>836</v>
      </c>
      <c r="H255" s="4">
        <v>62.4</v>
      </c>
      <c r="I255" t="s">
        <v>852</v>
      </c>
    </row>
    <row r="256" spans="1:9" x14ac:dyDescent="0.3">
      <c r="A256" t="s">
        <v>433</v>
      </c>
      <c r="B256" t="s">
        <v>188</v>
      </c>
      <c r="C256" s="7" t="str">
        <f ca="1">IFERROR(_xludf.XLOOKUP(B256,MASTER_REGISTER!E:E,MASTER_REGISTER!F:F,""),"")</f>
        <v/>
      </c>
      <c r="D256" s="4" t="str">
        <f ca="1">IFERROR(_xludf.XLOOKUP(B256,MASTER_REGISTER!E:E,MASTER_REGISTER!C:C,""),"")</f>
        <v/>
      </c>
      <c r="E256" t="s">
        <v>823</v>
      </c>
      <c r="F256" t="s">
        <v>824</v>
      </c>
      <c r="G256" t="s">
        <v>841</v>
      </c>
      <c r="H256" s="4">
        <v>55</v>
      </c>
      <c r="I256" t="s">
        <v>826</v>
      </c>
    </row>
    <row r="257" spans="1:9" x14ac:dyDescent="0.3">
      <c r="A257" t="s">
        <v>504</v>
      </c>
      <c r="B257" t="s">
        <v>188</v>
      </c>
      <c r="C257" s="7" t="str">
        <f ca="1">IFERROR(_xludf.XLOOKUP(B257,MASTER_REGISTER!E:E,MASTER_REGISTER!F:F,""),"")</f>
        <v/>
      </c>
      <c r="D257" s="4" t="str">
        <f ca="1">IFERROR(_xludf.XLOOKUP(B257,MASTER_REGISTER!E:E,MASTER_REGISTER!C:C,""),"")</f>
        <v/>
      </c>
      <c r="E257" t="s">
        <v>843</v>
      </c>
      <c r="F257" t="s">
        <v>832</v>
      </c>
      <c r="G257" t="s">
        <v>841</v>
      </c>
      <c r="H257" s="4">
        <v>67</v>
      </c>
      <c r="I257" t="s">
        <v>844</v>
      </c>
    </row>
    <row r="258" spans="1:9" x14ac:dyDescent="0.3">
      <c r="A258" t="s">
        <v>370</v>
      </c>
      <c r="B258" t="s">
        <v>188</v>
      </c>
      <c r="C258" s="7" t="str">
        <f ca="1">IFERROR(_xludf.XLOOKUP(B258,MASTER_REGISTER!E:E,MASTER_REGISTER!F:F,""),"")</f>
        <v/>
      </c>
      <c r="D258" s="4" t="str">
        <f ca="1">IFERROR(_xludf.XLOOKUP(B258,MASTER_REGISTER!E:E,MASTER_REGISTER!C:C,""),"")</f>
        <v/>
      </c>
      <c r="E258" t="s">
        <v>873</v>
      </c>
      <c r="F258" t="s">
        <v>832</v>
      </c>
      <c r="G258" t="s">
        <v>841</v>
      </c>
      <c r="H258" s="4">
        <v>66.3</v>
      </c>
      <c r="I258" t="s">
        <v>849</v>
      </c>
    </row>
    <row r="259" spans="1:9" x14ac:dyDescent="0.3">
      <c r="A259" t="s">
        <v>853</v>
      </c>
      <c r="B259" t="s">
        <v>188</v>
      </c>
      <c r="C259" s="7" t="str">
        <f ca="1">IFERROR(_xludf.XLOOKUP(B259,MASTER_REGISTER!E:E,MASTER_REGISTER!F:F,""),"")</f>
        <v/>
      </c>
      <c r="D259" s="4" t="str">
        <f ca="1">IFERROR(_xludf.XLOOKUP(B259,MASTER_REGISTER!E:E,MASTER_REGISTER!C:C,""),"")</f>
        <v/>
      </c>
      <c r="E259" t="s">
        <v>873</v>
      </c>
      <c r="F259" t="s">
        <v>832</v>
      </c>
      <c r="G259" t="s">
        <v>855</v>
      </c>
      <c r="H259" s="4">
        <v>49.1</v>
      </c>
      <c r="I259" t="s">
        <v>852</v>
      </c>
    </row>
    <row r="260" spans="1:9" x14ac:dyDescent="0.3">
      <c r="A260" t="s">
        <v>865</v>
      </c>
      <c r="B260" t="s">
        <v>188</v>
      </c>
      <c r="C260" s="7" t="str">
        <f ca="1">IFERROR(_xludf.XLOOKUP(B260,MASTER_REGISTER!E:E,MASTER_REGISTER!F:F,""),"")</f>
        <v/>
      </c>
      <c r="D260" s="4" t="str">
        <f ca="1">IFERROR(_xludf.XLOOKUP(B260,MASTER_REGISTER!E:E,MASTER_REGISTER!C:C,""),"")</f>
        <v/>
      </c>
      <c r="E260" t="s">
        <v>872</v>
      </c>
      <c r="F260" t="s">
        <v>824</v>
      </c>
      <c r="G260" t="s">
        <v>859</v>
      </c>
      <c r="H260" s="4">
        <v>56.6</v>
      </c>
      <c r="I260" t="s">
        <v>829</v>
      </c>
    </row>
    <row r="261" spans="1:9" x14ac:dyDescent="0.3">
      <c r="A261" t="s">
        <v>854</v>
      </c>
      <c r="B261" t="s">
        <v>188</v>
      </c>
      <c r="C261" s="7" t="str">
        <f ca="1">IFERROR(_xludf.XLOOKUP(B261,MASTER_REGISTER!E:E,MASTER_REGISTER!F:F,""),"")</f>
        <v/>
      </c>
      <c r="D261" s="4" t="str">
        <f ca="1">IFERROR(_xludf.XLOOKUP(B261,MASTER_REGISTER!E:E,MASTER_REGISTER!C:C,""),"")</f>
        <v/>
      </c>
      <c r="E261" t="s">
        <v>871</v>
      </c>
      <c r="F261" t="s">
        <v>824</v>
      </c>
      <c r="G261" t="s">
        <v>841</v>
      </c>
      <c r="H261" s="4">
        <v>53.1</v>
      </c>
      <c r="I261" t="s">
        <v>862</v>
      </c>
    </row>
    <row r="262" spans="1:9" x14ac:dyDescent="0.3">
      <c r="A262" t="s">
        <v>856</v>
      </c>
      <c r="B262" t="s">
        <v>193</v>
      </c>
      <c r="C262" s="7" t="str">
        <f ca="1">IFERROR(_xludf.XLOOKUP(B262,MASTER_REGISTER!E:E,MASTER_REGISTER!F:F,""),"")</f>
        <v/>
      </c>
      <c r="D262" s="4" t="str">
        <f ca="1">IFERROR(_xludf.XLOOKUP(B262,MASTER_REGISTER!E:E,MASTER_REGISTER!C:C,""),"")</f>
        <v/>
      </c>
      <c r="E262" t="s">
        <v>843</v>
      </c>
      <c r="F262" t="s">
        <v>838</v>
      </c>
      <c r="G262" t="s">
        <v>859</v>
      </c>
      <c r="H262" s="4">
        <v>61</v>
      </c>
      <c r="I262" t="s">
        <v>846</v>
      </c>
    </row>
    <row r="263" spans="1:9" x14ac:dyDescent="0.3">
      <c r="A263" t="s">
        <v>433</v>
      </c>
      <c r="B263" t="s">
        <v>193</v>
      </c>
      <c r="C263" s="7" t="str">
        <f ca="1">IFERROR(_xludf.XLOOKUP(B263,MASTER_REGISTER!E:E,MASTER_REGISTER!F:F,""),"")</f>
        <v/>
      </c>
      <c r="D263" s="4" t="str">
        <f ca="1">IFERROR(_xludf.XLOOKUP(B263,MASTER_REGISTER!E:E,MASTER_REGISTER!C:C,""),"")</f>
        <v/>
      </c>
      <c r="E263" t="s">
        <v>873</v>
      </c>
      <c r="F263" t="s">
        <v>838</v>
      </c>
      <c r="G263" t="s">
        <v>859</v>
      </c>
      <c r="H263" s="4">
        <v>71.8</v>
      </c>
      <c r="I263" t="s">
        <v>849</v>
      </c>
    </row>
    <row r="264" spans="1:9" x14ac:dyDescent="0.3">
      <c r="A264" t="s">
        <v>830</v>
      </c>
      <c r="B264" t="s">
        <v>193</v>
      </c>
      <c r="C264" s="7" t="str">
        <f ca="1">IFERROR(_xludf.XLOOKUP(B264,MASTER_REGISTER!E:E,MASTER_REGISTER!F:F,""),"")</f>
        <v/>
      </c>
      <c r="D264" s="4" t="str">
        <f ca="1">IFERROR(_xludf.XLOOKUP(B264,MASTER_REGISTER!E:E,MASTER_REGISTER!C:C,""),"")</f>
        <v/>
      </c>
      <c r="E264" t="s">
        <v>823</v>
      </c>
      <c r="F264" t="s">
        <v>838</v>
      </c>
      <c r="G264" t="s">
        <v>833</v>
      </c>
      <c r="H264" s="4">
        <v>83.1</v>
      </c>
      <c r="I264" t="s">
        <v>852</v>
      </c>
    </row>
    <row r="265" spans="1:9" x14ac:dyDescent="0.3">
      <c r="A265" t="s">
        <v>870</v>
      </c>
      <c r="B265" t="s">
        <v>193</v>
      </c>
      <c r="C265" s="7" t="str">
        <f ca="1">IFERROR(_xludf.XLOOKUP(B265,MASTER_REGISTER!E:E,MASTER_REGISTER!F:F,""),"")</f>
        <v/>
      </c>
      <c r="D265" s="4" t="str">
        <f ca="1">IFERROR(_xludf.XLOOKUP(B265,MASTER_REGISTER!E:E,MASTER_REGISTER!C:C,""),"")</f>
        <v/>
      </c>
      <c r="E265" t="s">
        <v>871</v>
      </c>
      <c r="F265" t="s">
        <v>840</v>
      </c>
      <c r="G265" t="s">
        <v>848</v>
      </c>
      <c r="H265" s="4">
        <v>65.7</v>
      </c>
      <c r="I265" t="s">
        <v>829</v>
      </c>
    </row>
    <row r="266" spans="1:9" x14ac:dyDescent="0.3">
      <c r="A266" t="s">
        <v>835</v>
      </c>
      <c r="B266" t="s">
        <v>193</v>
      </c>
      <c r="C266" s="7" t="str">
        <f ca="1">IFERROR(_xludf.XLOOKUP(B266,MASTER_REGISTER!E:E,MASTER_REGISTER!F:F,""),"")</f>
        <v/>
      </c>
      <c r="D266" s="4" t="str">
        <f ca="1">IFERROR(_xludf.XLOOKUP(B266,MASTER_REGISTER!E:E,MASTER_REGISTER!C:C,""),"")</f>
        <v/>
      </c>
      <c r="E266" t="s">
        <v>871</v>
      </c>
      <c r="F266" t="s">
        <v>832</v>
      </c>
      <c r="G266" t="s">
        <v>833</v>
      </c>
      <c r="H266" s="4">
        <v>65.5</v>
      </c>
      <c r="I266" t="s">
        <v>852</v>
      </c>
    </row>
    <row r="267" spans="1:9" x14ac:dyDescent="0.3">
      <c r="A267" t="s">
        <v>858</v>
      </c>
      <c r="B267" t="s">
        <v>193</v>
      </c>
      <c r="C267" s="7" t="str">
        <f ca="1">IFERROR(_xludf.XLOOKUP(B267,MASTER_REGISTER!E:E,MASTER_REGISTER!F:F,""),"")</f>
        <v/>
      </c>
      <c r="D267" s="4" t="str">
        <f ca="1">IFERROR(_xludf.XLOOKUP(B267,MASTER_REGISTER!E:E,MASTER_REGISTER!C:C,""),"")</f>
        <v/>
      </c>
      <c r="E267" t="s">
        <v>873</v>
      </c>
      <c r="F267" t="s">
        <v>838</v>
      </c>
      <c r="G267" t="s">
        <v>855</v>
      </c>
      <c r="H267" s="4">
        <v>67.5</v>
      </c>
      <c r="I267" t="s">
        <v>834</v>
      </c>
    </row>
    <row r="268" spans="1:9" x14ac:dyDescent="0.3">
      <c r="A268" t="s">
        <v>851</v>
      </c>
      <c r="B268" t="s">
        <v>193</v>
      </c>
      <c r="C268" s="7" t="str">
        <f ca="1">IFERROR(_xludf.XLOOKUP(B268,MASTER_REGISTER!E:E,MASTER_REGISTER!F:F,""),"")</f>
        <v/>
      </c>
      <c r="D268" s="4" t="str">
        <f ca="1">IFERROR(_xludf.XLOOKUP(B268,MASTER_REGISTER!E:E,MASTER_REGISTER!C:C,""),"")</f>
        <v/>
      </c>
      <c r="E268" t="s">
        <v>843</v>
      </c>
      <c r="F268" t="s">
        <v>840</v>
      </c>
      <c r="G268" t="s">
        <v>825</v>
      </c>
      <c r="H268" s="4">
        <v>86</v>
      </c>
      <c r="I268" t="s">
        <v>844</v>
      </c>
    </row>
    <row r="269" spans="1:9" x14ac:dyDescent="0.3">
      <c r="A269" t="s">
        <v>370</v>
      </c>
      <c r="B269" t="s">
        <v>193</v>
      </c>
      <c r="C269" s="7" t="str">
        <f ca="1">IFERROR(_xludf.XLOOKUP(B269,MASTER_REGISTER!E:E,MASTER_REGISTER!F:F,""),"")</f>
        <v/>
      </c>
      <c r="D269" s="4" t="str">
        <f ca="1">IFERROR(_xludf.XLOOKUP(B269,MASTER_REGISTER!E:E,MASTER_REGISTER!C:C,""),"")</f>
        <v/>
      </c>
      <c r="E269" t="s">
        <v>872</v>
      </c>
      <c r="F269" t="s">
        <v>824</v>
      </c>
      <c r="G269" t="s">
        <v>845</v>
      </c>
      <c r="H269" s="4">
        <v>70.7</v>
      </c>
      <c r="I269" t="s">
        <v>829</v>
      </c>
    </row>
    <row r="270" spans="1:9" x14ac:dyDescent="0.3">
      <c r="A270" t="s">
        <v>373</v>
      </c>
      <c r="B270" t="s">
        <v>193</v>
      </c>
      <c r="C270" s="7" t="str">
        <f ca="1">IFERROR(_xludf.XLOOKUP(B270,MASTER_REGISTER!E:E,MASTER_REGISTER!F:F,""),"")</f>
        <v/>
      </c>
      <c r="D270" s="4" t="str">
        <f ca="1">IFERROR(_xludf.XLOOKUP(B270,MASTER_REGISTER!E:E,MASTER_REGISTER!C:C,""),"")</f>
        <v/>
      </c>
      <c r="E270" t="s">
        <v>873</v>
      </c>
      <c r="F270" t="s">
        <v>832</v>
      </c>
      <c r="G270" t="s">
        <v>859</v>
      </c>
      <c r="H270" s="4">
        <v>80</v>
      </c>
      <c r="I270" t="s">
        <v>846</v>
      </c>
    </row>
    <row r="271" spans="1:9" x14ac:dyDescent="0.3">
      <c r="A271" t="s">
        <v>865</v>
      </c>
      <c r="B271" t="s">
        <v>193</v>
      </c>
      <c r="C271" s="7" t="str">
        <f ca="1">IFERROR(_xludf.XLOOKUP(B271,MASTER_REGISTER!E:E,MASTER_REGISTER!F:F,""),"")</f>
        <v/>
      </c>
      <c r="D271" s="4" t="str">
        <f ca="1">IFERROR(_xludf.XLOOKUP(B271,MASTER_REGISTER!E:E,MASTER_REGISTER!C:C,""),"")</f>
        <v/>
      </c>
      <c r="E271" t="s">
        <v>874</v>
      </c>
      <c r="F271" t="s">
        <v>832</v>
      </c>
      <c r="G271" t="s">
        <v>841</v>
      </c>
      <c r="H271" s="4">
        <v>55.3</v>
      </c>
      <c r="I271" t="s">
        <v>826</v>
      </c>
    </row>
    <row r="272" spans="1:9" x14ac:dyDescent="0.3">
      <c r="A272" t="s">
        <v>861</v>
      </c>
      <c r="B272" t="s">
        <v>198</v>
      </c>
      <c r="C272" s="7" t="str">
        <f ca="1">IFERROR(_xludf.XLOOKUP(B272,MASTER_REGISTER!E:E,MASTER_REGISTER!F:F,""),"")</f>
        <v/>
      </c>
      <c r="D272" s="4" t="str">
        <f ca="1">IFERROR(_xludf.XLOOKUP(B272,MASTER_REGISTER!E:E,MASTER_REGISTER!C:C,""),"")</f>
        <v/>
      </c>
      <c r="E272" t="s">
        <v>871</v>
      </c>
      <c r="F272" t="s">
        <v>824</v>
      </c>
      <c r="G272" t="s">
        <v>850</v>
      </c>
      <c r="H272" s="4">
        <v>71.900000000000006</v>
      </c>
      <c r="I272" t="s">
        <v>829</v>
      </c>
    </row>
    <row r="273" spans="1:9" x14ac:dyDescent="0.3">
      <c r="A273" t="s">
        <v>861</v>
      </c>
      <c r="B273" t="s">
        <v>198</v>
      </c>
      <c r="C273" s="7" t="str">
        <f ca="1">IFERROR(_xludf.XLOOKUP(B273,MASTER_REGISTER!E:E,MASTER_REGISTER!F:F,""),"")</f>
        <v/>
      </c>
      <c r="D273" s="4" t="str">
        <f ca="1">IFERROR(_xludf.XLOOKUP(B273,MASTER_REGISTER!E:E,MASTER_REGISTER!C:C,""),"")</f>
        <v/>
      </c>
      <c r="E273" t="s">
        <v>871</v>
      </c>
      <c r="F273" t="s">
        <v>838</v>
      </c>
      <c r="G273" t="s">
        <v>836</v>
      </c>
      <c r="H273" s="4">
        <v>58.7</v>
      </c>
      <c r="I273" t="s">
        <v>846</v>
      </c>
    </row>
    <row r="274" spans="1:9" x14ac:dyDescent="0.3">
      <c r="A274" t="s">
        <v>857</v>
      </c>
      <c r="B274" t="s">
        <v>198</v>
      </c>
      <c r="C274" s="7" t="str">
        <f ca="1">IFERROR(_xludf.XLOOKUP(B274,MASTER_REGISTER!E:E,MASTER_REGISTER!F:F,""),"")</f>
        <v/>
      </c>
      <c r="D274" s="4" t="str">
        <f ca="1">IFERROR(_xludf.XLOOKUP(B274,MASTER_REGISTER!E:E,MASTER_REGISTER!C:C,""),"")</f>
        <v/>
      </c>
      <c r="E274" t="s">
        <v>873</v>
      </c>
      <c r="F274" t="s">
        <v>840</v>
      </c>
      <c r="G274" t="s">
        <v>850</v>
      </c>
      <c r="H274" s="4">
        <v>55.1</v>
      </c>
      <c r="I274" t="s">
        <v>834</v>
      </c>
    </row>
    <row r="275" spans="1:9" x14ac:dyDescent="0.3">
      <c r="A275" t="s">
        <v>839</v>
      </c>
      <c r="B275" t="s">
        <v>198</v>
      </c>
      <c r="C275" s="7" t="str">
        <f ca="1">IFERROR(_xludf.XLOOKUP(B275,MASTER_REGISTER!E:E,MASTER_REGISTER!F:F,""),"")</f>
        <v/>
      </c>
      <c r="D275" s="4" t="str">
        <f ca="1">IFERROR(_xludf.XLOOKUP(B275,MASTER_REGISTER!E:E,MASTER_REGISTER!C:C,""),"")</f>
        <v/>
      </c>
      <c r="E275" t="s">
        <v>843</v>
      </c>
      <c r="F275" t="s">
        <v>832</v>
      </c>
      <c r="G275" t="s">
        <v>850</v>
      </c>
      <c r="H275" s="4">
        <v>69.599999999999994</v>
      </c>
      <c r="I275" t="s">
        <v>849</v>
      </c>
    </row>
    <row r="276" spans="1:9" x14ac:dyDescent="0.3">
      <c r="A276" t="s">
        <v>864</v>
      </c>
      <c r="B276" t="s">
        <v>198</v>
      </c>
      <c r="C276" s="7" t="str">
        <f ca="1">IFERROR(_xludf.XLOOKUP(B276,MASTER_REGISTER!E:E,MASTER_REGISTER!F:F,""),"")</f>
        <v/>
      </c>
      <c r="D276" s="4" t="str">
        <f ca="1">IFERROR(_xludf.XLOOKUP(B276,MASTER_REGISTER!E:E,MASTER_REGISTER!C:C,""),"")</f>
        <v/>
      </c>
      <c r="E276" t="s">
        <v>873</v>
      </c>
      <c r="F276" t="s">
        <v>840</v>
      </c>
      <c r="G276" t="s">
        <v>836</v>
      </c>
      <c r="H276" s="4">
        <v>50</v>
      </c>
      <c r="I276" t="s">
        <v>826</v>
      </c>
    </row>
    <row r="277" spans="1:9" x14ac:dyDescent="0.3">
      <c r="A277" t="s">
        <v>858</v>
      </c>
      <c r="B277" t="s">
        <v>198</v>
      </c>
      <c r="C277" s="7" t="str">
        <f ca="1">IFERROR(_xludf.XLOOKUP(B277,MASTER_REGISTER!E:E,MASTER_REGISTER!F:F,""),"")</f>
        <v/>
      </c>
      <c r="D277" s="4" t="str">
        <f ca="1">IFERROR(_xludf.XLOOKUP(B277,MASTER_REGISTER!E:E,MASTER_REGISTER!C:C,""),"")</f>
        <v/>
      </c>
      <c r="E277" t="s">
        <v>872</v>
      </c>
      <c r="F277" t="s">
        <v>838</v>
      </c>
      <c r="G277" t="s">
        <v>867</v>
      </c>
      <c r="H277" s="4">
        <v>47.7</v>
      </c>
      <c r="I277" t="s">
        <v>829</v>
      </c>
    </row>
    <row r="278" spans="1:9" x14ac:dyDescent="0.3">
      <c r="A278" t="s">
        <v>504</v>
      </c>
      <c r="B278" t="s">
        <v>198</v>
      </c>
      <c r="C278" s="7" t="str">
        <f ca="1">IFERROR(_xludf.XLOOKUP(B278,MASTER_REGISTER!E:E,MASTER_REGISTER!F:F,""),"")</f>
        <v/>
      </c>
      <c r="D278" s="4" t="str">
        <f ca="1">IFERROR(_xludf.XLOOKUP(B278,MASTER_REGISTER!E:E,MASTER_REGISTER!C:C,""),"")</f>
        <v/>
      </c>
      <c r="E278" t="s">
        <v>823</v>
      </c>
      <c r="F278" t="s">
        <v>840</v>
      </c>
      <c r="G278" t="s">
        <v>836</v>
      </c>
      <c r="H278" s="4">
        <v>53.1</v>
      </c>
      <c r="I278" t="s">
        <v>849</v>
      </c>
    </row>
    <row r="279" spans="1:9" x14ac:dyDescent="0.3">
      <c r="A279" t="s">
        <v>851</v>
      </c>
      <c r="B279" t="s">
        <v>198</v>
      </c>
      <c r="C279" s="7" t="str">
        <f ca="1">IFERROR(_xludf.XLOOKUP(B279,MASTER_REGISTER!E:E,MASTER_REGISTER!F:F,""),"")</f>
        <v/>
      </c>
      <c r="D279" s="4" t="str">
        <f ca="1">IFERROR(_xludf.XLOOKUP(B279,MASTER_REGISTER!E:E,MASTER_REGISTER!C:C,""),"")</f>
        <v/>
      </c>
      <c r="E279" t="s">
        <v>873</v>
      </c>
      <c r="F279" t="s">
        <v>838</v>
      </c>
      <c r="G279" t="s">
        <v>860</v>
      </c>
      <c r="H279" s="4">
        <v>88.7</v>
      </c>
      <c r="I279" t="s">
        <v>862</v>
      </c>
    </row>
    <row r="280" spans="1:9" x14ac:dyDescent="0.3">
      <c r="A280" t="s">
        <v>373</v>
      </c>
      <c r="B280" t="s">
        <v>198</v>
      </c>
      <c r="C280" s="7" t="str">
        <f ca="1">IFERROR(_xludf.XLOOKUP(B280,MASTER_REGISTER!E:E,MASTER_REGISTER!F:F,""),"")</f>
        <v/>
      </c>
      <c r="D280" s="4" t="str">
        <f ca="1">IFERROR(_xludf.XLOOKUP(B280,MASTER_REGISTER!E:E,MASTER_REGISTER!C:C,""),"")</f>
        <v/>
      </c>
      <c r="E280" t="s">
        <v>843</v>
      </c>
      <c r="F280" t="s">
        <v>824</v>
      </c>
      <c r="G280" t="s">
        <v>855</v>
      </c>
      <c r="H280" s="4">
        <v>59.4</v>
      </c>
      <c r="I280" t="s">
        <v>826</v>
      </c>
    </row>
    <row r="281" spans="1:9" x14ac:dyDescent="0.3">
      <c r="A281" t="s">
        <v>854</v>
      </c>
      <c r="B281" t="s">
        <v>198</v>
      </c>
      <c r="C281" s="7" t="str">
        <f ca="1">IFERROR(_xludf.XLOOKUP(B281,MASTER_REGISTER!E:E,MASTER_REGISTER!F:F,""),"")</f>
        <v/>
      </c>
      <c r="D281" s="4" t="str">
        <f ca="1">IFERROR(_xludf.XLOOKUP(B281,MASTER_REGISTER!E:E,MASTER_REGISTER!C:C,""),"")</f>
        <v/>
      </c>
      <c r="E281" t="s">
        <v>871</v>
      </c>
      <c r="F281" t="s">
        <v>840</v>
      </c>
      <c r="G281" t="s">
        <v>850</v>
      </c>
      <c r="H281" s="4">
        <v>63.7</v>
      </c>
      <c r="I281" t="s">
        <v>829</v>
      </c>
    </row>
    <row r="282" spans="1:9" x14ac:dyDescent="0.3">
      <c r="A282" t="s">
        <v>137</v>
      </c>
      <c r="B282" t="s">
        <v>202</v>
      </c>
      <c r="C282" s="7" t="str">
        <f ca="1">IFERROR(_xludf.XLOOKUP(B282,MASTER_REGISTER!E:E,MASTER_REGISTER!F:F,""),"")</f>
        <v/>
      </c>
      <c r="D282" s="4" t="str">
        <f ca="1">IFERROR(_xludf.XLOOKUP(B282,MASTER_REGISTER!E:E,MASTER_REGISTER!C:C,""),"")</f>
        <v/>
      </c>
      <c r="E282" t="s">
        <v>872</v>
      </c>
      <c r="F282" t="s">
        <v>832</v>
      </c>
      <c r="G282" t="s">
        <v>845</v>
      </c>
      <c r="H282" s="4">
        <v>69.900000000000006</v>
      </c>
      <c r="I282" t="s">
        <v>846</v>
      </c>
    </row>
    <row r="283" spans="1:9" x14ac:dyDescent="0.3">
      <c r="A283" t="s">
        <v>861</v>
      </c>
      <c r="B283" t="s">
        <v>202</v>
      </c>
      <c r="C283" s="7" t="str">
        <f ca="1">IFERROR(_xludf.XLOOKUP(B283,MASTER_REGISTER!E:E,MASTER_REGISTER!F:F,""),"")</f>
        <v/>
      </c>
      <c r="D283" s="4" t="str">
        <f ca="1">IFERROR(_xludf.XLOOKUP(B283,MASTER_REGISTER!E:E,MASTER_REGISTER!C:C,""),"")</f>
        <v/>
      </c>
      <c r="E283" t="s">
        <v>872</v>
      </c>
      <c r="F283" t="s">
        <v>840</v>
      </c>
      <c r="G283" t="s">
        <v>828</v>
      </c>
      <c r="H283" s="4">
        <v>74.099999999999994</v>
      </c>
      <c r="I283" t="s">
        <v>862</v>
      </c>
    </row>
    <row r="284" spans="1:9" x14ac:dyDescent="0.3">
      <c r="A284" t="s">
        <v>433</v>
      </c>
      <c r="B284" t="s">
        <v>202</v>
      </c>
      <c r="C284" s="7" t="str">
        <f ca="1">IFERROR(_xludf.XLOOKUP(B284,MASTER_REGISTER!E:E,MASTER_REGISTER!F:F,""),"")</f>
        <v/>
      </c>
      <c r="D284" s="4" t="str">
        <f ca="1">IFERROR(_xludf.XLOOKUP(B284,MASTER_REGISTER!E:E,MASTER_REGISTER!C:C,""),"")</f>
        <v/>
      </c>
      <c r="E284" t="s">
        <v>871</v>
      </c>
      <c r="F284" t="s">
        <v>838</v>
      </c>
      <c r="G284" t="s">
        <v>836</v>
      </c>
      <c r="H284" s="4">
        <v>69.400000000000006</v>
      </c>
      <c r="I284" t="s">
        <v>844</v>
      </c>
    </row>
    <row r="285" spans="1:9" x14ac:dyDescent="0.3">
      <c r="A285" t="s">
        <v>835</v>
      </c>
      <c r="B285" t="s">
        <v>202</v>
      </c>
      <c r="C285" s="7" t="str">
        <f ca="1">IFERROR(_xludf.XLOOKUP(B285,MASTER_REGISTER!E:E,MASTER_REGISTER!F:F,""),"")</f>
        <v/>
      </c>
      <c r="D285" s="4" t="str">
        <f ca="1">IFERROR(_xludf.XLOOKUP(B285,MASTER_REGISTER!E:E,MASTER_REGISTER!C:C,""),"")</f>
        <v/>
      </c>
      <c r="E285" t="s">
        <v>873</v>
      </c>
      <c r="F285" t="s">
        <v>838</v>
      </c>
      <c r="G285" t="s">
        <v>845</v>
      </c>
      <c r="H285" s="4">
        <v>76.3</v>
      </c>
      <c r="I285" t="s">
        <v>829</v>
      </c>
    </row>
    <row r="286" spans="1:9" x14ac:dyDescent="0.3">
      <c r="A286" t="s">
        <v>504</v>
      </c>
      <c r="B286" t="s">
        <v>202</v>
      </c>
      <c r="C286" s="7" t="str">
        <f ca="1">IFERROR(_xludf.XLOOKUP(B286,MASTER_REGISTER!E:E,MASTER_REGISTER!F:F,""),"")</f>
        <v/>
      </c>
      <c r="D286" s="4" t="str">
        <f ca="1">IFERROR(_xludf.XLOOKUP(B286,MASTER_REGISTER!E:E,MASTER_REGISTER!C:C,""),"")</f>
        <v/>
      </c>
      <c r="E286" t="s">
        <v>873</v>
      </c>
      <c r="F286" t="s">
        <v>838</v>
      </c>
      <c r="G286" t="s">
        <v>859</v>
      </c>
      <c r="H286" s="4">
        <v>82.6</v>
      </c>
      <c r="I286" t="s">
        <v>849</v>
      </c>
    </row>
    <row r="287" spans="1:9" x14ac:dyDescent="0.3">
      <c r="A287" t="s">
        <v>842</v>
      </c>
      <c r="B287" t="s">
        <v>202</v>
      </c>
      <c r="C287" s="7" t="str">
        <f ca="1">IFERROR(_xludf.XLOOKUP(B287,MASTER_REGISTER!E:E,MASTER_REGISTER!F:F,""),"")</f>
        <v/>
      </c>
      <c r="D287" s="4" t="str">
        <f ca="1">IFERROR(_xludf.XLOOKUP(B287,MASTER_REGISTER!E:E,MASTER_REGISTER!C:C,""),"")</f>
        <v/>
      </c>
      <c r="E287" t="s">
        <v>823</v>
      </c>
      <c r="F287" t="s">
        <v>832</v>
      </c>
      <c r="G287" t="s">
        <v>848</v>
      </c>
      <c r="H287" s="4">
        <v>41.8</v>
      </c>
      <c r="I287" t="s">
        <v>849</v>
      </c>
    </row>
    <row r="288" spans="1:9" x14ac:dyDescent="0.3">
      <c r="A288" t="s">
        <v>373</v>
      </c>
      <c r="B288" t="s">
        <v>202</v>
      </c>
      <c r="C288" s="7" t="str">
        <f ca="1">IFERROR(_xludf.XLOOKUP(B288,MASTER_REGISTER!E:E,MASTER_REGISTER!F:F,""),"")</f>
        <v/>
      </c>
      <c r="D288" s="4" t="str">
        <f ca="1">IFERROR(_xludf.XLOOKUP(B288,MASTER_REGISTER!E:E,MASTER_REGISTER!C:C,""),"")</f>
        <v/>
      </c>
      <c r="E288" t="s">
        <v>823</v>
      </c>
      <c r="F288" t="s">
        <v>840</v>
      </c>
      <c r="G288" t="s">
        <v>833</v>
      </c>
      <c r="H288" s="4">
        <v>60.3</v>
      </c>
      <c r="I288" t="s">
        <v>834</v>
      </c>
    </row>
    <row r="289" spans="1:9" x14ac:dyDescent="0.3">
      <c r="A289" t="s">
        <v>373</v>
      </c>
      <c r="B289" t="s">
        <v>202</v>
      </c>
      <c r="C289" s="7" t="str">
        <f ca="1">IFERROR(_xludf.XLOOKUP(B289,MASTER_REGISTER!E:E,MASTER_REGISTER!F:F,""),"")</f>
        <v/>
      </c>
      <c r="D289" s="4" t="str">
        <f ca="1">IFERROR(_xludf.XLOOKUP(B289,MASTER_REGISTER!E:E,MASTER_REGISTER!C:C,""),"")</f>
        <v/>
      </c>
      <c r="E289" t="s">
        <v>871</v>
      </c>
      <c r="F289" t="s">
        <v>840</v>
      </c>
      <c r="G289" t="s">
        <v>841</v>
      </c>
      <c r="H289" s="4">
        <v>85.4</v>
      </c>
      <c r="I289" t="s">
        <v>852</v>
      </c>
    </row>
    <row r="290" spans="1:9" x14ac:dyDescent="0.3">
      <c r="A290" t="s">
        <v>373</v>
      </c>
      <c r="B290" t="s">
        <v>202</v>
      </c>
      <c r="C290" s="7" t="str">
        <f ca="1">IFERROR(_xludf.XLOOKUP(B290,MASTER_REGISTER!E:E,MASTER_REGISTER!F:F,""),"")</f>
        <v/>
      </c>
      <c r="D290" s="4" t="str">
        <f ca="1">IFERROR(_xludf.XLOOKUP(B290,MASTER_REGISTER!E:E,MASTER_REGISTER!C:C,""),"")</f>
        <v/>
      </c>
      <c r="E290" t="s">
        <v>874</v>
      </c>
      <c r="F290" t="s">
        <v>832</v>
      </c>
      <c r="G290" t="s">
        <v>828</v>
      </c>
      <c r="H290" s="4">
        <v>69.5</v>
      </c>
      <c r="I290" t="s">
        <v>834</v>
      </c>
    </row>
    <row r="291" spans="1:9" x14ac:dyDescent="0.3">
      <c r="A291" t="s">
        <v>868</v>
      </c>
      <c r="B291" t="s">
        <v>202</v>
      </c>
      <c r="C291" s="7" t="str">
        <f ca="1">IFERROR(_xludf.XLOOKUP(B291,MASTER_REGISTER!E:E,MASTER_REGISTER!F:F,""),"")</f>
        <v/>
      </c>
      <c r="D291" s="4" t="str">
        <f ca="1">IFERROR(_xludf.XLOOKUP(B291,MASTER_REGISTER!E:E,MASTER_REGISTER!C:C,""),"")</f>
        <v/>
      </c>
      <c r="E291" t="s">
        <v>843</v>
      </c>
      <c r="F291" t="s">
        <v>840</v>
      </c>
      <c r="G291" t="s">
        <v>867</v>
      </c>
      <c r="H291" s="4">
        <v>75.599999999999994</v>
      </c>
      <c r="I291" t="s">
        <v>862</v>
      </c>
    </row>
    <row r="292" spans="1:9" x14ac:dyDescent="0.3">
      <c r="A292" t="s">
        <v>172</v>
      </c>
      <c r="B292" t="s">
        <v>206</v>
      </c>
      <c r="C292" s="7" t="str">
        <f ca="1">IFERROR(_xludf.XLOOKUP(B292,MASTER_REGISTER!E:E,MASTER_REGISTER!F:F,""),"")</f>
        <v/>
      </c>
      <c r="D292" s="4" t="str">
        <f ca="1">IFERROR(_xludf.XLOOKUP(B292,MASTER_REGISTER!E:E,MASTER_REGISTER!C:C,""),"")</f>
        <v/>
      </c>
      <c r="E292" t="s">
        <v>873</v>
      </c>
      <c r="F292" t="s">
        <v>838</v>
      </c>
      <c r="G292" t="s">
        <v>841</v>
      </c>
      <c r="H292" s="4">
        <v>53.4</v>
      </c>
      <c r="I292" t="s">
        <v>862</v>
      </c>
    </row>
    <row r="293" spans="1:9" x14ac:dyDescent="0.3">
      <c r="A293" t="s">
        <v>861</v>
      </c>
      <c r="B293" t="s">
        <v>206</v>
      </c>
      <c r="C293" s="7" t="str">
        <f ca="1">IFERROR(_xludf.XLOOKUP(B293,MASTER_REGISTER!E:E,MASTER_REGISTER!F:F,""),"")</f>
        <v/>
      </c>
      <c r="D293" s="4" t="str">
        <f ca="1">IFERROR(_xludf.XLOOKUP(B293,MASTER_REGISTER!E:E,MASTER_REGISTER!C:C,""),"")</f>
        <v/>
      </c>
      <c r="E293" t="s">
        <v>823</v>
      </c>
      <c r="F293" t="s">
        <v>832</v>
      </c>
      <c r="G293" t="s">
        <v>867</v>
      </c>
      <c r="H293" s="4">
        <v>64.7</v>
      </c>
      <c r="I293" t="s">
        <v>846</v>
      </c>
    </row>
    <row r="294" spans="1:9" x14ac:dyDescent="0.3">
      <c r="A294" t="s">
        <v>835</v>
      </c>
      <c r="B294" t="s">
        <v>206</v>
      </c>
      <c r="C294" s="7" t="str">
        <f ca="1">IFERROR(_xludf.XLOOKUP(B294,MASTER_REGISTER!E:E,MASTER_REGISTER!F:F,""),"")</f>
        <v/>
      </c>
      <c r="D294" s="4" t="str">
        <f ca="1">IFERROR(_xludf.XLOOKUP(B294,MASTER_REGISTER!E:E,MASTER_REGISTER!C:C,""),"")</f>
        <v/>
      </c>
      <c r="E294" t="s">
        <v>873</v>
      </c>
      <c r="F294" t="s">
        <v>840</v>
      </c>
      <c r="G294" t="s">
        <v>855</v>
      </c>
      <c r="H294" s="4">
        <v>64.8</v>
      </c>
      <c r="I294" t="s">
        <v>829</v>
      </c>
    </row>
    <row r="295" spans="1:9" x14ac:dyDescent="0.3">
      <c r="A295" t="s">
        <v>839</v>
      </c>
      <c r="B295" t="s">
        <v>206</v>
      </c>
      <c r="C295" s="7" t="str">
        <f ca="1">IFERROR(_xludf.XLOOKUP(B295,MASTER_REGISTER!E:E,MASTER_REGISTER!F:F,""),"")</f>
        <v/>
      </c>
      <c r="D295" s="4" t="str">
        <f ca="1">IFERROR(_xludf.XLOOKUP(B295,MASTER_REGISTER!E:E,MASTER_REGISTER!C:C,""),"")</f>
        <v/>
      </c>
      <c r="E295" t="s">
        <v>843</v>
      </c>
      <c r="F295" t="s">
        <v>824</v>
      </c>
      <c r="G295" t="s">
        <v>845</v>
      </c>
      <c r="H295" s="4">
        <v>73.5</v>
      </c>
      <c r="I295" t="s">
        <v>826</v>
      </c>
    </row>
    <row r="296" spans="1:9" x14ac:dyDescent="0.3">
      <c r="A296" t="s">
        <v>839</v>
      </c>
      <c r="B296" t="s">
        <v>206</v>
      </c>
      <c r="C296" s="7" t="str">
        <f ca="1">IFERROR(_xludf.XLOOKUP(B296,MASTER_REGISTER!E:E,MASTER_REGISTER!F:F,""),"")</f>
        <v/>
      </c>
      <c r="D296" s="4" t="str">
        <f ca="1">IFERROR(_xludf.XLOOKUP(B296,MASTER_REGISTER!E:E,MASTER_REGISTER!C:C,""),"")</f>
        <v/>
      </c>
      <c r="E296" t="s">
        <v>872</v>
      </c>
      <c r="F296" t="s">
        <v>832</v>
      </c>
      <c r="G296" t="s">
        <v>825</v>
      </c>
      <c r="H296" s="4">
        <v>57.6</v>
      </c>
      <c r="I296" t="s">
        <v>844</v>
      </c>
    </row>
    <row r="297" spans="1:9" x14ac:dyDescent="0.3">
      <c r="A297" t="s">
        <v>863</v>
      </c>
      <c r="B297" t="s">
        <v>206</v>
      </c>
      <c r="C297" s="7" t="str">
        <f ca="1">IFERROR(_xludf.XLOOKUP(B297,MASTER_REGISTER!E:E,MASTER_REGISTER!F:F,""),"")</f>
        <v/>
      </c>
      <c r="D297" s="4" t="str">
        <f ca="1">IFERROR(_xludf.XLOOKUP(B297,MASTER_REGISTER!E:E,MASTER_REGISTER!C:C,""),"")</f>
        <v/>
      </c>
      <c r="E297" t="s">
        <v>872</v>
      </c>
      <c r="F297" t="s">
        <v>832</v>
      </c>
      <c r="G297" t="s">
        <v>825</v>
      </c>
      <c r="H297" s="4">
        <v>69.599999999999994</v>
      </c>
      <c r="I297" t="s">
        <v>852</v>
      </c>
    </row>
    <row r="298" spans="1:9" x14ac:dyDescent="0.3">
      <c r="A298" t="s">
        <v>842</v>
      </c>
      <c r="B298" t="s">
        <v>206</v>
      </c>
      <c r="C298" s="7" t="str">
        <f ca="1">IFERROR(_xludf.XLOOKUP(B298,MASTER_REGISTER!E:E,MASTER_REGISTER!F:F,""),"")</f>
        <v/>
      </c>
      <c r="D298" s="4" t="str">
        <f ca="1">IFERROR(_xludf.XLOOKUP(B298,MASTER_REGISTER!E:E,MASTER_REGISTER!C:C,""),"")</f>
        <v/>
      </c>
      <c r="E298" t="s">
        <v>872</v>
      </c>
      <c r="F298" t="s">
        <v>840</v>
      </c>
      <c r="G298" t="s">
        <v>836</v>
      </c>
      <c r="H298" s="4">
        <v>79.7</v>
      </c>
      <c r="I298" t="s">
        <v>846</v>
      </c>
    </row>
    <row r="299" spans="1:9" x14ac:dyDescent="0.3">
      <c r="A299" t="s">
        <v>868</v>
      </c>
      <c r="B299" t="s">
        <v>206</v>
      </c>
      <c r="C299" s="7" t="str">
        <f ca="1">IFERROR(_xludf.XLOOKUP(B299,MASTER_REGISTER!E:E,MASTER_REGISTER!F:F,""),"")</f>
        <v/>
      </c>
      <c r="D299" s="4" t="str">
        <f ca="1">IFERROR(_xludf.XLOOKUP(B299,MASTER_REGISTER!E:E,MASTER_REGISTER!C:C,""),"")</f>
        <v/>
      </c>
      <c r="E299" t="s">
        <v>872</v>
      </c>
      <c r="F299" t="s">
        <v>832</v>
      </c>
      <c r="G299" t="s">
        <v>841</v>
      </c>
      <c r="H299" s="4">
        <v>59.5</v>
      </c>
      <c r="I299" t="s">
        <v>846</v>
      </c>
    </row>
    <row r="300" spans="1:9" x14ac:dyDescent="0.3">
      <c r="A300" t="s">
        <v>868</v>
      </c>
      <c r="B300" t="s">
        <v>206</v>
      </c>
      <c r="C300" s="7" t="str">
        <f ca="1">IFERROR(_xludf.XLOOKUP(B300,MASTER_REGISTER!E:E,MASTER_REGISTER!F:F,""),"")</f>
        <v/>
      </c>
      <c r="D300" s="4" t="str">
        <f ca="1">IFERROR(_xludf.XLOOKUP(B300,MASTER_REGISTER!E:E,MASTER_REGISTER!C:C,""),"")</f>
        <v/>
      </c>
      <c r="E300" t="s">
        <v>873</v>
      </c>
      <c r="F300" t="s">
        <v>838</v>
      </c>
      <c r="G300" t="s">
        <v>848</v>
      </c>
      <c r="H300" s="4">
        <v>51.1</v>
      </c>
      <c r="I300" t="s">
        <v>862</v>
      </c>
    </row>
    <row r="301" spans="1:9" x14ac:dyDescent="0.3">
      <c r="A301" t="s">
        <v>854</v>
      </c>
      <c r="B301" t="s">
        <v>206</v>
      </c>
      <c r="C301" s="7" t="str">
        <f ca="1">IFERROR(_xludf.XLOOKUP(B301,MASTER_REGISTER!E:E,MASTER_REGISTER!F:F,""),"")</f>
        <v/>
      </c>
      <c r="D301" s="4" t="str">
        <f ca="1">IFERROR(_xludf.XLOOKUP(B301,MASTER_REGISTER!E:E,MASTER_REGISTER!C:C,""),"")</f>
        <v/>
      </c>
      <c r="E301" t="s">
        <v>874</v>
      </c>
      <c r="F301" t="s">
        <v>832</v>
      </c>
      <c r="G301" t="s">
        <v>828</v>
      </c>
      <c r="H301" s="4">
        <v>62.5</v>
      </c>
      <c r="I301" t="s">
        <v>829</v>
      </c>
    </row>
    <row r="302" spans="1:9" x14ac:dyDescent="0.3">
      <c r="A302" t="s">
        <v>856</v>
      </c>
      <c r="B302" t="s">
        <v>210</v>
      </c>
      <c r="C302" s="7" t="str">
        <f ca="1">IFERROR(_xludf.XLOOKUP(B302,MASTER_REGISTER!E:E,MASTER_REGISTER!F:F,""),"")</f>
        <v/>
      </c>
      <c r="D302" s="4" t="str">
        <f ca="1">IFERROR(_xludf.XLOOKUP(B302,MASTER_REGISTER!E:E,MASTER_REGISTER!C:C,""),"")</f>
        <v/>
      </c>
      <c r="E302" t="s">
        <v>823</v>
      </c>
      <c r="F302" t="s">
        <v>838</v>
      </c>
      <c r="G302" t="s">
        <v>860</v>
      </c>
      <c r="H302" s="4">
        <v>69.2</v>
      </c>
      <c r="I302" t="s">
        <v>862</v>
      </c>
    </row>
    <row r="303" spans="1:9" x14ac:dyDescent="0.3">
      <c r="A303" t="s">
        <v>857</v>
      </c>
      <c r="B303" t="s">
        <v>210</v>
      </c>
      <c r="C303" s="7" t="str">
        <f ca="1">IFERROR(_xludf.XLOOKUP(B303,MASTER_REGISTER!E:E,MASTER_REGISTER!F:F,""),"")</f>
        <v/>
      </c>
      <c r="D303" s="4" t="str">
        <f ca="1">IFERROR(_xludf.XLOOKUP(B303,MASTER_REGISTER!E:E,MASTER_REGISTER!C:C,""),"")</f>
        <v/>
      </c>
      <c r="E303" t="s">
        <v>873</v>
      </c>
      <c r="F303" t="s">
        <v>838</v>
      </c>
      <c r="G303" t="s">
        <v>850</v>
      </c>
      <c r="H303" s="4">
        <v>64.599999999999994</v>
      </c>
      <c r="I303" t="s">
        <v>862</v>
      </c>
    </row>
    <row r="304" spans="1:9" x14ac:dyDescent="0.3">
      <c r="A304" t="s">
        <v>870</v>
      </c>
      <c r="B304" t="s">
        <v>210</v>
      </c>
      <c r="C304" s="7" t="str">
        <f ca="1">IFERROR(_xludf.XLOOKUP(B304,MASTER_REGISTER!E:E,MASTER_REGISTER!F:F,""),"")</f>
        <v/>
      </c>
      <c r="D304" s="4" t="str">
        <f ca="1">IFERROR(_xludf.XLOOKUP(B304,MASTER_REGISTER!E:E,MASTER_REGISTER!C:C,""),"")</f>
        <v/>
      </c>
      <c r="E304" t="s">
        <v>871</v>
      </c>
      <c r="F304" t="s">
        <v>832</v>
      </c>
      <c r="G304" t="s">
        <v>867</v>
      </c>
      <c r="H304" s="4">
        <v>72.900000000000006</v>
      </c>
      <c r="I304" t="s">
        <v>862</v>
      </c>
    </row>
    <row r="305" spans="1:9" x14ac:dyDescent="0.3">
      <c r="A305" t="s">
        <v>835</v>
      </c>
      <c r="B305" t="s">
        <v>210</v>
      </c>
      <c r="C305" s="7" t="str">
        <f ca="1">IFERROR(_xludf.XLOOKUP(B305,MASTER_REGISTER!E:E,MASTER_REGISTER!F:F,""),"")</f>
        <v/>
      </c>
      <c r="D305" s="4" t="str">
        <f ca="1">IFERROR(_xludf.XLOOKUP(B305,MASTER_REGISTER!E:E,MASTER_REGISTER!C:C,""),"")</f>
        <v/>
      </c>
      <c r="E305" t="s">
        <v>871</v>
      </c>
      <c r="F305" t="s">
        <v>840</v>
      </c>
      <c r="G305" t="s">
        <v>845</v>
      </c>
      <c r="H305" s="4">
        <v>64.900000000000006</v>
      </c>
      <c r="I305" t="s">
        <v>846</v>
      </c>
    </row>
    <row r="306" spans="1:9" x14ac:dyDescent="0.3">
      <c r="A306" t="s">
        <v>842</v>
      </c>
      <c r="B306" t="s">
        <v>210</v>
      </c>
      <c r="C306" s="7" t="str">
        <f ca="1">IFERROR(_xludf.XLOOKUP(B306,MASTER_REGISTER!E:E,MASTER_REGISTER!F:F,""),"")</f>
        <v/>
      </c>
      <c r="D306" s="4" t="str">
        <f ca="1">IFERROR(_xludf.XLOOKUP(B306,MASTER_REGISTER!E:E,MASTER_REGISTER!C:C,""),"")</f>
        <v/>
      </c>
      <c r="E306" t="s">
        <v>823</v>
      </c>
      <c r="F306" t="s">
        <v>824</v>
      </c>
      <c r="G306" t="s">
        <v>845</v>
      </c>
      <c r="H306" s="4">
        <v>64.8</v>
      </c>
      <c r="I306" t="s">
        <v>846</v>
      </c>
    </row>
    <row r="307" spans="1:9" x14ac:dyDescent="0.3">
      <c r="A307" t="s">
        <v>842</v>
      </c>
      <c r="B307" t="s">
        <v>210</v>
      </c>
      <c r="C307" s="7" t="str">
        <f ca="1">IFERROR(_xludf.XLOOKUP(B307,MASTER_REGISTER!E:E,MASTER_REGISTER!F:F,""),"")</f>
        <v/>
      </c>
      <c r="D307" s="4" t="str">
        <f ca="1">IFERROR(_xludf.XLOOKUP(B307,MASTER_REGISTER!E:E,MASTER_REGISTER!C:C,""),"")</f>
        <v/>
      </c>
      <c r="E307" t="s">
        <v>843</v>
      </c>
      <c r="F307" t="s">
        <v>824</v>
      </c>
      <c r="G307" t="s">
        <v>841</v>
      </c>
      <c r="H307" s="4">
        <v>71.400000000000006</v>
      </c>
      <c r="I307" t="s">
        <v>849</v>
      </c>
    </row>
    <row r="308" spans="1:9" x14ac:dyDescent="0.3">
      <c r="A308" t="s">
        <v>373</v>
      </c>
      <c r="B308" t="s">
        <v>210</v>
      </c>
      <c r="C308" s="7" t="str">
        <f ca="1">IFERROR(_xludf.XLOOKUP(B308,MASTER_REGISTER!E:E,MASTER_REGISTER!F:F,""),"")</f>
        <v/>
      </c>
      <c r="D308" s="4" t="str">
        <f ca="1">IFERROR(_xludf.XLOOKUP(B308,MASTER_REGISTER!E:E,MASTER_REGISTER!C:C,""),"")</f>
        <v/>
      </c>
      <c r="E308" t="s">
        <v>872</v>
      </c>
      <c r="F308" t="s">
        <v>832</v>
      </c>
      <c r="G308" t="s">
        <v>848</v>
      </c>
      <c r="H308" s="4">
        <v>62.8</v>
      </c>
      <c r="I308" t="s">
        <v>826</v>
      </c>
    </row>
    <row r="309" spans="1:9" x14ac:dyDescent="0.3">
      <c r="A309" t="s">
        <v>373</v>
      </c>
      <c r="B309" t="s">
        <v>210</v>
      </c>
      <c r="C309" s="7" t="str">
        <f ca="1">IFERROR(_xludf.XLOOKUP(B309,MASTER_REGISTER!E:E,MASTER_REGISTER!F:F,""),"")</f>
        <v/>
      </c>
      <c r="D309" s="4" t="str">
        <f ca="1">IFERROR(_xludf.XLOOKUP(B309,MASTER_REGISTER!E:E,MASTER_REGISTER!C:C,""),"")</f>
        <v/>
      </c>
      <c r="E309" t="s">
        <v>874</v>
      </c>
      <c r="F309" t="s">
        <v>840</v>
      </c>
      <c r="G309" t="s">
        <v>855</v>
      </c>
      <c r="H309" s="4">
        <v>54.5</v>
      </c>
      <c r="I309" t="s">
        <v>826</v>
      </c>
    </row>
    <row r="310" spans="1:9" x14ac:dyDescent="0.3">
      <c r="A310" t="s">
        <v>868</v>
      </c>
      <c r="B310" t="s">
        <v>210</v>
      </c>
      <c r="C310" s="7" t="str">
        <f ca="1">IFERROR(_xludf.XLOOKUP(B310,MASTER_REGISTER!E:E,MASTER_REGISTER!F:F,""),"")</f>
        <v/>
      </c>
      <c r="D310" s="4" t="str">
        <f ca="1">IFERROR(_xludf.XLOOKUP(B310,MASTER_REGISTER!E:E,MASTER_REGISTER!C:C,""),"")</f>
        <v/>
      </c>
      <c r="E310" t="s">
        <v>873</v>
      </c>
      <c r="F310" t="s">
        <v>832</v>
      </c>
      <c r="G310" t="s">
        <v>836</v>
      </c>
      <c r="H310" s="4">
        <v>54.4</v>
      </c>
      <c r="I310" t="s">
        <v>829</v>
      </c>
    </row>
    <row r="311" spans="1:9" x14ac:dyDescent="0.3">
      <c r="A311" t="s">
        <v>847</v>
      </c>
      <c r="B311" t="s">
        <v>210</v>
      </c>
      <c r="C311" s="7" t="str">
        <f ca="1">IFERROR(_xludf.XLOOKUP(B311,MASTER_REGISTER!E:E,MASTER_REGISTER!F:F,""),"")</f>
        <v/>
      </c>
      <c r="D311" s="4" t="str">
        <f ca="1">IFERROR(_xludf.XLOOKUP(B311,MASTER_REGISTER!E:E,MASTER_REGISTER!C:C,""),"")</f>
        <v/>
      </c>
      <c r="E311" t="s">
        <v>873</v>
      </c>
      <c r="F311" t="s">
        <v>832</v>
      </c>
      <c r="G311" t="s">
        <v>828</v>
      </c>
      <c r="H311" s="4">
        <v>45.5</v>
      </c>
      <c r="I311" t="s">
        <v>846</v>
      </c>
    </row>
    <row r="312" spans="1:9" x14ac:dyDescent="0.3">
      <c r="A312" t="s">
        <v>137</v>
      </c>
      <c r="B312" t="s">
        <v>214</v>
      </c>
      <c r="C312" s="7" t="str">
        <f ca="1">IFERROR(_xludf.XLOOKUP(B312,MASTER_REGISTER!E:E,MASTER_REGISTER!F:F,""),"")</f>
        <v/>
      </c>
      <c r="D312" s="4" t="str">
        <f ca="1">IFERROR(_xludf.XLOOKUP(B312,MASTER_REGISTER!E:E,MASTER_REGISTER!C:C,""),"")</f>
        <v/>
      </c>
      <c r="E312" t="s">
        <v>871</v>
      </c>
      <c r="F312" t="s">
        <v>824</v>
      </c>
      <c r="G312" t="s">
        <v>860</v>
      </c>
      <c r="H312" s="4">
        <v>63.3</v>
      </c>
      <c r="I312" t="s">
        <v>829</v>
      </c>
    </row>
    <row r="313" spans="1:9" x14ac:dyDescent="0.3">
      <c r="A313" t="s">
        <v>137</v>
      </c>
      <c r="B313" t="s">
        <v>214</v>
      </c>
      <c r="C313" s="7" t="str">
        <f ca="1">IFERROR(_xludf.XLOOKUP(B313,MASTER_REGISTER!E:E,MASTER_REGISTER!F:F,""),"")</f>
        <v/>
      </c>
      <c r="D313" s="4" t="str">
        <f ca="1">IFERROR(_xludf.XLOOKUP(B313,MASTER_REGISTER!E:E,MASTER_REGISTER!C:C,""),"")</f>
        <v/>
      </c>
      <c r="E313" t="s">
        <v>823</v>
      </c>
      <c r="F313" t="s">
        <v>832</v>
      </c>
      <c r="G313" t="s">
        <v>833</v>
      </c>
      <c r="H313" s="4">
        <v>82.6</v>
      </c>
      <c r="I313" t="s">
        <v>846</v>
      </c>
    </row>
    <row r="314" spans="1:9" x14ac:dyDescent="0.3">
      <c r="A314" t="s">
        <v>172</v>
      </c>
      <c r="B314" t="s">
        <v>214</v>
      </c>
      <c r="C314" s="7" t="str">
        <f ca="1">IFERROR(_xludf.XLOOKUP(B314,MASTER_REGISTER!E:E,MASTER_REGISTER!F:F,""),"")</f>
        <v/>
      </c>
      <c r="D314" s="4" t="str">
        <f ca="1">IFERROR(_xludf.XLOOKUP(B314,MASTER_REGISTER!E:E,MASTER_REGISTER!C:C,""),"")</f>
        <v/>
      </c>
      <c r="E314" t="s">
        <v>871</v>
      </c>
      <c r="F314" t="s">
        <v>840</v>
      </c>
      <c r="G314" t="s">
        <v>836</v>
      </c>
      <c r="H314" s="4">
        <v>44</v>
      </c>
      <c r="I314" t="s">
        <v>846</v>
      </c>
    </row>
    <row r="315" spans="1:9" x14ac:dyDescent="0.3">
      <c r="A315" t="s">
        <v>869</v>
      </c>
      <c r="B315" t="s">
        <v>214</v>
      </c>
      <c r="C315" s="7" t="str">
        <f ca="1">IFERROR(_xludf.XLOOKUP(B315,MASTER_REGISTER!E:E,MASTER_REGISTER!F:F,""),"")</f>
        <v/>
      </c>
      <c r="D315" s="4" t="str">
        <f ca="1">IFERROR(_xludf.XLOOKUP(B315,MASTER_REGISTER!E:E,MASTER_REGISTER!C:C,""),"")</f>
        <v/>
      </c>
      <c r="E315" t="s">
        <v>823</v>
      </c>
      <c r="F315" t="s">
        <v>824</v>
      </c>
      <c r="G315" t="s">
        <v>867</v>
      </c>
      <c r="H315" s="4">
        <v>38.200000000000003</v>
      </c>
      <c r="I315" t="s">
        <v>829</v>
      </c>
    </row>
    <row r="316" spans="1:9" x14ac:dyDescent="0.3">
      <c r="A316" t="s">
        <v>549</v>
      </c>
      <c r="B316" t="s">
        <v>214</v>
      </c>
      <c r="C316" s="7" t="str">
        <f ca="1">IFERROR(_xludf.XLOOKUP(B316,MASTER_REGISTER!E:E,MASTER_REGISTER!F:F,""),"")</f>
        <v/>
      </c>
      <c r="D316" s="4" t="str">
        <f ca="1">IFERROR(_xludf.XLOOKUP(B316,MASTER_REGISTER!E:E,MASTER_REGISTER!C:C,""),"")</f>
        <v/>
      </c>
      <c r="E316" t="s">
        <v>843</v>
      </c>
      <c r="F316" t="s">
        <v>824</v>
      </c>
      <c r="G316" t="s">
        <v>855</v>
      </c>
      <c r="H316" s="4">
        <v>53</v>
      </c>
      <c r="I316" t="s">
        <v>826</v>
      </c>
    </row>
    <row r="317" spans="1:9" x14ac:dyDescent="0.3">
      <c r="A317" t="s">
        <v>842</v>
      </c>
      <c r="B317" t="s">
        <v>214</v>
      </c>
      <c r="C317" s="7" t="str">
        <f ca="1">IFERROR(_xludf.XLOOKUP(B317,MASTER_REGISTER!E:E,MASTER_REGISTER!F:F,""),"")</f>
        <v/>
      </c>
      <c r="D317" s="4" t="str">
        <f ca="1">IFERROR(_xludf.XLOOKUP(B317,MASTER_REGISTER!E:E,MASTER_REGISTER!C:C,""),"")</f>
        <v/>
      </c>
      <c r="E317" t="s">
        <v>873</v>
      </c>
      <c r="F317" t="s">
        <v>838</v>
      </c>
      <c r="G317" t="s">
        <v>867</v>
      </c>
      <c r="H317" s="4">
        <v>55.1</v>
      </c>
      <c r="I317" t="s">
        <v>862</v>
      </c>
    </row>
    <row r="318" spans="1:9" x14ac:dyDescent="0.3">
      <c r="A318" t="s">
        <v>371</v>
      </c>
      <c r="B318" t="s">
        <v>214</v>
      </c>
      <c r="C318" s="7" t="str">
        <f ca="1">IFERROR(_xludf.XLOOKUP(B318,MASTER_REGISTER!E:E,MASTER_REGISTER!F:F,""),"")</f>
        <v/>
      </c>
      <c r="D318" s="4" t="str">
        <f ca="1">IFERROR(_xludf.XLOOKUP(B318,MASTER_REGISTER!E:E,MASTER_REGISTER!C:C,""),"")</f>
        <v/>
      </c>
      <c r="E318" t="s">
        <v>871</v>
      </c>
      <c r="F318" t="s">
        <v>840</v>
      </c>
      <c r="G318" t="s">
        <v>836</v>
      </c>
      <c r="H318" s="4">
        <v>50.4</v>
      </c>
      <c r="I318" t="s">
        <v>829</v>
      </c>
    </row>
    <row r="319" spans="1:9" x14ac:dyDescent="0.3">
      <c r="A319" t="s">
        <v>418</v>
      </c>
      <c r="B319" t="s">
        <v>214</v>
      </c>
      <c r="C319" s="7" t="str">
        <f ca="1">IFERROR(_xludf.XLOOKUP(B319,MASTER_REGISTER!E:E,MASTER_REGISTER!F:F,""),"")</f>
        <v/>
      </c>
      <c r="D319" s="4" t="str">
        <f ca="1">IFERROR(_xludf.XLOOKUP(B319,MASTER_REGISTER!E:E,MASTER_REGISTER!C:C,""),"")</f>
        <v/>
      </c>
      <c r="E319" t="s">
        <v>873</v>
      </c>
      <c r="F319" t="s">
        <v>838</v>
      </c>
      <c r="G319" t="s">
        <v>859</v>
      </c>
      <c r="H319" s="4">
        <v>57.1</v>
      </c>
      <c r="I319" t="s">
        <v>829</v>
      </c>
    </row>
    <row r="320" spans="1:9" x14ac:dyDescent="0.3">
      <c r="A320" t="s">
        <v>847</v>
      </c>
      <c r="B320" t="s">
        <v>214</v>
      </c>
      <c r="C320" s="7" t="str">
        <f ca="1">IFERROR(_xludf.XLOOKUP(B320,MASTER_REGISTER!E:E,MASTER_REGISTER!F:F,""),"")</f>
        <v/>
      </c>
      <c r="D320" s="4" t="str">
        <f ca="1">IFERROR(_xludf.XLOOKUP(B320,MASTER_REGISTER!E:E,MASTER_REGISTER!C:C,""),"")</f>
        <v/>
      </c>
      <c r="E320" t="s">
        <v>823</v>
      </c>
      <c r="F320" t="s">
        <v>832</v>
      </c>
      <c r="G320" t="s">
        <v>848</v>
      </c>
      <c r="H320" s="4">
        <v>54.7</v>
      </c>
      <c r="I320" t="s">
        <v>849</v>
      </c>
    </row>
    <row r="321" spans="1:9" x14ac:dyDescent="0.3">
      <c r="A321" t="s">
        <v>854</v>
      </c>
      <c r="B321" t="s">
        <v>214</v>
      </c>
      <c r="C321" s="7" t="str">
        <f ca="1">IFERROR(_xludf.XLOOKUP(B321,MASTER_REGISTER!E:E,MASTER_REGISTER!F:F,""),"")</f>
        <v/>
      </c>
      <c r="D321" s="4" t="str">
        <f ca="1">IFERROR(_xludf.XLOOKUP(B321,MASTER_REGISTER!E:E,MASTER_REGISTER!C:C,""),"")</f>
        <v/>
      </c>
      <c r="E321" t="s">
        <v>843</v>
      </c>
      <c r="F321" t="s">
        <v>838</v>
      </c>
      <c r="G321" t="s">
        <v>867</v>
      </c>
      <c r="H321" s="4">
        <v>73.2</v>
      </c>
      <c r="I321" t="s">
        <v>826</v>
      </c>
    </row>
    <row r="322" spans="1:9" x14ac:dyDescent="0.3">
      <c r="A322" t="s">
        <v>137</v>
      </c>
      <c r="B322" t="s">
        <v>217</v>
      </c>
      <c r="C322" s="7" t="str">
        <f ca="1">IFERROR(_xludf.XLOOKUP(B322,MASTER_REGISTER!E:E,MASTER_REGISTER!F:F,""),"")</f>
        <v/>
      </c>
      <c r="D322" s="4" t="str">
        <f ca="1">IFERROR(_xludf.XLOOKUP(B322,MASTER_REGISTER!E:E,MASTER_REGISTER!C:C,""),"")</f>
        <v/>
      </c>
      <c r="E322" t="s">
        <v>843</v>
      </c>
      <c r="F322" t="s">
        <v>824</v>
      </c>
      <c r="G322" t="s">
        <v>828</v>
      </c>
      <c r="H322" s="4">
        <v>61.8</v>
      </c>
      <c r="I322" t="s">
        <v>834</v>
      </c>
    </row>
    <row r="323" spans="1:9" x14ac:dyDescent="0.3">
      <c r="A323" t="s">
        <v>137</v>
      </c>
      <c r="B323" t="s">
        <v>217</v>
      </c>
      <c r="C323" s="7" t="str">
        <f ca="1">IFERROR(_xludf.XLOOKUP(B323,MASTER_REGISTER!E:E,MASTER_REGISTER!F:F,""),"")</f>
        <v/>
      </c>
      <c r="D323" s="4" t="str">
        <f ca="1">IFERROR(_xludf.XLOOKUP(B323,MASTER_REGISTER!E:E,MASTER_REGISTER!C:C,""),"")</f>
        <v/>
      </c>
      <c r="E323" t="s">
        <v>823</v>
      </c>
      <c r="F323" t="s">
        <v>840</v>
      </c>
      <c r="G323" t="s">
        <v>860</v>
      </c>
      <c r="H323" s="4">
        <v>67</v>
      </c>
      <c r="I323" t="s">
        <v>846</v>
      </c>
    </row>
    <row r="324" spans="1:9" x14ac:dyDescent="0.3">
      <c r="A324" t="s">
        <v>827</v>
      </c>
      <c r="B324" t="s">
        <v>217</v>
      </c>
      <c r="C324" s="7" t="str">
        <f ca="1">IFERROR(_xludf.XLOOKUP(B324,MASTER_REGISTER!E:E,MASTER_REGISTER!F:F,""),"")</f>
        <v/>
      </c>
      <c r="D324" s="4" t="str">
        <f ca="1">IFERROR(_xludf.XLOOKUP(B324,MASTER_REGISTER!E:E,MASTER_REGISTER!C:C,""),"")</f>
        <v/>
      </c>
      <c r="E324" t="s">
        <v>871</v>
      </c>
      <c r="F324" t="s">
        <v>832</v>
      </c>
      <c r="G324" t="s">
        <v>845</v>
      </c>
      <c r="H324" s="4">
        <v>45.8</v>
      </c>
      <c r="I324" t="s">
        <v>844</v>
      </c>
    </row>
    <row r="325" spans="1:9" x14ac:dyDescent="0.3">
      <c r="A325" t="s">
        <v>830</v>
      </c>
      <c r="B325" t="s">
        <v>217</v>
      </c>
      <c r="C325" s="7" t="str">
        <f ca="1">IFERROR(_xludf.XLOOKUP(B325,MASTER_REGISTER!E:E,MASTER_REGISTER!F:F,""),"")</f>
        <v/>
      </c>
      <c r="D325" s="4" t="str">
        <f ca="1">IFERROR(_xludf.XLOOKUP(B325,MASTER_REGISTER!E:E,MASTER_REGISTER!C:C,""),"")</f>
        <v/>
      </c>
      <c r="E325" t="s">
        <v>872</v>
      </c>
      <c r="F325" t="s">
        <v>840</v>
      </c>
      <c r="G325" t="s">
        <v>855</v>
      </c>
      <c r="H325" s="4">
        <v>71.400000000000006</v>
      </c>
      <c r="I325" t="s">
        <v>862</v>
      </c>
    </row>
    <row r="326" spans="1:9" x14ac:dyDescent="0.3">
      <c r="A326" t="s">
        <v>863</v>
      </c>
      <c r="B326" t="s">
        <v>217</v>
      </c>
      <c r="C326" s="7" t="str">
        <f ca="1">IFERROR(_xludf.XLOOKUP(B326,MASTER_REGISTER!E:E,MASTER_REGISTER!F:F,""),"")</f>
        <v/>
      </c>
      <c r="D326" s="4" t="str">
        <f ca="1">IFERROR(_xludf.XLOOKUP(B326,MASTER_REGISTER!E:E,MASTER_REGISTER!C:C,""),"")</f>
        <v/>
      </c>
      <c r="E326" t="s">
        <v>872</v>
      </c>
      <c r="F326" t="s">
        <v>824</v>
      </c>
      <c r="G326" t="s">
        <v>828</v>
      </c>
      <c r="H326" s="4">
        <v>85.8</v>
      </c>
      <c r="I326" t="s">
        <v>846</v>
      </c>
    </row>
    <row r="327" spans="1:9" x14ac:dyDescent="0.3">
      <c r="A327" t="s">
        <v>851</v>
      </c>
      <c r="B327" t="s">
        <v>217</v>
      </c>
      <c r="C327" s="7" t="str">
        <f ca="1">IFERROR(_xludf.XLOOKUP(B327,MASTER_REGISTER!E:E,MASTER_REGISTER!F:F,""),"")</f>
        <v/>
      </c>
      <c r="D327" s="4" t="str">
        <f ca="1">IFERROR(_xludf.XLOOKUP(B327,MASTER_REGISTER!E:E,MASTER_REGISTER!C:C,""),"")</f>
        <v/>
      </c>
      <c r="E327" t="s">
        <v>874</v>
      </c>
      <c r="F327" t="s">
        <v>838</v>
      </c>
      <c r="G327" t="s">
        <v>845</v>
      </c>
      <c r="H327" s="4">
        <v>57</v>
      </c>
      <c r="I327" t="s">
        <v>852</v>
      </c>
    </row>
    <row r="328" spans="1:9" x14ac:dyDescent="0.3">
      <c r="A328" t="s">
        <v>418</v>
      </c>
      <c r="B328" t="s">
        <v>217</v>
      </c>
      <c r="C328" s="7" t="str">
        <f ca="1">IFERROR(_xludf.XLOOKUP(B328,MASTER_REGISTER!E:E,MASTER_REGISTER!F:F,""),"")</f>
        <v/>
      </c>
      <c r="D328" s="4" t="str">
        <f ca="1">IFERROR(_xludf.XLOOKUP(B328,MASTER_REGISTER!E:E,MASTER_REGISTER!C:C,""),"")</f>
        <v/>
      </c>
      <c r="E328" t="s">
        <v>843</v>
      </c>
      <c r="F328" t="s">
        <v>832</v>
      </c>
      <c r="G328" t="s">
        <v>859</v>
      </c>
      <c r="H328" s="4">
        <v>60.7</v>
      </c>
      <c r="I328" t="s">
        <v>826</v>
      </c>
    </row>
    <row r="329" spans="1:9" x14ac:dyDescent="0.3">
      <c r="A329" t="s">
        <v>853</v>
      </c>
      <c r="B329" t="s">
        <v>217</v>
      </c>
      <c r="C329" s="7" t="str">
        <f ca="1">IFERROR(_xludf.XLOOKUP(B329,MASTER_REGISTER!E:E,MASTER_REGISTER!F:F,""),"")</f>
        <v/>
      </c>
      <c r="D329" s="4" t="str">
        <f ca="1">IFERROR(_xludf.XLOOKUP(B329,MASTER_REGISTER!E:E,MASTER_REGISTER!C:C,""),"")</f>
        <v/>
      </c>
      <c r="E329" t="s">
        <v>823</v>
      </c>
      <c r="F329" t="s">
        <v>838</v>
      </c>
      <c r="G329" t="s">
        <v>855</v>
      </c>
      <c r="H329" s="4">
        <v>61.7</v>
      </c>
      <c r="I329" t="s">
        <v>862</v>
      </c>
    </row>
    <row r="330" spans="1:9" x14ac:dyDescent="0.3">
      <c r="A330" t="s">
        <v>865</v>
      </c>
      <c r="B330" t="s">
        <v>217</v>
      </c>
      <c r="C330" s="7" t="str">
        <f ca="1">IFERROR(_xludf.XLOOKUP(B330,MASTER_REGISTER!E:E,MASTER_REGISTER!F:F,""),"")</f>
        <v/>
      </c>
      <c r="D330" s="4" t="str">
        <f ca="1">IFERROR(_xludf.XLOOKUP(B330,MASTER_REGISTER!E:E,MASTER_REGISTER!C:C,""),"")</f>
        <v/>
      </c>
      <c r="E330" t="s">
        <v>871</v>
      </c>
      <c r="F330" t="s">
        <v>840</v>
      </c>
      <c r="G330" t="s">
        <v>855</v>
      </c>
      <c r="H330" s="4">
        <v>77.900000000000006</v>
      </c>
      <c r="I330" t="s">
        <v>862</v>
      </c>
    </row>
    <row r="331" spans="1:9" x14ac:dyDescent="0.3">
      <c r="A331" t="s">
        <v>847</v>
      </c>
      <c r="B331" t="s">
        <v>217</v>
      </c>
      <c r="C331" s="7" t="str">
        <f ca="1">IFERROR(_xludf.XLOOKUP(B331,MASTER_REGISTER!E:E,MASTER_REGISTER!F:F,""),"")</f>
        <v/>
      </c>
      <c r="D331" s="4" t="str">
        <f ca="1">IFERROR(_xludf.XLOOKUP(B331,MASTER_REGISTER!E:E,MASTER_REGISTER!C:C,""),"")</f>
        <v/>
      </c>
      <c r="E331" t="s">
        <v>873</v>
      </c>
      <c r="F331" t="s">
        <v>824</v>
      </c>
      <c r="G331" t="s">
        <v>850</v>
      </c>
      <c r="H331" s="4">
        <v>58.5</v>
      </c>
      <c r="I331" t="s">
        <v>829</v>
      </c>
    </row>
    <row r="332" spans="1:9" x14ac:dyDescent="0.3">
      <c r="A332" t="s">
        <v>856</v>
      </c>
      <c r="B332" t="s">
        <v>221</v>
      </c>
      <c r="C332" s="7" t="str">
        <f ca="1">IFERROR(_xludf.XLOOKUP(B332,MASTER_REGISTER!E:E,MASTER_REGISTER!F:F,""),"")</f>
        <v/>
      </c>
      <c r="D332" s="4" t="str">
        <f ca="1">IFERROR(_xludf.XLOOKUP(B332,MASTER_REGISTER!E:E,MASTER_REGISTER!C:C,""),"")</f>
        <v/>
      </c>
      <c r="E332" t="s">
        <v>871</v>
      </c>
      <c r="F332" t="s">
        <v>840</v>
      </c>
      <c r="G332" t="s">
        <v>825</v>
      </c>
      <c r="H332" s="4">
        <v>81.3</v>
      </c>
      <c r="I332" t="s">
        <v>862</v>
      </c>
    </row>
    <row r="333" spans="1:9" x14ac:dyDescent="0.3">
      <c r="A333" t="s">
        <v>396</v>
      </c>
      <c r="B333" t="s">
        <v>221</v>
      </c>
      <c r="C333" s="7" t="str">
        <f ca="1">IFERROR(_xludf.XLOOKUP(B333,MASTER_REGISTER!E:E,MASTER_REGISTER!F:F,""),"")</f>
        <v/>
      </c>
      <c r="D333" s="4" t="str">
        <f ca="1">IFERROR(_xludf.XLOOKUP(B333,MASTER_REGISTER!E:E,MASTER_REGISTER!C:C,""),"")</f>
        <v/>
      </c>
      <c r="E333" t="s">
        <v>871</v>
      </c>
      <c r="F333" t="s">
        <v>840</v>
      </c>
      <c r="G333" t="s">
        <v>825</v>
      </c>
      <c r="H333" s="4">
        <v>79.3</v>
      </c>
      <c r="I333" t="s">
        <v>862</v>
      </c>
    </row>
    <row r="334" spans="1:9" x14ac:dyDescent="0.3">
      <c r="A334" t="s">
        <v>857</v>
      </c>
      <c r="B334" t="s">
        <v>221</v>
      </c>
      <c r="C334" s="7" t="str">
        <f ca="1">IFERROR(_xludf.XLOOKUP(B334,MASTER_REGISTER!E:E,MASTER_REGISTER!F:F,""),"")</f>
        <v/>
      </c>
      <c r="D334" s="4" t="str">
        <f ca="1">IFERROR(_xludf.XLOOKUP(B334,MASTER_REGISTER!E:E,MASTER_REGISTER!C:C,""),"")</f>
        <v/>
      </c>
      <c r="E334" t="s">
        <v>872</v>
      </c>
      <c r="F334" t="s">
        <v>838</v>
      </c>
      <c r="G334" t="s">
        <v>833</v>
      </c>
      <c r="H334" s="4">
        <v>55.7</v>
      </c>
      <c r="I334" t="s">
        <v>829</v>
      </c>
    </row>
    <row r="335" spans="1:9" x14ac:dyDescent="0.3">
      <c r="A335" t="s">
        <v>830</v>
      </c>
      <c r="B335" t="s">
        <v>221</v>
      </c>
      <c r="C335" s="7" t="str">
        <f ca="1">IFERROR(_xludf.XLOOKUP(B335,MASTER_REGISTER!E:E,MASTER_REGISTER!F:F,""),"")</f>
        <v/>
      </c>
      <c r="D335" s="4" t="str">
        <f ca="1">IFERROR(_xludf.XLOOKUP(B335,MASTER_REGISTER!E:E,MASTER_REGISTER!C:C,""),"")</f>
        <v/>
      </c>
      <c r="E335" t="s">
        <v>823</v>
      </c>
      <c r="F335" t="s">
        <v>824</v>
      </c>
      <c r="G335" t="s">
        <v>825</v>
      </c>
      <c r="H335" s="4">
        <v>83.7</v>
      </c>
      <c r="I335" t="s">
        <v>826</v>
      </c>
    </row>
    <row r="336" spans="1:9" x14ac:dyDescent="0.3">
      <c r="A336" t="s">
        <v>830</v>
      </c>
      <c r="B336" t="s">
        <v>221</v>
      </c>
      <c r="C336" s="7" t="str">
        <f ca="1">IFERROR(_xludf.XLOOKUP(B336,MASTER_REGISTER!E:E,MASTER_REGISTER!F:F,""),"")</f>
        <v/>
      </c>
      <c r="D336" s="4" t="str">
        <f ca="1">IFERROR(_xludf.XLOOKUP(B336,MASTER_REGISTER!E:E,MASTER_REGISTER!C:C,""),"")</f>
        <v/>
      </c>
      <c r="E336" t="s">
        <v>843</v>
      </c>
      <c r="F336" t="s">
        <v>840</v>
      </c>
      <c r="G336" t="s">
        <v>859</v>
      </c>
      <c r="H336" s="4">
        <v>73.400000000000006</v>
      </c>
      <c r="I336" t="s">
        <v>852</v>
      </c>
    </row>
    <row r="337" spans="1:9" x14ac:dyDescent="0.3">
      <c r="A337" t="s">
        <v>549</v>
      </c>
      <c r="B337" t="s">
        <v>221</v>
      </c>
      <c r="C337" s="7" t="str">
        <f ca="1">IFERROR(_xludf.XLOOKUP(B337,MASTER_REGISTER!E:E,MASTER_REGISTER!F:F,""),"")</f>
        <v/>
      </c>
      <c r="D337" s="4" t="str">
        <f ca="1">IFERROR(_xludf.XLOOKUP(B337,MASTER_REGISTER!E:E,MASTER_REGISTER!C:C,""),"")</f>
        <v/>
      </c>
      <c r="E337" t="s">
        <v>823</v>
      </c>
      <c r="F337" t="s">
        <v>840</v>
      </c>
      <c r="G337" t="s">
        <v>859</v>
      </c>
      <c r="H337" s="4">
        <v>46</v>
      </c>
      <c r="I337" t="s">
        <v>862</v>
      </c>
    </row>
    <row r="338" spans="1:9" x14ac:dyDescent="0.3">
      <c r="A338" t="s">
        <v>858</v>
      </c>
      <c r="B338" t="s">
        <v>221</v>
      </c>
      <c r="C338" s="7" t="str">
        <f ca="1">IFERROR(_xludf.XLOOKUP(B338,MASTER_REGISTER!E:E,MASTER_REGISTER!F:F,""),"")</f>
        <v/>
      </c>
      <c r="D338" s="4" t="str">
        <f ca="1">IFERROR(_xludf.XLOOKUP(B338,MASTER_REGISTER!E:E,MASTER_REGISTER!C:C,""),"")</f>
        <v/>
      </c>
      <c r="E338" t="s">
        <v>872</v>
      </c>
      <c r="F338" t="s">
        <v>840</v>
      </c>
      <c r="G338" t="s">
        <v>833</v>
      </c>
      <c r="H338" s="4">
        <v>58.7</v>
      </c>
      <c r="I338" t="s">
        <v>829</v>
      </c>
    </row>
    <row r="339" spans="1:9" x14ac:dyDescent="0.3">
      <c r="A339" t="s">
        <v>504</v>
      </c>
      <c r="B339" t="s">
        <v>221</v>
      </c>
      <c r="C339" s="7" t="str">
        <f ca="1">IFERROR(_xludf.XLOOKUP(B339,MASTER_REGISTER!E:E,MASTER_REGISTER!F:F,""),"")</f>
        <v/>
      </c>
      <c r="D339" s="4" t="str">
        <f ca="1">IFERROR(_xludf.XLOOKUP(B339,MASTER_REGISTER!E:E,MASTER_REGISTER!C:C,""),"")</f>
        <v/>
      </c>
      <c r="E339" t="s">
        <v>872</v>
      </c>
      <c r="F339" t="s">
        <v>824</v>
      </c>
      <c r="G339" t="s">
        <v>848</v>
      </c>
      <c r="H339" s="4">
        <v>47.7</v>
      </c>
      <c r="I339" t="s">
        <v>826</v>
      </c>
    </row>
    <row r="340" spans="1:9" x14ac:dyDescent="0.3">
      <c r="A340" t="s">
        <v>868</v>
      </c>
      <c r="B340" t="s">
        <v>221</v>
      </c>
      <c r="C340" s="7" t="str">
        <f ca="1">IFERROR(_xludf.XLOOKUP(B340,MASTER_REGISTER!E:E,MASTER_REGISTER!F:F,""),"")</f>
        <v/>
      </c>
      <c r="D340" s="4" t="str">
        <f ca="1">IFERROR(_xludf.XLOOKUP(B340,MASTER_REGISTER!E:E,MASTER_REGISTER!C:C,""),"")</f>
        <v/>
      </c>
      <c r="E340" t="s">
        <v>873</v>
      </c>
      <c r="F340" t="s">
        <v>840</v>
      </c>
      <c r="G340" t="s">
        <v>867</v>
      </c>
      <c r="H340" s="4">
        <v>74.400000000000006</v>
      </c>
      <c r="I340" t="s">
        <v>844</v>
      </c>
    </row>
    <row r="341" spans="1:9" x14ac:dyDescent="0.3">
      <c r="A341" t="s">
        <v>866</v>
      </c>
      <c r="B341" t="s">
        <v>221</v>
      </c>
      <c r="C341" s="7" t="str">
        <f ca="1">IFERROR(_xludf.XLOOKUP(B341,MASTER_REGISTER!E:E,MASTER_REGISTER!F:F,""),"")</f>
        <v/>
      </c>
      <c r="D341" s="4" t="str">
        <f ca="1">IFERROR(_xludf.XLOOKUP(B341,MASTER_REGISTER!E:E,MASTER_REGISTER!C:C,""),"")</f>
        <v/>
      </c>
      <c r="E341" t="s">
        <v>871</v>
      </c>
      <c r="F341" t="s">
        <v>840</v>
      </c>
      <c r="G341" t="s">
        <v>825</v>
      </c>
      <c r="H341" s="4">
        <v>73.2</v>
      </c>
      <c r="I341" t="s">
        <v>846</v>
      </c>
    </row>
    <row r="342" spans="1:9" x14ac:dyDescent="0.3">
      <c r="A342" t="s">
        <v>827</v>
      </c>
      <c r="B342" t="s">
        <v>225</v>
      </c>
      <c r="C342" s="7" t="str">
        <f ca="1">IFERROR(_xludf.XLOOKUP(B342,MASTER_REGISTER!E:E,MASTER_REGISTER!F:F,""),"")</f>
        <v/>
      </c>
      <c r="D342" s="4" t="str">
        <f ca="1">IFERROR(_xludf.XLOOKUP(B342,MASTER_REGISTER!E:E,MASTER_REGISTER!C:C,""),"")</f>
        <v/>
      </c>
      <c r="E342" t="s">
        <v>874</v>
      </c>
      <c r="F342" t="s">
        <v>838</v>
      </c>
      <c r="G342" t="s">
        <v>833</v>
      </c>
      <c r="H342" s="4">
        <v>69.8</v>
      </c>
      <c r="I342" t="s">
        <v>829</v>
      </c>
    </row>
    <row r="343" spans="1:9" x14ac:dyDescent="0.3">
      <c r="A343" t="s">
        <v>864</v>
      </c>
      <c r="B343" t="s">
        <v>225</v>
      </c>
      <c r="C343" s="7" t="str">
        <f ca="1">IFERROR(_xludf.XLOOKUP(B343,MASTER_REGISTER!E:E,MASTER_REGISTER!F:F,""),"")</f>
        <v/>
      </c>
      <c r="D343" s="4" t="str">
        <f ca="1">IFERROR(_xludf.XLOOKUP(B343,MASTER_REGISTER!E:E,MASTER_REGISTER!C:C,""),"")</f>
        <v/>
      </c>
      <c r="E343" t="s">
        <v>871</v>
      </c>
      <c r="F343" t="s">
        <v>824</v>
      </c>
      <c r="G343" t="s">
        <v>833</v>
      </c>
      <c r="H343" s="4">
        <v>73.599999999999994</v>
      </c>
      <c r="I343" t="s">
        <v>849</v>
      </c>
    </row>
    <row r="344" spans="1:9" x14ac:dyDescent="0.3">
      <c r="A344" t="s">
        <v>864</v>
      </c>
      <c r="B344" t="s">
        <v>225</v>
      </c>
      <c r="C344" s="7" t="str">
        <f ca="1">IFERROR(_xludf.XLOOKUP(B344,MASTER_REGISTER!E:E,MASTER_REGISTER!F:F,""),"")</f>
        <v/>
      </c>
      <c r="D344" s="4" t="str">
        <f ca="1">IFERROR(_xludf.XLOOKUP(B344,MASTER_REGISTER!E:E,MASTER_REGISTER!C:C,""),"")</f>
        <v/>
      </c>
      <c r="E344" t="s">
        <v>872</v>
      </c>
      <c r="F344" t="s">
        <v>832</v>
      </c>
      <c r="G344" t="s">
        <v>825</v>
      </c>
      <c r="H344" s="4">
        <v>56.1</v>
      </c>
      <c r="I344" t="s">
        <v>846</v>
      </c>
    </row>
    <row r="345" spans="1:9" x14ac:dyDescent="0.3">
      <c r="A345" t="s">
        <v>863</v>
      </c>
      <c r="B345" t="s">
        <v>225</v>
      </c>
      <c r="C345" s="7" t="str">
        <f ca="1">IFERROR(_xludf.XLOOKUP(B345,MASTER_REGISTER!E:E,MASTER_REGISTER!F:F,""),"")</f>
        <v/>
      </c>
      <c r="D345" s="4" t="str">
        <f ca="1">IFERROR(_xludf.XLOOKUP(B345,MASTER_REGISTER!E:E,MASTER_REGISTER!C:C,""),"")</f>
        <v/>
      </c>
      <c r="E345" t="s">
        <v>874</v>
      </c>
      <c r="F345" t="s">
        <v>832</v>
      </c>
      <c r="G345" t="s">
        <v>845</v>
      </c>
      <c r="H345" s="4">
        <v>69.2</v>
      </c>
      <c r="I345" t="s">
        <v>844</v>
      </c>
    </row>
    <row r="346" spans="1:9" x14ac:dyDescent="0.3">
      <c r="A346" t="s">
        <v>851</v>
      </c>
      <c r="B346" t="s">
        <v>225</v>
      </c>
      <c r="C346" s="7" t="str">
        <f ca="1">IFERROR(_xludf.XLOOKUP(B346,MASTER_REGISTER!E:E,MASTER_REGISTER!F:F,""),"")</f>
        <v/>
      </c>
      <c r="D346" s="4" t="str">
        <f ca="1">IFERROR(_xludf.XLOOKUP(B346,MASTER_REGISTER!E:E,MASTER_REGISTER!C:C,""),"")</f>
        <v/>
      </c>
      <c r="E346" t="s">
        <v>871</v>
      </c>
      <c r="F346" t="s">
        <v>832</v>
      </c>
      <c r="G346" t="s">
        <v>841</v>
      </c>
      <c r="H346" s="4">
        <v>64.3</v>
      </c>
      <c r="I346" t="s">
        <v>862</v>
      </c>
    </row>
    <row r="347" spans="1:9" x14ac:dyDescent="0.3">
      <c r="A347" t="s">
        <v>853</v>
      </c>
      <c r="B347" t="s">
        <v>225</v>
      </c>
      <c r="C347" s="7" t="str">
        <f ca="1">IFERROR(_xludf.XLOOKUP(B347,MASTER_REGISTER!E:E,MASTER_REGISTER!F:F,""),"")</f>
        <v/>
      </c>
      <c r="D347" s="4" t="str">
        <f ca="1">IFERROR(_xludf.XLOOKUP(B347,MASTER_REGISTER!E:E,MASTER_REGISTER!C:C,""),"")</f>
        <v/>
      </c>
      <c r="E347" t="s">
        <v>873</v>
      </c>
      <c r="F347" t="s">
        <v>824</v>
      </c>
      <c r="G347" t="s">
        <v>828</v>
      </c>
      <c r="H347" s="4">
        <v>77.3</v>
      </c>
      <c r="I347" t="s">
        <v>834</v>
      </c>
    </row>
    <row r="348" spans="1:9" x14ac:dyDescent="0.3">
      <c r="A348" t="s">
        <v>866</v>
      </c>
      <c r="B348" t="s">
        <v>225</v>
      </c>
      <c r="C348" s="7" t="str">
        <f ca="1">IFERROR(_xludf.XLOOKUP(B348,MASTER_REGISTER!E:E,MASTER_REGISTER!F:F,""),"")</f>
        <v/>
      </c>
      <c r="D348" s="4" t="str">
        <f ca="1">IFERROR(_xludf.XLOOKUP(B348,MASTER_REGISTER!E:E,MASTER_REGISTER!C:C,""),"")</f>
        <v/>
      </c>
      <c r="E348" t="s">
        <v>872</v>
      </c>
      <c r="F348" t="s">
        <v>824</v>
      </c>
      <c r="G348" t="s">
        <v>860</v>
      </c>
      <c r="H348" s="4">
        <v>76.8</v>
      </c>
      <c r="I348" t="s">
        <v>826</v>
      </c>
    </row>
    <row r="349" spans="1:9" x14ac:dyDescent="0.3">
      <c r="A349" t="s">
        <v>866</v>
      </c>
      <c r="B349" t="s">
        <v>225</v>
      </c>
      <c r="C349" s="7" t="str">
        <f ca="1">IFERROR(_xludf.XLOOKUP(B349,MASTER_REGISTER!E:E,MASTER_REGISTER!F:F,""),"")</f>
        <v/>
      </c>
      <c r="D349" s="4" t="str">
        <f ca="1">IFERROR(_xludf.XLOOKUP(B349,MASTER_REGISTER!E:E,MASTER_REGISTER!C:C,""),"")</f>
        <v/>
      </c>
      <c r="E349" t="s">
        <v>843</v>
      </c>
      <c r="F349" t="s">
        <v>832</v>
      </c>
      <c r="G349" t="s">
        <v>867</v>
      </c>
      <c r="H349" s="4">
        <v>42.6</v>
      </c>
      <c r="I349" t="s">
        <v>862</v>
      </c>
    </row>
    <row r="350" spans="1:9" x14ac:dyDescent="0.3">
      <c r="A350" t="s">
        <v>866</v>
      </c>
      <c r="B350" t="s">
        <v>225</v>
      </c>
      <c r="C350" s="7" t="str">
        <f ca="1">IFERROR(_xludf.XLOOKUP(B350,MASTER_REGISTER!E:E,MASTER_REGISTER!F:F,""),"")</f>
        <v/>
      </c>
      <c r="D350" s="4" t="str">
        <f ca="1">IFERROR(_xludf.XLOOKUP(B350,MASTER_REGISTER!E:E,MASTER_REGISTER!C:C,""),"")</f>
        <v/>
      </c>
      <c r="E350" t="s">
        <v>823</v>
      </c>
      <c r="F350" t="s">
        <v>832</v>
      </c>
      <c r="G350" t="s">
        <v>841</v>
      </c>
      <c r="H350" s="4">
        <v>43.7</v>
      </c>
      <c r="I350" t="s">
        <v>826</v>
      </c>
    </row>
    <row r="351" spans="1:9" x14ac:dyDescent="0.3">
      <c r="A351" t="s">
        <v>847</v>
      </c>
      <c r="B351" t="s">
        <v>225</v>
      </c>
      <c r="C351" s="7" t="str">
        <f ca="1">IFERROR(_xludf.XLOOKUP(B351,MASTER_REGISTER!E:E,MASTER_REGISTER!F:F,""),"")</f>
        <v/>
      </c>
      <c r="D351" s="4" t="str">
        <f ca="1">IFERROR(_xludf.XLOOKUP(B351,MASTER_REGISTER!E:E,MASTER_REGISTER!C:C,""),"")</f>
        <v/>
      </c>
      <c r="E351" t="s">
        <v>872</v>
      </c>
      <c r="F351" t="s">
        <v>832</v>
      </c>
      <c r="G351" t="s">
        <v>848</v>
      </c>
      <c r="H351" s="4">
        <v>46.9</v>
      </c>
      <c r="I351" t="s">
        <v>826</v>
      </c>
    </row>
    <row r="352" spans="1:9" x14ac:dyDescent="0.3">
      <c r="A352" t="s">
        <v>861</v>
      </c>
      <c r="B352" t="s">
        <v>229</v>
      </c>
      <c r="C352" s="7" t="str">
        <f ca="1">IFERROR(_xludf.XLOOKUP(B352,MASTER_REGISTER!E:E,MASTER_REGISTER!F:F,""),"")</f>
        <v/>
      </c>
      <c r="D352" s="4" t="str">
        <f ca="1">IFERROR(_xludf.XLOOKUP(B352,MASTER_REGISTER!E:E,MASTER_REGISTER!C:C,""),"")</f>
        <v/>
      </c>
      <c r="E352" t="s">
        <v>873</v>
      </c>
      <c r="F352" t="s">
        <v>824</v>
      </c>
      <c r="G352" t="s">
        <v>848</v>
      </c>
      <c r="H352" s="4">
        <v>66.5</v>
      </c>
      <c r="I352" t="s">
        <v>829</v>
      </c>
    </row>
    <row r="353" spans="1:9" x14ac:dyDescent="0.3">
      <c r="A353" t="s">
        <v>433</v>
      </c>
      <c r="B353" t="s">
        <v>229</v>
      </c>
      <c r="C353" s="7" t="str">
        <f ca="1">IFERROR(_xludf.XLOOKUP(B353,MASTER_REGISTER!E:E,MASTER_REGISTER!F:F,""),"")</f>
        <v/>
      </c>
      <c r="D353" s="4" t="str">
        <f ca="1">IFERROR(_xludf.XLOOKUP(B353,MASTER_REGISTER!E:E,MASTER_REGISTER!C:C,""),"")</f>
        <v/>
      </c>
      <c r="E353" t="s">
        <v>873</v>
      </c>
      <c r="F353" t="s">
        <v>838</v>
      </c>
      <c r="G353" t="s">
        <v>860</v>
      </c>
      <c r="H353" s="4">
        <v>70.3</v>
      </c>
      <c r="I353" t="s">
        <v>829</v>
      </c>
    </row>
    <row r="354" spans="1:9" x14ac:dyDescent="0.3">
      <c r="A354" t="s">
        <v>433</v>
      </c>
      <c r="B354" t="s">
        <v>229</v>
      </c>
      <c r="C354" s="7" t="str">
        <f ca="1">IFERROR(_xludf.XLOOKUP(B354,MASTER_REGISTER!E:E,MASTER_REGISTER!F:F,""),"")</f>
        <v/>
      </c>
      <c r="D354" s="4" t="str">
        <f ca="1">IFERROR(_xludf.XLOOKUP(B354,MASTER_REGISTER!E:E,MASTER_REGISTER!C:C,""),"")</f>
        <v/>
      </c>
      <c r="E354" t="s">
        <v>874</v>
      </c>
      <c r="F354" t="s">
        <v>838</v>
      </c>
      <c r="G354" t="s">
        <v>859</v>
      </c>
      <c r="H354" s="4">
        <v>51.5</v>
      </c>
      <c r="I354" t="s">
        <v>862</v>
      </c>
    </row>
    <row r="355" spans="1:9" x14ac:dyDescent="0.3">
      <c r="A355" t="s">
        <v>870</v>
      </c>
      <c r="B355" t="s">
        <v>229</v>
      </c>
      <c r="C355" s="7" t="str">
        <f ca="1">IFERROR(_xludf.XLOOKUP(B355,MASTER_REGISTER!E:E,MASTER_REGISTER!F:F,""),"")</f>
        <v/>
      </c>
      <c r="D355" s="4" t="str">
        <f ca="1">IFERROR(_xludf.XLOOKUP(B355,MASTER_REGISTER!E:E,MASTER_REGISTER!C:C,""),"")</f>
        <v/>
      </c>
      <c r="E355" t="s">
        <v>872</v>
      </c>
      <c r="F355" t="s">
        <v>824</v>
      </c>
      <c r="G355" t="s">
        <v>825</v>
      </c>
      <c r="H355" s="4">
        <v>68.400000000000006</v>
      </c>
      <c r="I355" t="s">
        <v>862</v>
      </c>
    </row>
    <row r="356" spans="1:9" x14ac:dyDescent="0.3">
      <c r="A356" t="s">
        <v>864</v>
      </c>
      <c r="B356" t="s">
        <v>229</v>
      </c>
      <c r="C356" s="7" t="str">
        <f ca="1">IFERROR(_xludf.XLOOKUP(B356,MASTER_REGISTER!E:E,MASTER_REGISTER!F:F,""),"")</f>
        <v/>
      </c>
      <c r="D356" s="4" t="str">
        <f ca="1">IFERROR(_xludf.XLOOKUP(B356,MASTER_REGISTER!E:E,MASTER_REGISTER!C:C,""),"")</f>
        <v/>
      </c>
      <c r="E356" t="s">
        <v>874</v>
      </c>
      <c r="F356" t="s">
        <v>832</v>
      </c>
      <c r="G356" t="s">
        <v>850</v>
      </c>
      <c r="H356" s="4">
        <v>72</v>
      </c>
      <c r="I356" t="s">
        <v>826</v>
      </c>
    </row>
    <row r="357" spans="1:9" x14ac:dyDescent="0.3">
      <c r="A357" t="s">
        <v>858</v>
      </c>
      <c r="B357" t="s">
        <v>229</v>
      </c>
      <c r="C357" s="7" t="str">
        <f ca="1">IFERROR(_xludf.XLOOKUP(B357,MASTER_REGISTER!E:E,MASTER_REGISTER!F:F,""),"")</f>
        <v/>
      </c>
      <c r="D357" s="4" t="str">
        <f ca="1">IFERROR(_xludf.XLOOKUP(B357,MASTER_REGISTER!E:E,MASTER_REGISTER!C:C,""),"")</f>
        <v/>
      </c>
      <c r="E357" t="s">
        <v>873</v>
      </c>
      <c r="F357" t="s">
        <v>824</v>
      </c>
      <c r="G357" t="s">
        <v>859</v>
      </c>
      <c r="H357" s="4">
        <v>35</v>
      </c>
      <c r="I357" t="s">
        <v>846</v>
      </c>
    </row>
    <row r="358" spans="1:9" x14ac:dyDescent="0.3">
      <c r="A358" t="s">
        <v>858</v>
      </c>
      <c r="B358" t="s">
        <v>229</v>
      </c>
      <c r="C358" s="7" t="str">
        <f ca="1">IFERROR(_xludf.XLOOKUP(B358,MASTER_REGISTER!E:E,MASTER_REGISTER!F:F,""),"")</f>
        <v/>
      </c>
      <c r="D358" s="4" t="str">
        <f ca="1">IFERROR(_xludf.XLOOKUP(B358,MASTER_REGISTER!E:E,MASTER_REGISTER!C:C,""),"")</f>
        <v/>
      </c>
      <c r="E358" t="s">
        <v>871</v>
      </c>
      <c r="F358" t="s">
        <v>832</v>
      </c>
      <c r="G358" t="s">
        <v>859</v>
      </c>
      <c r="H358" s="4">
        <v>63</v>
      </c>
      <c r="I358" t="s">
        <v>846</v>
      </c>
    </row>
    <row r="359" spans="1:9" x14ac:dyDescent="0.3">
      <c r="A359" t="s">
        <v>372</v>
      </c>
      <c r="B359" t="s">
        <v>229</v>
      </c>
      <c r="C359" s="7" t="str">
        <f ca="1">IFERROR(_xludf.XLOOKUP(B359,MASTER_REGISTER!E:E,MASTER_REGISTER!F:F,""),"")</f>
        <v/>
      </c>
      <c r="D359" s="4" t="str">
        <f ca="1">IFERROR(_xludf.XLOOKUP(B359,MASTER_REGISTER!E:E,MASTER_REGISTER!C:C,""),"")</f>
        <v/>
      </c>
      <c r="E359" t="s">
        <v>872</v>
      </c>
      <c r="F359" t="s">
        <v>832</v>
      </c>
      <c r="G359" t="s">
        <v>855</v>
      </c>
      <c r="H359" s="4">
        <v>44.4</v>
      </c>
      <c r="I359" t="s">
        <v>852</v>
      </c>
    </row>
    <row r="360" spans="1:9" x14ac:dyDescent="0.3">
      <c r="A360" t="s">
        <v>418</v>
      </c>
      <c r="B360" t="s">
        <v>229</v>
      </c>
      <c r="C360" s="7" t="str">
        <f ca="1">IFERROR(_xludf.XLOOKUP(B360,MASTER_REGISTER!E:E,MASTER_REGISTER!F:F,""),"")</f>
        <v/>
      </c>
      <c r="D360" s="4" t="str">
        <f ca="1">IFERROR(_xludf.XLOOKUP(B360,MASTER_REGISTER!E:E,MASTER_REGISTER!C:C,""),"")</f>
        <v/>
      </c>
      <c r="E360" t="s">
        <v>871</v>
      </c>
      <c r="F360" t="s">
        <v>840</v>
      </c>
      <c r="G360" t="s">
        <v>855</v>
      </c>
      <c r="H360" s="4">
        <v>54.6</v>
      </c>
      <c r="I360" t="s">
        <v>844</v>
      </c>
    </row>
    <row r="361" spans="1:9" x14ac:dyDescent="0.3">
      <c r="A361" t="s">
        <v>854</v>
      </c>
      <c r="B361" t="s">
        <v>229</v>
      </c>
      <c r="C361" s="7" t="str">
        <f ca="1">IFERROR(_xludf.XLOOKUP(B361,MASTER_REGISTER!E:E,MASTER_REGISTER!F:F,""),"")</f>
        <v/>
      </c>
      <c r="D361" s="4" t="str">
        <f ca="1">IFERROR(_xludf.XLOOKUP(B361,MASTER_REGISTER!E:E,MASTER_REGISTER!C:C,""),"")</f>
        <v/>
      </c>
      <c r="E361" t="s">
        <v>873</v>
      </c>
      <c r="F361" t="s">
        <v>832</v>
      </c>
      <c r="G361" t="s">
        <v>836</v>
      </c>
      <c r="H361" s="4">
        <v>38.799999999999997</v>
      </c>
      <c r="I361" t="s">
        <v>846</v>
      </c>
    </row>
    <row r="362" spans="1:9" x14ac:dyDescent="0.3">
      <c r="A362" t="s">
        <v>396</v>
      </c>
      <c r="B362" t="s">
        <v>233</v>
      </c>
      <c r="C362" s="7" t="str">
        <f ca="1">IFERROR(_xludf.XLOOKUP(B362,MASTER_REGISTER!E:E,MASTER_REGISTER!F:F,""),"")</f>
        <v/>
      </c>
      <c r="D362" s="4" t="str">
        <f ca="1">IFERROR(_xludf.XLOOKUP(B362,MASTER_REGISTER!E:E,MASTER_REGISTER!C:C,""),"")</f>
        <v/>
      </c>
      <c r="E362" t="s">
        <v>823</v>
      </c>
      <c r="F362" t="s">
        <v>824</v>
      </c>
      <c r="G362" t="s">
        <v>833</v>
      </c>
      <c r="H362" s="4">
        <v>67</v>
      </c>
      <c r="I362" t="s">
        <v>829</v>
      </c>
    </row>
    <row r="363" spans="1:9" x14ac:dyDescent="0.3">
      <c r="A363" t="s">
        <v>433</v>
      </c>
      <c r="B363" t="s">
        <v>233</v>
      </c>
      <c r="C363" s="7" t="str">
        <f ca="1">IFERROR(_xludf.XLOOKUP(B363,MASTER_REGISTER!E:E,MASTER_REGISTER!F:F,""),"")</f>
        <v/>
      </c>
      <c r="D363" s="4" t="str">
        <f ca="1">IFERROR(_xludf.XLOOKUP(B363,MASTER_REGISTER!E:E,MASTER_REGISTER!C:C,""),"")</f>
        <v/>
      </c>
      <c r="E363" t="s">
        <v>872</v>
      </c>
      <c r="F363" t="s">
        <v>832</v>
      </c>
      <c r="G363" t="s">
        <v>850</v>
      </c>
      <c r="H363" s="4">
        <v>53.1</v>
      </c>
      <c r="I363" t="s">
        <v>834</v>
      </c>
    </row>
    <row r="364" spans="1:9" x14ac:dyDescent="0.3">
      <c r="A364" t="s">
        <v>870</v>
      </c>
      <c r="B364" t="s">
        <v>233</v>
      </c>
      <c r="C364" s="7" t="str">
        <f ca="1">IFERROR(_xludf.XLOOKUP(B364,MASTER_REGISTER!E:E,MASTER_REGISTER!F:F,""),"")</f>
        <v/>
      </c>
      <c r="D364" s="4" t="str">
        <f ca="1">IFERROR(_xludf.XLOOKUP(B364,MASTER_REGISTER!E:E,MASTER_REGISTER!C:C,""),"")</f>
        <v/>
      </c>
      <c r="E364" t="s">
        <v>873</v>
      </c>
      <c r="F364" t="s">
        <v>824</v>
      </c>
      <c r="G364" t="s">
        <v>855</v>
      </c>
      <c r="H364" s="4">
        <v>55.8</v>
      </c>
      <c r="I364" t="s">
        <v>826</v>
      </c>
    </row>
    <row r="365" spans="1:9" x14ac:dyDescent="0.3">
      <c r="A365" t="s">
        <v>549</v>
      </c>
      <c r="B365" t="s">
        <v>233</v>
      </c>
      <c r="C365" s="7" t="str">
        <f ca="1">IFERROR(_xludf.XLOOKUP(B365,MASTER_REGISTER!E:E,MASTER_REGISTER!F:F,""),"")</f>
        <v/>
      </c>
      <c r="D365" s="4" t="str">
        <f ca="1">IFERROR(_xludf.XLOOKUP(B365,MASTER_REGISTER!E:E,MASTER_REGISTER!C:C,""),"")</f>
        <v/>
      </c>
      <c r="E365" t="s">
        <v>871</v>
      </c>
      <c r="F365" t="s">
        <v>824</v>
      </c>
      <c r="G365" t="s">
        <v>841</v>
      </c>
      <c r="H365" s="4">
        <v>61.7</v>
      </c>
      <c r="I365" t="s">
        <v>834</v>
      </c>
    </row>
    <row r="366" spans="1:9" x14ac:dyDescent="0.3">
      <c r="A366" t="s">
        <v>864</v>
      </c>
      <c r="B366" t="s">
        <v>233</v>
      </c>
      <c r="C366" s="7" t="str">
        <f ca="1">IFERROR(_xludf.XLOOKUP(B366,MASTER_REGISTER!E:E,MASTER_REGISTER!F:F,""),"")</f>
        <v/>
      </c>
      <c r="D366" s="4" t="str">
        <f ca="1">IFERROR(_xludf.XLOOKUP(B366,MASTER_REGISTER!E:E,MASTER_REGISTER!C:C,""),"")</f>
        <v/>
      </c>
      <c r="E366" t="s">
        <v>871</v>
      </c>
      <c r="F366" t="s">
        <v>824</v>
      </c>
      <c r="G366" t="s">
        <v>833</v>
      </c>
      <c r="H366" s="4">
        <v>74.3</v>
      </c>
      <c r="I366" t="s">
        <v>849</v>
      </c>
    </row>
    <row r="367" spans="1:9" x14ac:dyDescent="0.3">
      <c r="A367" t="s">
        <v>858</v>
      </c>
      <c r="B367" t="s">
        <v>233</v>
      </c>
      <c r="C367" s="7" t="str">
        <f ca="1">IFERROR(_xludf.XLOOKUP(B367,MASTER_REGISTER!E:E,MASTER_REGISTER!F:F,""),"")</f>
        <v/>
      </c>
      <c r="D367" s="4" t="str">
        <f ca="1">IFERROR(_xludf.XLOOKUP(B367,MASTER_REGISTER!E:E,MASTER_REGISTER!C:C,""),"")</f>
        <v/>
      </c>
      <c r="E367" t="s">
        <v>873</v>
      </c>
      <c r="F367" t="s">
        <v>824</v>
      </c>
      <c r="G367" t="s">
        <v>836</v>
      </c>
      <c r="H367" s="4">
        <v>28.1</v>
      </c>
      <c r="I367" t="s">
        <v>846</v>
      </c>
    </row>
    <row r="368" spans="1:9" x14ac:dyDescent="0.3">
      <c r="A368" t="s">
        <v>842</v>
      </c>
      <c r="B368" t="s">
        <v>233</v>
      </c>
      <c r="C368" s="7" t="str">
        <f ca="1">IFERROR(_xludf.XLOOKUP(B368,MASTER_REGISTER!E:E,MASTER_REGISTER!F:F,""),"")</f>
        <v/>
      </c>
      <c r="D368" s="4" t="str">
        <f ca="1">IFERROR(_xludf.XLOOKUP(B368,MASTER_REGISTER!E:E,MASTER_REGISTER!C:C,""),"")</f>
        <v/>
      </c>
      <c r="E368" t="s">
        <v>843</v>
      </c>
      <c r="F368" t="s">
        <v>840</v>
      </c>
      <c r="G368" t="s">
        <v>848</v>
      </c>
      <c r="H368" s="4">
        <v>61.6</v>
      </c>
      <c r="I368" t="s">
        <v>849</v>
      </c>
    </row>
    <row r="369" spans="1:9" x14ac:dyDescent="0.3">
      <c r="A369" t="s">
        <v>373</v>
      </c>
      <c r="B369" t="s">
        <v>233</v>
      </c>
      <c r="C369" s="7" t="str">
        <f ca="1">IFERROR(_xludf.XLOOKUP(B369,MASTER_REGISTER!E:E,MASTER_REGISTER!F:F,""),"")</f>
        <v/>
      </c>
      <c r="D369" s="4" t="str">
        <f ca="1">IFERROR(_xludf.XLOOKUP(B369,MASTER_REGISTER!E:E,MASTER_REGISTER!C:C,""),"")</f>
        <v/>
      </c>
      <c r="E369" t="s">
        <v>873</v>
      </c>
      <c r="F369" t="s">
        <v>840</v>
      </c>
      <c r="G369" t="s">
        <v>845</v>
      </c>
      <c r="H369" s="4">
        <v>56.4</v>
      </c>
      <c r="I369" t="s">
        <v>846</v>
      </c>
    </row>
    <row r="370" spans="1:9" x14ac:dyDescent="0.3">
      <c r="A370" t="s">
        <v>373</v>
      </c>
      <c r="B370" t="s">
        <v>233</v>
      </c>
      <c r="C370" s="7" t="str">
        <f ca="1">IFERROR(_xludf.XLOOKUP(B370,MASTER_REGISTER!E:E,MASTER_REGISTER!F:F,""),"")</f>
        <v/>
      </c>
      <c r="D370" s="4" t="str">
        <f ca="1">IFERROR(_xludf.XLOOKUP(B370,MASTER_REGISTER!E:E,MASTER_REGISTER!C:C,""),"")</f>
        <v/>
      </c>
      <c r="E370" t="s">
        <v>843</v>
      </c>
      <c r="F370" t="s">
        <v>840</v>
      </c>
      <c r="G370" t="s">
        <v>859</v>
      </c>
      <c r="H370" s="4">
        <v>65.7</v>
      </c>
      <c r="I370" t="s">
        <v>846</v>
      </c>
    </row>
    <row r="371" spans="1:9" x14ac:dyDescent="0.3">
      <c r="A371" t="s">
        <v>865</v>
      </c>
      <c r="B371" t="s">
        <v>233</v>
      </c>
      <c r="C371" s="7" t="str">
        <f ca="1">IFERROR(_xludf.XLOOKUP(B371,MASTER_REGISTER!E:E,MASTER_REGISTER!F:F,""),"")</f>
        <v/>
      </c>
      <c r="D371" s="4" t="str">
        <f ca="1">IFERROR(_xludf.XLOOKUP(B371,MASTER_REGISTER!E:E,MASTER_REGISTER!C:C,""),"")</f>
        <v/>
      </c>
      <c r="E371" t="s">
        <v>871</v>
      </c>
      <c r="F371" t="s">
        <v>838</v>
      </c>
      <c r="G371" t="s">
        <v>867</v>
      </c>
      <c r="H371" s="4">
        <v>64.099999999999994</v>
      </c>
      <c r="I371" t="s">
        <v>826</v>
      </c>
    </row>
    <row r="372" spans="1:9" x14ac:dyDescent="0.3">
      <c r="A372" t="s">
        <v>433</v>
      </c>
      <c r="B372" t="s">
        <v>237</v>
      </c>
      <c r="C372" s="7" t="str">
        <f ca="1">IFERROR(_xludf.XLOOKUP(B372,MASTER_REGISTER!E:E,MASTER_REGISTER!F:F,""),"")</f>
        <v/>
      </c>
      <c r="D372" s="4" t="str">
        <f ca="1">IFERROR(_xludf.XLOOKUP(B372,MASTER_REGISTER!E:E,MASTER_REGISTER!C:C,""),"")</f>
        <v/>
      </c>
      <c r="E372" t="s">
        <v>843</v>
      </c>
      <c r="F372" t="s">
        <v>838</v>
      </c>
      <c r="G372" t="s">
        <v>848</v>
      </c>
      <c r="H372" s="4">
        <v>41.9</v>
      </c>
      <c r="I372" t="s">
        <v>829</v>
      </c>
    </row>
    <row r="373" spans="1:9" x14ac:dyDescent="0.3">
      <c r="A373" t="s">
        <v>830</v>
      </c>
      <c r="B373" t="s">
        <v>237</v>
      </c>
      <c r="C373" s="7" t="str">
        <f ca="1">IFERROR(_xludf.XLOOKUP(B373,MASTER_REGISTER!E:E,MASTER_REGISTER!F:F,""),"")</f>
        <v/>
      </c>
      <c r="D373" s="4" t="str">
        <f ca="1">IFERROR(_xludf.XLOOKUP(B373,MASTER_REGISTER!E:E,MASTER_REGISTER!C:C,""),"")</f>
        <v/>
      </c>
      <c r="E373" t="s">
        <v>823</v>
      </c>
      <c r="F373" t="s">
        <v>832</v>
      </c>
      <c r="G373" t="s">
        <v>828</v>
      </c>
      <c r="H373" s="4">
        <v>83.6</v>
      </c>
      <c r="I373" t="s">
        <v>852</v>
      </c>
    </row>
    <row r="374" spans="1:9" x14ac:dyDescent="0.3">
      <c r="A374" t="s">
        <v>858</v>
      </c>
      <c r="B374" t="s">
        <v>237</v>
      </c>
      <c r="C374" s="7" t="str">
        <f ca="1">IFERROR(_xludf.XLOOKUP(B374,MASTER_REGISTER!E:E,MASTER_REGISTER!F:F,""),"")</f>
        <v/>
      </c>
      <c r="D374" s="4" t="str">
        <f ca="1">IFERROR(_xludf.XLOOKUP(B374,MASTER_REGISTER!E:E,MASTER_REGISTER!C:C,""),"")</f>
        <v/>
      </c>
      <c r="E374" t="s">
        <v>823</v>
      </c>
      <c r="F374" t="s">
        <v>838</v>
      </c>
      <c r="G374" t="s">
        <v>845</v>
      </c>
      <c r="H374" s="4">
        <v>36.5</v>
      </c>
      <c r="I374" t="s">
        <v>852</v>
      </c>
    </row>
    <row r="375" spans="1:9" x14ac:dyDescent="0.3">
      <c r="A375" t="s">
        <v>373</v>
      </c>
      <c r="B375" t="s">
        <v>237</v>
      </c>
      <c r="C375" s="7" t="str">
        <f ca="1">IFERROR(_xludf.XLOOKUP(B375,MASTER_REGISTER!E:E,MASTER_REGISTER!F:F,""),"")</f>
        <v/>
      </c>
      <c r="D375" s="4" t="str">
        <f ca="1">IFERROR(_xludf.XLOOKUP(B375,MASTER_REGISTER!E:E,MASTER_REGISTER!C:C,""),"")</f>
        <v/>
      </c>
      <c r="E375" t="s">
        <v>873</v>
      </c>
      <c r="F375" t="s">
        <v>840</v>
      </c>
      <c r="G375" t="s">
        <v>825</v>
      </c>
      <c r="H375" s="4">
        <v>88.6</v>
      </c>
      <c r="I375" t="s">
        <v>846</v>
      </c>
    </row>
    <row r="376" spans="1:9" x14ac:dyDescent="0.3">
      <c r="A376" t="s">
        <v>868</v>
      </c>
      <c r="B376" t="s">
        <v>237</v>
      </c>
      <c r="C376" s="7" t="str">
        <f ca="1">IFERROR(_xludf.XLOOKUP(B376,MASTER_REGISTER!E:E,MASTER_REGISTER!F:F,""),"")</f>
        <v/>
      </c>
      <c r="D376" s="4" t="str">
        <f ca="1">IFERROR(_xludf.XLOOKUP(B376,MASTER_REGISTER!E:E,MASTER_REGISTER!C:C,""),"")</f>
        <v/>
      </c>
      <c r="E376" t="s">
        <v>874</v>
      </c>
      <c r="F376" t="s">
        <v>840</v>
      </c>
      <c r="G376" t="s">
        <v>825</v>
      </c>
      <c r="H376" s="4">
        <v>71.400000000000006</v>
      </c>
      <c r="I376" t="s">
        <v>852</v>
      </c>
    </row>
    <row r="377" spans="1:9" x14ac:dyDescent="0.3">
      <c r="A377" t="s">
        <v>853</v>
      </c>
      <c r="B377" t="s">
        <v>237</v>
      </c>
      <c r="C377" s="7" t="str">
        <f ca="1">IFERROR(_xludf.XLOOKUP(B377,MASTER_REGISTER!E:E,MASTER_REGISTER!F:F,""),"")</f>
        <v/>
      </c>
      <c r="D377" s="4" t="str">
        <f ca="1">IFERROR(_xludf.XLOOKUP(B377,MASTER_REGISTER!E:E,MASTER_REGISTER!C:C,""),"")</f>
        <v/>
      </c>
      <c r="E377" t="s">
        <v>874</v>
      </c>
      <c r="F377" t="s">
        <v>838</v>
      </c>
      <c r="G377" t="s">
        <v>850</v>
      </c>
      <c r="H377" s="4">
        <v>58</v>
      </c>
      <c r="I377" t="s">
        <v>862</v>
      </c>
    </row>
    <row r="378" spans="1:9" x14ac:dyDescent="0.3">
      <c r="A378" t="s">
        <v>579</v>
      </c>
      <c r="B378" t="s">
        <v>237</v>
      </c>
      <c r="C378" s="7" t="str">
        <f ca="1">IFERROR(_xludf.XLOOKUP(B378,MASTER_REGISTER!E:E,MASTER_REGISTER!F:F,""),"")</f>
        <v/>
      </c>
      <c r="D378" s="4" t="str">
        <f ca="1">IFERROR(_xludf.XLOOKUP(B378,MASTER_REGISTER!E:E,MASTER_REGISTER!C:C,""),"")</f>
        <v/>
      </c>
      <c r="E378" t="s">
        <v>823</v>
      </c>
      <c r="F378" t="s">
        <v>832</v>
      </c>
      <c r="G378" t="s">
        <v>848</v>
      </c>
      <c r="H378" s="4">
        <v>47.9</v>
      </c>
      <c r="I378" t="s">
        <v>829</v>
      </c>
    </row>
    <row r="379" spans="1:9" x14ac:dyDescent="0.3">
      <c r="A379" t="s">
        <v>854</v>
      </c>
      <c r="B379" t="s">
        <v>237</v>
      </c>
      <c r="C379" s="7" t="str">
        <f ca="1">IFERROR(_xludf.XLOOKUP(B379,MASTER_REGISTER!E:E,MASTER_REGISTER!F:F,""),"")</f>
        <v/>
      </c>
      <c r="D379" s="4" t="str">
        <f ca="1">IFERROR(_xludf.XLOOKUP(B379,MASTER_REGISTER!E:E,MASTER_REGISTER!C:C,""),"")</f>
        <v/>
      </c>
      <c r="E379" t="s">
        <v>871</v>
      </c>
      <c r="F379" t="s">
        <v>824</v>
      </c>
      <c r="G379" t="s">
        <v>841</v>
      </c>
      <c r="H379" s="4">
        <v>81.7</v>
      </c>
      <c r="I379" t="s">
        <v>862</v>
      </c>
    </row>
    <row r="380" spans="1:9" x14ac:dyDescent="0.3">
      <c r="A380" t="s">
        <v>854</v>
      </c>
      <c r="B380" t="s">
        <v>237</v>
      </c>
      <c r="C380" s="7" t="str">
        <f ca="1">IFERROR(_xludf.XLOOKUP(B380,MASTER_REGISTER!E:E,MASTER_REGISTER!F:F,""),"")</f>
        <v/>
      </c>
      <c r="D380" s="4" t="str">
        <f ca="1">IFERROR(_xludf.XLOOKUP(B380,MASTER_REGISTER!E:E,MASTER_REGISTER!C:C,""),"")</f>
        <v/>
      </c>
      <c r="E380" t="s">
        <v>873</v>
      </c>
      <c r="F380" t="s">
        <v>840</v>
      </c>
      <c r="G380" t="s">
        <v>867</v>
      </c>
      <c r="H380" s="4">
        <v>73.5</v>
      </c>
      <c r="I380" t="s">
        <v>846</v>
      </c>
    </row>
    <row r="381" spans="1:9" x14ac:dyDescent="0.3">
      <c r="A381" t="s">
        <v>854</v>
      </c>
      <c r="B381" t="s">
        <v>237</v>
      </c>
      <c r="C381" s="7" t="str">
        <f ca="1">IFERROR(_xludf.XLOOKUP(B381,MASTER_REGISTER!E:E,MASTER_REGISTER!F:F,""),"")</f>
        <v/>
      </c>
      <c r="D381" s="4" t="str">
        <f ca="1">IFERROR(_xludf.XLOOKUP(B381,MASTER_REGISTER!E:E,MASTER_REGISTER!C:C,""),"")</f>
        <v/>
      </c>
      <c r="E381" t="s">
        <v>874</v>
      </c>
      <c r="F381" t="s">
        <v>840</v>
      </c>
      <c r="G381" t="s">
        <v>867</v>
      </c>
      <c r="H381" s="4">
        <v>42.4</v>
      </c>
      <c r="I381" t="s">
        <v>862</v>
      </c>
    </row>
    <row r="382" spans="1:9" x14ac:dyDescent="0.3">
      <c r="A382" t="s">
        <v>856</v>
      </c>
      <c r="B382" t="s">
        <v>241</v>
      </c>
      <c r="C382" s="7" t="str">
        <f ca="1">IFERROR(_xludf.XLOOKUP(B382,MASTER_REGISTER!E:E,MASTER_REGISTER!F:F,""),"")</f>
        <v/>
      </c>
      <c r="D382" s="4" t="str">
        <f ca="1">IFERROR(_xludf.XLOOKUP(B382,MASTER_REGISTER!E:E,MASTER_REGISTER!C:C,""),"")</f>
        <v/>
      </c>
      <c r="E382" t="s">
        <v>871</v>
      </c>
      <c r="F382" t="s">
        <v>832</v>
      </c>
      <c r="G382" t="s">
        <v>845</v>
      </c>
      <c r="H382" s="4">
        <v>53.9</v>
      </c>
      <c r="I382" t="s">
        <v>834</v>
      </c>
    </row>
    <row r="383" spans="1:9" x14ac:dyDescent="0.3">
      <c r="A383" t="s">
        <v>869</v>
      </c>
      <c r="B383" t="s">
        <v>241</v>
      </c>
      <c r="C383" s="7" t="str">
        <f ca="1">IFERROR(_xludf.XLOOKUP(B383,MASTER_REGISTER!E:E,MASTER_REGISTER!F:F,""),"")</f>
        <v/>
      </c>
      <c r="D383" s="4" t="str">
        <f ca="1">IFERROR(_xludf.XLOOKUP(B383,MASTER_REGISTER!E:E,MASTER_REGISTER!C:C,""),"")</f>
        <v/>
      </c>
      <c r="E383" t="s">
        <v>873</v>
      </c>
      <c r="F383" t="s">
        <v>838</v>
      </c>
      <c r="G383" t="s">
        <v>833</v>
      </c>
      <c r="H383" s="4">
        <v>49.6</v>
      </c>
      <c r="I383" t="s">
        <v>862</v>
      </c>
    </row>
    <row r="384" spans="1:9" x14ac:dyDescent="0.3">
      <c r="A384" t="s">
        <v>861</v>
      </c>
      <c r="B384" t="s">
        <v>241</v>
      </c>
      <c r="C384" s="7" t="str">
        <f ca="1">IFERROR(_xludf.XLOOKUP(B384,MASTER_REGISTER!E:E,MASTER_REGISTER!F:F,""),"")</f>
        <v/>
      </c>
      <c r="D384" s="4" t="str">
        <f ca="1">IFERROR(_xludf.XLOOKUP(B384,MASTER_REGISTER!E:E,MASTER_REGISTER!C:C,""),"")</f>
        <v/>
      </c>
      <c r="E384" t="s">
        <v>823</v>
      </c>
      <c r="F384" t="s">
        <v>824</v>
      </c>
      <c r="G384" t="s">
        <v>859</v>
      </c>
      <c r="H384" s="4">
        <v>50.2</v>
      </c>
      <c r="I384" t="s">
        <v>834</v>
      </c>
    </row>
    <row r="385" spans="1:9" x14ac:dyDescent="0.3">
      <c r="A385" t="s">
        <v>827</v>
      </c>
      <c r="B385" t="s">
        <v>241</v>
      </c>
      <c r="C385" s="7" t="str">
        <f ca="1">IFERROR(_xludf.XLOOKUP(B385,MASTER_REGISTER!E:E,MASTER_REGISTER!F:F,""),"")</f>
        <v/>
      </c>
      <c r="D385" s="4" t="str">
        <f ca="1">IFERROR(_xludf.XLOOKUP(B385,MASTER_REGISTER!E:E,MASTER_REGISTER!C:C,""),"")</f>
        <v/>
      </c>
      <c r="E385" t="s">
        <v>873</v>
      </c>
      <c r="F385" t="s">
        <v>840</v>
      </c>
      <c r="G385" t="s">
        <v>860</v>
      </c>
      <c r="H385" s="4">
        <v>54.6</v>
      </c>
      <c r="I385" t="s">
        <v>829</v>
      </c>
    </row>
    <row r="386" spans="1:9" x14ac:dyDescent="0.3">
      <c r="A386" t="s">
        <v>433</v>
      </c>
      <c r="B386" t="s">
        <v>241</v>
      </c>
      <c r="C386" s="7" t="str">
        <f ca="1">IFERROR(_xludf.XLOOKUP(B386,MASTER_REGISTER!E:E,MASTER_REGISTER!F:F,""),"")</f>
        <v/>
      </c>
      <c r="D386" s="4" t="str">
        <f ca="1">IFERROR(_xludf.XLOOKUP(B386,MASTER_REGISTER!E:E,MASTER_REGISTER!C:C,""),"")</f>
        <v/>
      </c>
      <c r="E386" t="s">
        <v>823</v>
      </c>
      <c r="F386" t="s">
        <v>824</v>
      </c>
      <c r="G386" t="s">
        <v>859</v>
      </c>
      <c r="H386" s="4">
        <v>61.7</v>
      </c>
      <c r="I386" t="s">
        <v>826</v>
      </c>
    </row>
    <row r="387" spans="1:9" x14ac:dyDescent="0.3">
      <c r="A387" t="s">
        <v>870</v>
      </c>
      <c r="B387" t="s">
        <v>241</v>
      </c>
      <c r="C387" s="7" t="str">
        <f ca="1">IFERROR(_xludf.XLOOKUP(B387,MASTER_REGISTER!E:E,MASTER_REGISTER!F:F,""),"")</f>
        <v/>
      </c>
      <c r="D387" s="4" t="str">
        <f ca="1">IFERROR(_xludf.XLOOKUP(B387,MASTER_REGISTER!E:E,MASTER_REGISTER!C:C,""),"")</f>
        <v/>
      </c>
      <c r="E387" t="s">
        <v>872</v>
      </c>
      <c r="F387" t="s">
        <v>838</v>
      </c>
      <c r="G387" t="s">
        <v>836</v>
      </c>
      <c r="H387" s="4">
        <v>67.900000000000006</v>
      </c>
      <c r="I387" t="s">
        <v>846</v>
      </c>
    </row>
    <row r="388" spans="1:9" x14ac:dyDescent="0.3">
      <c r="A388" t="s">
        <v>504</v>
      </c>
      <c r="B388" t="s">
        <v>241</v>
      </c>
      <c r="C388" s="7" t="str">
        <f ca="1">IFERROR(_xludf.XLOOKUP(B388,MASTER_REGISTER!E:E,MASTER_REGISTER!F:F,""),"")</f>
        <v/>
      </c>
      <c r="D388" s="4" t="str">
        <f ca="1">IFERROR(_xludf.XLOOKUP(B388,MASTER_REGISTER!E:E,MASTER_REGISTER!C:C,""),"")</f>
        <v/>
      </c>
      <c r="E388" t="s">
        <v>874</v>
      </c>
      <c r="F388" t="s">
        <v>824</v>
      </c>
      <c r="G388" t="s">
        <v>845</v>
      </c>
      <c r="H388" s="4">
        <v>78.8</v>
      </c>
      <c r="I388" t="s">
        <v>846</v>
      </c>
    </row>
    <row r="389" spans="1:9" x14ac:dyDescent="0.3">
      <c r="A389" t="s">
        <v>504</v>
      </c>
      <c r="B389" t="s">
        <v>241</v>
      </c>
      <c r="C389" s="7" t="str">
        <f ca="1">IFERROR(_xludf.XLOOKUP(B389,MASTER_REGISTER!E:E,MASTER_REGISTER!F:F,""),"")</f>
        <v/>
      </c>
      <c r="D389" s="4" t="str">
        <f ca="1">IFERROR(_xludf.XLOOKUP(B389,MASTER_REGISTER!E:E,MASTER_REGISTER!C:C,""),"")</f>
        <v/>
      </c>
      <c r="E389" t="s">
        <v>823</v>
      </c>
      <c r="F389" t="s">
        <v>824</v>
      </c>
      <c r="G389" t="s">
        <v>860</v>
      </c>
      <c r="H389" s="4">
        <v>86.4</v>
      </c>
      <c r="I389" t="s">
        <v>834</v>
      </c>
    </row>
    <row r="390" spans="1:9" x14ac:dyDescent="0.3">
      <c r="A390" t="s">
        <v>868</v>
      </c>
      <c r="B390" t="s">
        <v>241</v>
      </c>
      <c r="C390" s="7" t="str">
        <f ca="1">IFERROR(_xludf.XLOOKUP(B390,MASTER_REGISTER!E:E,MASTER_REGISTER!F:F,""),"")</f>
        <v/>
      </c>
      <c r="D390" s="4" t="str">
        <f ca="1">IFERROR(_xludf.XLOOKUP(B390,MASTER_REGISTER!E:E,MASTER_REGISTER!C:C,""),"")</f>
        <v/>
      </c>
      <c r="E390" t="s">
        <v>843</v>
      </c>
      <c r="F390" t="s">
        <v>832</v>
      </c>
      <c r="G390" t="s">
        <v>836</v>
      </c>
      <c r="H390" s="4">
        <v>53.9</v>
      </c>
      <c r="I390" t="s">
        <v>829</v>
      </c>
    </row>
    <row r="391" spans="1:9" x14ac:dyDescent="0.3">
      <c r="A391" t="s">
        <v>853</v>
      </c>
      <c r="B391" t="s">
        <v>241</v>
      </c>
      <c r="C391" s="7" t="str">
        <f ca="1">IFERROR(_xludf.XLOOKUP(B391,MASTER_REGISTER!E:E,MASTER_REGISTER!F:F,""),"")</f>
        <v/>
      </c>
      <c r="D391" s="4" t="str">
        <f ca="1">IFERROR(_xludf.XLOOKUP(B391,MASTER_REGISTER!E:E,MASTER_REGISTER!C:C,""),"")</f>
        <v/>
      </c>
      <c r="E391" t="s">
        <v>873</v>
      </c>
      <c r="F391" t="s">
        <v>824</v>
      </c>
      <c r="G391" t="s">
        <v>859</v>
      </c>
      <c r="H391" s="4">
        <v>68.7</v>
      </c>
      <c r="I391" t="s">
        <v>826</v>
      </c>
    </row>
    <row r="392" spans="1:9" x14ac:dyDescent="0.3">
      <c r="A392" t="s">
        <v>856</v>
      </c>
      <c r="B392" t="s">
        <v>244</v>
      </c>
      <c r="C392" s="7" t="str">
        <f ca="1">IFERROR(_xludf.XLOOKUP(B392,MASTER_REGISTER!E:E,MASTER_REGISTER!F:F,""),"")</f>
        <v/>
      </c>
      <c r="D392" s="4" t="str">
        <f ca="1">IFERROR(_xludf.XLOOKUP(B392,MASTER_REGISTER!E:E,MASTER_REGISTER!C:C,""),"")</f>
        <v/>
      </c>
      <c r="E392" t="s">
        <v>874</v>
      </c>
      <c r="F392" t="s">
        <v>838</v>
      </c>
      <c r="G392" t="s">
        <v>836</v>
      </c>
      <c r="H392" s="4">
        <v>50.1</v>
      </c>
      <c r="I392" t="s">
        <v>849</v>
      </c>
    </row>
    <row r="393" spans="1:9" x14ac:dyDescent="0.3">
      <c r="A393" t="s">
        <v>172</v>
      </c>
      <c r="B393" t="s">
        <v>244</v>
      </c>
      <c r="C393" s="7" t="str">
        <f ca="1">IFERROR(_xludf.XLOOKUP(B393,MASTER_REGISTER!E:E,MASTER_REGISTER!F:F,""),"")</f>
        <v/>
      </c>
      <c r="D393" s="4" t="str">
        <f ca="1">IFERROR(_xludf.XLOOKUP(B393,MASTER_REGISTER!E:E,MASTER_REGISTER!C:C,""),"")</f>
        <v/>
      </c>
      <c r="E393" t="s">
        <v>874</v>
      </c>
      <c r="F393" t="s">
        <v>824</v>
      </c>
      <c r="G393" t="s">
        <v>848</v>
      </c>
      <c r="H393" s="4">
        <v>56.6</v>
      </c>
      <c r="I393" t="s">
        <v>846</v>
      </c>
    </row>
    <row r="394" spans="1:9" x14ac:dyDescent="0.3">
      <c r="A394" t="s">
        <v>869</v>
      </c>
      <c r="B394" t="s">
        <v>244</v>
      </c>
      <c r="C394" s="7" t="str">
        <f ca="1">IFERROR(_xludf.XLOOKUP(B394,MASTER_REGISTER!E:E,MASTER_REGISTER!F:F,""),"")</f>
        <v/>
      </c>
      <c r="D394" s="4" t="str">
        <f ca="1">IFERROR(_xludf.XLOOKUP(B394,MASTER_REGISTER!E:E,MASTER_REGISTER!C:C,""),"")</f>
        <v/>
      </c>
      <c r="E394" t="s">
        <v>874</v>
      </c>
      <c r="F394" t="s">
        <v>840</v>
      </c>
      <c r="G394" t="s">
        <v>848</v>
      </c>
      <c r="H394" s="4">
        <v>61.5</v>
      </c>
      <c r="I394" t="s">
        <v>862</v>
      </c>
    </row>
    <row r="395" spans="1:9" x14ac:dyDescent="0.3">
      <c r="A395" t="s">
        <v>857</v>
      </c>
      <c r="B395" t="s">
        <v>244</v>
      </c>
      <c r="C395" s="7" t="str">
        <f ca="1">IFERROR(_xludf.XLOOKUP(B395,MASTER_REGISTER!E:E,MASTER_REGISTER!F:F,""),"")</f>
        <v/>
      </c>
      <c r="D395" s="4" t="str">
        <f ca="1">IFERROR(_xludf.XLOOKUP(B395,MASTER_REGISTER!E:E,MASTER_REGISTER!C:C,""),"")</f>
        <v/>
      </c>
      <c r="E395" t="s">
        <v>872</v>
      </c>
      <c r="F395" t="s">
        <v>824</v>
      </c>
      <c r="G395" t="s">
        <v>855</v>
      </c>
      <c r="H395" s="4">
        <v>62.2</v>
      </c>
      <c r="I395" t="s">
        <v>846</v>
      </c>
    </row>
    <row r="396" spans="1:9" x14ac:dyDescent="0.3">
      <c r="A396" t="s">
        <v>827</v>
      </c>
      <c r="B396" t="s">
        <v>244</v>
      </c>
      <c r="C396" s="7" t="str">
        <f ca="1">IFERROR(_xludf.XLOOKUP(B396,MASTER_REGISTER!E:E,MASTER_REGISTER!F:F,""),"")</f>
        <v/>
      </c>
      <c r="D396" s="4" t="str">
        <f ca="1">IFERROR(_xludf.XLOOKUP(B396,MASTER_REGISTER!E:E,MASTER_REGISTER!C:C,""),"")</f>
        <v/>
      </c>
      <c r="E396" t="s">
        <v>823</v>
      </c>
      <c r="F396" t="s">
        <v>832</v>
      </c>
      <c r="G396" t="s">
        <v>867</v>
      </c>
      <c r="H396" s="4">
        <v>60.7</v>
      </c>
      <c r="I396" t="s">
        <v>829</v>
      </c>
    </row>
    <row r="397" spans="1:9" x14ac:dyDescent="0.3">
      <c r="A397" t="s">
        <v>549</v>
      </c>
      <c r="B397" t="s">
        <v>244</v>
      </c>
      <c r="C397" s="7" t="str">
        <f ca="1">IFERROR(_xludf.XLOOKUP(B397,MASTER_REGISTER!E:E,MASTER_REGISTER!F:F,""),"")</f>
        <v/>
      </c>
      <c r="D397" s="4" t="str">
        <f ca="1">IFERROR(_xludf.XLOOKUP(B397,MASTER_REGISTER!E:E,MASTER_REGISTER!C:C,""),"")</f>
        <v/>
      </c>
      <c r="E397" t="s">
        <v>873</v>
      </c>
      <c r="F397" t="s">
        <v>838</v>
      </c>
      <c r="G397" t="s">
        <v>841</v>
      </c>
      <c r="H397" s="4">
        <v>71</v>
      </c>
      <c r="I397" t="s">
        <v>852</v>
      </c>
    </row>
    <row r="398" spans="1:9" x14ac:dyDescent="0.3">
      <c r="A398" t="s">
        <v>839</v>
      </c>
      <c r="B398" t="s">
        <v>244</v>
      </c>
      <c r="C398" s="7" t="str">
        <f ca="1">IFERROR(_xludf.XLOOKUP(B398,MASTER_REGISTER!E:E,MASTER_REGISTER!F:F,""),"")</f>
        <v/>
      </c>
      <c r="D398" s="4" t="str">
        <f ca="1">IFERROR(_xludf.XLOOKUP(B398,MASTER_REGISTER!E:E,MASTER_REGISTER!C:C,""),"")</f>
        <v/>
      </c>
      <c r="E398" t="s">
        <v>823</v>
      </c>
      <c r="F398" t="s">
        <v>838</v>
      </c>
      <c r="G398" t="s">
        <v>850</v>
      </c>
      <c r="H398" s="4">
        <v>57.5</v>
      </c>
      <c r="I398" t="s">
        <v>826</v>
      </c>
    </row>
    <row r="399" spans="1:9" x14ac:dyDescent="0.3">
      <c r="A399" t="s">
        <v>504</v>
      </c>
      <c r="B399" t="s">
        <v>244</v>
      </c>
      <c r="C399" s="7" t="str">
        <f ca="1">IFERROR(_xludf.XLOOKUP(B399,MASTER_REGISTER!E:E,MASTER_REGISTER!F:F,""),"")</f>
        <v/>
      </c>
      <c r="D399" s="4" t="str">
        <f ca="1">IFERROR(_xludf.XLOOKUP(B399,MASTER_REGISTER!E:E,MASTER_REGISTER!C:C,""),"")</f>
        <v/>
      </c>
      <c r="E399" t="s">
        <v>871</v>
      </c>
      <c r="F399" t="s">
        <v>832</v>
      </c>
      <c r="G399" t="s">
        <v>860</v>
      </c>
      <c r="H399" s="4">
        <v>61</v>
      </c>
      <c r="I399" t="s">
        <v>852</v>
      </c>
    </row>
    <row r="400" spans="1:9" x14ac:dyDescent="0.3">
      <c r="A400" t="s">
        <v>854</v>
      </c>
      <c r="B400" t="s">
        <v>244</v>
      </c>
      <c r="C400" s="7" t="str">
        <f ca="1">IFERROR(_xludf.XLOOKUP(B400,MASTER_REGISTER!E:E,MASTER_REGISTER!F:F,""),"")</f>
        <v/>
      </c>
      <c r="D400" s="4" t="str">
        <f ca="1">IFERROR(_xludf.XLOOKUP(B400,MASTER_REGISTER!E:E,MASTER_REGISTER!C:C,""),"")</f>
        <v/>
      </c>
      <c r="E400" t="s">
        <v>871</v>
      </c>
      <c r="F400" t="s">
        <v>838</v>
      </c>
      <c r="G400" t="s">
        <v>841</v>
      </c>
      <c r="H400" s="4">
        <v>40.4</v>
      </c>
      <c r="I400" t="s">
        <v>844</v>
      </c>
    </row>
    <row r="401" spans="1:9" x14ac:dyDescent="0.3">
      <c r="A401" t="s">
        <v>854</v>
      </c>
      <c r="B401" t="s">
        <v>244</v>
      </c>
      <c r="C401" s="7" t="str">
        <f ca="1">IFERROR(_xludf.XLOOKUP(B401,MASTER_REGISTER!E:E,MASTER_REGISTER!F:F,""),"")</f>
        <v/>
      </c>
      <c r="D401" s="4" t="str">
        <f ca="1">IFERROR(_xludf.XLOOKUP(B401,MASTER_REGISTER!E:E,MASTER_REGISTER!C:C,""),"")</f>
        <v/>
      </c>
      <c r="E401" t="s">
        <v>843</v>
      </c>
      <c r="F401" t="s">
        <v>824</v>
      </c>
      <c r="G401" t="s">
        <v>850</v>
      </c>
      <c r="H401" s="4">
        <v>61.3</v>
      </c>
      <c r="I401" t="s">
        <v>862</v>
      </c>
    </row>
    <row r="402" spans="1:9" x14ac:dyDescent="0.3">
      <c r="A402" t="s">
        <v>856</v>
      </c>
      <c r="B402" t="s">
        <v>248</v>
      </c>
      <c r="C402" s="7" t="str">
        <f ca="1">IFERROR(_xludf.XLOOKUP(B402,MASTER_REGISTER!E:E,MASTER_REGISTER!F:F,""),"")</f>
        <v/>
      </c>
      <c r="D402" s="4" t="str">
        <f ca="1">IFERROR(_xludf.XLOOKUP(B402,MASTER_REGISTER!E:E,MASTER_REGISTER!C:C,""),"")</f>
        <v/>
      </c>
      <c r="E402" t="s">
        <v>843</v>
      </c>
      <c r="F402" t="s">
        <v>840</v>
      </c>
      <c r="G402" t="s">
        <v>855</v>
      </c>
      <c r="H402" s="4">
        <v>84.9</v>
      </c>
      <c r="I402" t="s">
        <v>829</v>
      </c>
    </row>
    <row r="403" spans="1:9" x14ac:dyDescent="0.3">
      <c r="A403" t="s">
        <v>396</v>
      </c>
      <c r="B403" t="s">
        <v>248</v>
      </c>
      <c r="C403" s="7" t="str">
        <f ca="1">IFERROR(_xludf.XLOOKUP(B403,MASTER_REGISTER!E:E,MASTER_REGISTER!F:F,""),"")</f>
        <v/>
      </c>
      <c r="D403" s="4" t="str">
        <f ca="1">IFERROR(_xludf.XLOOKUP(B403,MASTER_REGISTER!E:E,MASTER_REGISTER!C:C,""),"")</f>
        <v/>
      </c>
      <c r="E403" t="s">
        <v>872</v>
      </c>
      <c r="F403" t="s">
        <v>824</v>
      </c>
      <c r="G403" t="s">
        <v>859</v>
      </c>
      <c r="H403" s="4">
        <v>84.5</v>
      </c>
      <c r="I403" t="s">
        <v>846</v>
      </c>
    </row>
    <row r="404" spans="1:9" x14ac:dyDescent="0.3">
      <c r="A404" t="s">
        <v>433</v>
      </c>
      <c r="B404" t="s">
        <v>248</v>
      </c>
      <c r="C404" s="7" t="str">
        <f ca="1">IFERROR(_xludf.XLOOKUP(B404,MASTER_REGISTER!E:E,MASTER_REGISTER!F:F,""),"")</f>
        <v/>
      </c>
      <c r="D404" s="4" t="str">
        <f ca="1">IFERROR(_xludf.XLOOKUP(B404,MASTER_REGISTER!E:E,MASTER_REGISTER!C:C,""),"")</f>
        <v/>
      </c>
      <c r="E404" t="s">
        <v>843</v>
      </c>
      <c r="F404" t="s">
        <v>832</v>
      </c>
      <c r="G404" t="s">
        <v>845</v>
      </c>
      <c r="H404" s="4">
        <v>34.6</v>
      </c>
      <c r="I404" t="s">
        <v>862</v>
      </c>
    </row>
    <row r="405" spans="1:9" x14ac:dyDescent="0.3">
      <c r="A405" t="s">
        <v>858</v>
      </c>
      <c r="B405" t="s">
        <v>248</v>
      </c>
      <c r="C405" s="7" t="str">
        <f ca="1">IFERROR(_xludf.XLOOKUP(B405,MASTER_REGISTER!E:E,MASTER_REGISTER!F:F,""),"")</f>
        <v/>
      </c>
      <c r="D405" s="4" t="str">
        <f ca="1">IFERROR(_xludf.XLOOKUP(B405,MASTER_REGISTER!E:E,MASTER_REGISTER!C:C,""),"")</f>
        <v/>
      </c>
      <c r="E405" t="s">
        <v>823</v>
      </c>
      <c r="F405" t="s">
        <v>838</v>
      </c>
      <c r="G405" t="s">
        <v>850</v>
      </c>
      <c r="H405" s="4">
        <v>68.5</v>
      </c>
      <c r="I405" t="s">
        <v>834</v>
      </c>
    </row>
    <row r="406" spans="1:9" x14ac:dyDescent="0.3">
      <c r="A406" t="s">
        <v>863</v>
      </c>
      <c r="B406" t="s">
        <v>248</v>
      </c>
      <c r="C406" s="7" t="str">
        <f ca="1">IFERROR(_xludf.XLOOKUP(B406,MASTER_REGISTER!E:E,MASTER_REGISTER!F:F,""),"")</f>
        <v/>
      </c>
      <c r="D406" s="4" t="str">
        <f ca="1">IFERROR(_xludf.XLOOKUP(B406,MASTER_REGISTER!E:E,MASTER_REGISTER!C:C,""),"")</f>
        <v/>
      </c>
      <c r="E406" t="s">
        <v>873</v>
      </c>
      <c r="F406" t="s">
        <v>824</v>
      </c>
      <c r="G406" t="s">
        <v>833</v>
      </c>
      <c r="H406" s="4">
        <v>76</v>
      </c>
      <c r="I406" t="s">
        <v>852</v>
      </c>
    </row>
    <row r="407" spans="1:9" x14ac:dyDescent="0.3">
      <c r="A407" t="s">
        <v>370</v>
      </c>
      <c r="B407" t="s">
        <v>248</v>
      </c>
      <c r="C407" s="7" t="str">
        <f ca="1">IFERROR(_xludf.XLOOKUP(B407,MASTER_REGISTER!E:E,MASTER_REGISTER!F:F,""),"")</f>
        <v/>
      </c>
      <c r="D407" s="4" t="str">
        <f ca="1">IFERROR(_xludf.XLOOKUP(B407,MASTER_REGISTER!E:E,MASTER_REGISTER!C:C,""),"")</f>
        <v/>
      </c>
      <c r="E407" t="s">
        <v>843</v>
      </c>
      <c r="F407" t="s">
        <v>838</v>
      </c>
      <c r="G407" t="s">
        <v>833</v>
      </c>
      <c r="H407" s="4">
        <v>70.900000000000006</v>
      </c>
      <c r="I407" t="s">
        <v>862</v>
      </c>
    </row>
    <row r="408" spans="1:9" x14ac:dyDescent="0.3">
      <c r="A408" t="s">
        <v>372</v>
      </c>
      <c r="B408" t="s">
        <v>248</v>
      </c>
      <c r="C408" s="7" t="str">
        <f ca="1">IFERROR(_xludf.XLOOKUP(B408,MASTER_REGISTER!E:E,MASTER_REGISTER!F:F,""),"")</f>
        <v/>
      </c>
      <c r="D408" s="4" t="str">
        <f ca="1">IFERROR(_xludf.XLOOKUP(B408,MASTER_REGISTER!E:E,MASTER_REGISTER!C:C,""),"")</f>
        <v/>
      </c>
      <c r="E408" t="s">
        <v>873</v>
      </c>
      <c r="F408" t="s">
        <v>832</v>
      </c>
      <c r="G408" t="s">
        <v>836</v>
      </c>
      <c r="H408" s="4">
        <v>43.3</v>
      </c>
      <c r="I408" t="s">
        <v>849</v>
      </c>
    </row>
    <row r="409" spans="1:9" x14ac:dyDescent="0.3">
      <c r="A409" t="s">
        <v>418</v>
      </c>
      <c r="B409" t="s">
        <v>248</v>
      </c>
      <c r="C409" s="7" t="str">
        <f ca="1">IFERROR(_xludf.XLOOKUP(B409,MASTER_REGISTER!E:E,MASTER_REGISTER!F:F,""),"")</f>
        <v/>
      </c>
      <c r="D409" s="4" t="str">
        <f ca="1">IFERROR(_xludf.XLOOKUP(B409,MASTER_REGISTER!E:E,MASTER_REGISTER!C:C,""),"")</f>
        <v/>
      </c>
      <c r="E409" t="s">
        <v>823</v>
      </c>
      <c r="F409" t="s">
        <v>838</v>
      </c>
      <c r="G409" t="s">
        <v>855</v>
      </c>
      <c r="H409" s="4">
        <v>62.8</v>
      </c>
      <c r="I409" t="s">
        <v>829</v>
      </c>
    </row>
    <row r="410" spans="1:9" x14ac:dyDescent="0.3">
      <c r="A410" t="s">
        <v>865</v>
      </c>
      <c r="B410" t="s">
        <v>248</v>
      </c>
      <c r="C410" s="7" t="str">
        <f ca="1">IFERROR(_xludf.XLOOKUP(B410,MASTER_REGISTER!E:E,MASTER_REGISTER!F:F,""),"")</f>
        <v/>
      </c>
      <c r="D410" s="4" t="str">
        <f ca="1">IFERROR(_xludf.XLOOKUP(B410,MASTER_REGISTER!E:E,MASTER_REGISTER!C:C,""),"")</f>
        <v/>
      </c>
      <c r="E410" t="s">
        <v>823</v>
      </c>
      <c r="F410" t="s">
        <v>824</v>
      </c>
      <c r="G410" t="s">
        <v>841</v>
      </c>
      <c r="H410" s="4">
        <v>54.7</v>
      </c>
      <c r="I410" t="s">
        <v>849</v>
      </c>
    </row>
    <row r="411" spans="1:9" x14ac:dyDescent="0.3">
      <c r="A411" t="s">
        <v>579</v>
      </c>
      <c r="B411" t="s">
        <v>248</v>
      </c>
      <c r="C411" s="7" t="str">
        <f ca="1">IFERROR(_xludf.XLOOKUP(B411,MASTER_REGISTER!E:E,MASTER_REGISTER!F:F,""),"")</f>
        <v/>
      </c>
      <c r="D411" s="4" t="str">
        <f ca="1">IFERROR(_xludf.XLOOKUP(B411,MASTER_REGISTER!E:E,MASTER_REGISTER!C:C,""),"")</f>
        <v/>
      </c>
      <c r="E411" t="s">
        <v>843</v>
      </c>
      <c r="F411" t="s">
        <v>838</v>
      </c>
      <c r="G411" t="s">
        <v>845</v>
      </c>
      <c r="H411" s="4">
        <v>62</v>
      </c>
      <c r="I411" t="s">
        <v>846</v>
      </c>
    </row>
    <row r="412" spans="1:9" x14ac:dyDescent="0.3">
      <c r="A412" t="s">
        <v>172</v>
      </c>
      <c r="B412" t="s">
        <v>252</v>
      </c>
      <c r="C412" s="7" t="str">
        <f ca="1">IFERROR(_xludf.XLOOKUP(B412,MASTER_REGISTER!E:E,MASTER_REGISTER!F:F,""),"")</f>
        <v/>
      </c>
      <c r="D412" s="4" t="str">
        <f ca="1">IFERROR(_xludf.XLOOKUP(B412,MASTER_REGISTER!E:E,MASTER_REGISTER!C:C,""),"")</f>
        <v/>
      </c>
      <c r="E412" t="s">
        <v>872</v>
      </c>
      <c r="F412" t="s">
        <v>832</v>
      </c>
      <c r="G412" t="s">
        <v>850</v>
      </c>
      <c r="H412" s="4">
        <v>63.5</v>
      </c>
      <c r="I412" t="s">
        <v>829</v>
      </c>
    </row>
    <row r="413" spans="1:9" x14ac:dyDescent="0.3">
      <c r="A413" t="s">
        <v>861</v>
      </c>
      <c r="B413" t="s">
        <v>252</v>
      </c>
      <c r="C413" s="7" t="str">
        <f ca="1">IFERROR(_xludf.XLOOKUP(B413,MASTER_REGISTER!E:E,MASTER_REGISTER!F:F,""),"")</f>
        <v/>
      </c>
      <c r="D413" s="4" t="str">
        <f ca="1">IFERROR(_xludf.XLOOKUP(B413,MASTER_REGISTER!E:E,MASTER_REGISTER!C:C,""),"")</f>
        <v/>
      </c>
      <c r="E413" t="s">
        <v>872</v>
      </c>
      <c r="F413" t="s">
        <v>840</v>
      </c>
      <c r="G413" t="s">
        <v>828</v>
      </c>
      <c r="H413" s="4">
        <v>71.599999999999994</v>
      </c>
      <c r="I413" t="s">
        <v>834</v>
      </c>
    </row>
    <row r="414" spans="1:9" x14ac:dyDescent="0.3">
      <c r="A414" t="s">
        <v>827</v>
      </c>
      <c r="B414" t="s">
        <v>252</v>
      </c>
      <c r="C414" s="7" t="str">
        <f ca="1">IFERROR(_xludf.XLOOKUP(B414,MASTER_REGISTER!E:E,MASTER_REGISTER!F:F,""),"")</f>
        <v/>
      </c>
      <c r="D414" s="4" t="str">
        <f ca="1">IFERROR(_xludf.XLOOKUP(B414,MASTER_REGISTER!E:E,MASTER_REGISTER!C:C,""),"")</f>
        <v/>
      </c>
      <c r="E414" t="s">
        <v>871</v>
      </c>
      <c r="F414" t="s">
        <v>838</v>
      </c>
      <c r="G414" t="s">
        <v>828</v>
      </c>
      <c r="H414" s="4">
        <v>75.599999999999994</v>
      </c>
      <c r="I414" t="s">
        <v>834</v>
      </c>
    </row>
    <row r="415" spans="1:9" x14ac:dyDescent="0.3">
      <c r="A415" t="s">
        <v>863</v>
      </c>
      <c r="B415" t="s">
        <v>252</v>
      </c>
      <c r="C415" s="7" t="str">
        <f ca="1">IFERROR(_xludf.XLOOKUP(B415,MASTER_REGISTER!E:E,MASTER_REGISTER!F:F,""),"")</f>
        <v/>
      </c>
      <c r="D415" s="4" t="str">
        <f ca="1">IFERROR(_xludf.XLOOKUP(B415,MASTER_REGISTER!E:E,MASTER_REGISTER!C:C,""),"")</f>
        <v/>
      </c>
      <c r="E415" t="s">
        <v>843</v>
      </c>
      <c r="F415" t="s">
        <v>838</v>
      </c>
      <c r="G415" t="s">
        <v>850</v>
      </c>
      <c r="H415" s="4">
        <v>69.7</v>
      </c>
      <c r="I415" t="s">
        <v>829</v>
      </c>
    </row>
    <row r="416" spans="1:9" x14ac:dyDescent="0.3">
      <c r="A416" t="s">
        <v>863</v>
      </c>
      <c r="B416" t="s">
        <v>252</v>
      </c>
      <c r="C416" s="7" t="str">
        <f ca="1">IFERROR(_xludf.XLOOKUP(B416,MASTER_REGISTER!E:E,MASTER_REGISTER!F:F,""),"")</f>
        <v/>
      </c>
      <c r="D416" s="4" t="str">
        <f ca="1">IFERROR(_xludf.XLOOKUP(B416,MASTER_REGISTER!E:E,MASTER_REGISTER!C:C,""),"")</f>
        <v/>
      </c>
      <c r="E416" t="s">
        <v>823</v>
      </c>
      <c r="F416" t="s">
        <v>838</v>
      </c>
      <c r="G416" t="s">
        <v>833</v>
      </c>
      <c r="H416" s="4">
        <v>67.3</v>
      </c>
      <c r="I416" t="s">
        <v>826</v>
      </c>
    </row>
    <row r="417" spans="1:9" x14ac:dyDescent="0.3">
      <c r="A417" t="s">
        <v>373</v>
      </c>
      <c r="B417" t="s">
        <v>252</v>
      </c>
      <c r="C417" s="7" t="str">
        <f ca="1">IFERROR(_xludf.XLOOKUP(B417,MASTER_REGISTER!E:E,MASTER_REGISTER!F:F,""),"")</f>
        <v/>
      </c>
      <c r="D417" s="4" t="str">
        <f ca="1">IFERROR(_xludf.XLOOKUP(B417,MASTER_REGISTER!E:E,MASTER_REGISTER!C:C,""),"")</f>
        <v/>
      </c>
      <c r="E417" t="s">
        <v>823</v>
      </c>
      <c r="F417" t="s">
        <v>840</v>
      </c>
      <c r="G417" t="s">
        <v>859</v>
      </c>
      <c r="H417" s="4">
        <v>70.900000000000006</v>
      </c>
      <c r="I417" t="s">
        <v>834</v>
      </c>
    </row>
    <row r="418" spans="1:9" x14ac:dyDescent="0.3">
      <c r="A418" t="s">
        <v>418</v>
      </c>
      <c r="B418" t="s">
        <v>252</v>
      </c>
      <c r="C418" s="7" t="str">
        <f ca="1">IFERROR(_xludf.XLOOKUP(B418,MASTER_REGISTER!E:E,MASTER_REGISTER!F:F,""),"")</f>
        <v/>
      </c>
      <c r="D418" s="4" t="str">
        <f ca="1">IFERROR(_xludf.XLOOKUP(B418,MASTER_REGISTER!E:E,MASTER_REGISTER!C:C,""),"")</f>
        <v/>
      </c>
      <c r="E418" t="s">
        <v>872</v>
      </c>
      <c r="F418" t="s">
        <v>824</v>
      </c>
      <c r="G418" t="s">
        <v>836</v>
      </c>
      <c r="H418" s="4">
        <v>62.2</v>
      </c>
      <c r="I418" t="s">
        <v>844</v>
      </c>
    </row>
    <row r="419" spans="1:9" x14ac:dyDescent="0.3">
      <c r="A419" t="s">
        <v>853</v>
      </c>
      <c r="B419" t="s">
        <v>252</v>
      </c>
      <c r="C419" s="7" t="str">
        <f ca="1">IFERROR(_xludf.XLOOKUP(B419,MASTER_REGISTER!E:E,MASTER_REGISTER!F:F,""),"")</f>
        <v/>
      </c>
      <c r="D419" s="4" t="str">
        <f ca="1">IFERROR(_xludf.XLOOKUP(B419,MASTER_REGISTER!E:E,MASTER_REGISTER!C:C,""),"")</f>
        <v/>
      </c>
      <c r="E419" t="s">
        <v>823</v>
      </c>
      <c r="F419" t="s">
        <v>824</v>
      </c>
      <c r="G419" t="s">
        <v>848</v>
      </c>
      <c r="H419" s="4">
        <v>75.599999999999994</v>
      </c>
      <c r="I419" t="s">
        <v>849</v>
      </c>
    </row>
    <row r="420" spans="1:9" x14ac:dyDescent="0.3">
      <c r="A420" t="s">
        <v>579</v>
      </c>
      <c r="B420" t="s">
        <v>252</v>
      </c>
      <c r="C420" s="7" t="str">
        <f ca="1">IFERROR(_xludf.XLOOKUP(B420,MASTER_REGISTER!E:E,MASTER_REGISTER!F:F,""),"")</f>
        <v/>
      </c>
      <c r="D420" s="4" t="str">
        <f ca="1">IFERROR(_xludf.XLOOKUP(B420,MASTER_REGISTER!E:E,MASTER_REGISTER!C:C,""),"")</f>
        <v/>
      </c>
      <c r="E420" t="s">
        <v>823</v>
      </c>
      <c r="F420" t="s">
        <v>840</v>
      </c>
      <c r="G420" t="s">
        <v>845</v>
      </c>
      <c r="H420" s="4">
        <v>50.9</v>
      </c>
      <c r="I420" t="s">
        <v>826</v>
      </c>
    </row>
    <row r="421" spans="1:9" x14ac:dyDescent="0.3">
      <c r="A421" t="s">
        <v>847</v>
      </c>
      <c r="B421" t="s">
        <v>252</v>
      </c>
      <c r="C421" s="7" t="str">
        <f ca="1">IFERROR(_xludf.XLOOKUP(B421,MASTER_REGISTER!E:E,MASTER_REGISTER!F:F,""),"")</f>
        <v/>
      </c>
      <c r="D421" s="4" t="str">
        <f ca="1">IFERROR(_xludf.XLOOKUP(B421,MASTER_REGISTER!E:E,MASTER_REGISTER!C:C,""),"")</f>
        <v/>
      </c>
      <c r="E421" t="s">
        <v>823</v>
      </c>
      <c r="F421" t="s">
        <v>832</v>
      </c>
      <c r="G421" t="s">
        <v>859</v>
      </c>
      <c r="H421" s="4">
        <v>50.8</v>
      </c>
      <c r="I421" t="s">
        <v>844</v>
      </c>
    </row>
    <row r="422" spans="1:9" x14ac:dyDescent="0.3">
      <c r="A422" t="s">
        <v>172</v>
      </c>
      <c r="B422" t="s">
        <v>256</v>
      </c>
      <c r="C422" s="7" t="str">
        <f ca="1">IFERROR(_xludf.XLOOKUP(B422,MASTER_REGISTER!E:E,MASTER_REGISTER!F:F,""),"")</f>
        <v/>
      </c>
      <c r="D422" s="4" t="str">
        <f ca="1">IFERROR(_xludf.XLOOKUP(B422,MASTER_REGISTER!E:E,MASTER_REGISTER!C:C,""),"")</f>
        <v/>
      </c>
      <c r="E422" t="s">
        <v>871</v>
      </c>
      <c r="F422" t="s">
        <v>840</v>
      </c>
      <c r="G422" t="s">
        <v>841</v>
      </c>
      <c r="H422" s="4">
        <v>54</v>
      </c>
      <c r="I422" t="s">
        <v>834</v>
      </c>
    </row>
    <row r="423" spans="1:9" x14ac:dyDescent="0.3">
      <c r="A423" t="s">
        <v>172</v>
      </c>
      <c r="B423" t="s">
        <v>256</v>
      </c>
      <c r="C423" s="7" t="str">
        <f ca="1">IFERROR(_xludf.XLOOKUP(B423,MASTER_REGISTER!E:E,MASTER_REGISTER!F:F,""),"")</f>
        <v/>
      </c>
      <c r="D423" s="4" t="str">
        <f ca="1">IFERROR(_xludf.XLOOKUP(B423,MASTER_REGISTER!E:E,MASTER_REGISTER!C:C,""),"")</f>
        <v/>
      </c>
      <c r="E423" t="s">
        <v>871</v>
      </c>
      <c r="F423" t="s">
        <v>824</v>
      </c>
      <c r="G423" t="s">
        <v>841</v>
      </c>
      <c r="H423" s="4">
        <v>54.6</v>
      </c>
      <c r="I423" t="s">
        <v>849</v>
      </c>
    </row>
    <row r="424" spans="1:9" x14ac:dyDescent="0.3">
      <c r="A424" t="s">
        <v>869</v>
      </c>
      <c r="B424" t="s">
        <v>256</v>
      </c>
      <c r="C424" s="7" t="str">
        <f ca="1">IFERROR(_xludf.XLOOKUP(B424,MASTER_REGISTER!E:E,MASTER_REGISTER!F:F,""),"")</f>
        <v/>
      </c>
      <c r="D424" s="4" t="str">
        <f ca="1">IFERROR(_xludf.XLOOKUP(B424,MASTER_REGISTER!E:E,MASTER_REGISTER!C:C,""),"")</f>
        <v/>
      </c>
      <c r="E424" t="s">
        <v>823</v>
      </c>
      <c r="F424" t="s">
        <v>832</v>
      </c>
      <c r="G424" t="s">
        <v>825</v>
      </c>
      <c r="H424" s="4">
        <v>58.3</v>
      </c>
      <c r="I424" t="s">
        <v>849</v>
      </c>
    </row>
    <row r="425" spans="1:9" x14ac:dyDescent="0.3">
      <c r="A425" t="s">
        <v>396</v>
      </c>
      <c r="B425" t="s">
        <v>256</v>
      </c>
      <c r="C425" s="7" t="str">
        <f ca="1">IFERROR(_xludf.XLOOKUP(B425,MASTER_REGISTER!E:E,MASTER_REGISTER!F:F,""),"")</f>
        <v/>
      </c>
      <c r="D425" s="4" t="str">
        <f ca="1">IFERROR(_xludf.XLOOKUP(B425,MASTER_REGISTER!E:E,MASTER_REGISTER!C:C,""),"")</f>
        <v/>
      </c>
      <c r="E425" t="s">
        <v>872</v>
      </c>
      <c r="F425" t="s">
        <v>838</v>
      </c>
      <c r="G425" t="s">
        <v>855</v>
      </c>
      <c r="H425" s="4">
        <v>59.5</v>
      </c>
      <c r="I425" t="s">
        <v>852</v>
      </c>
    </row>
    <row r="426" spans="1:9" x14ac:dyDescent="0.3">
      <c r="A426" t="s">
        <v>861</v>
      </c>
      <c r="B426" t="s">
        <v>256</v>
      </c>
      <c r="C426" s="7" t="str">
        <f ca="1">IFERROR(_xludf.XLOOKUP(B426,MASTER_REGISTER!E:E,MASTER_REGISTER!F:F,""),"")</f>
        <v/>
      </c>
      <c r="D426" s="4" t="str">
        <f ca="1">IFERROR(_xludf.XLOOKUP(B426,MASTER_REGISTER!E:E,MASTER_REGISTER!C:C,""),"")</f>
        <v/>
      </c>
      <c r="E426" t="s">
        <v>873</v>
      </c>
      <c r="F426" t="s">
        <v>840</v>
      </c>
      <c r="G426" t="s">
        <v>867</v>
      </c>
      <c r="H426" s="4">
        <v>59.9</v>
      </c>
      <c r="I426" t="s">
        <v>849</v>
      </c>
    </row>
    <row r="427" spans="1:9" x14ac:dyDescent="0.3">
      <c r="A427" t="s">
        <v>827</v>
      </c>
      <c r="B427" t="s">
        <v>256</v>
      </c>
      <c r="C427" s="7" t="str">
        <f ca="1">IFERROR(_xludf.XLOOKUP(B427,MASTER_REGISTER!E:E,MASTER_REGISTER!F:F,""),"")</f>
        <v/>
      </c>
      <c r="D427" s="4" t="str">
        <f ca="1">IFERROR(_xludf.XLOOKUP(B427,MASTER_REGISTER!E:E,MASTER_REGISTER!C:C,""),"")</f>
        <v/>
      </c>
      <c r="E427" t="s">
        <v>874</v>
      </c>
      <c r="F427" t="s">
        <v>832</v>
      </c>
      <c r="G427" t="s">
        <v>825</v>
      </c>
      <c r="H427" s="4">
        <v>49.2</v>
      </c>
      <c r="I427" t="s">
        <v>846</v>
      </c>
    </row>
    <row r="428" spans="1:9" x14ac:dyDescent="0.3">
      <c r="A428" t="s">
        <v>549</v>
      </c>
      <c r="B428" t="s">
        <v>256</v>
      </c>
      <c r="C428" s="7" t="str">
        <f ca="1">IFERROR(_xludf.XLOOKUP(B428,MASTER_REGISTER!E:E,MASTER_REGISTER!F:F,""),"")</f>
        <v/>
      </c>
      <c r="D428" s="4" t="str">
        <f ca="1">IFERROR(_xludf.XLOOKUP(B428,MASTER_REGISTER!E:E,MASTER_REGISTER!C:C,""),"")</f>
        <v/>
      </c>
      <c r="E428" t="s">
        <v>873</v>
      </c>
      <c r="F428" t="s">
        <v>840</v>
      </c>
      <c r="G428" t="s">
        <v>848</v>
      </c>
      <c r="H428" s="4">
        <v>81.5</v>
      </c>
      <c r="I428" t="s">
        <v>852</v>
      </c>
    </row>
    <row r="429" spans="1:9" x14ac:dyDescent="0.3">
      <c r="A429" t="s">
        <v>418</v>
      </c>
      <c r="B429" t="s">
        <v>256</v>
      </c>
      <c r="C429" s="7" t="str">
        <f ca="1">IFERROR(_xludf.XLOOKUP(B429,MASTER_REGISTER!E:E,MASTER_REGISTER!F:F,""),"")</f>
        <v/>
      </c>
      <c r="D429" s="4" t="str">
        <f ca="1">IFERROR(_xludf.XLOOKUP(B429,MASTER_REGISTER!E:E,MASTER_REGISTER!C:C,""),"")</f>
        <v/>
      </c>
      <c r="E429" t="s">
        <v>872</v>
      </c>
      <c r="F429" t="s">
        <v>838</v>
      </c>
      <c r="G429" t="s">
        <v>860</v>
      </c>
      <c r="H429" s="4">
        <v>57</v>
      </c>
      <c r="I429" t="s">
        <v>862</v>
      </c>
    </row>
    <row r="430" spans="1:9" x14ac:dyDescent="0.3">
      <c r="A430" t="s">
        <v>865</v>
      </c>
      <c r="B430" t="s">
        <v>256</v>
      </c>
      <c r="C430" s="7" t="str">
        <f ca="1">IFERROR(_xludf.XLOOKUP(B430,MASTER_REGISTER!E:E,MASTER_REGISTER!F:F,""),"")</f>
        <v/>
      </c>
      <c r="D430" s="4" t="str">
        <f ca="1">IFERROR(_xludf.XLOOKUP(B430,MASTER_REGISTER!E:E,MASTER_REGISTER!C:C,""),"")</f>
        <v/>
      </c>
      <c r="E430" t="s">
        <v>873</v>
      </c>
      <c r="F430" t="s">
        <v>824</v>
      </c>
      <c r="G430" t="s">
        <v>836</v>
      </c>
      <c r="H430" s="4">
        <v>61</v>
      </c>
      <c r="I430" t="s">
        <v>846</v>
      </c>
    </row>
    <row r="431" spans="1:9" x14ac:dyDescent="0.3">
      <c r="A431" t="s">
        <v>854</v>
      </c>
      <c r="B431" t="s">
        <v>256</v>
      </c>
      <c r="C431" s="7" t="str">
        <f ca="1">IFERROR(_xludf.XLOOKUP(B431,MASTER_REGISTER!E:E,MASTER_REGISTER!F:F,""),"")</f>
        <v/>
      </c>
      <c r="D431" s="4" t="str">
        <f ca="1">IFERROR(_xludf.XLOOKUP(B431,MASTER_REGISTER!E:E,MASTER_REGISTER!C:C,""),"")</f>
        <v/>
      </c>
      <c r="E431" t="s">
        <v>823</v>
      </c>
      <c r="F431" t="s">
        <v>838</v>
      </c>
      <c r="G431" t="s">
        <v>848</v>
      </c>
      <c r="H431" s="4">
        <v>63.1</v>
      </c>
      <c r="I431" t="s">
        <v>834</v>
      </c>
    </row>
    <row r="432" spans="1:9" x14ac:dyDescent="0.3">
      <c r="A432" t="s">
        <v>869</v>
      </c>
      <c r="B432" t="s">
        <v>260</v>
      </c>
      <c r="C432" s="7" t="str">
        <f ca="1">IFERROR(_xludf.XLOOKUP(B432,MASTER_REGISTER!E:E,MASTER_REGISTER!F:F,""),"")</f>
        <v/>
      </c>
      <c r="D432" s="4" t="str">
        <f ca="1">IFERROR(_xludf.XLOOKUP(B432,MASTER_REGISTER!E:E,MASTER_REGISTER!C:C,""),"")</f>
        <v/>
      </c>
      <c r="E432" t="s">
        <v>874</v>
      </c>
      <c r="F432" t="s">
        <v>832</v>
      </c>
      <c r="G432" t="s">
        <v>855</v>
      </c>
      <c r="H432" s="4">
        <v>63.5</v>
      </c>
      <c r="I432" t="s">
        <v>849</v>
      </c>
    </row>
    <row r="433" spans="1:9" x14ac:dyDescent="0.3">
      <c r="A433" t="s">
        <v>827</v>
      </c>
      <c r="B433" t="s">
        <v>260</v>
      </c>
      <c r="C433" s="7" t="str">
        <f ca="1">IFERROR(_xludf.XLOOKUP(B433,MASTER_REGISTER!E:E,MASTER_REGISTER!F:F,""),"")</f>
        <v/>
      </c>
      <c r="D433" s="4" t="str">
        <f ca="1">IFERROR(_xludf.XLOOKUP(B433,MASTER_REGISTER!E:E,MASTER_REGISTER!C:C,""),"")</f>
        <v/>
      </c>
      <c r="E433" t="s">
        <v>874</v>
      </c>
      <c r="F433" t="s">
        <v>840</v>
      </c>
      <c r="G433" t="s">
        <v>850</v>
      </c>
      <c r="H433" s="4">
        <v>70.599999999999994</v>
      </c>
      <c r="I433" t="s">
        <v>844</v>
      </c>
    </row>
    <row r="434" spans="1:9" x14ac:dyDescent="0.3">
      <c r="A434" t="s">
        <v>549</v>
      </c>
      <c r="B434" t="s">
        <v>260</v>
      </c>
      <c r="C434" s="7" t="str">
        <f ca="1">IFERROR(_xludf.XLOOKUP(B434,MASTER_REGISTER!E:E,MASTER_REGISTER!F:F,""),"")</f>
        <v/>
      </c>
      <c r="D434" s="4" t="str">
        <f ca="1">IFERROR(_xludf.XLOOKUP(B434,MASTER_REGISTER!E:E,MASTER_REGISTER!C:C,""),"")</f>
        <v/>
      </c>
      <c r="E434" t="s">
        <v>843</v>
      </c>
      <c r="F434" t="s">
        <v>840</v>
      </c>
      <c r="G434" t="s">
        <v>833</v>
      </c>
      <c r="H434" s="4">
        <v>43.8</v>
      </c>
      <c r="I434" t="s">
        <v>834</v>
      </c>
    </row>
    <row r="435" spans="1:9" x14ac:dyDescent="0.3">
      <c r="A435" t="s">
        <v>839</v>
      </c>
      <c r="B435" t="s">
        <v>260</v>
      </c>
      <c r="C435" s="7" t="str">
        <f ca="1">IFERROR(_xludf.XLOOKUP(B435,MASTER_REGISTER!E:E,MASTER_REGISTER!F:F,""),"")</f>
        <v/>
      </c>
      <c r="D435" s="4" t="str">
        <f ca="1">IFERROR(_xludf.XLOOKUP(B435,MASTER_REGISTER!E:E,MASTER_REGISTER!C:C,""),"")</f>
        <v/>
      </c>
      <c r="E435" t="s">
        <v>873</v>
      </c>
      <c r="F435" t="s">
        <v>832</v>
      </c>
      <c r="G435" t="s">
        <v>845</v>
      </c>
      <c r="H435" s="4">
        <v>75.2</v>
      </c>
      <c r="I435" t="s">
        <v>844</v>
      </c>
    </row>
    <row r="436" spans="1:9" x14ac:dyDescent="0.3">
      <c r="A436" t="s">
        <v>851</v>
      </c>
      <c r="B436" t="s">
        <v>260</v>
      </c>
      <c r="C436" s="7" t="str">
        <f ca="1">IFERROR(_xludf.XLOOKUP(B436,MASTER_REGISTER!E:E,MASTER_REGISTER!F:F,""),"")</f>
        <v/>
      </c>
      <c r="D436" s="4" t="str">
        <f ca="1">IFERROR(_xludf.XLOOKUP(B436,MASTER_REGISTER!E:E,MASTER_REGISTER!C:C,""),"")</f>
        <v/>
      </c>
      <c r="E436" t="s">
        <v>823</v>
      </c>
      <c r="F436" t="s">
        <v>832</v>
      </c>
      <c r="G436" t="s">
        <v>860</v>
      </c>
      <c r="H436" s="4">
        <v>60</v>
      </c>
      <c r="I436" t="s">
        <v>844</v>
      </c>
    </row>
    <row r="437" spans="1:9" x14ac:dyDescent="0.3">
      <c r="A437" t="s">
        <v>371</v>
      </c>
      <c r="B437" t="s">
        <v>260</v>
      </c>
      <c r="C437" s="7" t="str">
        <f ca="1">IFERROR(_xludf.XLOOKUP(B437,MASTER_REGISTER!E:E,MASTER_REGISTER!F:F,""),"")</f>
        <v/>
      </c>
      <c r="D437" s="4" t="str">
        <f ca="1">IFERROR(_xludf.XLOOKUP(B437,MASTER_REGISTER!E:E,MASTER_REGISTER!C:C,""),"")</f>
        <v/>
      </c>
      <c r="E437" t="s">
        <v>823</v>
      </c>
      <c r="F437" t="s">
        <v>832</v>
      </c>
      <c r="G437" t="s">
        <v>833</v>
      </c>
      <c r="H437" s="4">
        <v>69.599999999999994</v>
      </c>
      <c r="I437" t="s">
        <v>849</v>
      </c>
    </row>
    <row r="438" spans="1:9" x14ac:dyDescent="0.3">
      <c r="A438" t="s">
        <v>371</v>
      </c>
      <c r="B438" t="s">
        <v>260</v>
      </c>
      <c r="C438" s="7" t="str">
        <f ca="1">IFERROR(_xludf.XLOOKUP(B438,MASTER_REGISTER!E:E,MASTER_REGISTER!F:F,""),"")</f>
        <v/>
      </c>
      <c r="D438" s="4" t="str">
        <f ca="1">IFERROR(_xludf.XLOOKUP(B438,MASTER_REGISTER!E:E,MASTER_REGISTER!C:C,""),"")</f>
        <v/>
      </c>
      <c r="E438" t="s">
        <v>873</v>
      </c>
      <c r="F438" t="s">
        <v>838</v>
      </c>
      <c r="G438" t="s">
        <v>833</v>
      </c>
      <c r="H438" s="4">
        <v>76.400000000000006</v>
      </c>
      <c r="I438" t="s">
        <v>844</v>
      </c>
    </row>
    <row r="439" spans="1:9" x14ac:dyDescent="0.3">
      <c r="A439" t="s">
        <v>372</v>
      </c>
      <c r="B439" t="s">
        <v>260</v>
      </c>
      <c r="C439" s="7" t="str">
        <f ca="1">IFERROR(_xludf.XLOOKUP(B439,MASTER_REGISTER!E:E,MASTER_REGISTER!F:F,""),"")</f>
        <v/>
      </c>
      <c r="D439" s="4" t="str">
        <f ca="1">IFERROR(_xludf.XLOOKUP(B439,MASTER_REGISTER!E:E,MASTER_REGISTER!C:C,""),"")</f>
        <v/>
      </c>
      <c r="E439" t="s">
        <v>872</v>
      </c>
      <c r="F439" t="s">
        <v>838</v>
      </c>
      <c r="G439" t="s">
        <v>860</v>
      </c>
      <c r="H439" s="4">
        <v>49.4</v>
      </c>
      <c r="I439" t="s">
        <v>849</v>
      </c>
    </row>
    <row r="440" spans="1:9" x14ac:dyDescent="0.3">
      <c r="A440" t="s">
        <v>853</v>
      </c>
      <c r="B440" t="s">
        <v>260</v>
      </c>
      <c r="C440" s="7" t="str">
        <f ca="1">IFERROR(_xludf.XLOOKUP(B440,MASTER_REGISTER!E:E,MASTER_REGISTER!F:F,""),"")</f>
        <v/>
      </c>
      <c r="D440" s="4" t="str">
        <f ca="1">IFERROR(_xludf.XLOOKUP(B440,MASTER_REGISTER!E:E,MASTER_REGISTER!C:C,""),"")</f>
        <v/>
      </c>
      <c r="E440" t="s">
        <v>823</v>
      </c>
      <c r="F440" t="s">
        <v>838</v>
      </c>
      <c r="G440" t="s">
        <v>836</v>
      </c>
      <c r="H440" s="4">
        <v>64.099999999999994</v>
      </c>
      <c r="I440" t="s">
        <v>846</v>
      </c>
    </row>
    <row r="441" spans="1:9" x14ac:dyDescent="0.3">
      <c r="A441" t="s">
        <v>854</v>
      </c>
      <c r="B441" t="s">
        <v>260</v>
      </c>
      <c r="C441" s="7" t="str">
        <f ca="1">IFERROR(_xludf.XLOOKUP(B441,MASTER_REGISTER!E:E,MASTER_REGISTER!F:F,""),"")</f>
        <v/>
      </c>
      <c r="D441" s="4" t="str">
        <f ca="1">IFERROR(_xludf.XLOOKUP(B441,MASTER_REGISTER!E:E,MASTER_REGISTER!C:C,""),"")</f>
        <v/>
      </c>
      <c r="E441" t="s">
        <v>871</v>
      </c>
      <c r="F441" t="s">
        <v>832</v>
      </c>
      <c r="G441" t="s">
        <v>828</v>
      </c>
      <c r="H441" s="4">
        <v>60.7</v>
      </c>
      <c r="I441" t="s">
        <v>849</v>
      </c>
    </row>
    <row r="442" spans="1:9" x14ac:dyDescent="0.3">
      <c r="A442" t="s">
        <v>856</v>
      </c>
      <c r="B442" t="s">
        <v>264</v>
      </c>
      <c r="C442" s="7" t="str">
        <f ca="1">IFERROR(_xludf.XLOOKUP(B442,MASTER_REGISTER!E:E,MASTER_REGISTER!F:F,""),"")</f>
        <v/>
      </c>
      <c r="D442" s="4" t="str">
        <f ca="1">IFERROR(_xludf.XLOOKUP(B442,MASTER_REGISTER!E:E,MASTER_REGISTER!C:C,""),"")</f>
        <v/>
      </c>
      <c r="E442" t="s">
        <v>872</v>
      </c>
      <c r="F442" t="s">
        <v>824</v>
      </c>
      <c r="G442" t="s">
        <v>860</v>
      </c>
      <c r="H442" s="4">
        <v>60.1</v>
      </c>
      <c r="I442" t="s">
        <v>852</v>
      </c>
    </row>
    <row r="443" spans="1:9" x14ac:dyDescent="0.3">
      <c r="A443" t="s">
        <v>861</v>
      </c>
      <c r="B443" t="s">
        <v>264</v>
      </c>
      <c r="C443" s="7" t="str">
        <f ca="1">IFERROR(_xludf.XLOOKUP(B443,MASTER_REGISTER!E:E,MASTER_REGISTER!F:F,""),"")</f>
        <v/>
      </c>
      <c r="D443" s="4" t="str">
        <f ca="1">IFERROR(_xludf.XLOOKUP(B443,MASTER_REGISTER!E:E,MASTER_REGISTER!C:C,""),"")</f>
        <v/>
      </c>
      <c r="E443" t="s">
        <v>874</v>
      </c>
      <c r="F443" t="s">
        <v>840</v>
      </c>
      <c r="G443" t="s">
        <v>833</v>
      </c>
      <c r="H443" s="4">
        <v>65.5</v>
      </c>
      <c r="I443" t="s">
        <v>826</v>
      </c>
    </row>
    <row r="444" spans="1:9" x14ac:dyDescent="0.3">
      <c r="A444" t="s">
        <v>830</v>
      </c>
      <c r="B444" t="s">
        <v>264</v>
      </c>
      <c r="C444" s="7" t="str">
        <f ca="1">IFERROR(_xludf.XLOOKUP(B444,MASTER_REGISTER!E:E,MASTER_REGISTER!F:F,""),"")</f>
        <v/>
      </c>
      <c r="D444" s="4" t="str">
        <f ca="1">IFERROR(_xludf.XLOOKUP(B444,MASTER_REGISTER!E:E,MASTER_REGISTER!C:C,""),"")</f>
        <v/>
      </c>
      <c r="E444" t="s">
        <v>871</v>
      </c>
      <c r="F444" t="s">
        <v>832</v>
      </c>
      <c r="G444" t="s">
        <v>860</v>
      </c>
      <c r="H444" s="4">
        <v>42</v>
      </c>
      <c r="I444" t="s">
        <v>844</v>
      </c>
    </row>
    <row r="445" spans="1:9" x14ac:dyDescent="0.3">
      <c r="A445" t="s">
        <v>864</v>
      </c>
      <c r="B445" t="s">
        <v>264</v>
      </c>
      <c r="C445" s="7" t="str">
        <f ca="1">IFERROR(_xludf.XLOOKUP(B445,MASTER_REGISTER!E:E,MASTER_REGISTER!F:F,""),"")</f>
        <v/>
      </c>
      <c r="D445" s="4" t="str">
        <f ca="1">IFERROR(_xludf.XLOOKUP(B445,MASTER_REGISTER!E:E,MASTER_REGISTER!C:C,""),"")</f>
        <v/>
      </c>
      <c r="E445" t="s">
        <v>871</v>
      </c>
      <c r="F445" t="s">
        <v>840</v>
      </c>
      <c r="G445" t="s">
        <v>860</v>
      </c>
      <c r="H445" s="4">
        <v>60.9</v>
      </c>
      <c r="I445" t="s">
        <v>844</v>
      </c>
    </row>
    <row r="446" spans="1:9" x14ac:dyDescent="0.3">
      <c r="A446" t="s">
        <v>858</v>
      </c>
      <c r="B446" t="s">
        <v>264</v>
      </c>
      <c r="C446" s="7" t="str">
        <f ca="1">IFERROR(_xludf.XLOOKUP(B446,MASTER_REGISTER!E:E,MASTER_REGISTER!F:F,""),"")</f>
        <v/>
      </c>
      <c r="D446" s="4" t="str">
        <f ca="1">IFERROR(_xludf.XLOOKUP(B446,MASTER_REGISTER!E:E,MASTER_REGISTER!C:C,""),"")</f>
        <v/>
      </c>
      <c r="E446" t="s">
        <v>843</v>
      </c>
      <c r="F446" t="s">
        <v>824</v>
      </c>
      <c r="G446" t="s">
        <v>848</v>
      </c>
      <c r="H446" s="4">
        <v>55.5</v>
      </c>
      <c r="I446" t="s">
        <v>862</v>
      </c>
    </row>
    <row r="447" spans="1:9" x14ac:dyDescent="0.3">
      <c r="A447" t="s">
        <v>851</v>
      </c>
      <c r="B447" t="s">
        <v>264</v>
      </c>
      <c r="C447" s="7" t="str">
        <f ca="1">IFERROR(_xludf.XLOOKUP(B447,MASTER_REGISTER!E:E,MASTER_REGISTER!F:F,""),"")</f>
        <v/>
      </c>
      <c r="D447" s="4" t="str">
        <f ca="1">IFERROR(_xludf.XLOOKUP(B447,MASTER_REGISTER!E:E,MASTER_REGISTER!C:C,""),"")</f>
        <v/>
      </c>
      <c r="E447" t="s">
        <v>871</v>
      </c>
      <c r="F447" t="s">
        <v>824</v>
      </c>
      <c r="G447" t="s">
        <v>841</v>
      </c>
      <c r="H447" s="4">
        <v>44.1</v>
      </c>
      <c r="I447" t="s">
        <v>829</v>
      </c>
    </row>
    <row r="448" spans="1:9" x14ac:dyDescent="0.3">
      <c r="A448" t="s">
        <v>371</v>
      </c>
      <c r="B448" t="s">
        <v>264</v>
      </c>
      <c r="C448" s="7" t="str">
        <f ca="1">IFERROR(_xludf.XLOOKUP(B448,MASTER_REGISTER!E:E,MASTER_REGISTER!F:F,""),"")</f>
        <v/>
      </c>
      <c r="D448" s="4" t="str">
        <f ca="1">IFERROR(_xludf.XLOOKUP(B448,MASTER_REGISTER!E:E,MASTER_REGISTER!C:C,""),"")</f>
        <v/>
      </c>
      <c r="E448" t="s">
        <v>843</v>
      </c>
      <c r="F448" t="s">
        <v>832</v>
      </c>
      <c r="G448" t="s">
        <v>833</v>
      </c>
      <c r="H448" s="4">
        <v>63.5</v>
      </c>
      <c r="I448" t="s">
        <v>849</v>
      </c>
    </row>
    <row r="449" spans="1:9" x14ac:dyDescent="0.3">
      <c r="A449" t="s">
        <v>372</v>
      </c>
      <c r="B449" t="s">
        <v>264</v>
      </c>
      <c r="C449" s="7" t="str">
        <f ca="1">IFERROR(_xludf.XLOOKUP(B449,MASTER_REGISTER!E:E,MASTER_REGISTER!F:F,""),"")</f>
        <v/>
      </c>
      <c r="D449" s="4" t="str">
        <f ca="1">IFERROR(_xludf.XLOOKUP(B449,MASTER_REGISTER!E:E,MASTER_REGISTER!C:C,""),"")</f>
        <v/>
      </c>
      <c r="E449" t="s">
        <v>871</v>
      </c>
      <c r="F449" t="s">
        <v>838</v>
      </c>
      <c r="G449" t="s">
        <v>836</v>
      </c>
      <c r="H449" s="4">
        <v>69.900000000000006</v>
      </c>
      <c r="I449" t="s">
        <v>829</v>
      </c>
    </row>
    <row r="450" spans="1:9" x14ac:dyDescent="0.3">
      <c r="A450" t="s">
        <v>418</v>
      </c>
      <c r="B450" t="s">
        <v>264</v>
      </c>
      <c r="C450" s="7" t="str">
        <f ca="1">IFERROR(_xludf.XLOOKUP(B450,MASTER_REGISTER!E:E,MASTER_REGISTER!F:F,""),"")</f>
        <v/>
      </c>
      <c r="D450" s="4" t="str">
        <f ca="1">IFERROR(_xludf.XLOOKUP(B450,MASTER_REGISTER!E:E,MASTER_REGISTER!C:C,""),"")</f>
        <v/>
      </c>
      <c r="E450" t="s">
        <v>871</v>
      </c>
      <c r="F450" t="s">
        <v>838</v>
      </c>
      <c r="G450" t="s">
        <v>828</v>
      </c>
      <c r="H450" s="4">
        <v>61.9</v>
      </c>
      <c r="I450" t="s">
        <v>826</v>
      </c>
    </row>
    <row r="451" spans="1:9" x14ac:dyDescent="0.3">
      <c r="A451" t="s">
        <v>868</v>
      </c>
      <c r="B451" t="s">
        <v>264</v>
      </c>
      <c r="C451" s="7" t="str">
        <f ca="1">IFERROR(_xludf.XLOOKUP(B451,MASTER_REGISTER!E:E,MASTER_REGISTER!F:F,""),"")</f>
        <v/>
      </c>
      <c r="D451" s="4" t="str">
        <f ca="1">IFERROR(_xludf.XLOOKUP(B451,MASTER_REGISTER!E:E,MASTER_REGISTER!C:C,""),"")</f>
        <v/>
      </c>
      <c r="E451" t="s">
        <v>873</v>
      </c>
      <c r="F451" t="s">
        <v>840</v>
      </c>
      <c r="G451" t="s">
        <v>848</v>
      </c>
      <c r="H451" s="4">
        <v>67</v>
      </c>
      <c r="I451" t="s">
        <v>844</v>
      </c>
    </row>
    <row r="452" spans="1:9" x14ac:dyDescent="0.3">
      <c r="A452" t="s">
        <v>856</v>
      </c>
      <c r="B452" t="s">
        <v>268</v>
      </c>
      <c r="C452" s="7" t="str">
        <f ca="1">IFERROR(_xludf.XLOOKUP(B452,MASTER_REGISTER!E:E,MASTER_REGISTER!F:F,""),"")</f>
        <v/>
      </c>
      <c r="D452" s="4" t="str">
        <f ca="1">IFERROR(_xludf.XLOOKUP(B452,MASTER_REGISTER!E:E,MASTER_REGISTER!C:C,""),"")</f>
        <v/>
      </c>
      <c r="E452" t="s">
        <v>873</v>
      </c>
      <c r="F452" t="s">
        <v>832</v>
      </c>
      <c r="G452" t="s">
        <v>836</v>
      </c>
      <c r="H452" s="4">
        <v>69.900000000000006</v>
      </c>
      <c r="I452" t="s">
        <v>826</v>
      </c>
    </row>
    <row r="453" spans="1:9" x14ac:dyDescent="0.3">
      <c r="A453" t="s">
        <v>549</v>
      </c>
      <c r="B453" t="s">
        <v>268</v>
      </c>
      <c r="C453" s="7" t="str">
        <f ca="1">IFERROR(_xludf.XLOOKUP(B453,MASTER_REGISTER!E:E,MASTER_REGISTER!F:F,""),"")</f>
        <v/>
      </c>
      <c r="D453" s="4" t="str">
        <f ca="1">IFERROR(_xludf.XLOOKUP(B453,MASTER_REGISTER!E:E,MASTER_REGISTER!C:C,""),"")</f>
        <v/>
      </c>
      <c r="E453" t="s">
        <v>873</v>
      </c>
      <c r="F453" t="s">
        <v>838</v>
      </c>
      <c r="G453" t="s">
        <v>845</v>
      </c>
      <c r="H453" s="4">
        <v>50</v>
      </c>
      <c r="I453" t="s">
        <v>826</v>
      </c>
    </row>
    <row r="454" spans="1:9" x14ac:dyDescent="0.3">
      <c r="A454" t="s">
        <v>504</v>
      </c>
      <c r="B454" t="s">
        <v>268</v>
      </c>
      <c r="C454" s="7" t="str">
        <f ca="1">IFERROR(_xludf.XLOOKUP(B454,MASTER_REGISTER!E:E,MASTER_REGISTER!F:F,""),"")</f>
        <v/>
      </c>
      <c r="D454" s="4" t="str">
        <f ca="1">IFERROR(_xludf.XLOOKUP(B454,MASTER_REGISTER!E:E,MASTER_REGISTER!C:C,""),"")</f>
        <v/>
      </c>
      <c r="E454" t="s">
        <v>823</v>
      </c>
      <c r="F454" t="s">
        <v>824</v>
      </c>
      <c r="G454" t="s">
        <v>825</v>
      </c>
      <c r="H454" s="4">
        <v>51.6</v>
      </c>
      <c r="I454" t="s">
        <v>844</v>
      </c>
    </row>
    <row r="455" spans="1:9" x14ac:dyDescent="0.3">
      <c r="A455" t="s">
        <v>851</v>
      </c>
      <c r="B455" t="s">
        <v>268</v>
      </c>
      <c r="C455" s="7" t="str">
        <f ca="1">IFERROR(_xludf.XLOOKUP(B455,MASTER_REGISTER!E:E,MASTER_REGISTER!F:F,""),"")</f>
        <v/>
      </c>
      <c r="D455" s="4" t="str">
        <f ca="1">IFERROR(_xludf.XLOOKUP(B455,MASTER_REGISTER!E:E,MASTER_REGISTER!C:C,""),"")</f>
        <v/>
      </c>
      <c r="E455" t="s">
        <v>873</v>
      </c>
      <c r="F455" t="s">
        <v>824</v>
      </c>
      <c r="G455" t="s">
        <v>850</v>
      </c>
      <c r="H455" s="4">
        <v>58.9</v>
      </c>
      <c r="I455" t="s">
        <v>852</v>
      </c>
    </row>
    <row r="456" spans="1:9" x14ac:dyDescent="0.3">
      <c r="A456" t="s">
        <v>853</v>
      </c>
      <c r="B456" t="s">
        <v>268</v>
      </c>
      <c r="C456" s="7" t="str">
        <f ca="1">IFERROR(_xludf.XLOOKUP(B456,MASTER_REGISTER!E:E,MASTER_REGISTER!F:F,""),"")</f>
        <v/>
      </c>
      <c r="D456" s="4" t="str">
        <f ca="1">IFERROR(_xludf.XLOOKUP(B456,MASTER_REGISTER!E:E,MASTER_REGISTER!C:C,""),"")</f>
        <v/>
      </c>
      <c r="E456" t="s">
        <v>874</v>
      </c>
      <c r="F456" t="s">
        <v>838</v>
      </c>
      <c r="G456" t="s">
        <v>850</v>
      </c>
      <c r="H456" s="4">
        <v>60.3</v>
      </c>
      <c r="I456" t="s">
        <v>834</v>
      </c>
    </row>
    <row r="457" spans="1:9" x14ac:dyDescent="0.3">
      <c r="A457" t="s">
        <v>865</v>
      </c>
      <c r="B457" t="s">
        <v>268</v>
      </c>
      <c r="C457" s="7" t="str">
        <f ca="1">IFERROR(_xludf.XLOOKUP(B457,MASTER_REGISTER!E:E,MASTER_REGISTER!F:F,""),"")</f>
        <v/>
      </c>
      <c r="D457" s="4" t="str">
        <f ca="1">IFERROR(_xludf.XLOOKUP(B457,MASTER_REGISTER!E:E,MASTER_REGISTER!C:C,""),"")</f>
        <v/>
      </c>
      <c r="E457" t="s">
        <v>873</v>
      </c>
      <c r="F457" t="s">
        <v>824</v>
      </c>
      <c r="G457" t="s">
        <v>828</v>
      </c>
      <c r="H457" s="4">
        <v>35.6</v>
      </c>
      <c r="I457" t="s">
        <v>829</v>
      </c>
    </row>
    <row r="458" spans="1:9" x14ac:dyDescent="0.3">
      <c r="A458" t="s">
        <v>866</v>
      </c>
      <c r="B458" t="s">
        <v>268</v>
      </c>
      <c r="C458" s="7" t="str">
        <f ca="1">IFERROR(_xludf.XLOOKUP(B458,MASTER_REGISTER!E:E,MASTER_REGISTER!F:F,""),"")</f>
        <v/>
      </c>
      <c r="D458" s="4" t="str">
        <f ca="1">IFERROR(_xludf.XLOOKUP(B458,MASTER_REGISTER!E:E,MASTER_REGISTER!C:C,""),"")</f>
        <v/>
      </c>
      <c r="E458" t="s">
        <v>871</v>
      </c>
      <c r="F458" t="s">
        <v>832</v>
      </c>
      <c r="G458" t="s">
        <v>867</v>
      </c>
      <c r="H458" s="4">
        <v>41.5</v>
      </c>
      <c r="I458" t="s">
        <v>846</v>
      </c>
    </row>
    <row r="459" spans="1:9" x14ac:dyDescent="0.3">
      <c r="A459" t="s">
        <v>847</v>
      </c>
      <c r="B459" t="s">
        <v>268</v>
      </c>
      <c r="C459" s="7" t="str">
        <f ca="1">IFERROR(_xludf.XLOOKUP(B459,MASTER_REGISTER!E:E,MASTER_REGISTER!F:F,""),"")</f>
        <v/>
      </c>
      <c r="D459" s="4" t="str">
        <f ca="1">IFERROR(_xludf.XLOOKUP(B459,MASTER_REGISTER!E:E,MASTER_REGISTER!C:C,""),"")</f>
        <v/>
      </c>
      <c r="E459" t="s">
        <v>871</v>
      </c>
      <c r="F459" t="s">
        <v>838</v>
      </c>
      <c r="G459" t="s">
        <v>833</v>
      </c>
      <c r="H459" s="4">
        <v>32.200000000000003</v>
      </c>
      <c r="I459" t="s">
        <v>849</v>
      </c>
    </row>
    <row r="460" spans="1:9" x14ac:dyDescent="0.3">
      <c r="A460" t="s">
        <v>847</v>
      </c>
      <c r="B460" t="s">
        <v>268</v>
      </c>
      <c r="C460" s="7" t="str">
        <f ca="1">IFERROR(_xludf.XLOOKUP(B460,MASTER_REGISTER!E:E,MASTER_REGISTER!F:F,""),"")</f>
        <v/>
      </c>
      <c r="D460" s="4" t="str">
        <f ca="1">IFERROR(_xludf.XLOOKUP(B460,MASTER_REGISTER!E:E,MASTER_REGISTER!C:C,""),"")</f>
        <v/>
      </c>
      <c r="E460" t="s">
        <v>871</v>
      </c>
      <c r="F460" t="s">
        <v>838</v>
      </c>
      <c r="G460" t="s">
        <v>848</v>
      </c>
      <c r="H460" s="4">
        <v>49</v>
      </c>
      <c r="I460" t="s">
        <v>862</v>
      </c>
    </row>
    <row r="461" spans="1:9" x14ac:dyDescent="0.3">
      <c r="A461" t="s">
        <v>854</v>
      </c>
      <c r="B461" t="s">
        <v>268</v>
      </c>
      <c r="C461" s="7" t="str">
        <f ca="1">IFERROR(_xludf.XLOOKUP(B461,MASTER_REGISTER!E:E,MASTER_REGISTER!F:F,""),"")</f>
        <v/>
      </c>
      <c r="D461" s="4" t="str">
        <f ca="1">IFERROR(_xludf.XLOOKUP(B461,MASTER_REGISTER!E:E,MASTER_REGISTER!C:C,""),"")</f>
        <v/>
      </c>
      <c r="E461" t="s">
        <v>843</v>
      </c>
      <c r="F461" t="s">
        <v>840</v>
      </c>
      <c r="G461" t="s">
        <v>828</v>
      </c>
      <c r="H461" s="4">
        <v>54.1</v>
      </c>
      <c r="I461" t="s">
        <v>826</v>
      </c>
    </row>
    <row r="462" spans="1:9" x14ac:dyDescent="0.3">
      <c r="A462" t="s">
        <v>869</v>
      </c>
      <c r="B462" t="s">
        <v>272</v>
      </c>
      <c r="C462" s="7" t="str">
        <f ca="1">IFERROR(_xludf.XLOOKUP(B462,MASTER_REGISTER!E:E,MASTER_REGISTER!F:F,""),"")</f>
        <v/>
      </c>
      <c r="D462" s="4" t="str">
        <f ca="1">IFERROR(_xludf.XLOOKUP(B462,MASTER_REGISTER!E:E,MASTER_REGISTER!C:C,""),"")</f>
        <v/>
      </c>
      <c r="E462" t="s">
        <v>843</v>
      </c>
      <c r="F462" t="s">
        <v>824</v>
      </c>
      <c r="G462" t="s">
        <v>828</v>
      </c>
      <c r="H462" s="4">
        <v>48.7</v>
      </c>
      <c r="I462" t="s">
        <v>834</v>
      </c>
    </row>
    <row r="463" spans="1:9" x14ac:dyDescent="0.3">
      <c r="A463" t="s">
        <v>870</v>
      </c>
      <c r="B463" t="s">
        <v>272</v>
      </c>
      <c r="C463" s="7" t="str">
        <f ca="1">IFERROR(_xludf.XLOOKUP(B463,MASTER_REGISTER!E:E,MASTER_REGISTER!F:F,""),"")</f>
        <v/>
      </c>
      <c r="D463" s="4" t="str">
        <f ca="1">IFERROR(_xludf.XLOOKUP(B463,MASTER_REGISTER!E:E,MASTER_REGISTER!C:C,""),"")</f>
        <v/>
      </c>
      <c r="E463" t="s">
        <v>874</v>
      </c>
      <c r="F463" t="s">
        <v>838</v>
      </c>
      <c r="G463" t="s">
        <v>828</v>
      </c>
      <c r="H463" s="4">
        <v>53.9</v>
      </c>
      <c r="I463" t="s">
        <v>829</v>
      </c>
    </row>
    <row r="464" spans="1:9" x14ac:dyDescent="0.3">
      <c r="A464" t="s">
        <v>858</v>
      </c>
      <c r="B464" t="s">
        <v>272</v>
      </c>
      <c r="C464" s="7" t="str">
        <f ca="1">IFERROR(_xludf.XLOOKUP(B464,MASTER_REGISTER!E:E,MASTER_REGISTER!F:F,""),"")</f>
        <v/>
      </c>
      <c r="D464" s="4" t="str">
        <f ca="1">IFERROR(_xludf.XLOOKUP(B464,MASTER_REGISTER!E:E,MASTER_REGISTER!C:C,""),"")</f>
        <v/>
      </c>
      <c r="E464" t="s">
        <v>871</v>
      </c>
      <c r="F464" t="s">
        <v>838</v>
      </c>
      <c r="G464" t="s">
        <v>859</v>
      </c>
      <c r="H464" s="4">
        <v>72.900000000000006</v>
      </c>
      <c r="I464" t="s">
        <v>862</v>
      </c>
    </row>
    <row r="465" spans="1:9" x14ac:dyDescent="0.3">
      <c r="A465" t="s">
        <v>858</v>
      </c>
      <c r="B465" t="s">
        <v>272</v>
      </c>
      <c r="C465" s="7" t="str">
        <f ca="1">IFERROR(_xludf.XLOOKUP(B465,MASTER_REGISTER!E:E,MASTER_REGISTER!F:F,""),"")</f>
        <v/>
      </c>
      <c r="D465" s="4" t="str">
        <f ca="1">IFERROR(_xludf.XLOOKUP(B465,MASTER_REGISTER!E:E,MASTER_REGISTER!C:C,""),"")</f>
        <v/>
      </c>
      <c r="E465" t="s">
        <v>823</v>
      </c>
      <c r="F465" t="s">
        <v>824</v>
      </c>
      <c r="G465" t="s">
        <v>841</v>
      </c>
      <c r="H465" s="4">
        <v>66.599999999999994</v>
      </c>
      <c r="I465" t="s">
        <v>862</v>
      </c>
    </row>
    <row r="466" spans="1:9" x14ac:dyDescent="0.3">
      <c r="A466" t="s">
        <v>371</v>
      </c>
      <c r="B466" t="s">
        <v>272</v>
      </c>
      <c r="C466" s="7" t="str">
        <f ca="1">IFERROR(_xludf.XLOOKUP(B466,MASTER_REGISTER!E:E,MASTER_REGISTER!F:F,""),"")</f>
        <v/>
      </c>
      <c r="D466" s="4" t="str">
        <f ca="1">IFERROR(_xludf.XLOOKUP(B466,MASTER_REGISTER!E:E,MASTER_REGISTER!C:C,""),"")</f>
        <v/>
      </c>
      <c r="E466" t="s">
        <v>843</v>
      </c>
      <c r="F466" t="s">
        <v>824</v>
      </c>
      <c r="G466" t="s">
        <v>845</v>
      </c>
      <c r="H466" s="4">
        <v>70.5</v>
      </c>
      <c r="I466" t="s">
        <v>846</v>
      </c>
    </row>
    <row r="467" spans="1:9" x14ac:dyDescent="0.3">
      <c r="A467" t="s">
        <v>371</v>
      </c>
      <c r="B467" t="s">
        <v>272</v>
      </c>
      <c r="C467" s="7" t="str">
        <f ca="1">IFERROR(_xludf.XLOOKUP(B467,MASTER_REGISTER!E:E,MASTER_REGISTER!F:F,""),"")</f>
        <v/>
      </c>
      <c r="D467" s="4" t="str">
        <f ca="1">IFERROR(_xludf.XLOOKUP(B467,MASTER_REGISTER!E:E,MASTER_REGISTER!C:C,""),"")</f>
        <v/>
      </c>
      <c r="E467" t="s">
        <v>823</v>
      </c>
      <c r="F467" t="s">
        <v>840</v>
      </c>
      <c r="G467" t="s">
        <v>825</v>
      </c>
      <c r="H467" s="4">
        <v>77.8</v>
      </c>
      <c r="I467" t="s">
        <v>846</v>
      </c>
    </row>
    <row r="468" spans="1:9" x14ac:dyDescent="0.3">
      <c r="A468" t="s">
        <v>372</v>
      </c>
      <c r="B468" t="s">
        <v>272</v>
      </c>
      <c r="C468" s="7" t="str">
        <f ca="1">IFERROR(_xludf.XLOOKUP(B468,MASTER_REGISTER!E:E,MASTER_REGISTER!F:F,""),"")</f>
        <v/>
      </c>
      <c r="D468" s="4" t="str">
        <f ca="1">IFERROR(_xludf.XLOOKUP(B468,MASTER_REGISTER!E:E,MASTER_REGISTER!C:C,""),"")</f>
        <v/>
      </c>
      <c r="E468" t="s">
        <v>874</v>
      </c>
      <c r="F468" t="s">
        <v>832</v>
      </c>
      <c r="G468" t="s">
        <v>859</v>
      </c>
      <c r="H468" s="4">
        <v>60.2</v>
      </c>
      <c r="I468" t="s">
        <v>826</v>
      </c>
    </row>
    <row r="469" spans="1:9" x14ac:dyDescent="0.3">
      <c r="A469" t="s">
        <v>865</v>
      </c>
      <c r="B469" t="s">
        <v>272</v>
      </c>
      <c r="C469" s="7" t="str">
        <f ca="1">IFERROR(_xludf.XLOOKUP(B469,MASTER_REGISTER!E:E,MASTER_REGISTER!F:F,""),"")</f>
        <v/>
      </c>
      <c r="D469" s="4" t="str">
        <f ca="1">IFERROR(_xludf.XLOOKUP(B469,MASTER_REGISTER!E:E,MASTER_REGISTER!C:C,""),"")</f>
        <v/>
      </c>
      <c r="E469" t="s">
        <v>871</v>
      </c>
      <c r="F469" t="s">
        <v>832</v>
      </c>
      <c r="G469" t="s">
        <v>828</v>
      </c>
      <c r="H469" s="4">
        <v>70.5</v>
      </c>
      <c r="I469" t="s">
        <v>834</v>
      </c>
    </row>
    <row r="470" spans="1:9" x14ac:dyDescent="0.3">
      <c r="A470" t="s">
        <v>865</v>
      </c>
      <c r="B470" t="s">
        <v>272</v>
      </c>
      <c r="C470" s="7" t="str">
        <f ca="1">IFERROR(_xludf.XLOOKUP(B470,MASTER_REGISTER!E:E,MASTER_REGISTER!F:F,""),"")</f>
        <v/>
      </c>
      <c r="D470" s="4" t="str">
        <f ca="1">IFERROR(_xludf.XLOOKUP(B470,MASTER_REGISTER!E:E,MASTER_REGISTER!C:C,""),"")</f>
        <v/>
      </c>
      <c r="E470" t="s">
        <v>874</v>
      </c>
      <c r="F470" t="s">
        <v>824</v>
      </c>
      <c r="G470" t="s">
        <v>859</v>
      </c>
      <c r="H470" s="4">
        <v>33.9</v>
      </c>
      <c r="I470" t="s">
        <v>846</v>
      </c>
    </row>
    <row r="471" spans="1:9" x14ac:dyDescent="0.3">
      <c r="A471" t="s">
        <v>579</v>
      </c>
      <c r="B471" t="s">
        <v>272</v>
      </c>
      <c r="C471" s="7" t="str">
        <f ca="1">IFERROR(_xludf.XLOOKUP(B471,MASTER_REGISTER!E:E,MASTER_REGISTER!F:F,""),"")</f>
        <v/>
      </c>
      <c r="D471" s="4" t="str">
        <f ca="1">IFERROR(_xludf.XLOOKUP(B471,MASTER_REGISTER!E:E,MASTER_REGISTER!C:C,""),"")</f>
        <v/>
      </c>
      <c r="E471" t="s">
        <v>872</v>
      </c>
      <c r="F471" t="s">
        <v>840</v>
      </c>
      <c r="G471" t="s">
        <v>867</v>
      </c>
      <c r="H471" s="4">
        <v>84.9</v>
      </c>
      <c r="I471" t="s">
        <v>826</v>
      </c>
    </row>
    <row r="472" spans="1:9" x14ac:dyDescent="0.3">
      <c r="A472" t="s">
        <v>827</v>
      </c>
      <c r="B472" t="s">
        <v>276</v>
      </c>
      <c r="C472" s="7" t="str">
        <f ca="1">IFERROR(_xludf.XLOOKUP(B472,MASTER_REGISTER!E:E,MASTER_REGISTER!F:F,""),"")</f>
        <v/>
      </c>
      <c r="D472" s="4" t="str">
        <f ca="1">IFERROR(_xludf.XLOOKUP(B472,MASTER_REGISTER!E:E,MASTER_REGISTER!C:C,""),"")</f>
        <v/>
      </c>
      <c r="E472" t="s">
        <v>872</v>
      </c>
      <c r="F472" t="s">
        <v>840</v>
      </c>
      <c r="G472" t="s">
        <v>867</v>
      </c>
      <c r="H472" s="4">
        <v>58.7</v>
      </c>
      <c r="I472" t="s">
        <v>826</v>
      </c>
    </row>
    <row r="473" spans="1:9" x14ac:dyDescent="0.3">
      <c r="A473" t="s">
        <v>830</v>
      </c>
      <c r="B473" t="s">
        <v>276</v>
      </c>
      <c r="C473" s="7" t="str">
        <f ca="1">IFERROR(_xludf.XLOOKUP(B473,MASTER_REGISTER!E:E,MASTER_REGISTER!F:F,""),"")</f>
        <v/>
      </c>
      <c r="D473" s="4" t="str">
        <f ca="1">IFERROR(_xludf.XLOOKUP(B473,MASTER_REGISTER!E:E,MASTER_REGISTER!C:C,""),"")</f>
        <v/>
      </c>
      <c r="E473" t="s">
        <v>873</v>
      </c>
      <c r="F473" t="s">
        <v>840</v>
      </c>
      <c r="G473" t="s">
        <v>828</v>
      </c>
      <c r="H473" s="4">
        <v>62.8</v>
      </c>
      <c r="I473" t="s">
        <v>852</v>
      </c>
    </row>
    <row r="474" spans="1:9" x14ac:dyDescent="0.3">
      <c r="A474" t="s">
        <v>835</v>
      </c>
      <c r="B474" t="s">
        <v>276</v>
      </c>
      <c r="C474" s="7" t="str">
        <f ca="1">IFERROR(_xludf.XLOOKUP(B474,MASTER_REGISTER!E:E,MASTER_REGISTER!F:F,""),"")</f>
        <v/>
      </c>
      <c r="D474" s="4" t="str">
        <f ca="1">IFERROR(_xludf.XLOOKUP(B474,MASTER_REGISTER!E:E,MASTER_REGISTER!C:C,""),"")</f>
        <v/>
      </c>
      <c r="E474" t="s">
        <v>871</v>
      </c>
      <c r="F474" t="s">
        <v>838</v>
      </c>
      <c r="G474" t="s">
        <v>859</v>
      </c>
      <c r="H474" s="4">
        <v>62.1</v>
      </c>
      <c r="I474" t="s">
        <v>829</v>
      </c>
    </row>
    <row r="475" spans="1:9" x14ac:dyDescent="0.3">
      <c r="A475" t="s">
        <v>549</v>
      </c>
      <c r="B475" t="s">
        <v>276</v>
      </c>
      <c r="C475" s="7" t="str">
        <f ca="1">IFERROR(_xludf.XLOOKUP(B475,MASTER_REGISTER!E:E,MASTER_REGISTER!F:F,""),"")</f>
        <v/>
      </c>
      <c r="D475" s="4" t="str">
        <f ca="1">IFERROR(_xludf.XLOOKUP(B475,MASTER_REGISTER!E:E,MASTER_REGISTER!C:C,""),"")</f>
        <v/>
      </c>
      <c r="E475" t="s">
        <v>871</v>
      </c>
      <c r="F475" t="s">
        <v>840</v>
      </c>
      <c r="G475" t="s">
        <v>855</v>
      </c>
      <c r="H475" s="4">
        <v>87.7</v>
      </c>
      <c r="I475" t="s">
        <v>846</v>
      </c>
    </row>
    <row r="476" spans="1:9" x14ac:dyDescent="0.3">
      <c r="A476" t="s">
        <v>864</v>
      </c>
      <c r="B476" t="s">
        <v>276</v>
      </c>
      <c r="C476" s="7" t="str">
        <f ca="1">IFERROR(_xludf.XLOOKUP(B476,MASTER_REGISTER!E:E,MASTER_REGISTER!F:F,""),"")</f>
        <v/>
      </c>
      <c r="D476" s="4" t="str">
        <f ca="1">IFERROR(_xludf.XLOOKUP(B476,MASTER_REGISTER!E:E,MASTER_REGISTER!C:C,""),"")</f>
        <v/>
      </c>
      <c r="E476" t="s">
        <v>843</v>
      </c>
      <c r="F476" t="s">
        <v>832</v>
      </c>
      <c r="G476" t="s">
        <v>859</v>
      </c>
      <c r="H476" s="4">
        <v>60.9</v>
      </c>
      <c r="I476" t="s">
        <v>846</v>
      </c>
    </row>
    <row r="477" spans="1:9" x14ac:dyDescent="0.3">
      <c r="A477" t="s">
        <v>863</v>
      </c>
      <c r="B477" t="s">
        <v>276</v>
      </c>
      <c r="C477" s="7" t="str">
        <f ca="1">IFERROR(_xludf.XLOOKUP(B477,MASTER_REGISTER!E:E,MASTER_REGISTER!F:F,""),"")</f>
        <v/>
      </c>
      <c r="D477" s="4" t="str">
        <f ca="1">IFERROR(_xludf.XLOOKUP(B477,MASTER_REGISTER!E:E,MASTER_REGISTER!C:C,""),"")</f>
        <v/>
      </c>
      <c r="E477" t="s">
        <v>873</v>
      </c>
      <c r="F477" t="s">
        <v>824</v>
      </c>
      <c r="G477" t="s">
        <v>855</v>
      </c>
      <c r="H477" s="4">
        <v>58.6</v>
      </c>
      <c r="I477" t="s">
        <v>826</v>
      </c>
    </row>
    <row r="478" spans="1:9" x14ac:dyDescent="0.3">
      <c r="A478" t="s">
        <v>851</v>
      </c>
      <c r="B478" t="s">
        <v>276</v>
      </c>
      <c r="C478" s="7" t="str">
        <f ca="1">IFERROR(_xludf.XLOOKUP(B478,MASTER_REGISTER!E:E,MASTER_REGISTER!F:F,""),"")</f>
        <v/>
      </c>
      <c r="D478" s="4" t="str">
        <f ca="1">IFERROR(_xludf.XLOOKUP(B478,MASTER_REGISTER!E:E,MASTER_REGISTER!C:C,""),"")</f>
        <v/>
      </c>
      <c r="E478" t="s">
        <v>843</v>
      </c>
      <c r="F478" t="s">
        <v>838</v>
      </c>
      <c r="G478" t="s">
        <v>867</v>
      </c>
      <c r="H478" s="4">
        <v>44.7</v>
      </c>
      <c r="I478" t="s">
        <v>826</v>
      </c>
    </row>
    <row r="479" spans="1:9" x14ac:dyDescent="0.3">
      <c r="A479" t="s">
        <v>868</v>
      </c>
      <c r="B479" t="s">
        <v>276</v>
      </c>
      <c r="C479" s="7" t="str">
        <f ca="1">IFERROR(_xludf.XLOOKUP(B479,MASTER_REGISTER!E:E,MASTER_REGISTER!F:F,""),"")</f>
        <v/>
      </c>
      <c r="D479" s="4" t="str">
        <f ca="1">IFERROR(_xludf.XLOOKUP(B479,MASTER_REGISTER!E:E,MASTER_REGISTER!C:C,""),"")</f>
        <v/>
      </c>
      <c r="E479" t="s">
        <v>873</v>
      </c>
      <c r="F479" t="s">
        <v>832</v>
      </c>
      <c r="G479" t="s">
        <v>845</v>
      </c>
      <c r="H479" s="4">
        <v>72.8</v>
      </c>
      <c r="I479" t="s">
        <v>844</v>
      </c>
    </row>
    <row r="480" spans="1:9" x14ac:dyDescent="0.3">
      <c r="A480" t="s">
        <v>866</v>
      </c>
      <c r="B480" t="s">
        <v>276</v>
      </c>
      <c r="C480" s="7" t="str">
        <f ca="1">IFERROR(_xludf.XLOOKUP(B480,MASTER_REGISTER!E:E,MASTER_REGISTER!F:F,""),"")</f>
        <v/>
      </c>
      <c r="D480" s="4" t="str">
        <f ca="1">IFERROR(_xludf.XLOOKUP(B480,MASTER_REGISTER!E:E,MASTER_REGISTER!C:C,""),"")</f>
        <v/>
      </c>
      <c r="E480" t="s">
        <v>871</v>
      </c>
      <c r="F480" t="s">
        <v>840</v>
      </c>
      <c r="G480" t="s">
        <v>860</v>
      </c>
      <c r="H480" s="4">
        <v>61.8</v>
      </c>
      <c r="I480" t="s">
        <v>862</v>
      </c>
    </row>
    <row r="481" spans="1:9" x14ac:dyDescent="0.3">
      <c r="A481" t="s">
        <v>847</v>
      </c>
      <c r="B481" t="s">
        <v>276</v>
      </c>
      <c r="C481" s="7" t="str">
        <f ca="1">IFERROR(_xludf.XLOOKUP(B481,MASTER_REGISTER!E:E,MASTER_REGISTER!F:F,""),"")</f>
        <v/>
      </c>
      <c r="D481" s="4" t="str">
        <f ca="1">IFERROR(_xludf.XLOOKUP(B481,MASTER_REGISTER!E:E,MASTER_REGISTER!C:C,""),"")</f>
        <v/>
      </c>
      <c r="E481" t="s">
        <v>823</v>
      </c>
      <c r="F481" t="s">
        <v>832</v>
      </c>
      <c r="G481" t="s">
        <v>855</v>
      </c>
      <c r="H481" s="4">
        <v>76.3</v>
      </c>
      <c r="I481" t="s">
        <v>862</v>
      </c>
    </row>
    <row r="482" spans="1:9" x14ac:dyDescent="0.3">
      <c r="A482" t="s">
        <v>172</v>
      </c>
      <c r="B482" t="s">
        <v>280</v>
      </c>
      <c r="C482" s="7" t="str">
        <f ca="1">IFERROR(_xludf.XLOOKUP(B482,MASTER_REGISTER!E:E,MASTER_REGISTER!F:F,""),"")</f>
        <v/>
      </c>
      <c r="D482" s="4" t="str">
        <f ca="1">IFERROR(_xludf.XLOOKUP(B482,MASTER_REGISTER!E:E,MASTER_REGISTER!C:C,""),"")</f>
        <v/>
      </c>
      <c r="E482" t="s">
        <v>873</v>
      </c>
      <c r="F482" t="s">
        <v>838</v>
      </c>
      <c r="G482" t="s">
        <v>860</v>
      </c>
      <c r="H482" s="4">
        <v>70.7</v>
      </c>
      <c r="I482" t="s">
        <v>846</v>
      </c>
    </row>
    <row r="483" spans="1:9" x14ac:dyDescent="0.3">
      <c r="A483" t="s">
        <v>396</v>
      </c>
      <c r="B483" t="s">
        <v>280</v>
      </c>
      <c r="C483" s="7" t="str">
        <f ca="1">IFERROR(_xludf.XLOOKUP(B483,MASTER_REGISTER!E:E,MASTER_REGISTER!F:F,""),"")</f>
        <v/>
      </c>
      <c r="D483" s="4" t="str">
        <f ca="1">IFERROR(_xludf.XLOOKUP(B483,MASTER_REGISTER!E:E,MASTER_REGISTER!C:C,""),"")</f>
        <v/>
      </c>
      <c r="E483" t="s">
        <v>873</v>
      </c>
      <c r="F483" t="s">
        <v>832</v>
      </c>
      <c r="G483" t="s">
        <v>848</v>
      </c>
      <c r="H483" s="4">
        <v>48.1</v>
      </c>
      <c r="I483" t="s">
        <v>829</v>
      </c>
    </row>
    <row r="484" spans="1:9" x14ac:dyDescent="0.3">
      <c r="A484" t="s">
        <v>861</v>
      </c>
      <c r="B484" t="s">
        <v>280</v>
      </c>
      <c r="C484" s="7" t="str">
        <f ca="1">IFERROR(_xludf.XLOOKUP(B484,MASTER_REGISTER!E:E,MASTER_REGISTER!F:F,""),"")</f>
        <v/>
      </c>
      <c r="D484" s="4" t="str">
        <f ca="1">IFERROR(_xludf.XLOOKUP(B484,MASTER_REGISTER!E:E,MASTER_REGISTER!C:C,""),"")</f>
        <v/>
      </c>
      <c r="E484" t="s">
        <v>874</v>
      </c>
      <c r="F484" t="s">
        <v>832</v>
      </c>
      <c r="G484" t="s">
        <v>855</v>
      </c>
      <c r="H484" s="4">
        <v>63.5</v>
      </c>
      <c r="I484" t="s">
        <v>846</v>
      </c>
    </row>
    <row r="485" spans="1:9" x14ac:dyDescent="0.3">
      <c r="A485" t="s">
        <v>835</v>
      </c>
      <c r="B485" t="s">
        <v>280</v>
      </c>
      <c r="C485" s="7" t="str">
        <f ca="1">IFERROR(_xludf.XLOOKUP(B485,MASTER_REGISTER!E:E,MASTER_REGISTER!F:F,""),"")</f>
        <v/>
      </c>
      <c r="D485" s="4" t="str">
        <f ca="1">IFERROR(_xludf.XLOOKUP(B485,MASTER_REGISTER!E:E,MASTER_REGISTER!C:C,""),"")</f>
        <v/>
      </c>
      <c r="E485" t="s">
        <v>871</v>
      </c>
      <c r="F485" t="s">
        <v>824</v>
      </c>
      <c r="G485" t="s">
        <v>860</v>
      </c>
      <c r="H485" s="4">
        <v>44</v>
      </c>
      <c r="I485" t="s">
        <v>849</v>
      </c>
    </row>
    <row r="486" spans="1:9" x14ac:dyDescent="0.3">
      <c r="A486" t="s">
        <v>858</v>
      </c>
      <c r="B486" t="s">
        <v>280</v>
      </c>
      <c r="C486" s="7" t="str">
        <f ca="1">IFERROR(_xludf.XLOOKUP(B486,MASTER_REGISTER!E:E,MASTER_REGISTER!F:F,""),"")</f>
        <v/>
      </c>
      <c r="D486" s="4" t="str">
        <f ca="1">IFERROR(_xludf.XLOOKUP(B486,MASTER_REGISTER!E:E,MASTER_REGISTER!C:C,""),"")</f>
        <v/>
      </c>
      <c r="E486" t="s">
        <v>843</v>
      </c>
      <c r="F486" t="s">
        <v>832</v>
      </c>
      <c r="G486" t="s">
        <v>855</v>
      </c>
      <c r="H486" s="4">
        <v>49.3</v>
      </c>
      <c r="I486" t="s">
        <v>834</v>
      </c>
    </row>
    <row r="487" spans="1:9" x14ac:dyDescent="0.3">
      <c r="A487" t="s">
        <v>373</v>
      </c>
      <c r="B487" t="s">
        <v>280</v>
      </c>
      <c r="C487" s="7" t="str">
        <f ca="1">IFERROR(_xludf.XLOOKUP(B487,MASTER_REGISTER!E:E,MASTER_REGISTER!F:F,""),"")</f>
        <v/>
      </c>
      <c r="D487" s="4" t="str">
        <f ca="1">IFERROR(_xludf.XLOOKUP(B487,MASTER_REGISTER!E:E,MASTER_REGISTER!C:C,""),"")</f>
        <v/>
      </c>
      <c r="E487" t="s">
        <v>843</v>
      </c>
      <c r="F487" t="s">
        <v>832</v>
      </c>
      <c r="G487" t="s">
        <v>859</v>
      </c>
      <c r="H487" s="4">
        <v>59.4</v>
      </c>
      <c r="I487" t="s">
        <v>852</v>
      </c>
    </row>
    <row r="488" spans="1:9" x14ac:dyDescent="0.3">
      <c r="A488" t="s">
        <v>418</v>
      </c>
      <c r="B488" t="s">
        <v>280</v>
      </c>
      <c r="C488" s="7" t="str">
        <f ca="1">IFERROR(_xludf.XLOOKUP(B488,MASTER_REGISTER!E:E,MASTER_REGISTER!F:F,""),"")</f>
        <v/>
      </c>
      <c r="D488" s="4" t="str">
        <f ca="1">IFERROR(_xludf.XLOOKUP(B488,MASTER_REGISTER!E:E,MASTER_REGISTER!C:C,""),"")</f>
        <v/>
      </c>
      <c r="E488" t="s">
        <v>871</v>
      </c>
      <c r="F488" t="s">
        <v>832</v>
      </c>
      <c r="G488" t="s">
        <v>841</v>
      </c>
      <c r="H488" s="4">
        <v>82.6</v>
      </c>
      <c r="I488" t="s">
        <v>849</v>
      </c>
    </row>
    <row r="489" spans="1:9" x14ac:dyDescent="0.3">
      <c r="A489" t="s">
        <v>868</v>
      </c>
      <c r="B489" t="s">
        <v>280</v>
      </c>
      <c r="C489" s="7" t="str">
        <f ca="1">IFERROR(_xludf.XLOOKUP(B489,MASTER_REGISTER!E:E,MASTER_REGISTER!F:F,""),"")</f>
        <v/>
      </c>
      <c r="D489" s="4" t="str">
        <f ca="1">IFERROR(_xludf.XLOOKUP(B489,MASTER_REGISTER!E:E,MASTER_REGISTER!C:C,""),"")</f>
        <v/>
      </c>
      <c r="E489" t="s">
        <v>874</v>
      </c>
      <c r="F489" t="s">
        <v>824</v>
      </c>
      <c r="G489" t="s">
        <v>833</v>
      </c>
      <c r="H489" s="4">
        <v>62.6</v>
      </c>
      <c r="I489" t="s">
        <v>849</v>
      </c>
    </row>
    <row r="490" spans="1:9" x14ac:dyDescent="0.3">
      <c r="A490" t="s">
        <v>853</v>
      </c>
      <c r="B490" t="s">
        <v>280</v>
      </c>
      <c r="C490" s="7" t="str">
        <f ca="1">IFERROR(_xludf.XLOOKUP(B490,MASTER_REGISTER!E:E,MASTER_REGISTER!F:F,""),"")</f>
        <v/>
      </c>
      <c r="D490" s="4" t="str">
        <f ca="1">IFERROR(_xludf.XLOOKUP(B490,MASTER_REGISTER!E:E,MASTER_REGISTER!C:C,""),"")</f>
        <v/>
      </c>
      <c r="E490" t="s">
        <v>823</v>
      </c>
      <c r="F490" t="s">
        <v>832</v>
      </c>
      <c r="G490" t="s">
        <v>859</v>
      </c>
      <c r="H490" s="4">
        <v>64</v>
      </c>
      <c r="I490" t="s">
        <v>849</v>
      </c>
    </row>
    <row r="491" spans="1:9" x14ac:dyDescent="0.3">
      <c r="A491" t="s">
        <v>854</v>
      </c>
      <c r="B491" t="s">
        <v>280</v>
      </c>
      <c r="C491" s="7" t="str">
        <f ca="1">IFERROR(_xludf.XLOOKUP(B491,MASTER_REGISTER!E:E,MASTER_REGISTER!F:F,""),"")</f>
        <v/>
      </c>
      <c r="D491" s="4" t="str">
        <f ca="1">IFERROR(_xludf.XLOOKUP(B491,MASTER_REGISTER!E:E,MASTER_REGISTER!C:C,""),"")</f>
        <v/>
      </c>
      <c r="E491" t="s">
        <v>843</v>
      </c>
      <c r="F491" t="s">
        <v>832</v>
      </c>
      <c r="G491" t="s">
        <v>833</v>
      </c>
      <c r="H491" s="4">
        <v>62.4</v>
      </c>
      <c r="I491" t="s">
        <v>826</v>
      </c>
    </row>
    <row r="492" spans="1:9" x14ac:dyDescent="0.3">
      <c r="A492" t="s">
        <v>869</v>
      </c>
      <c r="B492" t="s">
        <v>284</v>
      </c>
      <c r="C492" s="7" t="str">
        <f ca="1">IFERROR(_xludf.XLOOKUP(B492,MASTER_REGISTER!E:E,MASTER_REGISTER!F:F,""),"")</f>
        <v/>
      </c>
      <c r="D492" s="4" t="str">
        <f ca="1">IFERROR(_xludf.XLOOKUP(B492,MASTER_REGISTER!E:E,MASTER_REGISTER!C:C,""),"")</f>
        <v/>
      </c>
      <c r="E492" t="s">
        <v>843</v>
      </c>
      <c r="F492" t="s">
        <v>824</v>
      </c>
      <c r="G492" t="s">
        <v>825</v>
      </c>
      <c r="H492" s="4">
        <v>51.8</v>
      </c>
      <c r="I492" t="s">
        <v>826</v>
      </c>
    </row>
    <row r="493" spans="1:9" x14ac:dyDescent="0.3">
      <c r="A493" t="s">
        <v>869</v>
      </c>
      <c r="B493" t="s">
        <v>284</v>
      </c>
      <c r="C493" s="7" t="str">
        <f ca="1">IFERROR(_xludf.XLOOKUP(B493,MASTER_REGISTER!E:E,MASTER_REGISTER!F:F,""),"")</f>
        <v/>
      </c>
      <c r="D493" s="4" t="str">
        <f ca="1">IFERROR(_xludf.XLOOKUP(B493,MASTER_REGISTER!E:E,MASTER_REGISTER!C:C,""),"")</f>
        <v/>
      </c>
      <c r="E493" t="s">
        <v>843</v>
      </c>
      <c r="F493" t="s">
        <v>824</v>
      </c>
      <c r="G493" t="s">
        <v>855</v>
      </c>
      <c r="H493" s="4">
        <v>70.5</v>
      </c>
      <c r="I493" t="s">
        <v>844</v>
      </c>
    </row>
    <row r="494" spans="1:9" x14ac:dyDescent="0.3">
      <c r="A494" t="s">
        <v>857</v>
      </c>
      <c r="B494" t="s">
        <v>284</v>
      </c>
      <c r="C494" s="7" t="str">
        <f ca="1">IFERROR(_xludf.XLOOKUP(B494,MASTER_REGISTER!E:E,MASTER_REGISTER!F:F,""),"")</f>
        <v/>
      </c>
      <c r="D494" s="4" t="str">
        <f ca="1">IFERROR(_xludf.XLOOKUP(B494,MASTER_REGISTER!E:E,MASTER_REGISTER!C:C,""),"")</f>
        <v/>
      </c>
      <c r="E494" t="s">
        <v>823</v>
      </c>
      <c r="F494" t="s">
        <v>832</v>
      </c>
      <c r="G494" t="s">
        <v>833</v>
      </c>
      <c r="H494" s="4">
        <v>44.6</v>
      </c>
      <c r="I494" t="s">
        <v>862</v>
      </c>
    </row>
    <row r="495" spans="1:9" x14ac:dyDescent="0.3">
      <c r="A495" t="s">
        <v>857</v>
      </c>
      <c r="B495" t="s">
        <v>284</v>
      </c>
      <c r="C495" s="7" t="str">
        <f ca="1">IFERROR(_xludf.XLOOKUP(B495,MASTER_REGISTER!E:E,MASTER_REGISTER!F:F,""),"")</f>
        <v/>
      </c>
      <c r="D495" s="4" t="str">
        <f ca="1">IFERROR(_xludf.XLOOKUP(B495,MASTER_REGISTER!E:E,MASTER_REGISTER!C:C,""),"")</f>
        <v/>
      </c>
      <c r="E495" t="s">
        <v>823</v>
      </c>
      <c r="F495" t="s">
        <v>838</v>
      </c>
      <c r="G495" t="s">
        <v>836</v>
      </c>
      <c r="H495" s="4">
        <v>72.900000000000006</v>
      </c>
      <c r="I495" t="s">
        <v>826</v>
      </c>
    </row>
    <row r="496" spans="1:9" x14ac:dyDescent="0.3">
      <c r="A496" t="s">
        <v>830</v>
      </c>
      <c r="B496" t="s">
        <v>284</v>
      </c>
      <c r="C496" s="7" t="str">
        <f ca="1">IFERROR(_xludf.XLOOKUP(B496,MASTER_REGISTER!E:E,MASTER_REGISTER!F:F,""),"")</f>
        <v/>
      </c>
      <c r="D496" s="4" t="str">
        <f ca="1">IFERROR(_xludf.XLOOKUP(B496,MASTER_REGISTER!E:E,MASTER_REGISTER!C:C,""),"")</f>
        <v/>
      </c>
      <c r="E496" t="s">
        <v>872</v>
      </c>
      <c r="F496" t="s">
        <v>824</v>
      </c>
      <c r="G496" t="s">
        <v>855</v>
      </c>
      <c r="H496" s="4">
        <v>56</v>
      </c>
      <c r="I496" t="s">
        <v>846</v>
      </c>
    </row>
    <row r="497" spans="1:9" x14ac:dyDescent="0.3">
      <c r="A497" t="s">
        <v>839</v>
      </c>
      <c r="B497" t="s">
        <v>284</v>
      </c>
      <c r="C497" s="7" t="str">
        <f ca="1">IFERROR(_xludf.XLOOKUP(B497,MASTER_REGISTER!E:E,MASTER_REGISTER!F:F,""),"")</f>
        <v/>
      </c>
      <c r="D497" s="4" t="str">
        <f ca="1">IFERROR(_xludf.XLOOKUP(B497,MASTER_REGISTER!E:E,MASTER_REGISTER!C:C,""),"")</f>
        <v/>
      </c>
      <c r="E497" t="s">
        <v>873</v>
      </c>
      <c r="F497" t="s">
        <v>838</v>
      </c>
      <c r="G497" t="s">
        <v>855</v>
      </c>
      <c r="H497" s="4">
        <v>45</v>
      </c>
      <c r="I497" t="s">
        <v>844</v>
      </c>
    </row>
    <row r="498" spans="1:9" x14ac:dyDescent="0.3">
      <c r="A498" t="s">
        <v>858</v>
      </c>
      <c r="B498" t="s">
        <v>284</v>
      </c>
      <c r="C498" s="7" t="str">
        <f ca="1">IFERROR(_xludf.XLOOKUP(B498,MASTER_REGISTER!E:E,MASTER_REGISTER!F:F,""),"")</f>
        <v/>
      </c>
      <c r="D498" s="4" t="str">
        <f ca="1">IFERROR(_xludf.XLOOKUP(B498,MASTER_REGISTER!E:E,MASTER_REGISTER!C:C,""),"")</f>
        <v/>
      </c>
      <c r="E498" t="s">
        <v>843</v>
      </c>
      <c r="F498" t="s">
        <v>840</v>
      </c>
      <c r="G498" t="s">
        <v>845</v>
      </c>
      <c r="H498" s="4">
        <v>53.6</v>
      </c>
      <c r="I498" t="s">
        <v>862</v>
      </c>
    </row>
    <row r="499" spans="1:9" x14ac:dyDescent="0.3">
      <c r="A499" t="s">
        <v>371</v>
      </c>
      <c r="B499" t="s">
        <v>284</v>
      </c>
      <c r="C499" s="7" t="str">
        <f ca="1">IFERROR(_xludf.XLOOKUP(B499,MASTER_REGISTER!E:E,MASTER_REGISTER!F:F,""),"")</f>
        <v/>
      </c>
      <c r="D499" s="4" t="str">
        <f ca="1">IFERROR(_xludf.XLOOKUP(B499,MASTER_REGISTER!E:E,MASTER_REGISTER!C:C,""),"")</f>
        <v/>
      </c>
      <c r="E499" t="s">
        <v>871</v>
      </c>
      <c r="F499" t="s">
        <v>838</v>
      </c>
      <c r="G499" t="s">
        <v>848</v>
      </c>
      <c r="H499" s="4">
        <v>76.099999999999994</v>
      </c>
      <c r="I499" t="s">
        <v>834</v>
      </c>
    </row>
    <row r="500" spans="1:9" x14ac:dyDescent="0.3">
      <c r="A500" t="s">
        <v>371</v>
      </c>
      <c r="B500" t="s">
        <v>284</v>
      </c>
      <c r="C500" s="7" t="str">
        <f ca="1">IFERROR(_xludf.XLOOKUP(B500,MASTER_REGISTER!E:E,MASTER_REGISTER!F:F,""),"")</f>
        <v/>
      </c>
      <c r="D500" s="4" t="str">
        <f ca="1">IFERROR(_xludf.XLOOKUP(B500,MASTER_REGISTER!E:E,MASTER_REGISTER!C:C,""),"")</f>
        <v/>
      </c>
      <c r="E500" t="s">
        <v>874</v>
      </c>
      <c r="F500" t="s">
        <v>832</v>
      </c>
      <c r="G500" t="s">
        <v>841</v>
      </c>
      <c r="H500" s="4">
        <v>62.3</v>
      </c>
      <c r="I500" t="s">
        <v>849</v>
      </c>
    </row>
    <row r="501" spans="1:9" x14ac:dyDescent="0.3">
      <c r="A501" t="s">
        <v>418</v>
      </c>
      <c r="B501" t="s">
        <v>284</v>
      </c>
      <c r="C501" s="7" t="str">
        <f ca="1">IFERROR(_xludf.XLOOKUP(B501,MASTER_REGISTER!E:E,MASTER_REGISTER!F:F,""),"")</f>
        <v/>
      </c>
      <c r="D501" s="4" t="str">
        <f ca="1">IFERROR(_xludf.XLOOKUP(B501,MASTER_REGISTER!E:E,MASTER_REGISTER!C:C,""),"")</f>
        <v/>
      </c>
      <c r="E501" t="s">
        <v>843</v>
      </c>
      <c r="F501" t="s">
        <v>840</v>
      </c>
      <c r="G501" t="s">
        <v>833</v>
      </c>
      <c r="H501" s="4">
        <v>55.8</v>
      </c>
      <c r="I501" t="s">
        <v>826</v>
      </c>
    </row>
    <row r="502" spans="1:9" x14ac:dyDescent="0.3">
      <c r="A502" t="s">
        <v>856</v>
      </c>
      <c r="B502" t="s">
        <v>288</v>
      </c>
      <c r="C502" t="str">
        <f ca="1">IFERROR(_xludf.XLOOKUP(B502,MASTER_REGISTER!E:E,MASTER_REGISTER!F:F,""),"")</f>
        <v/>
      </c>
      <c r="D502" t="str">
        <f ca="1">IFERROR(_xludf.XLOOKUP(B502,MASTER_REGISTER!E:E,MASTER_REGISTER!C:C,""),"")</f>
        <v/>
      </c>
      <c r="E502" t="s">
        <v>874</v>
      </c>
      <c r="F502" t="s">
        <v>824</v>
      </c>
      <c r="G502" t="s">
        <v>828</v>
      </c>
      <c r="H502">
        <v>62.7</v>
      </c>
      <c r="I502" t="s">
        <v>849</v>
      </c>
    </row>
    <row r="503" spans="1:9" x14ac:dyDescent="0.3">
      <c r="A503" t="s">
        <v>869</v>
      </c>
      <c r="B503" t="s">
        <v>288</v>
      </c>
      <c r="C503" t="str">
        <f ca="1">IFERROR(_xludf.XLOOKUP(B503,MASTER_REGISTER!E:E,MASTER_REGISTER!F:F,""),"")</f>
        <v/>
      </c>
      <c r="D503" t="str">
        <f ca="1">IFERROR(_xludf.XLOOKUP(B503,MASTER_REGISTER!E:E,MASTER_REGISTER!C:C,""),"")</f>
        <v/>
      </c>
      <c r="E503" t="s">
        <v>843</v>
      </c>
      <c r="F503" t="s">
        <v>838</v>
      </c>
      <c r="G503" t="s">
        <v>841</v>
      </c>
      <c r="H503">
        <v>76.900000000000006</v>
      </c>
      <c r="I503" t="s">
        <v>829</v>
      </c>
    </row>
    <row r="504" spans="1:9" x14ac:dyDescent="0.3">
      <c r="A504" t="s">
        <v>835</v>
      </c>
      <c r="B504" t="s">
        <v>288</v>
      </c>
      <c r="C504" t="str">
        <f ca="1">IFERROR(_xludf.XLOOKUP(B504,MASTER_REGISTER!E:E,MASTER_REGISTER!F:F,""),"")</f>
        <v/>
      </c>
      <c r="D504" t="str">
        <f ca="1">IFERROR(_xludf.XLOOKUP(B504,MASTER_REGISTER!E:E,MASTER_REGISTER!C:C,""),"")</f>
        <v/>
      </c>
      <c r="E504" t="s">
        <v>872</v>
      </c>
      <c r="F504" t="s">
        <v>824</v>
      </c>
      <c r="G504" t="s">
        <v>860</v>
      </c>
      <c r="H504">
        <v>60.8</v>
      </c>
      <c r="I504" t="s">
        <v>862</v>
      </c>
    </row>
    <row r="505" spans="1:9" x14ac:dyDescent="0.3">
      <c r="A505" t="s">
        <v>549</v>
      </c>
      <c r="B505" t="s">
        <v>288</v>
      </c>
      <c r="C505" t="str">
        <f ca="1">IFERROR(_xludf.XLOOKUP(B505,MASTER_REGISTER!E:E,MASTER_REGISTER!F:F,""),"")</f>
        <v/>
      </c>
      <c r="D505" t="str">
        <f ca="1">IFERROR(_xludf.XLOOKUP(B505,MASTER_REGISTER!E:E,MASTER_REGISTER!C:C,""),"")</f>
        <v/>
      </c>
      <c r="E505" t="s">
        <v>823</v>
      </c>
      <c r="F505" t="s">
        <v>838</v>
      </c>
      <c r="G505" t="s">
        <v>825</v>
      </c>
      <c r="H505">
        <v>62.5</v>
      </c>
      <c r="I505" t="s">
        <v>846</v>
      </c>
    </row>
    <row r="506" spans="1:9" x14ac:dyDescent="0.3">
      <c r="A506" t="s">
        <v>858</v>
      </c>
      <c r="B506" t="s">
        <v>288</v>
      </c>
      <c r="C506" t="str">
        <f ca="1">IFERROR(_xludf.XLOOKUP(B506,MASTER_REGISTER!E:E,MASTER_REGISTER!F:F,""),"")</f>
        <v/>
      </c>
      <c r="D506" t="str">
        <f ca="1">IFERROR(_xludf.XLOOKUP(B506,MASTER_REGISTER!E:E,MASTER_REGISTER!C:C,""),"")</f>
        <v/>
      </c>
      <c r="E506" t="s">
        <v>874</v>
      </c>
      <c r="F506" t="s">
        <v>838</v>
      </c>
      <c r="G506" t="s">
        <v>845</v>
      </c>
      <c r="H506">
        <v>69</v>
      </c>
      <c r="I506" t="s">
        <v>849</v>
      </c>
    </row>
    <row r="507" spans="1:9" x14ac:dyDescent="0.3">
      <c r="A507" t="s">
        <v>504</v>
      </c>
      <c r="B507" t="s">
        <v>288</v>
      </c>
      <c r="C507" t="str">
        <f ca="1">IFERROR(_xludf.XLOOKUP(B507,MASTER_REGISTER!E:E,MASTER_REGISTER!F:F,""),"")</f>
        <v/>
      </c>
      <c r="D507" t="str">
        <f ca="1">IFERROR(_xludf.XLOOKUP(B507,MASTER_REGISTER!E:E,MASTER_REGISTER!C:C,""),"")</f>
        <v/>
      </c>
      <c r="E507" t="s">
        <v>874</v>
      </c>
      <c r="F507" t="s">
        <v>832</v>
      </c>
      <c r="G507" t="s">
        <v>859</v>
      </c>
      <c r="H507">
        <v>75.400000000000006</v>
      </c>
      <c r="I507" t="s">
        <v>862</v>
      </c>
    </row>
    <row r="508" spans="1:9" x14ac:dyDescent="0.3">
      <c r="A508" t="s">
        <v>863</v>
      </c>
      <c r="B508" t="s">
        <v>288</v>
      </c>
      <c r="C508" t="str">
        <f ca="1">IFERROR(_xludf.XLOOKUP(B508,MASTER_REGISTER!E:E,MASTER_REGISTER!F:F,""),"")</f>
        <v/>
      </c>
      <c r="D508" t="str">
        <f ca="1">IFERROR(_xludf.XLOOKUP(B508,MASTER_REGISTER!E:E,MASTER_REGISTER!C:C,""),"")</f>
        <v/>
      </c>
      <c r="E508" t="s">
        <v>873</v>
      </c>
      <c r="F508" t="s">
        <v>838</v>
      </c>
      <c r="G508" t="s">
        <v>850</v>
      </c>
      <c r="H508">
        <v>66.099999999999994</v>
      </c>
      <c r="I508" t="s">
        <v>849</v>
      </c>
    </row>
    <row r="509" spans="1:9" x14ac:dyDescent="0.3">
      <c r="A509" t="s">
        <v>842</v>
      </c>
      <c r="B509" t="s">
        <v>288</v>
      </c>
      <c r="C509" t="str">
        <f ca="1">IFERROR(_xludf.XLOOKUP(B509,MASTER_REGISTER!E:E,MASTER_REGISTER!F:F,""),"")</f>
        <v/>
      </c>
      <c r="D509" t="str">
        <f ca="1">IFERROR(_xludf.XLOOKUP(B509,MASTER_REGISTER!E:E,MASTER_REGISTER!C:C,""),"")</f>
        <v/>
      </c>
      <c r="E509" t="s">
        <v>873</v>
      </c>
      <c r="F509" t="s">
        <v>824</v>
      </c>
      <c r="G509" t="s">
        <v>841</v>
      </c>
      <c r="H509">
        <v>73.900000000000006</v>
      </c>
      <c r="I509" t="s">
        <v>862</v>
      </c>
    </row>
    <row r="510" spans="1:9" x14ac:dyDescent="0.3">
      <c r="A510" t="s">
        <v>371</v>
      </c>
      <c r="B510" t="s">
        <v>288</v>
      </c>
      <c r="C510" t="str">
        <f ca="1">IFERROR(_xludf.XLOOKUP(B510,MASTER_REGISTER!E:E,MASTER_REGISTER!F:F,""),"")</f>
        <v/>
      </c>
      <c r="D510" t="str">
        <f ca="1">IFERROR(_xludf.XLOOKUP(B510,MASTER_REGISTER!E:E,MASTER_REGISTER!C:C,""),"")</f>
        <v/>
      </c>
      <c r="E510" t="s">
        <v>843</v>
      </c>
      <c r="F510" t="s">
        <v>838</v>
      </c>
      <c r="G510" t="s">
        <v>836</v>
      </c>
      <c r="H510">
        <v>70.900000000000006</v>
      </c>
      <c r="I510" t="s">
        <v>844</v>
      </c>
    </row>
    <row r="511" spans="1:9" x14ac:dyDescent="0.3">
      <c r="A511" t="s">
        <v>373</v>
      </c>
      <c r="B511" t="s">
        <v>288</v>
      </c>
      <c r="C511" t="str">
        <f ca="1">IFERROR(_xludf.XLOOKUP(B511,MASTER_REGISTER!E:E,MASTER_REGISTER!F:F,""),"")</f>
        <v/>
      </c>
      <c r="D511" t="str">
        <f ca="1">IFERROR(_xludf.XLOOKUP(B511,MASTER_REGISTER!E:E,MASTER_REGISTER!C:C,""),"")</f>
        <v/>
      </c>
      <c r="E511" t="s">
        <v>871</v>
      </c>
      <c r="F511" t="s">
        <v>840</v>
      </c>
      <c r="G511" t="s">
        <v>860</v>
      </c>
      <c r="H511">
        <v>51.5</v>
      </c>
      <c r="I511" t="s">
        <v>862</v>
      </c>
    </row>
    <row r="512" spans="1:9" x14ac:dyDescent="0.3">
      <c r="A512" t="s">
        <v>857</v>
      </c>
      <c r="B512" t="s">
        <v>292</v>
      </c>
      <c r="C512" t="str">
        <f ca="1">IFERROR(_xludf.XLOOKUP(B512,MASTER_REGISTER!E:E,MASTER_REGISTER!F:F,""),"")</f>
        <v/>
      </c>
      <c r="D512" t="str">
        <f ca="1">IFERROR(_xludf.XLOOKUP(B512,MASTER_REGISTER!E:E,MASTER_REGISTER!C:C,""),"")</f>
        <v/>
      </c>
      <c r="E512" t="s">
        <v>823</v>
      </c>
      <c r="F512" t="s">
        <v>824</v>
      </c>
      <c r="G512" t="s">
        <v>860</v>
      </c>
      <c r="H512">
        <v>60.3</v>
      </c>
      <c r="I512" t="s">
        <v>849</v>
      </c>
    </row>
    <row r="513" spans="1:9" x14ac:dyDescent="0.3">
      <c r="A513" t="s">
        <v>830</v>
      </c>
      <c r="B513" t="s">
        <v>292</v>
      </c>
      <c r="C513" t="str">
        <f ca="1">IFERROR(_xludf.XLOOKUP(B513,MASTER_REGISTER!E:E,MASTER_REGISTER!F:F,""),"")</f>
        <v/>
      </c>
      <c r="D513" t="str">
        <f ca="1">IFERROR(_xludf.XLOOKUP(B513,MASTER_REGISTER!E:E,MASTER_REGISTER!C:C,""),"")</f>
        <v/>
      </c>
      <c r="E513" t="s">
        <v>823</v>
      </c>
      <c r="F513" t="s">
        <v>832</v>
      </c>
      <c r="G513" t="s">
        <v>848</v>
      </c>
      <c r="H513">
        <v>54.3</v>
      </c>
      <c r="I513" t="s">
        <v>844</v>
      </c>
    </row>
    <row r="514" spans="1:9" x14ac:dyDescent="0.3">
      <c r="A514" t="s">
        <v>851</v>
      </c>
      <c r="B514" t="s">
        <v>292</v>
      </c>
      <c r="C514" t="str">
        <f ca="1">IFERROR(_xludf.XLOOKUP(B514,MASTER_REGISTER!E:E,MASTER_REGISTER!F:F,""),"")</f>
        <v/>
      </c>
      <c r="D514" t="str">
        <f ca="1">IFERROR(_xludf.XLOOKUP(B514,MASTER_REGISTER!E:E,MASTER_REGISTER!C:C,""),"")</f>
        <v/>
      </c>
      <c r="E514" t="s">
        <v>871</v>
      </c>
      <c r="F514" t="s">
        <v>840</v>
      </c>
      <c r="G514" t="s">
        <v>859</v>
      </c>
      <c r="H514">
        <v>91.6</v>
      </c>
      <c r="I514" t="s">
        <v>844</v>
      </c>
    </row>
    <row r="515" spans="1:9" x14ac:dyDescent="0.3">
      <c r="A515" t="s">
        <v>868</v>
      </c>
      <c r="B515" t="s">
        <v>292</v>
      </c>
      <c r="C515" t="str">
        <f ca="1">IFERROR(_xludf.XLOOKUP(B515,MASTER_REGISTER!E:E,MASTER_REGISTER!F:F,""),"")</f>
        <v/>
      </c>
      <c r="D515" t="str">
        <f ca="1">IFERROR(_xludf.XLOOKUP(B515,MASTER_REGISTER!E:E,MASTER_REGISTER!C:C,""),"")</f>
        <v/>
      </c>
      <c r="E515" t="s">
        <v>871</v>
      </c>
      <c r="F515" t="s">
        <v>840</v>
      </c>
      <c r="G515" t="s">
        <v>836</v>
      </c>
      <c r="H515">
        <v>50.3</v>
      </c>
      <c r="I515" t="s">
        <v>826</v>
      </c>
    </row>
    <row r="516" spans="1:9" x14ac:dyDescent="0.3">
      <c r="A516" t="s">
        <v>865</v>
      </c>
      <c r="B516" t="s">
        <v>292</v>
      </c>
      <c r="C516" t="str">
        <f ca="1">IFERROR(_xludf.XLOOKUP(B516,MASTER_REGISTER!E:E,MASTER_REGISTER!F:F,""),"")</f>
        <v/>
      </c>
      <c r="D516" t="str">
        <f ca="1">IFERROR(_xludf.XLOOKUP(B516,MASTER_REGISTER!E:E,MASTER_REGISTER!C:C,""),"")</f>
        <v/>
      </c>
      <c r="E516" t="s">
        <v>871</v>
      </c>
      <c r="F516" t="s">
        <v>832</v>
      </c>
      <c r="G516" t="s">
        <v>845</v>
      </c>
      <c r="H516">
        <v>50.4</v>
      </c>
      <c r="I516" t="s">
        <v>849</v>
      </c>
    </row>
    <row r="517" spans="1:9" x14ac:dyDescent="0.3">
      <c r="A517" t="s">
        <v>865</v>
      </c>
      <c r="B517" t="s">
        <v>292</v>
      </c>
      <c r="C517" t="str">
        <f ca="1">IFERROR(_xludf.XLOOKUP(B517,MASTER_REGISTER!E:E,MASTER_REGISTER!F:F,""),"")</f>
        <v/>
      </c>
      <c r="D517" t="str">
        <f ca="1">IFERROR(_xludf.XLOOKUP(B517,MASTER_REGISTER!E:E,MASTER_REGISTER!C:C,""),"")</f>
        <v/>
      </c>
      <c r="E517" t="s">
        <v>871</v>
      </c>
      <c r="F517" t="s">
        <v>824</v>
      </c>
      <c r="G517" t="s">
        <v>850</v>
      </c>
      <c r="H517">
        <v>72.3</v>
      </c>
      <c r="I517" t="s">
        <v>844</v>
      </c>
    </row>
    <row r="518" spans="1:9" x14ac:dyDescent="0.3">
      <c r="A518" t="s">
        <v>579</v>
      </c>
      <c r="B518" t="s">
        <v>292</v>
      </c>
      <c r="C518" t="str">
        <f ca="1">IFERROR(_xludf.XLOOKUP(B518,MASTER_REGISTER!E:E,MASTER_REGISTER!F:F,""),"")</f>
        <v/>
      </c>
      <c r="D518" t="str">
        <f ca="1">IFERROR(_xludf.XLOOKUP(B518,MASTER_REGISTER!E:E,MASTER_REGISTER!C:C,""),"")</f>
        <v/>
      </c>
      <c r="E518" t="s">
        <v>872</v>
      </c>
      <c r="F518" t="s">
        <v>840</v>
      </c>
      <c r="G518" t="s">
        <v>855</v>
      </c>
      <c r="H518">
        <v>55</v>
      </c>
      <c r="I518" t="s">
        <v>829</v>
      </c>
    </row>
    <row r="519" spans="1:9" x14ac:dyDescent="0.3">
      <c r="A519" t="s">
        <v>847</v>
      </c>
      <c r="B519" t="s">
        <v>292</v>
      </c>
      <c r="C519" t="str">
        <f ca="1">IFERROR(_xludf.XLOOKUP(B519,MASTER_REGISTER!E:E,MASTER_REGISTER!F:F,""),"")</f>
        <v/>
      </c>
      <c r="D519" t="str">
        <f ca="1">IFERROR(_xludf.XLOOKUP(B519,MASTER_REGISTER!E:E,MASTER_REGISTER!C:C,""),"")</f>
        <v/>
      </c>
      <c r="E519" t="s">
        <v>871</v>
      </c>
      <c r="F519" t="s">
        <v>838</v>
      </c>
      <c r="G519" t="s">
        <v>833</v>
      </c>
      <c r="H519">
        <v>44.8</v>
      </c>
      <c r="I519" t="s">
        <v>862</v>
      </c>
    </row>
    <row r="520" spans="1:9" x14ac:dyDescent="0.3">
      <c r="A520" t="s">
        <v>847</v>
      </c>
      <c r="B520" t="s">
        <v>292</v>
      </c>
      <c r="C520" t="str">
        <f ca="1">IFERROR(_xludf.XLOOKUP(B520,MASTER_REGISTER!E:E,MASTER_REGISTER!F:F,""),"")</f>
        <v/>
      </c>
      <c r="D520" t="str">
        <f ca="1">IFERROR(_xludf.XLOOKUP(B520,MASTER_REGISTER!E:E,MASTER_REGISTER!C:C,""),"")</f>
        <v/>
      </c>
      <c r="E520" t="s">
        <v>823</v>
      </c>
      <c r="F520" t="s">
        <v>824</v>
      </c>
      <c r="G520" t="s">
        <v>855</v>
      </c>
      <c r="H520">
        <v>61.2</v>
      </c>
      <c r="I520" t="s">
        <v>846</v>
      </c>
    </row>
    <row r="521" spans="1:9" x14ac:dyDescent="0.3">
      <c r="A521" t="s">
        <v>854</v>
      </c>
      <c r="B521" t="s">
        <v>292</v>
      </c>
      <c r="C521" t="str">
        <f ca="1">IFERROR(_xludf.XLOOKUP(B521,MASTER_REGISTER!E:E,MASTER_REGISTER!F:F,""),"")</f>
        <v/>
      </c>
      <c r="D521" t="str">
        <f ca="1">IFERROR(_xludf.XLOOKUP(B521,MASTER_REGISTER!E:E,MASTER_REGISTER!C:C,""),"")</f>
        <v/>
      </c>
      <c r="E521" t="s">
        <v>873</v>
      </c>
      <c r="F521" t="s">
        <v>840</v>
      </c>
      <c r="G521" t="s">
        <v>855</v>
      </c>
      <c r="H521">
        <v>59.2</v>
      </c>
      <c r="I521" t="s">
        <v>846</v>
      </c>
    </row>
    <row r="522" spans="1:9" x14ac:dyDescent="0.3">
      <c r="A522" t="s">
        <v>396</v>
      </c>
      <c r="B522" t="s">
        <v>296</v>
      </c>
      <c r="C522" t="str">
        <f ca="1">IFERROR(_xludf.XLOOKUP(B522,MASTER_REGISTER!E:E,MASTER_REGISTER!F:F,""),"")</f>
        <v/>
      </c>
      <c r="D522" t="str">
        <f ca="1">IFERROR(_xludf.XLOOKUP(B522,MASTER_REGISTER!E:E,MASTER_REGISTER!C:C,""),"")</f>
        <v/>
      </c>
      <c r="E522" t="s">
        <v>843</v>
      </c>
      <c r="F522" t="s">
        <v>824</v>
      </c>
      <c r="G522" t="s">
        <v>860</v>
      </c>
      <c r="H522">
        <v>61</v>
      </c>
      <c r="I522" t="s">
        <v>829</v>
      </c>
    </row>
    <row r="523" spans="1:9" x14ac:dyDescent="0.3">
      <c r="A523" t="s">
        <v>396</v>
      </c>
      <c r="B523" t="s">
        <v>296</v>
      </c>
      <c r="C523" t="str">
        <f ca="1">IFERROR(_xludf.XLOOKUP(B523,MASTER_REGISTER!E:E,MASTER_REGISTER!F:F,""),"")</f>
        <v/>
      </c>
      <c r="D523" t="str">
        <f ca="1">IFERROR(_xludf.XLOOKUP(B523,MASTER_REGISTER!E:E,MASTER_REGISTER!C:C,""),"")</f>
        <v/>
      </c>
      <c r="E523" t="s">
        <v>843</v>
      </c>
      <c r="F523" t="s">
        <v>824</v>
      </c>
      <c r="G523" t="s">
        <v>825</v>
      </c>
      <c r="H523">
        <v>70.2</v>
      </c>
      <c r="I523" t="s">
        <v>846</v>
      </c>
    </row>
    <row r="524" spans="1:9" x14ac:dyDescent="0.3">
      <c r="A524" t="s">
        <v>861</v>
      </c>
      <c r="B524" t="s">
        <v>296</v>
      </c>
      <c r="C524" t="str">
        <f ca="1">IFERROR(_xludf.XLOOKUP(B524,MASTER_REGISTER!E:E,MASTER_REGISTER!F:F,""),"")</f>
        <v/>
      </c>
      <c r="D524" t="str">
        <f ca="1">IFERROR(_xludf.XLOOKUP(B524,MASTER_REGISTER!E:E,MASTER_REGISTER!C:C,""),"")</f>
        <v/>
      </c>
      <c r="E524" t="s">
        <v>871</v>
      </c>
      <c r="F524" t="s">
        <v>832</v>
      </c>
      <c r="G524" t="s">
        <v>845</v>
      </c>
      <c r="H524">
        <v>78.8</v>
      </c>
      <c r="I524" t="s">
        <v>829</v>
      </c>
    </row>
    <row r="525" spans="1:9" x14ac:dyDescent="0.3">
      <c r="A525" t="s">
        <v>433</v>
      </c>
      <c r="B525" t="s">
        <v>296</v>
      </c>
      <c r="C525" t="str">
        <f ca="1">IFERROR(_xludf.XLOOKUP(B525,MASTER_REGISTER!E:E,MASTER_REGISTER!F:F,""),"")</f>
        <v/>
      </c>
      <c r="D525" t="str">
        <f ca="1">IFERROR(_xludf.XLOOKUP(B525,MASTER_REGISTER!E:E,MASTER_REGISTER!C:C,""),"")</f>
        <v/>
      </c>
      <c r="E525" t="s">
        <v>843</v>
      </c>
      <c r="F525" t="s">
        <v>824</v>
      </c>
      <c r="G525" t="s">
        <v>850</v>
      </c>
      <c r="H525">
        <v>69.900000000000006</v>
      </c>
      <c r="I525" t="s">
        <v>829</v>
      </c>
    </row>
    <row r="526" spans="1:9" x14ac:dyDescent="0.3">
      <c r="A526" t="s">
        <v>863</v>
      </c>
      <c r="B526" t="s">
        <v>296</v>
      </c>
      <c r="C526" t="str">
        <f ca="1">IFERROR(_xludf.XLOOKUP(B526,MASTER_REGISTER!E:E,MASTER_REGISTER!F:F,""),"")</f>
        <v/>
      </c>
      <c r="D526" t="str">
        <f ca="1">IFERROR(_xludf.XLOOKUP(B526,MASTER_REGISTER!E:E,MASTER_REGISTER!C:C,""),"")</f>
        <v/>
      </c>
      <c r="E526" t="s">
        <v>874</v>
      </c>
      <c r="F526" t="s">
        <v>838</v>
      </c>
      <c r="G526" t="s">
        <v>828</v>
      </c>
      <c r="H526">
        <v>64.5</v>
      </c>
      <c r="I526" t="s">
        <v>862</v>
      </c>
    </row>
    <row r="527" spans="1:9" x14ac:dyDescent="0.3">
      <c r="A527" t="s">
        <v>851</v>
      </c>
      <c r="B527" t="s">
        <v>296</v>
      </c>
      <c r="C527" t="str">
        <f ca="1">IFERROR(_xludf.XLOOKUP(B527,MASTER_REGISTER!E:E,MASTER_REGISTER!F:F,""),"")</f>
        <v/>
      </c>
      <c r="D527" t="str">
        <f ca="1">IFERROR(_xludf.XLOOKUP(B527,MASTER_REGISTER!E:E,MASTER_REGISTER!C:C,""),"")</f>
        <v/>
      </c>
      <c r="E527" t="s">
        <v>874</v>
      </c>
      <c r="F527" t="s">
        <v>832</v>
      </c>
      <c r="G527" t="s">
        <v>867</v>
      </c>
      <c r="H527">
        <v>67.900000000000006</v>
      </c>
      <c r="I527" t="s">
        <v>849</v>
      </c>
    </row>
    <row r="528" spans="1:9" x14ac:dyDescent="0.3">
      <c r="A528" t="s">
        <v>851</v>
      </c>
      <c r="B528" t="s">
        <v>296</v>
      </c>
      <c r="C528" t="str">
        <f ca="1">IFERROR(_xludf.XLOOKUP(B528,MASTER_REGISTER!E:E,MASTER_REGISTER!F:F,""),"")</f>
        <v/>
      </c>
      <c r="D528" t="str">
        <f ca="1">IFERROR(_xludf.XLOOKUP(B528,MASTER_REGISTER!E:E,MASTER_REGISTER!C:C,""),"")</f>
        <v/>
      </c>
      <c r="E528" t="s">
        <v>874</v>
      </c>
      <c r="F528" t="s">
        <v>838</v>
      </c>
      <c r="G528" t="s">
        <v>825</v>
      </c>
      <c r="H528">
        <v>62</v>
      </c>
      <c r="I528" t="s">
        <v>849</v>
      </c>
    </row>
    <row r="529" spans="1:9" x14ac:dyDescent="0.3">
      <c r="A529" t="s">
        <v>868</v>
      </c>
      <c r="B529" t="s">
        <v>296</v>
      </c>
      <c r="C529" t="str">
        <f ca="1">IFERROR(_xludf.XLOOKUP(B529,MASTER_REGISTER!E:E,MASTER_REGISTER!F:F,""),"")</f>
        <v/>
      </c>
      <c r="D529" t="str">
        <f ca="1">IFERROR(_xludf.XLOOKUP(B529,MASTER_REGISTER!E:E,MASTER_REGISTER!C:C,""),"")</f>
        <v/>
      </c>
      <c r="E529" t="s">
        <v>873</v>
      </c>
      <c r="F529" t="s">
        <v>840</v>
      </c>
      <c r="G529" t="s">
        <v>867</v>
      </c>
      <c r="H529">
        <v>40.200000000000003</v>
      </c>
      <c r="I529" t="s">
        <v>826</v>
      </c>
    </row>
    <row r="530" spans="1:9" x14ac:dyDescent="0.3">
      <c r="A530" t="s">
        <v>853</v>
      </c>
      <c r="B530" t="s">
        <v>296</v>
      </c>
      <c r="C530" t="str">
        <f ca="1">IFERROR(_xludf.XLOOKUP(B530,MASTER_REGISTER!E:E,MASTER_REGISTER!F:F,""),"")</f>
        <v/>
      </c>
      <c r="D530" t="str">
        <f ca="1">IFERROR(_xludf.XLOOKUP(B530,MASTER_REGISTER!E:E,MASTER_REGISTER!C:C,""),"")</f>
        <v/>
      </c>
      <c r="E530" t="s">
        <v>843</v>
      </c>
      <c r="F530" t="s">
        <v>838</v>
      </c>
      <c r="G530" t="s">
        <v>845</v>
      </c>
      <c r="H530">
        <v>58.9</v>
      </c>
      <c r="I530" t="s">
        <v>852</v>
      </c>
    </row>
    <row r="531" spans="1:9" x14ac:dyDescent="0.3">
      <c r="A531" t="s">
        <v>865</v>
      </c>
      <c r="B531" t="s">
        <v>296</v>
      </c>
      <c r="C531" t="str">
        <f ca="1">IFERROR(_xludf.XLOOKUP(B531,MASTER_REGISTER!E:E,MASTER_REGISTER!F:F,""),"")</f>
        <v/>
      </c>
      <c r="D531" t="str">
        <f ca="1">IFERROR(_xludf.XLOOKUP(B531,MASTER_REGISTER!E:E,MASTER_REGISTER!C:C,""),"")</f>
        <v/>
      </c>
      <c r="E531" t="s">
        <v>823</v>
      </c>
      <c r="F531" t="s">
        <v>824</v>
      </c>
      <c r="G531" t="s">
        <v>825</v>
      </c>
      <c r="H531">
        <v>73.3</v>
      </c>
      <c r="I531" t="s">
        <v>849</v>
      </c>
    </row>
    <row r="532" spans="1:9" x14ac:dyDescent="0.3">
      <c r="A532" t="s">
        <v>137</v>
      </c>
      <c r="B532" t="s">
        <v>300</v>
      </c>
      <c r="C532" t="str">
        <f ca="1">IFERROR(_xludf.XLOOKUP(B532,MASTER_REGISTER!E:E,MASTER_REGISTER!F:F,""),"")</f>
        <v/>
      </c>
      <c r="D532" t="str">
        <f ca="1">IFERROR(_xludf.XLOOKUP(B532,MASTER_REGISTER!E:E,MASTER_REGISTER!C:C,""),"")</f>
        <v/>
      </c>
      <c r="E532" t="s">
        <v>873</v>
      </c>
      <c r="F532" t="s">
        <v>838</v>
      </c>
      <c r="G532" t="s">
        <v>828</v>
      </c>
      <c r="H532">
        <v>56</v>
      </c>
      <c r="I532" t="s">
        <v>834</v>
      </c>
    </row>
    <row r="533" spans="1:9" x14ac:dyDescent="0.3">
      <c r="A533" t="s">
        <v>172</v>
      </c>
      <c r="B533" t="s">
        <v>300</v>
      </c>
      <c r="C533" t="str">
        <f ca="1">IFERROR(_xludf.XLOOKUP(B533,MASTER_REGISTER!E:E,MASTER_REGISTER!F:F,""),"")</f>
        <v/>
      </c>
      <c r="D533" t="str">
        <f ca="1">IFERROR(_xludf.XLOOKUP(B533,MASTER_REGISTER!E:E,MASTER_REGISTER!C:C,""),"")</f>
        <v/>
      </c>
      <c r="E533" t="s">
        <v>873</v>
      </c>
      <c r="F533" t="s">
        <v>824</v>
      </c>
      <c r="G533" t="s">
        <v>845</v>
      </c>
      <c r="H533">
        <v>51.9</v>
      </c>
      <c r="I533" t="s">
        <v>834</v>
      </c>
    </row>
    <row r="534" spans="1:9" x14ac:dyDescent="0.3">
      <c r="A534" t="s">
        <v>869</v>
      </c>
      <c r="B534" t="s">
        <v>300</v>
      </c>
      <c r="C534" t="str">
        <f ca="1">IFERROR(_xludf.XLOOKUP(B534,MASTER_REGISTER!E:E,MASTER_REGISTER!F:F,""),"")</f>
        <v/>
      </c>
      <c r="D534" t="str">
        <f ca="1">IFERROR(_xludf.XLOOKUP(B534,MASTER_REGISTER!E:E,MASTER_REGISTER!C:C,""),"")</f>
        <v/>
      </c>
      <c r="E534" t="s">
        <v>871</v>
      </c>
      <c r="F534" t="s">
        <v>840</v>
      </c>
      <c r="G534" t="s">
        <v>850</v>
      </c>
      <c r="H534">
        <v>76</v>
      </c>
      <c r="I534" t="s">
        <v>834</v>
      </c>
    </row>
    <row r="535" spans="1:9" x14ac:dyDescent="0.3">
      <c r="A535" t="s">
        <v>396</v>
      </c>
      <c r="B535" t="s">
        <v>300</v>
      </c>
      <c r="C535" t="str">
        <f ca="1">IFERROR(_xludf.XLOOKUP(B535,MASTER_REGISTER!E:E,MASTER_REGISTER!F:F,""),"")</f>
        <v/>
      </c>
      <c r="D535" t="str">
        <f ca="1">IFERROR(_xludf.XLOOKUP(B535,MASTER_REGISTER!E:E,MASTER_REGISTER!C:C,""),"")</f>
        <v/>
      </c>
      <c r="E535" t="s">
        <v>872</v>
      </c>
      <c r="F535" t="s">
        <v>832</v>
      </c>
      <c r="G535" t="s">
        <v>848</v>
      </c>
      <c r="H535">
        <v>38.5</v>
      </c>
      <c r="I535" t="s">
        <v>852</v>
      </c>
    </row>
    <row r="536" spans="1:9" x14ac:dyDescent="0.3">
      <c r="A536" t="s">
        <v>861</v>
      </c>
      <c r="B536" t="s">
        <v>300</v>
      </c>
      <c r="C536" t="str">
        <f ca="1">IFERROR(_xludf.XLOOKUP(B536,MASTER_REGISTER!E:E,MASTER_REGISTER!F:F,""),"")</f>
        <v/>
      </c>
      <c r="D536" t="str">
        <f ca="1">IFERROR(_xludf.XLOOKUP(B536,MASTER_REGISTER!E:E,MASTER_REGISTER!C:C,""),"")</f>
        <v/>
      </c>
      <c r="E536" t="s">
        <v>843</v>
      </c>
      <c r="F536" t="s">
        <v>838</v>
      </c>
      <c r="G536" t="s">
        <v>828</v>
      </c>
      <c r="H536">
        <v>44.6</v>
      </c>
      <c r="I536" t="s">
        <v>862</v>
      </c>
    </row>
    <row r="537" spans="1:9" x14ac:dyDescent="0.3">
      <c r="A537" t="s">
        <v>851</v>
      </c>
      <c r="B537" t="s">
        <v>300</v>
      </c>
      <c r="C537" t="str">
        <f ca="1">IFERROR(_xludf.XLOOKUP(B537,MASTER_REGISTER!E:E,MASTER_REGISTER!F:F,""),"")</f>
        <v/>
      </c>
      <c r="D537" t="str">
        <f ca="1">IFERROR(_xludf.XLOOKUP(B537,MASTER_REGISTER!E:E,MASTER_REGISTER!C:C,""),"")</f>
        <v/>
      </c>
      <c r="E537" t="s">
        <v>872</v>
      </c>
      <c r="F537" t="s">
        <v>840</v>
      </c>
      <c r="G537" t="s">
        <v>855</v>
      </c>
      <c r="H537">
        <v>67.400000000000006</v>
      </c>
      <c r="I537" t="s">
        <v>849</v>
      </c>
    </row>
    <row r="538" spans="1:9" x14ac:dyDescent="0.3">
      <c r="A538" t="s">
        <v>372</v>
      </c>
      <c r="B538" t="s">
        <v>300</v>
      </c>
      <c r="C538" t="str">
        <f ca="1">IFERROR(_xludf.XLOOKUP(B538,MASTER_REGISTER!E:E,MASTER_REGISTER!F:F,""),"")</f>
        <v/>
      </c>
      <c r="D538" t="str">
        <f ca="1">IFERROR(_xludf.XLOOKUP(B538,MASTER_REGISTER!E:E,MASTER_REGISTER!C:C,""),"")</f>
        <v/>
      </c>
      <c r="E538" t="s">
        <v>823</v>
      </c>
      <c r="F538" t="s">
        <v>824</v>
      </c>
      <c r="G538" t="s">
        <v>825</v>
      </c>
      <c r="H538">
        <v>45.7</v>
      </c>
      <c r="I538" t="s">
        <v>844</v>
      </c>
    </row>
    <row r="539" spans="1:9" x14ac:dyDescent="0.3">
      <c r="A539" t="s">
        <v>853</v>
      </c>
      <c r="B539" t="s">
        <v>300</v>
      </c>
      <c r="C539" t="str">
        <f ca="1">IFERROR(_xludf.XLOOKUP(B539,MASTER_REGISTER!E:E,MASTER_REGISTER!F:F,""),"")</f>
        <v/>
      </c>
      <c r="D539" t="str">
        <f ca="1">IFERROR(_xludf.XLOOKUP(B539,MASTER_REGISTER!E:E,MASTER_REGISTER!C:C,""),"")</f>
        <v/>
      </c>
      <c r="E539" t="s">
        <v>843</v>
      </c>
      <c r="F539" t="s">
        <v>840</v>
      </c>
      <c r="G539" t="s">
        <v>833</v>
      </c>
      <c r="H539">
        <v>43.8</v>
      </c>
      <c r="I539" t="s">
        <v>862</v>
      </c>
    </row>
    <row r="540" spans="1:9" x14ac:dyDescent="0.3">
      <c r="A540" t="s">
        <v>847</v>
      </c>
      <c r="B540" t="s">
        <v>300</v>
      </c>
      <c r="C540" t="str">
        <f ca="1">IFERROR(_xludf.XLOOKUP(B540,MASTER_REGISTER!E:E,MASTER_REGISTER!F:F,""),"")</f>
        <v/>
      </c>
      <c r="D540" t="str">
        <f ca="1">IFERROR(_xludf.XLOOKUP(B540,MASTER_REGISTER!E:E,MASTER_REGISTER!C:C,""),"")</f>
        <v/>
      </c>
      <c r="E540" t="s">
        <v>871</v>
      </c>
      <c r="F540" t="s">
        <v>832</v>
      </c>
      <c r="G540" t="s">
        <v>828</v>
      </c>
      <c r="H540">
        <v>37</v>
      </c>
      <c r="I540" t="s">
        <v>862</v>
      </c>
    </row>
    <row r="541" spans="1:9" x14ac:dyDescent="0.3">
      <c r="A541" t="s">
        <v>854</v>
      </c>
      <c r="B541" t="s">
        <v>300</v>
      </c>
      <c r="C541" t="str">
        <f ca="1">IFERROR(_xludf.XLOOKUP(B541,MASTER_REGISTER!E:E,MASTER_REGISTER!F:F,""),"")</f>
        <v/>
      </c>
      <c r="D541" t="str">
        <f ca="1">IFERROR(_xludf.XLOOKUP(B541,MASTER_REGISTER!E:E,MASTER_REGISTER!C:C,""),"")</f>
        <v/>
      </c>
      <c r="E541" t="s">
        <v>843</v>
      </c>
      <c r="F541" t="s">
        <v>832</v>
      </c>
      <c r="G541" t="s">
        <v>850</v>
      </c>
      <c r="H541">
        <v>74.2</v>
      </c>
      <c r="I541" t="s">
        <v>829</v>
      </c>
    </row>
    <row r="542" spans="1:9" x14ac:dyDescent="0.3">
      <c r="A542" t="s">
        <v>857</v>
      </c>
      <c r="B542" t="s">
        <v>304</v>
      </c>
      <c r="C542" t="str">
        <f ca="1">IFERROR(_xludf.XLOOKUP(B542,MASTER_REGISTER!E:E,MASTER_REGISTER!F:F,""),"")</f>
        <v/>
      </c>
      <c r="D542" t="str">
        <f ca="1">IFERROR(_xludf.XLOOKUP(B542,MASTER_REGISTER!E:E,MASTER_REGISTER!C:C,""),"")</f>
        <v/>
      </c>
      <c r="E542" t="s">
        <v>843</v>
      </c>
      <c r="F542" t="s">
        <v>832</v>
      </c>
      <c r="G542" t="s">
        <v>860</v>
      </c>
      <c r="H542">
        <v>71.599999999999994</v>
      </c>
      <c r="I542" t="s">
        <v>829</v>
      </c>
    </row>
    <row r="543" spans="1:9" x14ac:dyDescent="0.3">
      <c r="A543" t="s">
        <v>827</v>
      </c>
      <c r="B543" t="s">
        <v>304</v>
      </c>
      <c r="C543" t="str">
        <f ca="1">IFERROR(_xludf.XLOOKUP(B543,MASTER_REGISTER!E:E,MASTER_REGISTER!F:F,""),"")</f>
        <v/>
      </c>
      <c r="D543" t="str">
        <f ca="1">IFERROR(_xludf.XLOOKUP(B543,MASTER_REGISTER!E:E,MASTER_REGISTER!C:C,""),"")</f>
        <v/>
      </c>
      <c r="E543" t="s">
        <v>873</v>
      </c>
      <c r="F543" t="s">
        <v>838</v>
      </c>
      <c r="G543" t="s">
        <v>850</v>
      </c>
      <c r="H543">
        <v>57.4</v>
      </c>
      <c r="I543" t="s">
        <v>852</v>
      </c>
    </row>
    <row r="544" spans="1:9" x14ac:dyDescent="0.3">
      <c r="A544" t="s">
        <v>433</v>
      </c>
      <c r="B544" t="s">
        <v>304</v>
      </c>
      <c r="C544" t="str">
        <f ca="1">IFERROR(_xludf.XLOOKUP(B544,MASTER_REGISTER!E:E,MASTER_REGISTER!F:F,""),"")</f>
        <v/>
      </c>
      <c r="D544" t="str">
        <f ca="1">IFERROR(_xludf.XLOOKUP(B544,MASTER_REGISTER!E:E,MASTER_REGISTER!C:C,""),"")</f>
        <v/>
      </c>
      <c r="E544" t="s">
        <v>843</v>
      </c>
      <c r="F544" t="s">
        <v>840</v>
      </c>
      <c r="G544" t="s">
        <v>855</v>
      </c>
      <c r="H544">
        <v>66.599999999999994</v>
      </c>
      <c r="I544" t="s">
        <v>862</v>
      </c>
    </row>
    <row r="545" spans="1:9" x14ac:dyDescent="0.3">
      <c r="A545" t="s">
        <v>433</v>
      </c>
      <c r="B545" t="s">
        <v>304</v>
      </c>
      <c r="C545" t="str">
        <f ca="1">IFERROR(_xludf.XLOOKUP(B545,MASTER_REGISTER!E:E,MASTER_REGISTER!F:F,""),"")</f>
        <v/>
      </c>
      <c r="D545" t="str">
        <f ca="1">IFERROR(_xludf.XLOOKUP(B545,MASTER_REGISTER!E:E,MASTER_REGISTER!C:C,""),"")</f>
        <v/>
      </c>
      <c r="E545" t="s">
        <v>823</v>
      </c>
      <c r="F545" t="s">
        <v>824</v>
      </c>
      <c r="G545" t="s">
        <v>833</v>
      </c>
      <c r="H545">
        <v>66.5</v>
      </c>
      <c r="I545" t="s">
        <v>826</v>
      </c>
    </row>
    <row r="546" spans="1:9" x14ac:dyDescent="0.3">
      <c r="A546" t="s">
        <v>835</v>
      </c>
      <c r="B546" t="s">
        <v>304</v>
      </c>
      <c r="C546" t="str">
        <f ca="1">IFERROR(_xludf.XLOOKUP(B546,MASTER_REGISTER!E:E,MASTER_REGISTER!F:F,""),"")</f>
        <v/>
      </c>
      <c r="D546" t="str">
        <f ca="1">IFERROR(_xludf.XLOOKUP(B546,MASTER_REGISTER!E:E,MASTER_REGISTER!C:C,""),"")</f>
        <v/>
      </c>
      <c r="E546" t="s">
        <v>843</v>
      </c>
      <c r="F546" t="s">
        <v>824</v>
      </c>
      <c r="G546" t="s">
        <v>859</v>
      </c>
      <c r="H546">
        <v>78.7</v>
      </c>
      <c r="I546" t="s">
        <v>829</v>
      </c>
    </row>
    <row r="547" spans="1:9" x14ac:dyDescent="0.3">
      <c r="A547" t="s">
        <v>839</v>
      </c>
      <c r="B547" t="s">
        <v>304</v>
      </c>
      <c r="C547" t="str">
        <f ca="1">IFERROR(_xludf.XLOOKUP(B547,MASTER_REGISTER!E:E,MASTER_REGISTER!F:F,""),"")</f>
        <v/>
      </c>
      <c r="D547" t="str">
        <f ca="1">IFERROR(_xludf.XLOOKUP(B547,MASTER_REGISTER!E:E,MASTER_REGISTER!C:C,""),"")</f>
        <v/>
      </c>
      <c r="E547" t="s">
        <v>843</v>
      </c>
      <c r="F547" t="s">
        <v>840</v>
      </c>
      <c r="G547" t="s">
        <v>833</v>
      </c>
      <c r="H547">
        <v>51.4</v>
      </c>
      <c r="I547" t="s">
        <v>849</v>
      </c>
    </row>
    <row r="548" spans="1:9" x14ac:dyDescent="0.3">
      <c r="A548" t="s">
        <v>863</v>
      </c>
      <c r="B548" t="s">
        <v>304</v>
      </c>
      <c r="C548" t="str">
        <f ca="1">IFERROR(_xludf.XLOOKUP(B548,MASTER_REGISTER!E:E,MASTER_REGISTER!F:F,""),"")</f>
        <v/>
      </c>
      <c r="D548" t="str">
        <f ca="1">IFERROR(_xludf.XLOOKUP(B548,MASTER_REGISTER!E:E,MASTER_REGISTER!C:C,""),"")</f>
        <v/>
      </c>
      <c r="E548" t="s">
        <v>873</v>
      </c>
      <c r="F548" t="s">
        <v>832</v>
      </c>
      <c r="G548" t="s">
        <v>836</v>
      </c>
      <c r="H548">
        <v>66.400000000000006</v>
      </c>
      <c r="I548" t="s">
        <v>849</v>
      </c>
    </row>
    <row r="549" spans="1:9" x14ac:dyDescent="0.3">
      <c r="A549" t="s">
        <v>579</v>
      </c>
      <c r="B549" t="s">
        <v>304</v>
      </c>
      <c r="C549" t="str">
        <f ca="1">IFERROR(_xludf.XLOOKUP(B549,MASTER_REGISTER!E:E,MASTER_REGISTER!F:F,""),"")</f>
        <v/>
      </c>
      <c r="D549" t="str">
        <f ca="1">IFERROR(_xludf.XLOOKUP(B549,MASTER_REGISTER!E:E,MASTER_REGISTER!C:C,""),"")</f>
        <v/>
      </c>
      <c r="E549" t="s">
        <v>843</v>
      </c>
      <c r="F549" t="s">
        <v>832</v>
      </c>
      <c r="G549" t="s">
        <v>841</v>
      </c>
      <c r="H549">
        <v>64.7</v>
      </c>
      <c r="I549" t="s">
        <v>844</v>
      </c>
    </row>
    <row r="550" spans="1:9" x14ac:dyDescent="0.3">
      <c r="A550" t="s">
        <v>866</v>
      </c>
      <c r="B550" t="s">
        <v>304</v>
      </c>
      <c r="C550" t="str">
        <f ca="1">IFERROR(_xludf.XLOOKUP(B550,MASTER_REGISTER!E:E,MASTER_REGISTER!F:F,""),"")</f>
        <v/>
      </c>
      <c r="D550" t="str">
        <f ca="1">IFERROR(_xludf.XLOOKUP(B550,MASTER_REGISTER!E:E,MASTER_REGISTER!C:C,""),"")</f>
        <v/>
      </c>
      <c r="E550" t="s">
        <v>874</v>
      </c>
      <c r="F550" t="s">
        <v>824</v>
      </c>
      <c r="G550" t="s">
        <v>859</v>
      </c>
      <c r="H550">
        <v>61.4</v>
      </c>
      <c r="I550" t="s">
        <v>834</v>
      </c>
    </row>
    <row r="551" spans="1:9" x14ac:dyDescent="0.3">
      <c r="A551" t="s">
        <v>866</v>
      </c>
      <c r="B551" t="s">
        <v>304</v>
      </c>
      <c r="C551" t="str">
        <f ca="1">IFERROR(_xludf.XLOOKUP(B551,MASTER_REGISTER!E:E,MASTER_REGISTER!F:F,""),"")</f>
        <v/>
      </c>
      <c r="D551" t="str">
        <f ca="1">IFERROR(_xludf.XLOOKUP(B551,MASTER_REGISTER!E:E,MASTER_REGISTER!C:C,""),"")</f>
        <v/>
      </c>
      <c r="E551" t="s">
        <v>872</v>
      </c>
      <c r="F551" t="s">
        <v>838</v>
      </c>
      <c r="G551" t="s">
        <v>859</v>
      </c>
      <c r="H551">
        <v>61.7</v>
      </c>
      <c r="I551" t="s">
        <v>829</v>
      </c>
    </row>
    <row r="552" spans="1:9" x14ac:dyDescent="0.3">
      <c r="A552" t="s">
        <v>869</v>
      </c>
      <c r="B552" t="s">
        <v>308</v>
      </c>
      <c r="C552" t="str">
        <f ca="1">IFERROR(_xludf.XLOOKUP(B552,MASTER_REGISTER!E:E,MASTER_REGISTER!F:F,""),"")</f>
        <v/>
      </c>
      <c r="D552" t="str">
        <f ca="1">IFERROR(_xludf.XLOOKUP(B552,MASTER_REGISTER!E:E,MASTER_REGISTER!C:C,""),"")</f>
        <v/>
      </c>
      <c r="E552" t="s">
        <v>872</v>
      </c>
      <c r="F552" t="s">
        <v>832</v>
      </c>
      <c r="G552" t="s">
        <v>836</v>
      </c>
      <c r="H552">
        <v>80.8</v>
      </c>
      <c r="I552" t="s">
        <v>862</v>
      </c>
    </row>
    <row r="553" spans="1:9" x14ac:dyDescent="0.3">
      <c r="A553" t="s">
        <v>827</v>
      </c>
      <c r="B553" t="s">
        <v>308</v>
      </c>
      <c r="C553" t="str">
        <f ca="1">IFERROR(_xludf.XLOOKUP(B553,MASTER_REGISTER!E:E,MASTER_REGISTER!F:F,""),"")</f>
        <v/>
      </c>
      <c r="D553" t="str">
        <f ca="1">IFERROR(_xludf.XLOOKUP(B553,MASTER_REGISTER!E:E,MASTER_REGISTER!C:C,""),"")</f>
        <v/>
      </c>
      <c r="E553" t="s">
        <v>843</v>
      </c>
      <c r="F553" t="s">
        <v>838</v>
      </c>
      <c r="G553" t="s">
        <v>867</v>
      </c>
      <c r="H553">
        <v>61.6</v>
      </c>
      <c r="I553" t="s">
        <v>852</v>
      </c>
    </row>
    <row r="554" spans="1:9" x14ac:dyDescent="0.3">
      <c r="A554" t="s">
        <v>433</v>
      </c>
      <c r="B554" t="s">
        <v>308</v>
      </c>
      <c r="C554" t="str">
        <f ca="1">IFERROR(_xludf.XLOOKUP(B554,MASTER_REGISTER!E:E,MASTER_REGISTER!F:F,""),"")</f>
        <v/>
      </c>
      <c r="D554" t="str">
        <f ca="1">IFERROR(_xludf.XLOOKUP(B554,MASTER_REGISTER!E:E,MASTER_REGISTER!C:C,""),"")</f>
        <v/>
      </c>
      <c r="E554" t="s">
        <v>843</v>
      </c>
      <c r="F554" t="s">
        <v>840</v>
      </c>
      <c r="G554" t="s">
        <v>825</v>
      </c>
      <c r="H554">
        <v>72.7</v>
      </c>
      <c r="I554" t="s">
        <v>849</v>
      </c>
    </row>
    <row r="555" spans="1:9" x14ac:dyDescent="0.3">
      <c r="A555" t="s">
        <v>830</v>
      </c>
      <c r="B555" t="s">
        <v>308</v>
      </c>
      <c r="C555" t="str">
        <f ca="1">IFERROR(_xludf.XLOOKUP(B555,MASTER_REGISTER!E:E,MASTER_REGISTER!F:F,""),"")</f>
        <v/>
      </c>
      <c r="D555" t="str">
        <f ca="1">IFERROR(_xludf.XLOOKUP(B555,MASTER_REGISTER!E:E,MASTER_REGISTER!C:C,""),"")</f>
        <v/>
      </c>
      <c r="E555" t="s">
        <v>843</v>
      </c>
      <c r="F555" t="s">
        <v>838</v>
      </c>
      <c r="G555" t="s">
        <v>850</v>
      </c>
      <c r="H555">
        <v>60.7</v>
      </c>
      <c r="I555" t="s">
        <v>834</v>
      </c>
    </row>
    <row r="556" spans="1:9" x14ac:dyDescent="0.3">
      <c r="A556" t="s">
        <v>870</v>
      </c>
      <c r="B556" t="s">
        <v>308</v>
      </c>
      <c r="C556" t="str">
        <f ca="1">IFERROR(_xludf.XLOOKUP(B556,MASTER_REGISTER!E:E,MASTER_REGISTER!F:F,""),"")</f>
        <v/>
      </c>
      <c r="D556" t="str">
        <f ca="1">IFERROR(_xludf.XLOOKUP(B556,MASTER_REGISTER!E:E,MASTER_REGISTER!C:C,""),"")</f>
        <v/>
      </c>
      <c r="E556" t="s">
        <v>874</v>
      </c>
      <c r="F556" t="s">
        <v>840</v>
      </c>
      <c r="G556" t="s">
        <v>850</v>
      </c>
      <c r="H556">
        <v>35.1</v>
      </c>
      <c r="I556" t="s">
        <v>846</v>
      </c>
    </row>
    <row r="557" spans="1:9" x14ac:dyDescent="0.3">
      <c r="A557" t="s">
        <v>863</v>
      </c>
      <c r="B557" t="s">
        <v>308</v>
      </c>
      <c r="C557" t="str">
        <f ca="1">IFERROR(_xludf.XLOOKUP(B557,MASTER_REGISTER!E:E,MASTER_REGISTER!F:F,""),"")</f>
        <v/>
      </c>
      <c r="D557" t="str">
        <f ca="1">IFERROR(_xludf.XLOOKUP(B557,MASTER_REGISTER!E:E,MASTER_REGISTER!C:C,""),"")</f>
        <v/>
      </c>
      <c r="E557" t="s">
        <v>823</v>
      </c>
      <c r="F557" t="s">
        <v>840</v>
      </c>
      <c r="G557" t="s">
        <v>828</v>
      </c>
      <c r="H557">
        <v>83.8</v>
      </c>
      <c r="I557" t="s">
        <v>829</v>
      </c>
    </row>
    <row r="558" spans="1:9" x14ac:dyDescent="0.3">
      <c r="A558" t="s">
        <v>371</v>
      </c>
      <c r="B558" t="s">
        <v>308</v>
      </c>
      <c r="C558" t="str">
        <f ca="1">IFERROR(_xludf.XLOOKUP(B558,MASTER_REGISTER!E:E,MASTER_REGISTER!F:F,""),"")</f>
        <v/>
      </c>
      <c r="D558" t="str">
        <f ca="1">IFERROR(_xludf.XLOOKUP(B558,MASTER_REGISTER!E:E,MASTER_REGISTER!C:C,""),"")</f>
        <v/>
      </c>
      <c r="E558" t="s">
        <v>843</v>
      </c>
      <c r="F558" t="s">
        <v>840</v>
      </c>
      <c r="G558" t="s">
        <v>828</v>
      </c>
      <c r="H558">
        <v>62.6</v>
      </c>
      <c r="I558" t="s">
        <v>852</v>
      </c>
    </row>
    <row r="559" spans="1:9" x14ac:dyDescent="0.3">
      <c r="A559" t="s">
        <v>372</v>
      </c>
      <c r="B559" t="s">
        <v>308</v>
      </c>
      <c r="C559" t="str">
        <f ca="1">IFERROR(_xludf.XLOOKUP(B559,MASTER_REGISTER!E:E,MASTER_REGISTER!F:F,""),"")</f>
        <v/>
      </c>
      <c r="D559" t="str">
        <f ca="1">IFERROR(_xludf.XLOOKUP(B559,MASTER_REGISTER!E:E,MASTER_REGISTER!C:C,""),"")</f>
        <v/>
      </c>
      <c r="E559" t="s">
        <v>873</v>
      </c>
      <c r="F559" t="s">
        <v>838</v>
      </c>
      <c r="G559" t="s">
        <v>850</v>
      </c>
      <c r="H559">
        <v>50.1</v>
      </c>
      <c r="I559" t="s">
        <v>829</v>
      </c>
    </row>
    <row r="560" spans="1:9" x14ac:dyDescent="0.3">
      <c r="A560" t="s">
        <v>372</v>
      </c>
      <c r="B560" t="s">
        <v>308</v>
      </c>
      <c r="C560" t="str">
        <f ca="1">IFERROR(_xludf.XLOOKUP(B560,MASTER_REGISTER!E:E,MASTER_REGISTER!F:F,""),"")</f>
        <v/>
      </c>
      <c r="D560" t="str">
        <f ca="1">IFERROR(_xludf.XLOOKUP(B560,MASTER_REGISTER!E:E,MASTER_REGISTER!C:C,""),"")</f>
        <v/>
      </c>
      <c r="E560" t="s">
        <v>823</v>
      </c>
      <c r="F560" t="s">
        <v>838</v>
      </c>
      <c r="G560" t="s">
        <v>828</v>
      </c>
      <c r="H560">
        <v>62.2</v>
      </c>
      <c r="I560" t="s">
        <v>834</v>
      </c>
    </row>
    <row r="561" spans="1:9" x14ac:dyDescent="0.3">
      <c r="A561" t="s">
        <v>854</v>
      </c>
      <c r="B561" t="s">
        <v>308</v>
      </c>
      <c r="C561" t="str">
        <f ca="1">IFERROR(_xludf.XLOOKUP(B561,MASTER_REGISTER!E:E,MASTER_REGISTER!F:F,""),"")</f>
        <v/>
      </c>
      <c r="D561" t="str">
        <f ca="1">IFERROR(_xludf.XLOOKUP(B561,MASTER_REGISTER!E:E,MASTER_REGISTER!C:C,""),"")</f>
        <v/>
      </c>
      <c r="E561" t="s">
        <v>843</v>
      </c>
      <c r="F561" t="s">
        <v>824</v>
      </c>
      <c r="G561" t="s">
        <v>867</v>
      </c>
      <c r="H561">
        <v>46.2</v>
      </c>
      <c r="I561" t="s">
        <v>846</v>
      </c>
    </row>
    <row r="562" spans="1:9" x14ac:dyDescent="0.3">
      <c r="A562" t="s">
        <v>172</v>
      </c>
      <c r="B562" t="s">
        <v>311</v>
      </c>
      <c r="C562" t="str">
        <f ca="1">IFERROR(_xludf.XLOOKUP(B562,MASTER_REGISTER!E:E,MASTER_REGISTER!F:F,""),"")</f>
        <v/>
      </c>
      <c r="D562" t="str">
        <f ca="1">IFERROR(_xludf.XLOOKUP(B562,MASTER_REGISTER!E:E,MASTER_REGISTER!C:C,""),"")</f>
        <v/>
      </c>
      <c r="E562" t="s">
        <v>823</v>
      </c>
      <c r="F562" t="s">
        <v>832</v>
      </c>
      <c r="G562" t="s">
        <v>848</v>
      </c>
      <c r="H562">
        <v>52.5</v>
      </c>
      <c r="I562" t="s">
        <v>846</v>
      </c>
    </row>
    <row r="563" spans="1:9" x14ac:dyDescent="0.3">
      <c r="A563" t="s">
        <v>861</v>
      </c>
      <c r="B563" t="s">
        <v>311</v>
      </c>
      <c r="C563" t="str">
        <f ca="1">IFERROR(_xludf.XLOOKUP(B563,MASTER_REGISTER!E:E,MASTER_REGISTER!F:F,""),"")</f>
        <v/>
      </c>
      <c r="D563" t="str">
        <f ca="1">IFERROR(_xludf.XLOOKUP(B563,MASTER_REGISTER!E:E,MASTER_REGISTER!C:C,""),"")</f>
        <v/>
      </c>
      <c r="E563" t="s">
        <v>843</v>
      </c>
      <c r="F563" t="s">
        <v>840</v>
      </c>
      <c r="G563" t="s">
        <v>833</v>
      </c>
      <c r="H563">
        <v>49</v>
      </c>
      <c r="I563" t="s">
        <v>834</v>
      </c>
    </row>
    <row r="564" spans="1:9" x14ac:dyDescent="0.3">
      <c r="A564" t="s">
        <v>857</v>
      </c>
      <c r="B564" t="s">
        <v>311</v>
      </c>
      <c r="C564" t="str">
        <f ca="1">IFERROR(_xludf.XLOOKUP(B564,MASTER_REGISTER!E:E,MASTER_REGISTER!F:F,""),"")</f>
        <v/>
      </c>
      <c r="D564" t="str">
        <f ca="1">IFERROR(_xludf.XLOOKUP(B564,MASTER_REGISTER!E:E,MASTER_REGISTER!C:C,""),"")</f>
        <v/>
      </c>
      <c r="E564" t="s">
        <v>823</v>
      </c>
      <c r="F564" t="s">
        <v>838</v>
      </c>
      <c r="G564" t="s">
        <v>859</v>
      </c>
      <c r="H564">
        <v>43.7</v>
      </c>
      <c r="I564" t="s">
        <v>846</v>
      </c>
    </row>
    <row r="565" spans="1:9" x14ac:dyDescent="0.3">
      <c r="A565" t="s">
        <v>433</v>
      </c>
      <c r="B565" t="s">
        <v>311</v>
      </c>
      <c r="C565" t="str">
        <f ca="1">IFERROR(_xludf.XLOOKUP(B565,MASTER_REGISTER!E:E,MASTER_REGISTER!F:F,""),"")</f>
        <v/>
      </c>
      <c r="D565" t="str">
        <f ca="1">IFERROR(_xludf.XLOOKUP(B565,MASTER_REGISTER!E:E,MASTER_REGISTER!C:C,""),"")</f>
        <v/>
      </c>
      <c r="E565" t="s">
        <v>843</v>
      </c>
      <c r="F565" t="s">
        <v>840</v>
      </c>
      <c r="G565" t="s">
        <v>850</v>
      </c>
      <c r="H565">
        <v>63.3</v>
      </c>
      <c r="I565" t="s">
        <v>826</v>
      </c>
    </row>
    <row r="566" spans="1:9" x14ac:dyDescent="0.3">
      <c r="A566" t="s">
        <v>830</v>
      </c>
      <c r="B566" t="s">
        <v>311</v>
      </c>
      <c r="C566" t="str">
        <f ca="1">IFERROR(_xludf.XLOOKUP(B566,MASTER_REGISTER!E:E,MASTER_REGISTER!F:F,""),"")</f>
        <v/>
      </c>
      <c r="D566" t="str">
        <f ca="1">IFERROR(_xludf.XLOOKUP(B566,MASTER_REGISTER!E:E,MASTER_REGISTER!C:C,""),"")</f>
        <v/>
      </c>
      <c r="E566" t="s">
        <v>871</v>
      </c>
      <c r="F566" t="s">
        <v>840</v>
      </c>
      <c r="G566" t="s">
        <v>836</v>
      </c>
      <c r="H566">
        <v>53.2</v>
      </c>
      <c r="I566" t="s">
        <v>834</v>
      </c>
    </row>
    <row r="567" spans="1:9" x14ac:dyDescent="0.3">
      <c r="A567" t="s">
        <v>835</v>
      </c>
      <c r="B567" t="s">
        <v>311</v>
      </c>
      <c r="C567" t="str">
        <f ca="1">IFERROR(_xludf.XLOOKUP(B567,MASTER_REGISTER!E:E,MASTER_REGISTER!F:F,""),"")</f>
        <v/>
      </c>
      <c r="D567" t="str">
        <f ca="1">IFERROR(_xludf.XLOOKUP(B567,MASTER_REGISTER!E:E,MASTER_REGISTER!C:C,""),"")</f>
        <v/>
      </c>
      <c r="E567" t="s">
        <v>823</v>
      </c>
      <c r="F567" t="s">
        <v>832</v>
      </c>
      <c r="G567" t="s">
        <v>845</v>
      </c>
      <c r="H567">
        <v>52.4</v>
      </c>
      <c r="I567" t="s">
        <v>826</v>
      </c>
    </row>
    <row r="568" spans="1:9" x14ac:dyDescent="0.3">
      <c r="A568" t="s">
        <v>839</v>
      </c>
      <c r="B568" t="s">
        <v>311</v>
      </c>
      <c r="C568" t="str">
        <f ca="1">IFERROR(_xludf.XLOOKUP(B568,MASTER_REGISTER!E:E,MASTER_REGISTER!F:F,""),"")</f>
        <v/>
      </c>
      <c r="D568" t="str">
        <f ca="1">IFERROR(_xludf.XLOOKUP(B568,MASTER_REGISTER!E:E,MASTER_REGISTER!C:C,""),"")</f>
        <v/>
      </c>
      <c r="E568" t="s">
        <v>871</v>
      </c>
      <c r="F568" t="s">
        <v>838</v>
      </c>
      <c r="G568" t="s">
        <v>825</v>
      </c>
      <c r="H568">
        <v>31.7</v>
      </c>
      <c r="I568" t="s">
        <v>862</v>
      </c>
    </row>
    <row r="569" spans="1:9" x14ac:dyDescent="0.3">
      <c r="A569" t="s">
        <v>865</v>
      </c>
      <c r="B569" t="s">
        <v>311</v>
      </c>
      <c r="C569" t="str">
        <f ca="1">IFERROR(_xludf.XLOOKUP(B569,MASTER_REGISTER!E:E,MASTER_REGISTER!F:F,""),"")</f>
        <v/>
      </c>
      <c r="D569" t="str">
        <f ca="1">IFERROR(_xludf.XLOOKUP(B569,MASTER_REGISTER!E:E,MASTER_REGISTER!C:C,""),"")</f>
        <v/>
      </c>
      <c r="E569" t="s">
        <v>873</v>
      </c>
      <c r="F569" t="s">
        <v>832</v>
      </c>
      <c r="G569" t="s">
        <v>841</v>
      </c>
      <c r="H569">
        <v>43.6</v>
      </c>
      <c r="I569" t="s">
        <v>846</v>
      </c>
    </row>
    <row r="570" spans="1:9" x14ac:dyDescent="0.3">
      <c r="A570" t="s">
        <v>866</v>
      </c>
      <c r="B570" t="s">
        <v>311</v>
      </c>
      <c r="C570" t="str">
        <f ca="1">IFERROR(_xludf.XLOOKUP(B570,MASTER_REGISTER!E:E,MASTER_REGISTER!F:F,""),"")</f>
        <v/>
      </c>
      <c r="D570" t="str">
        <f ca="1">IFERROR(_xludf.XLOOKUP(B570,MASTER_REGISTER!E:E,MASTER_REGISTER!C:C,""),"")</f>
        <v/>
      </c>
      <c r="E570" t="s">
        <v>871</v>
      </c>
      <c r="F570" t="s">
        <v>840</v>
      </c>
      <c r="G570" t="s">
        <v>855</v>
      </c>
      <c r="H570">
        <v>59</v>
      </c>
      <c r="I570" t="s">
        <v>846</v>
      </c>
    </row>
    <row r="571" spans="1:9" x14ac:dyDescent="0.3">
      <c r="A571" t="s">
        <v>847</v>
      </c>
      <c r="B571" t="s">
        <v>311</v>
      </c>
      <c r="C571" t="str">
        <f ca="1">IFERROR(_xludf.XLOOKUP(B571,MASTER_REGISTER!E:E,MASTER_REGISTER!F:F,""),"")</f>
        <v/>
      </c>
      <c r="D571" t="str">
        <f ca="1">IFERROR(_xludf.XLOOKUP(B571,MASTER_REGISTER!E:E,MASTER_REGISTER!C:C,""),"")</f>
        <v/>
      </c>
      <c r="E571" t="s">
        <v>823</v>
      </c>
      <c r="F571" t="s">
        <v>824</v>
      </c>
      <c r="G571" t="s">
        <v>845</v>
      </c>
      <c r="H571">
        <v>52.3</v>
      </c>
      <c r="I571" t="s">
        <v>846</v>
      </c>
    </row>
    <row r="572" spans="1:9" x14ac:dyDescent="0.3">
      <c r="A572" t="s">
        <v>856</v>
      </c>
      <c r="B572" t="s">
        <v>315</v>
      </c>
      <c r="C572" t="str">
        <f ca="1">IFERROR(_xludf.XLOOKUP(B572,MASTER_REGISTER!E:E,MASTER_REGISTER!F:F,""),"")</f>
        <v/>
      </c>
      <c r="D572" t="str">
        <f ca="1">IFERROR(_xludf.XLOOKUP(B572,MASTER_REGISTER!E:E,MASTER_REGISTER!C:C,""),"")</f>
        <v/>
      </c>
      <c r="E572" t="s">
        <v>823</v>
      </c>
      <c r="F572" t="s">
        <v>832</v>
      </c>
      <c r="G572" t="s">
        <v>845</v>
      </c>
      <c r="H572">
        <v>50.6</v>
      </c>
      <c r="I572" t="s">
        <v>846</v>
      </c>
    </row>
    <row r="573" spans="1:9" x14ac:dyDescent="0.3">
      <c r="A573" t="s">
        <v>869</v>
      </c>
      <c r="B573" t="s">
        <v>315</v>
      </c>
      <c r="C573" t="str">
        <f ca="1">IFERROR(_xludf.XLOOKUP(B573,MASTER_REGISTER!E:E,MASTER_REGISTER!F:F,""),"")</f>
        <v/>
      </c>
      <c r="D573" t="str">
        <f ca="1">IFERROR(_xludf.XLOOKUP(B573,MASTER_REGISTER!E:E,MASTER_REGISTER!C:C,""),"")</f>
        <v/>
      </c>
      <c r="E573" t="s">
        <v>871</v>
      </c>
      <c r="F573" t="s">
        <v>832</v>
      </c>
      <c r="G573" t="s">
        <v>833</v>
      </c>
      <c r="H573">
        <v>61.6</v>
      </c>
      <c r="I573" t="s">
        <v>852</v>
      </c>
    </row>
    <row r="574" spans="1:9" x14ac:dyDescent="0.3">
      <c r="A574" t="s">
        <v>396</v>
      </c>
      <c r="B574" t="s">
        <v>315</v>
      </c>
      <c r="C574" t="str">
        <f ca="1">IFERROR(_xludf.XLOOKUP(B574,MASTER_REGISTER!E:E,MASTER_REGISTER!F:F,""),"")</f>
        <v/>
      </c>
      <c r="D574" t="str">
        <f ca="1">IFERROR(_xludf.XLOOKUP(B574,MASTER_REGISTER!E:E,MASTER_REGISTER!C:C,""),"")</f>
        <v/>
      </c>
      <c r="E574" t="s">
        <v>823</v>
      </c>
      <c r="F574" t="s">
        <v>824</v>
      </c>
      <c r="G574" t="s">
        <v>855</v>
      </c>
      <c r="H574">
        <v>55.6</v>
      </c>
      <c r="I574" t="s">
        <v>862</v>
      </c>
    </row>
    <row r="575" spans="1:9" x14ac:dyDescent="0.3">
      <c r="A575" t="s">
        <v>857</v>
      </c>
      <c r="B575" t="s">
        <v>315</v>
      </c>
      <c r="C575" t="str">
        <f ca="1">IFERROR(_xludf.XLOOKUP(B575,MASTER_REGISTER!E:E,MASTER_REGISTER!F:F,""),"")</f>
        <v/>
      </c>
      <c r="D575" t="str">
        <f ca="1">IFERROR(_xludf.XLOOKUP(B575,MASTER_REGISTER!E:E,MASTER_REGISTER!C:C,""),"")</f>
        <v/>
      </c>
      <c r="E575" t="s">
        <v>843</v>
      </c>
      <c r="F575" t="s">
        <v>824</v>
      </c>
      <c r="G575" t="s">
        <v>848</v>
      </c>
      <c r="H575">
        <v>60.6</v>
      </c>
      <c r="I575" t="s">
        <v>844</v>
      </c>
    </row>
    <row r="576" spans="1:9" x14ac:dyDescent="0.3">
      <c r="A576" t="s">
        <v>830</v>
      </c>
      <c r="B576" t="s">
        <v>315</v>
      </c>
      <c r="C576" t="str">
        <f ca="1">IFERROR(_xludf.XLOOKUP(B576,MASTER_REGISTER!E:E,MASTER_REGISTER!F:F,""),"")</f>
        <v/>
      </c>
      <c r="D576" t="str">
        <f ca="1">IFERROR(_xludf.XLOOKUP(B576,MASTER_REGISTER!E:E,MASTER_REGISTER!C:C,""),"")</f>
        <v/>
      </c>
      <c r="E576" t="s">
        <v>872</v>
      </c>
      <c r="F576" t="s">
        <v>838</v>
      </c>
      <c r="G576" t="s">
        <v>850</v>
      </c>
      <c r="H576">
        <v>80.099999999999994</v>
      </c>
      <c r="I576" t="s">
        <v>849</v>
      </c>
    </row>
    <row r="577" spans="1:9" x14ac:dyDescent="0.3">
      <c r="A577" t="s">
        <v>549</v>
      </c>
      <c r="B577" t="s">
        <v>315</v>
      </c>
      <c r="C577" t="str">
        <f ca="1">IFERROR(_xludf.XLOOKUP(B577,MASTER_REGISTER!E:E,MASTER_REGISTER!F:F,""),"")</f>
        <v/>
      </c>
      <c r="D577" t="str">
        <f ca="1">IFERROR(_xludf.XLOOKUP(B577,MASTER_REGISTER!E:E,MASTER_REGISTER!C:C,""),"")</f>
        <v/>
      </c>
      <c r="E577" t="s">
        <v>823</v>
      </c>
      <c r="F577" t="s">
        <v>838</v>
      </c>
      <c r="G577" t="s">
        <v>860</v>
      </c>
      <c r="H577">
        <v>74.900000000000006</v>
      </c>
      <c r="I577" t="s">
        <v>852</v>
      </c>
    </row>
    <row r="578" spans="1:9" x14ac:dyDescent="0.3">
      <c r="A578" t="s">
        <v>839</v>
      </c>
      <c r="B578" t="s">
        <v>315</v>
      </c>
      <c r="C578" t="str">
        <f ca="1">IFERROR(_xludf.XLOOKUP(B578,MASTER_REGISTER!E:E,MASTER_REGISTER!F:F,""),"")</f>
        <v/>
      </c>
      <c r="D578" t="str">
        <f ca="1">IFERROR(_xludf.XLOOKUP(B578,MASTER_REGISTER!E:E,MASTER_REGISTER!C:C,""),"")</f>
        <v/>
      </c>
      <c r="E578" t="s">
        <v>874</v>
      </c>
      <c r="F578" t="s">
        <v>838</v>
      </c>
      <c r="G578" t="s">
        <v>841</v>
      </c>
      <c r="H578">
        <v>46.8</v>
      </c>
      <c r="I578" t="s">
        <v>852</v>
      </c>
    </row>
    <row r="579" spans="1:9" x14ac:dyDescent="0.3">
      <c r="A579" t="s">
        <v>370</v>
      </c>
      <c r="B579" t="s">
        <v>315</v>
      </c>
      <c r="C579" t="str">
        <f ca="1">IFERROR(_xludf.XLOOKUP(B579,MASTER_REGISTER!E:E,MASTER_REGISTER!F:F,""),"")</f>
        <v/>
      </c>
      <c r="D579" t="str">
        <f ca="1">IFERROR(_xludf.XLOOKUP(B579,MASTER_REGISTER!E:E,MASTER_REGISTER!C:C,""),"")</f>
        <v/>
      </c>
      <c r="E579" t="s">
        <v>874</v>
      </c>
      <c r="F579" t="s">
        <v>840</v>
      </c>
      <c r="G579" t="s">
        <v>845</v>
      </c>
      <c r="H579">
        <v>56.8</v>
      </c>
      <c r="I579" t="s">
        <v>852</v>
      </c>
    </row>
    <row r="580" spans="1:9" x14ac:dyDescent="0.3">
      <c r="A580" t="s">
        <v>418</v>
      </c>
      <c r="B580" t="s">
        <v>315</v>
      </c>
      <c r="C580" t="str">
        <f ca="1">IFERROR(_xludf.XLOOKUP(B580,MASTER_REGISTER!E:E,MASTER_REGISTER!F:F,""),"")</f>
        <v/>
      </c>
      <c r="D580" t="str">
        <f ca="1">IFERROR(_xludf.XLOOKUP(B580,MASTER_REGISTER!E:E,MASTER_REGISTER!C:C,""),"")</f>
        <v/>
      </c>
      <c r="E580" t="s">
        <v>873</v>
      </c>
      <c r="F580" t="s">
        <v>840</v>
      </c>
      <c r="G580" t="s">
        <v>855</v>
      </c>
      <c r="H580">
        <v>72</v>
      </c>
      <c r="I580" t="s">
        <v>826</v>
      </c>
    </row>
    <row r="581" spans="1:9" x14ac:dyDescent="0.3">
      <c r="A581" t="s">
        <v>865</v>
      </c>
      <c r="B581" t="s">
        <v>315</v>
      </c>
      <c r="C581" t="str">
        <f ca="1">IFERROR(_xludf.XLOOKUP(B581,MASTER_REGISTER!E:E,MASTER_REGISTER!F:F,""),"")</f>
        <v/>
      </c>
      <c r="D581" t="str">
        <f ca="1">IFERROR(_xludf.XLOOKUP(B581,MASTER_REGISTER!E:E,MASTER_REGISTER!C:C,""),"")</f>
        <v/>
      </c>
      <c r="E581" t="s">
        <v>873</v>
      </c>
      <c r="F581" t="s">
        <v>840</v>
      </c>
      <c r="G581" t="s">
        <v>850</v>
      </c>
      <c r="H581">
        <v>55.1</v>
      </c>
      <c r="I581" t="s">
        <v>846</v>
      </c>
    </row>
    <row r="582" spans="1:9" x14ac:dyDescent="0.3">
      <c r="A582" t="s">
        <v>857</v>
      </c>
      <c r="B582" t="s">
        <v>319</v>
      </c>
      <c r="C582" t="str">
        <f ca="1">IFERROR(_xludf.XLOOKUP(B582,MASTER_REGISTER!E:E,MASTER_REGISTER!F:F,""),"")</f>
        <v/>
      </c>
      <c r="D582" t="str">
        <f ca="1">IFERROR(_xludf.XLOOKUP(B582,MASTER_REGISTER!E:E,MASTER_REGISTER!C:C,""),"")</f>
        <v/>
      </c>
      <c r="E582" t="s">
        <v>843</v>
      </c>
      <c r="F582" t="s">
        <v>832</v>
      </c>
      <c r="G582" t="s">
        <v>828</v>
      </c>
      <c r="H582">
        <v>79.5</v>
      </c>
      <c r="I582" t="s">
        <v>846</v>
      </c>
    </row>
    <row r="583" spans="1:9" x14ac:dyDescent="0.3">
      <c r="A583" t="s">
        <v>827</v>
      </c>
      <c r="B583" t="s">
        <v>319</v>
      </c>
      <c r="C583" t="str">
        <f ca="1">IFERROR(_xludf.XLOOKUP(B583,MASTER_REGISTER!E:E,MASTER_REGISTER!F:F,""),"")</f>
        <v/>
      </c>
      <c r="D583" t="str">
        <f ca="1">IFERROR(_xludf.XLOOKUP(B583,MASTER_REGISTER!E:E,MASTER_REGISTER!C:C,""),"")</f>
        <v/>
      </c>
      <c r="E583" t="s">
        <v>874</v>
      </c>
      <c r="F583" t="s">
        <v>824</v>
      </c>
      <c r="G583" t="s">
        <v>825</v>
      </c>
      <c r="H583">
        <v>50.8</v>
      </c>
      <c r="I583" t="s">
        <v>826</v>
      </c>
    </row>
    <row r="584" spans="1:9" x14ac:dyDescent="0.3">
      <c r="A584" t="s">
        <v>549</v>
      </c>
      <c r="B584" t="s">
        <v>319</v>
      </c>
      <c r="C584" t="str">
        <f ca="1">IFERROR(_xludf.XLOOKUP(B584,MASTER_REGISTER!E:E,MASTER_REGISTER!F:F,""),"")</f>
        <v/>
      </c>
      <c r="D584" t="str">
        <f ca="1">IFERROR(_xludf.XLOOKUP(B584,MASTER_REGISTER!E:E,MASTER_REGISTER!C:C,""),"")</f>
        <v/>
      </c>
      <c r="E584" t="s">
        <v>871</v>
      </c>
      <c r="F584" t="s">
        <v>838</v>
      </c>
      <c r="G584" t="s">
        <v>859</v>
      </c>
      <c r="H584">
        <v>82</v>
      </c>
      <c r="I584" t="s">
        <v>826</v>
      </c>
    </row>
    <row r="585" spans="1:9" x14ac:dyDescent="0.3">
      <c r="A585" t="s">
        <v>549</v>
      </c>
      <c r="B585" t="s">
        <v>319</v>
      </c>
      <c r="C585" t="str">
        <f ca="1">IFERROR(_xludf.XLOOKUP(B585,MASTER_REGISTER!E:E,MASTER_REGISTER!F:F,""),"")</f>
        <v/>
      </c>
      <c r="D585" t="str">
        <f ca="1">IFERROR(_xludf.XLOOKUP(B585,MASTER_REGISTER!E:E,MASTER_REGISTER!C:C,""),"")</f>
        <v/>
      </c>
      <c r="E585" t="s">
        <v>874</v>
      </c>
      <c r="F585" t="s">
        <v>824</v>
      </c>
      <c r="G585" t="s">
        <v>841</v>
      </c>
      <c r="H585">
        <v>55.7</v>
      </c>
      <c r="I585" t="s">
        <v>862</v>
      </c>
    </row>
    <row r="586" spans="1:9" x14ac:dyDescent="0.3">
      <c r="A586" t="s">
        <v>504</v>
      </c>
      <c r="B586" t="s">
        <v>319</v>
      </c>
      <c r="C586" t="str">
        <f ca="1">IFERROR(_xludf.XLOOKUP(B586,MASTER_REGISTER!E:E,MASTER_REGISTER!F:F,""),"")</f>
        <v/>
      </c>
      <c r="D586" t="str">
        <f ca="1">IFERROR(_xludf.XLOOKUP(B586,MASTER_REGISTER!E:E,MASTER_REGISTER!C:C,""),"")</f>
        <v/>
      </c>
      <c r="E586" t="s">
        <v>823</v>
      </c>
      <c r="F586" t="s">
        <v>824</v>
      </c>
      <c r="G586" t="s">
        <v>850</v>
      </c>
      <c r="H586">
        <v>53.2</v>
      </c>
      <c r="I586" t="s">
        <v>852</v>
      </c>
    </row>
    <row r="587" spans="1:9" x14ac:dyDescent="0.3">
      <c r="A587" t="s">
        <v>863</v>
      </c>
      <c r="B587" t="s">
        <v>319</v>
      </c>
      <c r="C587" t="str">
        <f ca="1">IFERROR(_xludf.XLOOKUP(B587,MASTER_REGISTER!E:E,MASTER_REGISTER!F:F,""),"")</f>
        <v/>
      </c>
      <c r="D587" t="str">
        <f ca="1">IFERROR(_xludf.XLOOKUP(B587,MASTER_REGISTER!E:E,MASTER_REGISTER!C:C,""),"")</f>
        <v/>
      </c>
      <c r="E587" t="s">
        <v>872</v>
      </c>
      <c r="F587" t="s">
        <v>832</v>
      </c>
      <c r="G587" t="s">
        <v>825</v>
      </c>
      <c r="H587">
        <v>57.7</v>
      </c>
      <c r="I587" t="s">
        <v>846</v>
      </c>
    </row>
    <row r="588" spans="1:9" x14ac:dyDescent="0.3">
      <c r="A588" t="s">
        <v>371</v>
      </c>
      <c r="B588" t="s">
        <v>319</v>
      </c>
      <c r="C588" t="str">
        <f ca="1">IFERROR(_xludf.XLOOKUP(B588,MASTER_REGISTER!E:E,MASTER_REGISTER!F:F,""),"")</f>
        <v/>
      </c>
      <c r="D588" t="str">
        <f ca="1">IFERROR(_xludf.XLOOKUP(B588,MASTER_REGISTER!E:E,MASTER_REGISTER!C:C,""),"")</f>
        <v/>
      </c>
      <c r="E588" t="s">
        <v>873</v>
      </c>
      <c r="F588" t="s">
        <v>840</v>
      </c>
      <c r="G588" t="s">
        <v>860</v>
      </c>
      <c r="H588">
        <v>50.9</v>
      </c>
      <c r="I588" t="s">
        <v>829</v>
      </c>
    </row>
    <row r="589" spans="1:9" x14ac:dyDescent="0.3">
      <c r="A589" t="s">
        <v>373</v>
      </c>
      <c r="B589" t="s">
        <v>319</v>
      </c>
      <c r="C589" t="str">
        <f ca="1">IFERROR(_xludf.XLOOKUP(B589,MASTER_REGISTER!E:E,MASTER_REGISTER!F:F,""),"")</f>
        <v/>
      </c>
      <c r="D589" t="str">
        <f ca="1">IFERROR(_xludf.XLOOKUP(B589,MASTER_REGISTER!E:E,MASTER_REGISTER!C:C,""),"")</f>
        <v/>
      </c>
      <c r="E589" t="s">
        <v>871</v>
      </c>
      <c r="F589" t="s">
        <v>838</v>
      </c>
      <c r="G589" t="s">
        <v>836</v>
      </c>
      <c r="H589">
        <v>78.3</v>
      </c>
      <c r="I589" t="s">
        <v>834</v>
      </c>
    </row>
    <row r="590" spans="1:9" x14ac:dyDescent="0.3">
      <c r="A590" t="s">
        <v>418</v>
      </c>
      <c r="B590" t="s">
        <v>319</v>
      </c>
      <c r="C590" t="str">
        <f ca="1">IFERROR(_xludf.XLOOKUP(B590,MASTER_REGISTER!E:E,MASTER_REGISTER!F:F,""),"")</f>
        <v/>
      </c>
      <c r="D590" t="str">
        <f ca="1">IFERROR(_xludf.XLOOKUP(B590,MASTER_REGISTER!E:E,MASTER_REGISTER!C:C,""),"")</f>
        <v/>
      </c>
      <c r="E590" t="s">
        <v>843</v>
      </c>
      <c r="F590" t="s">
        <v>838</v>
      </c>
      <c r="G590" t="s">
        <v>855</v>
      </c>
      <c r="H590">
        <v>70.2</v>
      </c>
      <c r="I590" t="s">
        <v>852</v>
      </c>
    </row>
    <row r="591" spans="1:9" x14ac:dyDescent="0.3">
      <c r="A591" t="s">
        <v>868</v>
      </c>
      <c r="B591" t="s">
        <v>319</v>
      </c>
      <c r="C591" t="str">
        <f ca="1">IFERROR(_xludf.XLOOKUP(B591,MASTER_REGISTER!E:E,MASTER_REGISTER!F:F,""),"")</f>
        <v/>
      </c>
      <c r="D591" t="str">
        <f ca="1">IFERROR(_xludf.XLOOKUP(B591,MASTER_REGISTER!E:E,MASTER_REGISTER!C:C,""),"")</f>
        <v/>
      </c>
      <c r="E591" t="s">
        <v>823</v>
      </c>
      <c r="F591" t="s">
        <v>824</v>
      </c>
      <c r="G591" t="s">
        <v>850</v>
      </c>
      <c r="H591">
        <v>70.400000000000006</v>
      </c>
      <c r="I591" t="s">
        <v>849</v>
      </c>
    </row>
    <row r="592" spans="1:9" x14ac:dyDescent="0.3">
      <c r="A592" t="s">
        <v>396</v>
      </c>
      <c r="B592" t="s">
        <v>323</v>
      </c>
      <c r="C592" t="str">
        <f ca="1">IFERROR(_xludf.XLOOKUP(B592,MASTER_REGISTER!E:E,MASTER_REGISTER!F:F,""),"")</f>
        <v/>
      </c>
      <c r="D592" t="str">
        <f ca="1">IFERROR(_xludf.XLOOKUP(B592,MASTER_REGISTER!E:E,MASTER_REGISTER!C:C,""),"")</f>
        <v/>
      </c>
      <c r="E592" t="s">
        <v>874</v>
      </c>
      <c r="F592" t="s">
        <v>832</v>
      </c>
      <c r="G592" t="s">
        <v>845</v>
      </c>
      <c r="H592">
        <v>61.4</v>
      </c>
      <c r="I592" t="s">
        <v>862</v>
      </c>
    </row>
    <row r="593" spans="1:9" x14ac:dyDescent="0.3">
      <c r="A593" t="s">
        <v>835</v>
      </c>
      <c r="B593" t="s">
        <v>323</v>
      </c>
      <c r="C593" t="str">
        <f ca="1">IFERROR(_xludf.XLOOKUP(B593,MASTER_REGISTER!E:E,MASTER_REGISTER!F:F,""),"")</f>
        <v/>
      </c>
      <c r="D593" t="str">
        <f ca="1">IFERROR(_xludf.XLOOKUP(B593,MASTER_REGISTER!E:E,MASTER_REGISTER!C:C,""),"")</f>
        <v/>
      </c>
      <c r="E593" t="s">
        <v>823</v>
      </c>
      <c r="F593" t="s">
        <v>840</v>
      </c>
      <c r="G593" t="s">
        <v>855</v>
      </c>
      <c r="H593">
        <v>46.8</v>
      </c>
      <c r="I593" t="s">
        <v>846</v>
      </c>
    </row>
    <row r="594" spans="1:9" x14ac:dyDescent="0.3">
      <c r="A594" t="s">
        <v>549</v>
      </c>
      <c r="B594" t="s">
        <v>323</v>
      </c>
      <c r="C594" t="str">
        <f ca="1">IFERROR(_xludf.XLOOKUP(B594,MASTER_REGISTER!E:E,MASTER_REGISTER!F:F,""),"")</f>
        <v/>
      </c>
      <c r="D594" t="str">
        <f ca="1">IFERROR(_xludf.XLOOKUP(B594,MASTER_REGISTER!E:E,MASTER_REGISTER!C:C,""),"")</f>
        <v/>
      </c>
      <c r="E594" t="s">
        <v>871</v>
      </c>
      <c r="F594" t="s">
        <v>840</v>
      </c>
      <c r="G594" t="s">
        <v>848</v>
      </c>
      <c r="H594">
        <v>54.9</v>
      </c>
      <c r="I594" t="s">
        <v>826</v>
      </c>
    </row>
    <row r="595" spans="1:9" x14ac:dyDescent="0.3">
      <c r="A595" t="s">
        <v>504</v>
      </c>
      <c r="B595" t="s">
        <v>323</v>
      </c>
      <c r="C595" t="str">
        <f ca="1">IFERROR(_xludf.XLOOKUP(B595,MASTER_REGISTER!E:E,MASTER_REGISTER!F:F,""),"")</f>
        <v/>
      </c>
      <c r="D595" t="str">
        <f ca="1">IFERROR(_xludf.XLOOKUP(B595,MASTER_REGISTER!E:E,MASTER_REGISTER!C:C,""),"")</f>
        <v/>
      </c>
      <c r="E595" t="s">
        <v>871</v>
      </c>
      <c r="F595" t="s">
        <v>832</v>
      </c>
      <c r="G595" t="s">
        <v>841</v>
      </c>
      <c r="H595">
        <v>45.4</v>
      </c>
      <c r="I595" t="s">
        <v>849</v>
      </c>
    </row>
    <row r="596" spans="1:9" x14ac:dyDescent="0.3">
      <c r="A596" t="s">
        <v>842</v>
      </c>
      <c r="B596" t="s">
        <v>323</v>
      </c>
      <c r="C596" t="str">
        <f ca="1">IFERROR(_xludf.XLOOKUP(B596,MASTER_REGISTER!E:E,MASTER_REGISTER!F:F,""),"")</f>
        <v/>
      </c>
      <c r="D596" t="str">
        <f ca="1">IFERROR(_xludf.XLOOKUP(B596,MASTER_REGISTER!E:E,MASTER_REGISTER!C:C,""),"")</f>
        <v/>
      </c>
      <c r="E596" t="s">
        <v>843</v>
      </c>
      <c r="F596" t="s">
        <v>832</v>
      </c>
      <c r="G596" t="s">
        <v>850</v>
      </c>
      <c r="H596">
        <v>48.8</v>
      </c>
      <c r="I596" t="s">
        <v>844</v>
      </c>
    </row>
    <row r="597" spans="1:9" x14ac:dyDescent="0.3">
      <c r="A597" t="s">
        <v>851</v>
      </c>
      <c r="B597" t="s">
        <v>323</v>
      </c>
      <c r="C597" t="str">
        <f ca="1">IFERROR(_xludf.XLOOKUP(B597,MASTER_REGISTER!E:E,MASTER_REGISTER!F:F,""),"")</f>
        <v/>
      </c>
      <c r="D597" t="str">
        <f ca="1">IFERROR(_xludf.XLOOKUP(B597,MASTER_REGISTER!E:E,MASTER_REGISTER!C:C,""),"")</f>
        <v/>
      </c>
      <c r="E597" t="s">
        <v>874</v>
      </c>
      <c r="F597" t="s">
        <v>832</v>
      </c>
      <c r="G597" t="s">
        <v>841</v>
      </c>
      <c r="H597">
        <v>68.7</v>
      </c>
      <c r="I597" t="s">
        <v>862</v>
      </c>
    </row>
    <row r="598" spans="1:9" x14ac:dyDescent="0.3">
      <c r="A598" t="s">
        <v>370</v>
      </c>
      <c r="B598" t="s">
        <v>323</v>
      </c>
      <c r="C598" t="str">
        <f ca="1">IFERROR(_xludf.XLOOKUP(B598,MASTER_REGISTER!E:E,MASTER_REGISTER!F:F,""),"")</f>
        <v/>
      </c>
      <c r="D598" t="str">
        <f ca="1">IFERROR(_xludf.XLOOKUP(B598,MASTER_REGISTER!E:E,MASTER_REGISTER!C:C,""),"")</f>
        <v/>
      </c>
      <c r="E598" t="s">
        <v>874</v>
      </c>
      <c r="F598" t="s">
        <v>838</v>
      </c>
      <c r="G598" t="s">
        <v>860</v>
      </c>
      <c r="H598">
        <v>82.4</v>
      </c>
      <c r="I598" t="s">
        <v>844</v>
      </c>
    </row>
    <row r="599" spans="1:9" x14ac:dyDescent="0.3">
      <c r="A599" t="s">
        <v>373</v>
      </c>
      <c r="B599" t="s">
        <v>323</v>
      </c>
      <c r="C599" t="str">
        <f ca="1">IFERROR(_xludf.XLOOKUP(B599,MASTER_REGISTER!E:E,MASTER_REGISTER!F:F,""),"")</f>
        <v/>
      </c>
      <c r="D599" t="str">
        <f ca="1">IFERROR(_xludf.XLOOKUP(B599,MASTER_REGISTER!E:E,MASTER_REGISTER!C:C,""),"")</f>
        <v/>
      </c>
      <c r="E599" t="s">
        <v>823</v>
      </c>
      <c r="F599" t="s">
        <v>840</v>
      </c>
      <c r="G599" t="s">
        <v>867</v>
      </c>
      <c r="H599">
        <v>72.400000000000006</v>
      </c>
      <c r="I599" t="s">
        <v>829</v>
      </c>
    </row>
    <row r="600" spans="1:9" x14ac:dyDescent="0.3">
      <c r="A600" t="s">
        <v>868</v>
      </c>
      <c r="B600" t="s">
        <v>323</v>
      </c>
      <c r="C600" t="str">
        <f ca="1">IFERROR(_xludf.XLOOKUP(B600,MASTER_REGISTER!E:E,MASTER_REGISTER!F:F,""),"")</f>
        <v/>
      </c>
      <c r="D600" t="str">
        <f ca="1">IFERROR(_xludf.XLOOKUP(B600,MASTER_REGISTER!E:E,MASTER_REGISTER!C:C,""),"")</f>
        <v/>
      </c>
      <c r="E600" t="s">
        <v>874</v>
      </c>
      <c r="F600" t="s">
        <v>824</v>
      </c>
      <c r="G600" t="s">
        <v>845</v>
      </c>
      <c r="H600">
        <v>52.5</v>
      </c>
      <c r="I600" t="s">
        <v>826</v>
      </c>
    </row>
    <row r="601" spans="1:9" x14ac:dyDescent="0.3">
      <c r="A601" t="s">
        <v>865</v>
      </c>
      <c r="B601" t="s">
        <v>323</v>
      </c>
      <c r="C601" t="str">
        <f ca="1">IFERROR(_xludf.XLOOKUP(B601,MASTER_REGISTER!E:E,MASTER_REGISTER!F:F,""),"")</f>
        <v/>
      </c>
      <c r="D601" t="str">
        <f ca="1">IFERROR(_xludf.XLOOKUP(B601,MASTER_REGISTER!E:E,MASTER_REGISTER!C:C,""),"")</f>
        <v/>
      </c>
      <c r="E601" t="s">
        <v>873</v>
      </c>
      <c r="F601" t="s">
        <v>824</v>
      </c>
      <c r="G601" t="s">
        <v>867</v>
      </c>
      <c r="H601">
        <v>77.400000000000006</v>
      </c>
      <c r="I601" t="s">
        <v>852</v>
      </c>
    </row>
    <row r="602" spans="1:9" x14ac:dyDescent="0.3">
      <c r="C602" t="str">
        <f ca="1">IFERROR(_xludf.XLOOKUP(B602,MASTER_REGISTER!E:E,MASTER_REGISTER!F:F,""),"")</f>
        <v/>
      </c>
      <c r="D602" t="str">
        <f ca="1">IFERROR(_xludf.XLOOKUP(B602,MASTER_REGISTER!E:E,MASTER_REGISTER!C:C,""),"")</f>
        <v/>
      </c>
    </row>
  </sheetData>
  <dataValidations count="3">
    <dataValidation type="list" sqref="E2:E5000" xr:uid="{00000000-0002-0000-0800-000000000000}">
      <formula1>"Mathematics,Mathematical Literacy,Physical Sciences,Geography,Accounting,Natural Sciences &amp; Technology,EMS,English"</formula1>
    </dataValidation>
    <dataValidation type="list" sqref="F2:F5000" xr:uid="{00000000-0002-0000-0800-000001000000}">
      <formula1>"Class Test,Homework,Quiz,Assignment,Exam Prep,Diagnostic,Other"</formula1>
    </dataValidation>
    <dataValidation type="decimal" sqref="H2:H5000" xr:uid="{00000000-0002-0000-0800-000002000000}">
      <formula1>0</formula1>
      <formula2>100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6" customWidth="1"/>
    <col min="3" max="3" width="10" customWidth="1"/>
    <col min="4" max="4" width="18" customWidth="1"/>
    <col min="5" max="5" width="16" customWidth="1"/>
    <col min="6" max="7" width="12" customWidth="1"/>
    <col min="8" max="8" width="18" customWidth="1"/>
    <col min="9" max="10" width="14" customWidth="1"/>
    <col min="11" max="11" width="12" customWidth="1"/>
    <col min="12" max="13" width="16" customWidth="1"/>
  </cols>
  <sheetData>
    <row r="1" spans="1:13" ht="28.8" customHeight="1" x14ac:dyDescent="0.3">
      <c r="A1" s="3" t="s">
        <v>24</v>
      </c>
      <c r="B1" s="3" t="s">
        <v>386</v>
      </c>
      <c r="C1" s="3" t="s">
        <v>26</v>
      </c>
      <c r="D1" s="3" t="s">
        <v>875</v>
      </c>
      <c r="E1" s="3" t="s">
        <v>876</v>
      </c>
      <c r="F1" s="3" t="s">
        <v>877</v>
      </c>
      <c r="G1" s="3" t="s">
        <v>878</v>
      </c>
      <c r="H1" s="3" t="s">
        <v>879</v>
      </c>
      <c r="I1" s="3" t="s">
        <v>880</v>
      </c>
      <c r="J1" s="3" t="s">
        <v>881</v>
      </c>
      <c r="K1" s="3" t="s">
        <v>882</v>
      </c>
      <c r="L1" s="3" t="s">
        <v>883</v>
      </c>
      <c r="M1" s="3" t="s">
        <v>884</v>
      </c>
    </row>
    <row r="2" spans="1:13" x14ac:dyDescent="0.3">
      <c r="A2" t="str">
        <f>IF(MASTER_REGISTER!E2="","",MASTER_REGISTER!E2)</f>
        <v>MSH202608001</v>
      </c>
      <c r="B2" t="str">
        <f>IF(A2="","",MASTER_REGISTER!F2)</f>
        <v>Lerato Nkosi</v>
      </c>
      <c r="C2">
        <f>IF(A2="","",MASTER_REGISTER!C2)</f>
        <v>8</v>
      </c>
      <c r="D2">
        <f>IF(A2="","",COUNTIF(ASSESSMENTS!B:B,A2))</f>
        <v>10</v>
      </c>
      <c r="E2" s="4">
        <f>IF(D2=0,"",ROUND(AVERAGEIF(ASSESSMENTS!B:B,A2,ASSESSMENTS!H:H),1))</f>
        <v>62.2</v>
      </c>
      <c r="F2" s="4">
        <f>IF(A2="","",IFERROR(ROUND(AVERAGEIFS(ASSESSMENTS!H:H,ASSESSMENTS!B:B,A2,ASSESSMENTS!E:E,"Mathematics"),1),""))</f>
        <v>60</v>
      </c>
      <c r="G2" s="4" t="str">
        <f>IF(A2="","",IFERROR(ROUND(AVERAGEIFS(ASSESSMENTS!H:H,ASSESSMENTS!B:B,A2,ASSESSMENTS!E:E,"Mathematical Literacy"),1),""))</f>
        <v/>
      </c>
      <c r="H2" s="4" t="str">
        <f>IF(A2="","",IFERROR(ROUND(AVERAGEIFS(ASSESSMENTS!H:H,ASSESSMENTS!B:B,A2,ASSESSMENTS!E:E,"Physical Sciences"),1),""))</f>
        <v/>
      </c>
      <c r="I2" s="4" t="str">
        <f>IF(A2="","",IFERROR(ROUND(AVERAGEIFS(ASSESSMENTS!H:H,ASSESSMENTS!B:B,A2,ASSESSMENTS!E:E,"Geography"),1),""))</f>
        <v/>
      </c>
      <c r="J2" s="4" t="str">
        <f>IF(A2="","",IFERROR(ROUND(AVERAGEIFS(ASSESSMENTS!H:H,ASSESSMENTS!B:B,A2,ASSESSMENTS!E:E,"Accounting"),1),""))</f>
        <v/>
      </c>
      <c r="K2" s="4">
        <f>IF(A2="","",IFERROR(ROUND(AVERAGEIFS(ASSESSMENTS!H:H,ASSESSMENTS!B:B,A2,ASSESSMENTS!E:E,"English"),1),""))</f>
        <v>72.599999999999994</v>
      </c>
      <c r="L2" s="5">
        <f>IF(A2="","",IFERROR(INDEX(ATTENDANCE_SUMMARY!G:G,MATCH(A2,ATTENDANCE_SUMMARY!A:A,0)),""))</f>
        <v>0.8125</v>
      </c>
      <c r="M2" s="4" t="str">
        <f t="shared" ref="M2:M65" si="0">IF(A2="","",IF(OR(E2&lt;50,AND(L2&lt;0.75,L2&lt;&gt;"" )),"At Risk","On Track"))</f>
        <v>On Track</v>
      </c>
    </row>
    <row r="3" spans="1:13" x14ac:dyDescent="0.3">
      <c r="A3" t="str">
        <f>IF(MASTER_REGISTER!E3="","",MASTER_REGISTER!E3)</f>
        <v>MSH202608002</v>
      </c>
      <c r="B3" t="str">
        <f>IF(A3="","",MASTER_REGISTER!F3)</f>
        <v>Karabo Maseko</v>
      </c>
      <c r="C3">
        <f>IF(A3="","",MASTER_REGISTER!C3)</f>
        <v>8</v>
      </c>
      <c r="D3">
        <f>IF(A3="","",COUNTIF(ASSESSMENTS!B:B,A3))</f>
        <v>10</v>
      </c>
      <c r="E3" s="4">
        <f>IF(D3=0,"",ROUND(AVERAGEIF(ASSESSMENTS!B:B,A3,ASSESSMENTS!H:H),1))</f>
        <v>64.2</v>
      </c>
      <c r="F3" s="4" t="str">
        <f>IF(A3="","",IFERROR(ROUND(AVERAGEIFS(ASSESSMENTS!H:H,ASSESSMENTS!B:B,A3,ASSESSMENTS!E:E,"Mathematics"),1),""))</f>
        <v/>
      </c>
      <c r="G3" s="4" t="str">
        <f>IF(A3="","",IFERROR(ROUND(AVERAGEIFS(ASSESSMENTS!H:H,ASSESSMENTS!B:B,A3,ASSESSMENTS!E:E,"Mathematical Literacy"),1),""))</f>
        <v/>
      </c>
      <c r="H3" s="4" t="str">
        <f>IF(A3="","",IFERROR(ROUND(AVERAGEIFS(ASSESSMENTS!H:H,ASSESSMENTS!B:B,A3,ASSESSMENTS!E:E,"Physical Sciences"),1),""))</f>
        <v/>
      </c>
      <c r="I3" s="4" t="str">
        <f>IF(A3="","",IFERROR(ROUND(AVERAGEIFS(ASSESSMENTS!H:H,ASSESSMENTS!B:B,A3,ASSESSMENTS!E:E,"Geography"),1),""))</f>
        <v/>
      </c>
      <c r="J3" s="4" t="str">
        <f>IF(A3="","",IFERROR(ROUND(AVERAGEIFS(ASSESSMENTS!H:H,ASSESSMENTS!B:B,A3,ASSESSMENTS!E:E,"Accounting"),1),""))</f>
        <v/>
      </c>
      <c r="K3" s="4">
        <f>IF(A3="","",IFERROR(ROUND(AVERAGEIFS(ASSESSMENTS!H:H,ASSESSMENTS!B:B,A3,ASSESSMENTS!E:E,"English"),1),""))</f>
        <v>62.3</v>
      </c>
      <c r="L3" s="5">
        <f>IF(A3="","",IFERROR(INDEX(ATTENDANCE_SUMMARY!G:G,MATCH(A3,ATTENDANCE_SUMMARY!A:A,0)),""))</f>
        <v>0.83333333333333337</v>
      </c>
      <c r="M3" s="4" t="str">
        <f t="shared" si="0"/>
        <v>On Track</v>
      </c>
    </row>
    <row r="4" spans="1:13" x14ac:dyDescent="0.3">
      <c r="A4" t="str">
        <f>IF(MASTER_REGISTER!E4="","",MASTER_REGISTER!E4)</f>
        <v>MSH202608003</v>
      </c>
      <c r="B4" t="str">
        <f>IF(A4="","",MASTER_REGISTER!F4)</f>
        <v>Sifiso Sithole</v>
      </c>
      <c r="C4">
        <f>IF(A4="","",MASTER_REGISTER!C4)</f>
        <v>8</v>
      </c>
      <c r="D4">
        <f>IF(A4="","",COUNTIF(ASSESSMENTS!B:B,A4))</f>
        <v>10</v>
      </c>
      <c r="E4" s="4">
        <f>IF(D4=0,"",ROUND(AVERAGEIF(ASSESSMENTS!B:B,A4,ASSESSMENTS!H:H),1))</f>
        <v>59</v>
      </c>
      <c r="F4" s="4" t="str">
        <f>IF(A4="","",IFERROR(ROUND(AVERAGEIFS(ASSESSMENTS!H:H,ASSESSMENTS!B:B,A4,ASSESSMENTS!E:E,"Mathematics"),1),""))</f>
        <v/>
      </c>
      <c r="G4" s="4" t="str">
        <f>IF(A4="","",IFERROR(ROUND(AVERAGEIFS(ASSESSMENTS!H:H,ASSESSMENTS!B:B,A4,ASSESSMENTS!E:E,"Mathematical Literacy"),1),""))</f>
        <v/>
      </c>
      <c r="H4" s="4" t="str">
        <f>IF(A4="","",IFERROR(ROUND(AVERAGEIFS(ASSESSMENTS!H:H,ASSESSMENTS!B:B,A4,ASSESSMENTS!E:E,"Physical Sciences"),1),""))</f>
        <v/>
      </c>
      <c r="I4" s="4" t="str">
        <f>IF(A4="","",IFERROR(ROUND(AVERAGEIFS(ASSESSMENTS!H:H,ASSESSMENTS!B:B,A4,ASSESSMENTS!E:E,"Geography"),1),""))</f>
        <v/>
      </c>
      <c r="J4" s="4" t="str">
        <f>IF(A4="","",IFERROR(ROUND(AVERAGEIFS(ASSESSMENTS!H:H,ASSESSMENTS!B:B,A4,ASSESSMENTS!E:E,"Accounting"),1),""))</f>
        <v/>
      </c>
      <c r="K4" s="4">
        <f>IF(A4="","",IFERROR(ROUND(AVERAGEIFS(ASSESSMENTS!H:H,ASSESSMENTS!B:B,A4,ASSESSMENTS!E:E,"English"),1),""))</f>
        <v>53.9</v>
      </c>
      <c r="L4" s="5">
        <f>IF(A4="","",IFERROR(INDEX(ATTENDANCE_SUMMARY!G:G,MATCH(A4,ATTENDANCE_SUMMARY!A:A,0)),""))</f>
        <v>0.91666666666666663</v>
      </c>
      <c r="M4" s="4" t="str">
        <f t="shared" si="0"/>
        <v>On Track</v>
      </c>
    </row>
    <row r="5" spans="1:13" x14ac:dyDescent="0.3">
      <c r="A5" t="str">
        <f>IF(MASTER_REGISTER!E5="","",MASTER_REGISTER!E5)</f>
        <v>MSH202608004</v>
      </c>
      <c r="B5" t="str">
        <f>IF(A5="","",MASTER_REGISTER!F5)</f>
        <v>Tshepo Ndlovu</v>
      </c>
      <c r="C5">
        <f>IF(A5="","",MASTER_REGISTER!C5)</f>
        <v>8</v>
      </c>
      <c r="D5">
        <f>IF(A5="","",COUNTIF(ASSESSMENTS!B:B,A5))</f>
        <v>10</v>
      </c>
      <c r="E5" s="4">
        <f>IF(D5=0,"",ROUND(AVERAGEIF(ASSESSMENTS!B:B,A5,ASSESSMENTS!H:H),1))</f>
        <v>66.3</v>
      </c>
      <c r="F5" s="4">
        <f>IF(A5="","",IFERROR(ROUND(AVERAGEIFS(ASSESSMENTS!H:H,ASSESSMENTS!B:B,A5,ASSESSMENTS!E:E,"Mathematics"),1),""))</f>
        <v>61.7</v>
      </c>
      <c r="G5" s="4" t="str">
        <f>IF(A5="","",IFERROR(ROUND(AVERAGEIFS(ASSESSMENTS!H:H,ASSESSMENTS!B:B,A5,ASSESSMENTS!E:E,"Mathematical Literacy"),1),""))</f>
        <v/>
      </c>
      <c r="H5" s="4" t="str">
        <f>IF(A5="","",IFERROR(ROUND(AVERAGEIFS(ASSESSMENTS!H:H,ASSESSMENTS!B:B,A5,ASSESSMENTS!E:E,"Physical Sciences"),1),""))</f>
        <v/>
      </c>
      <c r="I5" s="4" t="str">
        <f>IF(A5="","",IFERROR(ROUND(AVERAGEIFS(ASSESSMENTS!H:H,ASSESSMENTS!B:B,A5,ASSESSMENTS!E:E,"Geography"),1),""))</f>
        <v/>
      </c>
      <c r="J5" s="4" t="str">
        <f>IF(A5="","",IFERROR(ROUND(AVERAGEIFS(ASSESSMENTS!H:H,ASSESSMENTS!B:B,A5,ASSESSMENTS!E:E,"Accounting"),1),""))</f>
        <v/>
      </c>
      <c r="K5" s="4">
        <f>IF(A5="","",IFERROR(ROUND(AVERAGEIFS(ASSESSMENTS!H:H,ASSESSMENTS!B:B,A5,ASSESSMENTS!E:E,"English"),1),""))</f>
        <v>68.099999999999994</v>
      </c>
      <c r="L5" s="5">
        <f>IF(A5="","",IFERROR(INDEX(ATTENDANCE_SUMMARY!G:G,MATCH(A5,ATTENDANCE_SUMMARY!A:A,0)),""))</f>
        <v>0.9375</v>
      </c>
      <c r="M5" s="4" t="str">
        <f t="shared" si="0"/>
        <v>On Track</v>
      </c>
    </row>
    <row r="6" spans="1:13" x14ac:dyDescent="0.3">
      <c r="A6" t="str">
        <f>IF(MASTER_REGISTER!E6="","",MASTER_REGISTER!E6)</f>
        <v>MSH202608005</v>
      </c>
      <c r="B6" t="str">
        <f>IF(A6="","",MASTER_REGISTER!F6)</f>
        <v>Lwazi Mthembu</v>
      </c>
      <c r="C6">
        <f>IF(A6="","",MASTER_REGISTER!C6)</f>
        <v>8</v>
      </c>
      <c r="D6">
        <f>IF(A6="","",COUNTIF(ASSESSMENTS!B:B,A6))</f>
        <v>10</v>
      </c>
      <c r="E6" s="4">
        <f>IF(D6=0,"",ROUND(AVERAGEIF(ASSESSMENTS!B:B,A6,ASSESSMENTS!H:H),1))</f>
        <v>64.599999999999994</v>
      </c>
      <c r="F6" s="4">
        <f>IF(A6="","",IFERROR(ROUND(AVERAGEIFS(ASSESSMENTS!H:H,ASSESSMENTS!B:B,A6,ASSESSMENTS!E:E,"Mathematics"),1),""))</f>
        <v>60.9</v>
      </c>
      <c r="G6" s="4" t="str">
        <f>IF(A6="","",IFERROR(ROUND(AVERAGEIFS(ASSESSMENTS!H:H,ASSESSMENTS!B:B,A6,ASSESSMENTS!E:E,"Mathematical Literacy"),1),""))</f>
        <v/>
      </c>
      <c r="H6" s="4" t="str">
        <f>IF(A6="","",IFERROR(ROUND(AVERAGEIFS(ASSESSMENTS!H:H,ASSESSMENTS!B:B,A6,ASSESSMENTS!E:E,"Physical Sciences"),1),""))</f>
        <v/>
      </c>
      <c r="I6" s="4" t="str">
        <f>IF(A6="","",IFERROR(ROUND(AVERAGEIFS(ASSESSMENTS!H:H,ASSESSMENTS!B:B,A6,ASSESSMENTS!E:E,"Geography"),1),""))</f>
        <v/>
      </c>
      <c r="J6" s="4" t="str">
        <f>IF(A6="","",IFERROR(ROUND(AVERAGEIFS(ASSESSMENTS!H:H,ASSESSMENTS!B:B,A6,ASSESSMENTS!E:E,"Accounting"),1),""))</f>
        <v/>
      </c>
      <c r="K6" s="4">
        <f>IF(A6="","",IFERROR(ROUND(AVERAGEIFS(ASSESSMENTS!H:H,ASSESSMENTS!B:B,A6,ASSESSMENTS!E:E,"English"),1),""))</f>
        <v>52.4</v>
      </c>
      <c r="L6" s="5">
        <f>IF(A6="","",IFERROR(INDEX(ATTENDANCE_SUMMARY!G:G,MATCH(A6,ATTENDANCE_SUMMARY!A:A,0)),""))</f>
        <v>0.85416666666666663</v>
      </c>
      <c r="M6" s="4" t="str">
        <f t="shared" si="0"/>
        <v>On Track</v>
      </c>
    </row>
    <row r="7" spans="1:13" x14ac:dyDescent="0.3">
      <c r="A7" t="str">
        <f>IF(MASTER_REGISTER!E7="","",MASTER_REGISTER!E7)</f>
        <v>MSH202608006</v>
      </c>
      <c r="B7" t="str">
        <f>IF(A7="","",MASTER_REGISTER!F7)</f>
        <v>Karabo Ngobeni</v>
      </c>
      <c r="C7">
        <f>IF(A7="","",MASTER_REGISTER!C7)</f>
        <v>8</v>
      </c>
      <c r="D7">
        <f>IF(A7="","",COUNTIF(ASSESSMENTS!B:B,A7))</f>
        <v>10</v>
      </c>
      <c r="E7" s="4">
        <f>IF(D7=0,"",ROUND(AVERAGEIF(ASSESSMENTS!B:B,A7,ASSESSMENTS!H:H),1))</f>
        <v>67.7</v>
      </c>
      <c r="F7" s="4">
        <f>IF(A7="","",IFERROR(ROUND(AVERAGEIFS(ASSESSMENTS!H:H,ASSESSMENTS!B:B,A7,ASSESSMENTS!E:E,"Mathematics"),1),""))</f>
        <v>65</v>
      </c>
      <c r="G7" s="4" t="str">
        <f>IF(A7="","",IFERROR(ROUND(AVERAGEIFS(ASSESSMENTS!H:H,ASSESSMENTS!B:B,A7,ASSESSMENTS!E:E,"Mathematical Literacy"),1),""))</f>
        <v/>
      </c>
      <c r="H7" s="4" t="str">
        <f>IF(A7="","",IFERROR(ROUND(AVERAGEIFS(ASSESSMENTS!H:H,ASSESSMENTS!B:B,A7,ASSESSMENTS!E:E,"Physical Sciences"),1),""))</f>
        <v/>
      </c>
      <c r="I7" s="4" t="str">
        <f>IF(A7="","",IFERROR(ROUND(AVERAGEIFS(ASSESSMENTS!H:H,ASSESSMENTS!B:B,A7,ASSESSMENTS!E:E,"Geography"),1),""))</f>
        <v/>
      </c>
      <c r="J7" s="4" t="str">
        <f>IF(A7="","",IFERROR(ROUND(AVERAGEIFS(ASSESSMENTS!H:H,ASSESSMENTS!B:B,A7,ASSESSMENTS!E:E,"Accounting"),1),""))</f>
        <v/>
      </c>
      <c r="K7" s="4">
        <f>IF(A7="","",IFERROR(ROUND(AVERAGEIFS(ASSESSMENTS!H:H,ASSESSMENTS!B:B,A7,ASSESSMENTS!E:E,"English"),1),""))</f>
        <v>61.4</v>
      </c>
      <c r="L7" s="5">
        <f>IF(A7="","",IFERROR(INDEX(ATTENDANCE_SUMMARY!G:G,MATCH(A7,ATTENDANCE_SUMMARY!A:A,0)),""))</f>
        <v>0.875</v>
      </c>
      <c r="M7" s="4" t="str">
        <f t="shared" si="0"/>
        <v>On Track</v>
      </c>
    </row>
    <row r="8" spans="1:13" x14ac:dyDescent="0.3">
      <c r="A8" t="str">
        <f>IF(MASTER_REGISTER!E8="","",MASTER_REGISTER!E8)</f>
        <v>MSH202608007</v>
      </c>
      <c r="B8" t="str">
        <f>IF(A8="","",MASTER_REGISTER!F8)</f>
        <v>Mpho Sithole</v>
      </c>
      <c r="C8">
        <f>IF(A8="","",MASTER_REGISTER!C8)</f>
        <v>8</v>
      </c>
      <c r="D8">
        <f>IF(A8="","",COUNTIF(ASSESSMENTS!B:B,A8))</f>
        <v>10</v>
      </c>
      <c r="E8" s="4">
        <f>IF(D8=0,"",ROUND(AVERAGEIF(ASSESSMENTS!B:B,A8,ASSESSMENTS!H:H),1))</f>
        <v>68.3</v>
      </c>
      <c r="F8" s="4">
        <f>IF(A8="","",IFERROR(ROUND(AVERAGEIFS(ASSESSMENTS!H:H,ASSESSMENTS!B:B,A8,ASSESSMENTS!E:E,"Mathematics"),1),""))</f>
        <v>70.400000000000006</v>
      </c>
      <c r="G8" s="4" t="str">
        <f>IF(A8="","",IFERROR(ROUND(AVERAGEIFS(ASSESSMENTS!H:H,ASSESSMENTS!B:B,A8,ASSESSMENTS!E:E,"Mathematical Literacy"),1),""))</f>
        <v/>
      </c>
      <c r="H8" s="4" t="str">
        <f>IF(A8="","",IFERROR(ROUND(AVERAGEIFS(ASSESSMENTS!H:H,ASSESSMENTS!B:B,A8,ASSESSMENTS!E:E,"Physical Sciences"),1),""))</f>
        <v/>
      </c>
      <c r="I8" s="4" t="str">
        <f>IF(A8="","",IFERROR(ROUND(AVERAGEIFS(ASSESSMENTS!H:H,ASSESSMENTS!B:B,A8,ASSESSMENTS!E:E,"Geography"),1),""))</f>
        <v/>
      </c>
      <c r="J8" s="4" t="str">
        <f>IF(A8="","",IFERROR(ROUND(AVERAGEIFS(ASSESSMENTS!H:H,ASSESSMENTS!B:B,A8,ASSESSMENTS!E:E,"Accounting"),1),""))</f>
        <v/>
      </c>
      <c r="K8" s="4">
        <f>IF(A8="","",IFERROR(ROUND(AVERAGEIFS(ASSESSMENTS!H:H,ASSESSMENTS!B:B,A8,ASSESSMENTS!E:E,"English"),1),""))</f>
        <v>51.5</v>
      </c>
      <c r="L8" s="5">
        <f>IF(A8="","",IFERROR(INDEX(ATTENDANCE_SUMMARY!G:G,MATCH(A8,ATTENDANCE_SUMMARY!A:A,0)),""))</f>
        <v>0.91666666666666663</v>
      </c>
      <c r="M8" s="4" t="str">
        <f t="shared" si="0"/>
        <v>On Track</v>
      </c>
    </row>
    <row r="9" spans="1:13" x14ac:dyDescent="0.3">
      <c r="A9" t="str">
        <f>IF(MASTER_REGISTER!E9="","",MASTER_REGISTER!E9)</f>
        <v>MSH202608008</v>
      </c>
      <c r="B9" t="str">
        <f>IF(A9="","",MASTER_REGISTER!F9)</f>
        <v>Tshepo Ramushu</v>
      </c>
      <c r="C9">
        <f>IF(A9="","",MASTER_REGISTER!C9)</f>
        <v>8</v>
      </c>
      <c r="D9">
        <f>IF(A9="","",COUNTIF(ASSESSMENTS!B:B,A9))</f>
        <v>10</v>
      </c>
      <c r="E9" s="4">
        <f>IF(D9=0,"",ROUND(AVERAGEIF(ASSESSMENTS!B:B,A9,ASSESSMENTS!H:H),1))</f>
        <v>64.400000000000006</v>
      </c>
      <c r="F9" s="4">
        <f>IF(A9="","",IFERROR(ROUND(AVERAGEIFS(ASSESSMENTS!H:H,ASSESSMENTS!B:B,A9,ASSESSMENTS!E:E,"Mathematics"),1),""))</f>
        <v>72</v>
      </c>
      <c r="G9" s="4" t="str">
        <f>IF(A9="","",IFERROR(ROUND(AVERAGEIFS(ASSESSMENTS!H:H,ASSESSMENTS!B:B,A9,ASSESSMENTS!E:E,"Mathematical Literacy"),1),""))</f>
        <v/>
      </c>
      <c r="H9" s="4" t="str">
        <f>IF(A9="","",IFERROR(ROUND(AVERAGEIFS(ASSESSMENTS!H:H,ASSESSMENTS!B:B,A9,ASSESSMENTS!E:E,"Physical Sciences"),1),""))</f>
        <v/>
      </c>
      <c r="I9" s="4" t="str">
        <f>IF(A9="","",IFERROR(ROUND(AVERAGEIFS(ASSESSMENTS!H:H,ASSESSMENTS!B:B,A9,ASSESSMENTS!E:E,"Geography"),1),""))</f>
        <v/>
      </c>
      <c r="J9" s="4" t="str">
        <f>IF(A9="","",IFERROR(ROUND(AVERAGEIFS(ASSESSMENTS!H:H,ASSESSMENTS!B:B,A9,ASSESSMENTS!E:E,"Accounting"),1),""))</f>
        <v/>
      </c>
      <c r="K9" s="4">
        <f>IF(A9="","",IFERROR(ROUND(AVERAGEIFS(ASSESSMENTS!H:H,ASSESSMENTS!B:B,A9,ASSESSMENTS!E:E,"English"),1),""))</f>
        <v>53.2</v>
      </c>
      <c r="L9" s="5">
        <f>IF(A9="","",IFERROR(INDEX(ATTENDANCE_SUMMARY!G:G,MATCH(A9,ATTENDANCE_SUMMARY!A:A,0)),""))</f>
        <v>0.875</v>
      </c>
      <c r="M9" s="4" t="str">
        <f t="shared" si="0"/>
        <v>On Track</v>
      </c>
    </row>
    <row r="10" spans="1:13" x14ac:dyDescent="0.3">
      <c r="A10" t="str">
        <f>IF(MASTER_REGISTER!E10="","",MASTER_REGISTER!E10)</f>
        <v>MSH202608009</v>
      </c>
      <c r="B10" t="str">
        <f>IF(A10="","",MASTER_REGISTER!F10)</f>
        <v>Lerato Kekana</v>
      </c>
      <c r="C10">
        <f>IF(A10="","",MASTER_REGISTER!C10)</f>
        <v>8</v>
      </c>
      <c r="D10">
        <f>IF(A10="","",COUNTIF(ASSESSMENTS!B:B,A10))</f>
        <v>10</v>
      </c>
      <c r="E10" s="4">
        <f>IF(D10=0,"",ROUND(AVERAGEIF(ASSESSMENTS!B:B,A10,ASSESSMENTS!H:H),1))</f>
        <v>70.400000000000006</v>
      </c>
      <c r="F10" s="4" t="str">
        <f>IF(A10="","",IFERROR(ROUND(AVERAGEIFS(ASSESSMENTS!H:H,ASSESSMENTS!B:B,A10,ASSESSMENTS!E:E,"Mathematics"),1),""))</f>
        <v/>
      </c>
      <c r="G10" s="4" t="str">
        <f>IF(A10="","",IFERROR(ROUND(AVERAGEIFS(ASSESSMENTS!H:H,ASSESSMENTS!B:B,A10,ASSESSMENTS!E:E,"Mathematical Literacy"),1),""))</f>
        <v/>
      </c>
      <c r="H10" s="4" t="str">
        <f>IF(A10="","",IFERROR(ROUND(AVERAGEIFS(ASSESSMENTS!H:H,ASSESSMENTS!B:B,A10,ASSESSMENTS!E:E,"Physical Sciences"),1),""))</f>
        <v/>
      </c>
      <c r="I10" s="4" t="str">
        <f>IF(A10="","",IFERROR(ROUND(AVERAGEIFS(ASSESSMENTS!H:H,ASSESSMENTS!B:B,A10,ASSESSMENTS!E:E,"Geography"),1),""))</f>
        <v/>
      </c>
      <c r="J10" s="4" t="str">
        <f>IF(A10="","",IFERROR(ROUND(AVERAGEIFS(ASSESSMENTS!H:H,ASSESSMENTS!B:B,A10,ASSESSMENTS!E:E,"Accounting"),1),""))</f>
        <v/>
      </c>
      <c r="K10" s="4">
        <f>IF(A10="","",IFERROR(ROUND(AVERAGEIFS(ASSESSMENTS!H:H,ASSESSMENTS!B:B,A10,ASSESSMENTS!E:E,"English"),1),""))</f>
        <v>53.4</v>
      </c>
      <c r="L10" s="5">
        <f>IF(A10="","",IFERROR(INDEX(ATTENDANCE_SUMMARY!G:G,MATCH(A10,ATTENDANCE_SUMMARY!A:A,0)),""))</f>
        <v>0.95833333333333337</v>
      </c>
      <c r="M10" s="4" t="str">
        <f t="shared" si="0"/>
        <v>On Track</v>
      </c>
    </row>
    <row r="11" spans="1:13" x14ac:dyDescent="0.3">
      <c r="A11" t="str">
        <f>IF(MASTER_REGISTER!E11="","",MASTER_REGISTER!E11)</f>
        <v>MSH202608010</v>
      </c>
      <c r="B11" t="str">
        <f>IF(A11="","",MASTER_REGISTER!F11)</f>
        <v>Neo Ngobeni</v>
      </c>
      <c r="C11">
        <f>IF(A11="","",MASTER_REGISTER!C11)</f>
        <v>8</v>
      </c>
      <c r="D11">
        <f>IF(A11="","",COUNTIF(ASSESSMENTS!B:B,A11))</f>
        <v>10</v>
      </c>
      <c r="E11" s="4">
        <f>IF(D11=0,"",ROUND(AVERAGEIF(ASSESSMENTS!B:B,A11,ASSESSMENTS!H:H),1))</f>
        <v>65</v>
      </c>
      <c r="F11" s="4">
        <f>IF(A11="","",IFERROR(ROUND(AVERAGEIFS(ASSESSMENTS!H:H,ASSESSMENTS!B:B,A11,ASSESSMENTS!E:E,"Mathematics"),1),""))</f>
        <v>37</v>
      </c>
      <c r="G11" s="4" t="str">
        <f>IF(A11="","",IFERROR(ROUND(AVERAGEIFS(ASSESSMENTS!H:H,ASSESSMENTS!B:B,A11,ASSESSMENTS!E:E,"Mathematical Literacy"),1),""))</f>
        <v/>
      </c>
      <c r="H11" s="4" t="str">
        <f>IF(A11="","",IFERROR(ROUND(AVERAGEIFS(ASSESSMENTS!H:H,ASSESSMENTS!B:B,A11,ASSESSMENTS!E:E,"Physical Sciences"),1),""))</f>
        <v/>
      </c>
      <c r="I11" s="4" t="str">
        <f>IF(A11="","",IFERROR(ROUND(AVERAGEIFS(ASSESSMENTS!H:H,ASSESSMENTS!B:B,A11,ASSESSMENTS!E:E,"Geography"),1),""))</f>
        <v/>
      </c>
      <c r="J11" s="4" t="str">
        <f>IF(A11="","",IFERROR(ROUND(AVERAGEIFS(ASSESSMENTS!H:H,ASSESSMENTS!B:B,A11,ASSESSMENTS!E:E,"Accounting"),1),""))</f>
        <v/>
      </c>
      <c r="K11" s="4">
        <f>IF(A11="","",IFERROR(ROUND(AVERAGEIFS(ASSESSMENTS!H:H,ASSESSMENTS!B:B,A11,ASSESSMENTS!E:E,"English"),1),""))</f>
        <v>78.599999999999994</v>
      </c>
      <c r="L11" s="5">
        <f>IF(A11="","",IFERROR(INDEX(ATTENDANCE_SUMMARY!G:G,MATCH(A11,ATTENDANCE_SUMMARY!A:A,0)),""))</f>
        <v>0.91666666666666663</v>
      </c>
      <c r="M11" s="4" t="str">
        <f t="shared" si="0"/>
        <v>On Track</v>
      </c>
    </row>
    <row r="12" spans="1:13" x14ac:dyDescent="0.3">
      <c r="A12" t="str">
        <f>IF(MASTER_REGISTER!E12="","",MASTER_REGISTER!E12)</f>
        <v>MSH202608011</v>
      </c>
      <c r="B12" t="str">
        <f>IF(A12="","",MASTER_REGISTER!F12)</f>
        <v>Thabo Mokgadi</v>
      </c>
      <c r="C12">
        <f>IF(A12="","",MASTER_REGISTER!C12)</f>
        <v>8</v>
      </c>
      <c r="D12">
        <f>IF(A12="","",COUNTIF(ASSESSMENTS!B:B,A12))</f>
        <v>10</v>
      </c>
      <c r="E12" s="4">
        <f>IF(D12=0,"",ROUND(AVERAGEIF(ASSESSMENTS!B:B,A12,ASSESSMENTS!H:H),1))</f>
        <v>69.400000000000006</v>
      </c>
      <c r="F12" s="4">
        <f>IF(A12="","",IFERROR(ROUND(AVERAGEIFS(ASSESSMENTS!H:H,ASSESSMENTS!B:B,A12,ASSESSMENTS!E:E,"Mathematics"),1),""))</f>
        <v>68.2</v>
      </c>
      <c r="G12" s="4" t="str">
        <f>IF(A12="","",IFERROR(ROUND(AVERAGEIFS(ASSESSMENTS!H:H,ASSESSMENTS!B:B,A12,ASSESSMENTS!E:E,"Mathematical Literacy"),1),""))</f>
        <v/>
      </c>
      <c r="H12" s="4" t="str">
        <f>IF(A12="","",IFERROR(ROUND(AVERAGEIFS(ASSESSMENTS!H:H,ASSESSMENTS!B:B,A12,ASSESSMENTS!E:E,"Physical Sciences"),1),""))</f>
        <v/>
      </c>
      <c r="I12" s="4" t="str">
        <f>IF(A12="","",IFERROR(ROUND(AVERAGEIFS(ASSESSMENTS!H:H,ASSESSMENTS!B:B,A12,ASSESSMENTS!E:E,"Geography"),1),""))</f>
        <v/>
      </c>
      <c r="J12" s="4" t="str">
        <f>IF(A12="","",IFERROR(ROUND(AVERAGEIFS(ASSESSMENTS!H:H,ASSESSMENTS!B:B,A12,ASSESSMENTS!E:E,"Accounting"),1),""))</f>
        <v/>
      </c>
      <c r="K12" s="4">
        <f>IF(A12="","",IFERROR(ROUND(AVERAGEIFS(ASSESSMENTS!H:H,ASSESSMENTS!B:B,A12,ASSESSMENTS!E:E,"English"),1),""))</f>
        <v>78.099999999999994</v>
      </c>
      <c r="L12" s="5">
        <f>IF(A12="","",IFERROR(INDEX(ATTENDANCE_SUMMARY!G:G,MATCH(A12,ATTENDANCE_SUMMARY!A:A,0)),""))</f>
        <v>0.875</v>
      </c>
      <c r="M12" s="4" t="str">
        <f t="shared" si="0"/>
        <v>On Track</v>
      </c>
    </row>
    <row r="13" spans="1:13" x14ac:dyDescent="0.3">
      <c r="A13" t="str">
        <f>IF(MASTER_REGISTER!E13="","",MASTER_REGISTER!E13)</f>
        <v>MSH202608012</v>
      </c>
      <c r="B13" t="str">
        <f>IF(A13="","",MASTER_REGISTER!F13)</f>
        <v>Sifiso Mthembu</v>
      </c>
      <c r="C13">
        <f>IF(A13="","",MASTER_REGISTER!C13)</f>
        <v>8</v>
      </c>
      <c r="D13">
        <f>IF(A13="","",COUNTIF(ASSESSMENTS!B:B,A13))</f>
        <v>10</v>
      </c>
      <c r="E13" s="4">
        <f>IF(D13=0,"",ROUND(AVERAGEIF(ASSESSMENTS!B:B,A13,ASSESSMENTS!H:H),1))</f>
        <v>63.5</v>
      </c>
      <c r="F13" s="4">
        <f>IF(A13="","",IFERROR(ROUND(AVERAGEIFS(ASSESSMENTS!H:H,ASSESSMENTS!B:B,A13,ASSESSMENTS!E:E,"Mathematics"),1),""))</f>
        <v>51.6</v>
      </c>
      <c r="G13" s="4" t="str">
        <f>IF(A13="","",IFERROR(ROUND(AVERAGEIFS(ASSESSMENTS!H:H,ASSESSMENTS!B:B,A13,ASSESSMENTS!E:E,"Mathematical Literacy"),1),""))</f>
        <v/>
      </c>
      <c r="H13" s="4" t="str">
        <f>IF(A13="","",IFERROR(ROUND(AVERAGEIFS(ASSESSMENTS!H:H,ASSESSMENTS!B:B,A13,ASSESSMENTS!E:E,"Physical Sciences"),1),""))</f>
        <v/>
      </c>
      <c r="I13" s="4" t="str">
        <f>IF(A13="","",IFERROR(ROUND(AVERAGEIFS(ASSESSMENTS!H:H,ASSESSMENTS!B:B,A13,ASSESSMENTS!E:E,"Geography"),1),""))</f>
        <v/>
      </c>
      <c r="J13" s="4" t="str">
        <f>IF(A13="","",IFERROR(ROUND(AVERAGEIFS(ASSESSMENTS!H:H,ASSESSMENTS!B:B,A13,ASSESSMENTS!E:E,"Accounting"),1),""))</f>
        <v/>
      </c>
      <c r="K13" s="4">
        <f>IF(A13="","",IFERROR(ROUND(AVERAGEIFS(ASSESSMENTS!H:H,ASSESSMENTS!B:B,A13,ASSESSMENTS!E:E,"English"),1),""))</f>
        <v>73.599999999999994</v>
      </c>
      <c r="L13" s="5">
        <f>IF(A13="","",IFERROR(INDEX(ATTENDANCE_SUMMARY!G:G,MATCH(A13,ATTENDANCE_SUMMARY!A:A,0)),""))</f>
        <v>0.875</v>
      </c>
      <c r="M13" s="4" t="str">
        <f t="shared" si="0"/>
        <v>On Track</v>
      </c>
    </row>
    <row r="14" spans="1:13" x14ac:dyDescent="0.3">
      <c r="A14" t="str">
        <f>IF(MASTER_REGISTER!E14="","",MASTER_REGISTER!E14)</f>
        <v>MSH202609001</v>
      </c>
      <c r="B14" t="str">
        <f>IF(A14="","",MASTER_REGISTER!F14)</f>
        <v>Karabo Phiri</v>
      </c>
      <c r="C14">
        <f>IF(A14="","",MASTER_REGISTER!C14)</f>
        <v>9</v>
      </c>
      <c r="D14">
        <f>IF(A14="","",COUNTIF(ASSESSMENTS!B:B,A14))</f>
        <v>10</v>
      </c>
      <c r="E14" s="4">
        <f>IF(D14=0,"",ROUND(AVERAGEIF(ASSESSMENTS!B:B,A14,ASSESSMENTS!H:H),1))</f>
        <v>65.099999999999994</v>
      </c>
      <c r="F14" s="4">
        <f>IF(A14="","",IFERROR(ROUND(AVERAGEIFS(ASSESSMENTS!H:H,ASSESSMENTS!B:B,A14,ASSESSMENTS!E:E,"Mathematics"),1),""))</f>
        <v>65.7</v>
      </c>
      <c r="G14" s="4" t="str">
        <f>IF(A14="","",IFERROR(ROUND(AVERAGEIFS(ASSESSMENTS!H:H,ASSESSMENTS!B:B,A14,ASSESSMENTS!E:E,"Mathematical Literacy"),1),""))</f>
        <v/>
      </c>
      <c r="H14" s="4" t="str">
        <f>IF(A14="","",IFERROR(ROUND(AVERAGEIFS(ASSESSMENTS!H:H,ASSESSMENTS!B:B,A14,ASSESSMENTS!E:E,"Physical Sciences"),1),""))</f>
        <v/>
      </c>
      <c r="I14" s="4" t="str">
        <f>IF(A14="","",IFERROR(ROUND(AVERAGEIFS(ASSESSMENTS!H:H,ASSESSMENTS!B:B,A14,ASSESSMENTS!E:E,"Geography"),1),""))</f>
        <v/>
      </c>
      <c r="J14" s="4" t="str">
        <f>IF(A14="","",IFERROR(ROUND(AVERAGEIFS(ASSESSMENTS!H:H,ASSESSMENTS!B:B,A14,ASSESSMENTS!E:E,"Accounting"),1),""))</f>
        <v/>
      </c>
      <c r="K14" s="4" t="str">
        <f>IF(A14="","",IFERROR(ROUND(AVERAGEIFS(ASSESSMENTS!H:H,ASSESSMENTS!B:B,A14,ASSESSMENTS!E:E,"English"),1),""))</f>
        <v/>
      </c>
      <c r="L14" s="5">
        <f>IF(A14="","",IFERROR(INDEX(ATTENDANCE_SUMMARY!G:G,MATCH(A14,ATTENDANCE_SUMMARY!A:A,0)),""))</f>
        <v>0.8125</v>
      </c>
      <c r="M14" s="4" t="str">
        <f t="shared" si="0"/>
        <v>On Track</v>
      </c>
    </row>
    <row r="15" spans="1:13" x14ac:dyDescent="0.3">
      <c r="A15" t="str">
        <f>IF(MASTER_REGISTER!E15="","",MASTER_REGISTER!E15)</f>
        <v>MSH202609002</v>
      </c>
      <c r="B15" t="str">
        <f>IF(A15="","",MASTER_REGISTER!F15)</f>
        <v>Lerato Mahlangu</v>
      </c>
      <c r="C15">
        <f>IF(A15="","",MASTER_REGISTER!C15)</f>
        <v>9</v>
      </c>
      <c r="D15">
        <f>IF(A15="","",COUNTIF(ASSESSMENTS!B:B,A15))</f>
        <v>10</v>
      </c>
      <c r="E15" s="4">
        <f>IF(D15=0,"",ROUND(AVERAGEIF(ASSESSMENTS!B:B,A15,ASSESSMENTS!H:H),1))</f>
        <v>71</v>
      </c>
      <c r="F15" s="4">
        <f>IF(A15="","",IFERROR(ROUND(AVERAGEIFS(ASSESSMENTS!H:H,ASSESSMENTS!B:B,A15,ASSESSMENTS!E:E,"Mathematics"),1),""))</f>
        <v>61.7</v>
      </c>
      <c r="G15" s="4" t="str">
        <f>IF(A15="","",IFERROR(ROUND(AVERAGEIFS(ASSESSMENTS!H:H,ASSESSMENTS!B:B,A15,ASSESSMENTS!E:E,"Mathematical Literacy"),1),""))</f>
        <v/>
      </c>
      <c r="H15" s="4" t="str">
        <f>IF(A15="","",IFERROR(ROUND(AVERAGEIFS(ASSESSMENTS!H:H,ASSESSMENTS!B:B,A15,ASSESSMENTS!E:E,"Physical Sciences"),1),""))</f>
        <v/>
      </c>
      <c r="I15" s="4" t="str">
        <f>IF(A15="","",IFERROR(ROUND(AVERAGEIFS(ASSESSMENTS!H:H,ASSESSMENTS!B:B,A15,ASSESSMENTS!E:E,"Geography"),1),""))</f>
        <v/>
      </c>
      <c r="J15" s="4" t="str">
        <f>IF(A15="","",IFERROR(ROUND(AVERAGEIFS(ASSESSMENTS!H:H,ASSESSMENTS!B:B,A15,ASSESSMENTS!E:E,"Accounting"),1),""))</f>
        <v/>
      </c>
      <c r="K15" s="4">
        <f>IF(A15="","",IFERROR(ROUND(AVERAGEIFS(ASSESSMENTS!H:H,ASSESSMENTS!B:B,A15,ASSESSMENTS!E:E,"English"),1),""))</f>
        <v>79.900000000000006</v>
      </c>
      <c r="L15" s="5">
        <f>IF(A15="","",IFERROR(INDEX(ATTENDANCE_SUMMARY!G:G,MATCH(A15,ATTENDANCE_SUMMARY!A:A,0)),""))</f>
        <v>0.85416666666666663</v>
      </c>
      <c r="M15" s="4" t="str">
        <f t="shared" si="0"/>
        <v>On Track</v>
      </c>
    </row>
    <row r="16" spans="1:13" x14ac:dyDescent="0.3">
      <c r="A16" t="str">
        <f>IF(MASTER_REGISTER!E16="","",MASTER_REGISTER!E16)</f>
        <v>MSH202609003</v>
      </c>
      <c r="B16" t="str">
        <f>IF(A16="","",MASTER_REGISTER!F16)</f>
        <v>Mpho Kekana</v>
      </c>
      <c r="C16">
        <f>IF(A16="","",MASTER_REGISTER!C16)</f>
        <v>9</v>
      </c>
      <c r="D16">
        <f>IF(A16="","",COUNTIF(ASSESSMENTS!B:B,A16))</f>
        <v>10</v>
      </c>
      <c r="E16" s="4">
        <f>IF(D16=0,"",ROUND(AVERAGEIF(ASSESSMENTS!B:B,A16,ASSESSMENTS!H:H),1))</f>
        <v>71.3</v>
      </c>
      <c r="F16" s="4">
        <f>IF(A16="","",IFERROR(ROUND(AVERAGEIFS(ASSESSMENTS!H:H,ASSESSMENTS!B:B,A16,ASSESSMENTS!E:E,"Mathematics"),1),""))</f>
        <v>67.7</v>
      </c>
      <c r="G16" s="4" t="str">
        <f>IF(A16="","",IFERROR(ROUND(AVERAGEIFS(ASSESSMENTS!H:H,ASSESSMENTS!B:B,A16,ASSESSMENTS!E:E,"Mathematical Literacy"),1),""))</f>
        <v/>
      </c>
      <c r="H16" s="4" t="str">
        <f>IF(A16="","",IFERROR(ROUND(AVERAGEIFS(ASSESSMENTS!H:H,ASSESSMENTS!B:B,A16,ASSESSMENTS!E:E,"Physical Sciences"),1),""))</f>
        <v/>
      </c>
      <c r="I16" s="4" t="str">
        <f>IF(A16="","",IFERROR(ROUND(AVERAGEIFS(ASSESSMENTS!H:H,ASSESSMENTS!B:B,A16,ASSESSMENTS!E:E,"Geography"),1),""))</f>
        <v/>
      </c>
      <c r="J16" s="4" t="str">
        <f>IF(A16="","",IFERROR(ROUND(AVERAGEIFS(ASSESSMENTS!H:H,ASSESSMENTS!B:B,A16,ASSESSMENTS!E:E,"Accounting"),1),""))</f>
        <v/>
      </c>
      <c r="K16" s="4" t="str">
        <f>IF(A16="","",IFERROR(ROUND(AVERAGEIFS(ASSESSMENTS!H:H,ASSESSMENTS!B:B,A16,ASSESSMENTS!E:E,"English"),1),""))</f>
        <v/>
      </c>
      <c r="L16" s="5">
        <f>IF(A16="","",IFERROR(INDEX(ATTENDANCE_SUMMARY!G:G,MATCH(A16,ATTENDANCE_SUMMARY!A:A,0)),""))</f>
        <v>0.8125</v>
      </c>
      <c r="M16" s="4" t="str">
        <f t="shared" si="0"/>
        <v>On Track</v>
      </c>
    </row>
    <row r="17" spans="1:13" x14ac:dyDescent="0.3">
      <c r="A17" t="str">
        <f>IF(MASTER_REGISTER!E17="","",MASTER_REGISTER!E17)</f>
        <v>MSH202609004</v>
      </c>
      <c r="B17" t="str">
        <f>IF(A17="","",MASTER_REGISTER!F17)</f>
        <v>Thabo Molefe</v>
      </c>
      <c r="C17">
        <f>IF(A17="","",MASTER_REGISTER!C17)</f>
        <v>9</v>
      </c>
      <c r="D17">
        <f>IF(A17="","",COUNTIF(ASSESSMENTS!B:B,A17))</f>
        <v>10</v>
      </c>
      <c r="E17" s="4">
        <f>IF(D17=0,"",ROUND(AVERAGEIF(ASSESSMENTS!B:B,A17,ASSESSMENTS!H:H),1))</f>
        <v>67.099999999999994</v>
      </c>
      <c r="F17" s="4">
        <f>IF(A17="","",IFERROR(ROUND(AVERAGEIFS(ASSESSMENTS!H:H,ASSESSMENTS!B:B,A17,ASSESSMENTS!E:E,"Mathematics"),1),""))</f>
        <v>56.5</v>
      </c>
      <c r="G17" s="4" t="str">
        <f>IF(A17="","",IFERROR(ROUND(AVERAGEIFS(ASSESSMENTS!H:H,ASSESSMENTS!B:B,A17,ASSESSMENTS!E:E,"Mathematical Literacy"),1),""))</f>
        <v/>
      </c>
      <c r="H17" s="4" t="str">
        <f>IF(A17="","",IFERROR(ROUND(AVERAGEIFS(ASSESSMENTS!H:H,ASSESSMENTS!B:B,A17,ASSESSMENTS!E:E,"Physical Sciences"),1),""))</f>
        <v/>
      </c>
      <c r="I17" s="4" t="str">
        <f>IF(A17="","",IFERROR(ROUND(AVERAGEIFS(ASSESSMENTS!H:H,ASSESSMENTS!B:B,A17,ASSESSMENTS!E:E,"Geography"),1),""))</f>
        <v/>
      </c>
      <c r="J17" s="4" t="str">
        <f>IF(A17="","",IFERROR(ROUND(AVERAGEIFS(ASSESSMENTS!H:H,ASSESSMENTS!B:B,A17,ASSESSMENTS!E:E,"Accounting"),1),""))</f>
        <v/>
      </c>
      <c r="K17" s="4">
        <f>IF(A17="","",IFERROR(ROUND(AVERAGEIFS(ASSESSMENTS!H:H,ASSESSMENTS!B:B,A17,ASSESSMENTS!E:E,"English"),1),""))</f>
        <v>68.900000000000006</v>
      </c>
      <c r="L17" s="5">
        <f>IF(A17="","",IFERROR(INDEX(ATTENDANCE_SUMMARY!G:G,MATCH(A17,ATTENDANCE_SUMMARY!A:A,0)),""))</f>
        <v>0.89583333333333337</v>
      </c>
      <c r="M17" s="4" t="str">
        <f t="shared" si="0"/>
        <v>On Track</v>
      </c>
    </row>
    <row r="18" spans="1:13" x14ac:dyDescent="0.3">
      <c r="A18" t="str">
        <f>IF(MASTER_REGISTER!E18="","",MASTER_REGISTER!E18)</f>
        <v>MSH202609005</v>
      </c>
      <c r="B18" t="str">
        <f>IF(A18="","",MASTER_REGISTER!F18)</f>
        <v>Mpho Ngobeni</v>
      </c>
      <c r="C18">
        <f>IF(A18="","",MASTER_REGISTER!C18)</f>
        <v>9</v>
      </c>
      <c r="D18">
        <f>IF(A18="","",COUNTIF(ASSESSMENTS!B:B,A18))</f>
        <v>10</v>
      </c>
      <c r="E18" s="4">
        <f>IF(D18=0,"",ROUND(AVERAGEIF(ASSESSMENTS!B:B,A18,ASSESSMENTS!H:H),1))</f>
        <v>67.5</v>
      </c>
      <c r="F18" s="4">
        <f>IF(A18="","",IFERROR(ROUND(AVERAGEIFS(ASSESSMENTS!H:H,ASSESSMENTS!B:B,A18,ASSESSMENTS!E:E,"Mathematics"),1),""))</f>
        <v>77.400000000000006</v>
      </c>
      <c r="G18" s="4" t="str">
        <f>IF(A18="","",IFERROR(ROUND(AVERAGEIFS(ASSESSMENTS!H:H,ASSESSMENTS!B:B,A18,ASSESSMENTS!E:E,"Mathematical Literacy"),1),""))</f>
        <v/>
      </c>
      <c r="H18" s="4" t="str">
        <f>IF(A18="","",IFERROR(ROUND(AVERAGEIFS(ASSESSMENTS!H:H,ASSESSMENTS!B:B,A18,ASSESSMENTS!E:E,"Physical Sciences"),1),""))</f>
        <v/>
      </c>
      <c r="I18" s="4" t="str">
        <f>IF(A18="","",IFERROR(ROUND(AVERAGEIFS(ASSESSMENTS!H:H,ASSESSMENTS!B:B,A18,ASSESSMENTS!E:E,"Geography"),1),""))</f>
        <v/>
      </c>
      <c r="J18" s="4" t="str">
        <f>IF(A18="","",IFERROR(ROUND(AVERAGEIFS(ASSESSMENTS!H:H,ASSESSMENTS!B:B,A18,ASSESSMENTS!E:E,"Accounting"),1),""))</f>
        <v/>
      </c>
      <c r="K18" s="4">
        <f>IF(A18="","",IFERROR(ROUND(AVERAGEIFS(ASSESSMENTS!H:H,ASSESSMENTS!B:B,A18,ASSESSMENTS!E:E,"English"),1),""))</f>
        <v>62.1</v>
      </c>
      <c r="L18" s="5">
        <f>IF(A18="","",IFERROR(INDEX(ATTENDANCE_SUMMARY!G:G,MATCH(A18,ATTENDANCE_SUMMARY!A:A,0)),""))</f>
        <v>0.9375</v>
      </c>
      <c r="M18" s="4" t="str">
        <f t="shared" si="0"/>
        <v>On Track</v>
      </c>
    </row>
    <row r="19" spans="1:13" x14ac:dyDescent="0.3">
      <c r="A19" t="str">
        <f>IF(MASTER_REGISTER!E19="","",MASTER_REGISTER!E19)</f>
        <v>MSH202609006</v>
      </c>
      <c r="B19" t="str">
        <f>IF(A19="","",MASTER_REGISTER!F19)</f>
        <v>Siyanda Mhlongo</v>
      </c>
      <c r="C19">
        <f>IF(A19="","",MASTER_REGISTER!C19)</f>
        <v>9</v>
      </c>
      <c r="D19">
        <f>IF(A19="","",COUNTIF(ASSESSMENTS!B:B,A19))</f>
        <v>10</v>
      </c>
      <c r="E19" s="4">
        <f>IF(D19=0,"",ROUND(AVERAGEIF(ASSESSMENTS!B:B,A19,ASSESSMENTS!H:H),1))</f>
        <v>74.8</v>
      </c>
      <c r="F19" s="4">
        <f>IF(A19="","",IFERROR(ROUND(AVERAGEIFS(ASSESSMENTS!H:H,ASSESSMENTS!B:B,A19,ASSESSMENTS!E:E,"Mathematics"),1),""))</f>
        <v>73</v>
      </c>
      <c r="G19" s="4" t="str">
        <f>IF(A19="","",IFERROR(ROUND(AVERAGEIFS(ASSESSMENTS!H:H,ASSESSMENTS!B:B,A19,ASSESSMENTS!E:E,"Mathematical Literacy"),1),""))</f>
        <v/>
      </c>
      <c r="H19" s="4" t="str">
        <f>IF(A19="","",IFERROR(ROUND(AVERAGEIFS(ASSESSMENTS!H:H,ASSESSMENTS!B:B,A19,ASSESSMENTS!E:E,"Physical Sciences"),1),""))</f>
        <v/>
      </c>
      <c r="I19" s="4" t="str">
        <f>IF(A19="","",IFERROR(ROUND(AVERAGEIFS(ASSESSMENTS!H:H,ASSESSMENTS!B:B,A19,ASSESSMENTS!E:E,"Geography"),1),""))</f>
        <v/>
      </c>
      <c r="J19" s="4" t="str">
        <f>IF(A19="","",IFERROR(ROUND(AVERAGEIFS(ASSESSMENTS!H:H,ASSESSMENTS!B:B,A19,ASSESSMENTS!E:E,"Accounting"),1),""))</f>
        <v/>
      </c>
      <c r="K19" s="4">
        <f>IF(A19="","",IFERROR(ROUND(AVERAGEIFS(ASSESSMENTS!H:H,ASSESSMENTS!B:B,A19,ASSESSMENTS!E:E,"English"),1),""))</f>
        <v>68.2</v>
      </c>
      <c r="L19" s="5">
        <f>IF(A19="","",IFERROR(INDEX(ATTENDANCE_SUMMARY!G:G,MATCH(A19,ATTENDANCE_SUMMARY!A:A,0)),""))</f>
        <v>0.875</v>
      </c>
      <c r="M19" s="4" t="str">
        <f t="shared" si="0"/>
        <v>On Track</v>
      </c>
    </row>
    <row r="20" spans="1:13" x14ac:dyDescent="0.3">
      <c r="A20" t="str">
        <f>IF(MASTER_REGISTER!E20="","",MASTER_REGISTER!E20)</f>
        <v>MSH202609007</v>
      </c>
      <c r="B20" t="str">
        <f>IF(A20="","",MASTER_REGISTER!F20)</f>
        <v>Siyanda Mahlangu</v>
      </c>
      <c r="C20">
        <f>IF(A20="","",MASTER_REGISTER!C20)</f>
        <v>9</v>
      </c>
      <c r="D20">
        <f>IF(A20="","",COUNTIF(ASSESSMENTS!B:B,A20))</f>
        <v>10</v>
      </c>
      <c r="E20" s="4">
        <f>IF(D20=0,"",ROUND(AVERAGEIF(ASSESSMENTS!B:B,A20,ASSESSMENTS!H:H),1))</f>
        <v>72.599999999999994</v>
      </c>
      <c r="F20" s="4">
        <f>IF(A20="","",IFERROR(ROUND(AVERAGEIFS(ASSESSMENTS!H:H,ASSESSMENTS!B:B,A20,ASSESSMENTS!E:E,"Mathematics"),1),""))</f>
        <v>85</v>
      </c>
      <c r="G20" s="4" t="str">
        <f>IF(A20="","",IFERROR(ROUND(AVERAGEIFS(ASSESSMENTS!H:H,ASSESSMENTS!B:B,A20,ASSESSMENTS!E:E,"Mathematical Literacy"),1),""))</f>
        <v/>
      </c>
      <c r="H20" s="4" t="str">
        <f>IF(A20="","",IFERROR(ROUND(AVERAGEIFS(ASSESSMENTS!H:H,ASSESSMENTS!B:B,A20,ASSESSMENTS!E:E,"Physical Sciences"),1),""))</f>
        <v/>
      </c>
      <c r="I20" s="4" t="str">
        <f>IF(A20="","",IFERROR(ROUND(AVERAGEIFS(ASSESSMENTS!H:H,ASSESSMENTS!B:B,A20,ASSESSMENTS!E:E,"Geography"),1),""))</f>
        <v/>
      </c>
      <c r="J20" s="4" t="str">
        <f>IF(A20="","",IFERROR(ROUND(AVERAGEIFS(ASSESSMENTS!H:H,ASSESSMENTS!B:B,A20,ASSESSMENTS!E:E,"Accounting"),1),""))</f>
        <v/>
      </c>
      <c r="K20" s="4">
        <f>IF(A20="","",IFERROR(ROUND(AVERAGEIFS(ASSESSMENTS!H:H,ASSESSMENTS!B:B,A20,ASSESSMENTS!E:E,"English"),1),""))</f>
        <v>68.7</v>
      </c>
      <c r="L20" s="5">
        <f>IF(A20="","",IFERROR(INDEX(ATTENDANCE_SUMMARY!G:G,MATCH(A20,ATTENDANCE_SUMMARY!A:A,0)),""))</f>
        <v>0.875</v>
      </c>
      <c r="M20" s="4" t="str">
        <f t="shared" si="0"/>
        <v>On Track</v>
      </c>
    </row>
    <row r="21" spans="1:13" x14ac:dyDescent="0.3">
      <c r="A21" t="str">
        <f>IF(MASTER_REGISTER!E21="","",MASTER_REGISTER!E21)</f>
        <v>MSH202609008</v>
      </c>
      <c r="B21" t="str">
        <f>IF(A21="","",MASTER_REGISTER!F21)</f>
        <v>Sifiso Ramushu</v>
      </c>
      <c r="C21">
        <f>IF(A21="","",MASTER_REGISTER!C21)</f>
        <v>9</v>
      </c>
      <c r="D21">
        <f>IF(A21="","",COUNTIF(ASSESSMENTS!B:B,A21))</f>
        <v>10</v>
      </c>
      <c r="E21" s="4">
        <f>IF(D21=0,"",ROUND(AVERAGEIF(ASSESSMENTS!B:B,A21,ASSESSMENTS!H:H),1))</f>
        <v>62.5</v>
      </c>
      <c r="F21" s="4">
        <f>IF(A21="","",IFERROR(ROUND(AVERAGEIFS(ASSESSMENTS!H:H,ASSESSMENTS!B:B,A21,ASSESSMENTS!E:E,"Mathematics"),1),""))</f>
        <v>58.2</v>
      </c>
      <c r="G21" s="4" t="str">
        <f>IF(A21="","",IFERROR(ROUND(AVERAGEIFS(ASSESSMENTS!H:H,ASSESSMENTS!B:B,A21,ASSESSMENTS!E:E,"Mathematical Literacy"),1),""))</f>
        <v/>
      </c>
      <c r="H21" s="4" t="str">
        <f>IF(A21="","",IFERROR(ROUND(AVERAGEIFS(ASSESSMENTS!H:H,ASSESSMENTS!B:B,A21,ASSESSMENTS!E:E,"Physical Sciences"),1),""))</f>
        <v/>
      </c>
      <c r="I21" s="4" t="str">
        <f>IF(A21="","",IFERROR(ROUND(AVERAGEIFS(ASSESSMENTS!H:H,ASSESSMENTS!B:B,A21,ASSESSMENTS!E:E,"Geography"),1),""))</f>
        <v/>
      </c>
      <c r="J21" s="4" t="str">
        <f>IF(A21="","",IFERROR(ROUND(AVERAGEIFS(ASSESSMENTS!H:H,ASSESSMENTS!B:B,A21,ASSESSMENTS!E:E,"Accounting"),1),""))</f>
        <v/>
      </c>
      <c r="K21" s="4">
        <f>IF(A21="","",IFERROR(ROUND(AVERAGEIFS(ASSESSMENTS!H:H,ASSESSMENTS!B:B,A21,ASSESSMENTS!E:E,"English"),1),""))</f>
        <v>64.8</v>
      </c>
      <c r="L21" s="5">
        <f>IF(A21="","",IFERROR(INDEX(ATTENDANCE_SUMMARY!G:G,MATCH(A21,ATTENDANCE_SUMMARY!A:A,0)),""))</f>
        <v>0.91666666666666663</v>
      </c>
      <c r="M21" s="4" t="str">
        <f t="shared" si="0"/>
        <v>On Track</v>
      </c>
    </row>
    <row r="22" spans="1:13" x14ac:dyDescent="0.3">
      <c r="A22" t="str">
        <f>IF(MASTER_REGISTER!E22="","",MASTER_REGISTER!E22)</f>
        <v>MSH202609009</v>
      </c>
      <c r="B22" t="str">
        <f>IF(A22="","",MASTER_REGISTER!F22)</f>
        <v>Nandi Ngobeni</v>
      </c>
      <c r="C22">
        <f>IF(A22="","",MASTER_REGISTER!C22)</f>
        <v>9</v>
      </c>
      <c r="D22">
        <f>IF(A22="","",COUNTIF(ASSESSMENTS!B:B,A22))</f>
        <v>10</v>
      </c>
      <c r="E22" s="4">
        <f>IF(D22=0,"",ROUND(AVERAGEIF(ASSESSMENTS!B:B,A22,ASSESSMENTS!H:H),1))</f>
        <v>61.7</v>
      </c>
      <c r="F22" s="4">
        <f>IF(A22="","",IFERROR(ROUND(AVERAGEIFS(ASSESSMENTS!H:H,ASSESSMENTS!B:B,A22,ASSESSMENTS!E:E,"Mathematics"),1),""))</f>
        <v>55.6</v>
      </c>
      <c r="G22" s="4" t="str">
        <f>IF(A22="","",IFERROR(ROUND(AVERAGEIFS(ASSESSMENTS!H:H,ASSESSMENTS!B:B,A22,ASSESSMENTS!E:E,"Mathematical Literacy"),1),""))</f>
        <v/>
      </c>
      <c r="H22" s="4" t="str">
        <f>IF(A22="","",IFERROR(ROUND(AVERAGEIFS(ASSESSMENTS!H:H,ASSESSMENTS!B:B,A22,ASSESSMENTS!E:E,"Physical Sciences"),1),""))</f>
        <v/>
      </c>
      <c r="I22" s="4" t="str">
        <f>IF(A22="","",IFERROR(ROUND(AVERAGEIFS(ASSESSMENTS!H:H,ASSESSMENTS!B:B,A22,ASSESSMENTS!E:E,"Geography"),1),""))</f>
        <v/>
      </c>
      <c r="J22" s="4" t="str">
        <f>IF(A22="","",IFERROR(ROUND(AVERAGEIFS(ASSESSMENTS!H:H,ASSESSMENTS!B:B,A22,ASSESSMENTS!E:E,"Accounting"),1),""))</f>
        <v/>
      </c>
      <c r="K22" s="4">
        <f>IF(A22="","",IFERROR(ROUND(AVERAGEIFS(ASSESSMENTS!H:H,ASSESSMENTS!B:B,A22,ASSESSMENTS!E:E,"English"),1),""))</f>
        <v>62.3</v>
      </c>
      <c r="L22" s="5">
        <f>IF(A22="","",IFERROR(INDEX(ATTENDANCE_SUMMARY!G:G,MATCH(A22,ATTENDANCE_SUMMARY!A:A,0)),""))</f>
        <v>0.8125</v>
      </c>
      <c r="M22" s="4" t="str">
        <f t="shared" si="0"/>
        <v>On Track</v>
      </c>
    </row>
    <row r="23" spans="1:13" x14ac:dyDescent="0.3">
      <c r="A23" t="str">
        <f>IF(MASTER_REGISTER!E23="","",MASTER_REGISTER!E23)</f>
        <v>MSH202609010</v>
      </c>
      <c r="B23" t="str">
        <f>IF(A23="","",MASTER_REGISTER!F23)</f>
        <v>Karabo Mokgadi</v>
      </c>
      <c r="C23">
        <f>IF(A23="","",MASTER_REGISTER!C23)</f>
        <v>9</v>
      </c>
      <c r="D23">
        <f>IF(A23="","",COUNTIF(ASSESSMENTS!B:B,A23))</f>
        <v>10</v>
      </c>
      <c r="E23" s="4">
        <f>IF(D23=0,"",ROUND(AVERAGEIF(ASSESSMENTS!B:B,A23,ASSESSMENTS!H:H),1))</f>
        <v>68.599999999999994</v>
      </c>
      <c r="F23" s="4">
        <f>IF(A23="","",IFERROR(ROUND(AVERAGEIFS(ASSESSMENTS!H:H,ASSESSMENTS!B:B,A23,ASSESSMENTS!E:E,"Mathematics"),1),""))</f>
        <v>67.400000000000006</v>
      </c>
      <c r="G23" s="4" t="str">
        <f>IF(A23="","",IFERROR(ROUND(AVERAGEIFS(ASSESSMENTS!H:H,ASSESSMENTS!B:B,A23,ASSESSMENTS!E:E,"Mathematical Literacy"),1),""))</f>
        <v/>
      </c>
      <c r="H23" s="4" t="str">
        <f>IF(A23="","",IFERROR(ROUND(AVERAGEIFS(ASSESSMENTS!H:H,ASSESSMENTS!B:B,A23,ASSESSMENTS!E:E,"Physical Sciences"),1),""))</f>
        <v/>
      </c>
      <c r="I23" s="4" t="str">
        <f>IF(A23="","",IFERROR(ROUND(AVERAGEIFS(ASSESSMENTS!H:H,ASSESSMENTS!B:B,A23,ASSESSMENTS!E:E,"Geography"),1),""))</f>
        <v/>
      </c>
      <c r="J23" s="4" t="str">
        <f>IF(A23="","",IFERROR(ROUND(AVERAGEIFS(ASSESSMENTS!H:H,ASSESSMENTS!B:B,A23,ASSESSMENTS!E:E,"Accounting"),1),""))</f>
        <v/>
      </c>
      <c r="K23" s="4">
        <f>IF(A23="","",IFERROR(ROUND(AVERAGEIFS(ASSESSMENTS!H:H,ASSESSMENTS!B:B,A23,ASSESSMENTS!E:E,"English"),1),""))</f>
        <v>71.900000000000006</v>
      </c>
      <c r="L23" s="5">
        <f>IF(A23="","",IFERROR(INDEX(ATTENDANCE_SUMMARY!G:G,MATCH(A23,ATTENDANCE_SUMMARY!A:A,0)),""))</f>
        <v>0.91666666666666663</v>
      </c>
      <c r="M23" s="4" t="str">
        <f t="shared" si="0"/>
        <v>On Track</v>
      </c>
    </row>
    <row r="24" spans="1:13" x14ac:dyDescent="0.3">
      <c r="A24" t="str">
        <f>IF(MASTER_REGISTER!E24="","",MASTER_REGISTER!E24)</f>
        <v>MSH202609011</v>
      </c>
      <c r="B24" t="str">
        <f>IF(A24="","",MASTER_REGISTER!F24)</f>
        <v>Sifiso Mahlangu</v>
      </c>
      <c r="C24">
        <f>IF(A24="","",MASTER_REGISTER!C24)</f>
        <v>9</v>
      </c>
      <c r="D24">
        <f>IF(A24="","",COUNTIF(ASSESSMENTS!B:B,A24))</f>
        <v>10</v>
      </c>
      <c r="E24" s="4">
        <f>IF(D24=0,"",ROUND(AVERAGEIF(ASSESSMENTS!B:B,A24,ASSESSMENTS!H:H),1))</f>
        <v>66.599999999999994</v>
      </c>
      <c r="F24" s="4">
        <f>IF(A24="","",IFERROR(ROUND(AVERAGEIFS(ASSESSMENTS!H:H,ASSESSMENTS!B:B,A24,ASSESSMENTS!E:E,"Mathematics"),1),""))</f>
        <v>70.7</v>
      </c>
      <c r="G24" s="4" t="str">
        <f>IF(A24="","",IFERROR(ROUND(AVERAGEIFS(ASSESSMENTS!H:H,ASSESSMENTS!B:B,A24,ASSESSMENTS!E:E,"Mathematical Literacy"),1),""))</f>
        <v/>
      </c>
      <c r="H24" s="4" t="str">
        <f>IF(A24="","",IFERROR(ROUND(AVERAGEIFS(ASSESSMENTS!H:H,ASSESSMENTS!B:B,A24,ASSESSMENTS!E:E,"Physical Sciences"),1),""))</f>
        <v/>
      </c>
      <c r="I24" s="4" t="str">
        <f>IF(A24="","",IFERROR(ROUND(AVERAGEIFS(ASSESSMENTS!H:H,ASSESSMENTS!B:B,A24,ASSESSMENTS!E:E,"Geography"),1),""))</f>
        <v/>
      </c>
      <c r="J24" s="4" t="str">
        <f>IF(A24="","",IFERROR(ROUND(AVERAGEIFS(ASSESSMENTS!H:H,ASSESSMENTS!B:B,A24,ASSESSMENTS!E:E,"Accounting"),1),""))</f>
        <v/>
      </c>
      <c r="K24" s="4">
        <f>IF(A24="","",IFERROR(ROUND(AVERAGEIFS(ASSESSMENTS!H:H,ASSESSMENTS!B:B,A24,ASSESSMENTS!E:E,"English"),1),""))</f>
        <v>64.900000000000006</v>
      </c>
      <c r="L24" s="5">
        <f>IF(A24="","",IFERROR(INDEX(ATTENDANCE_SUMMARY!G:G,MATCH(A24,ATTENDANCE_SUMMARY!A:A,0)),""))</f>
        <v>0.89583333333333337</v>
      </c>
      <c r="M24" s="4" t="str">
        <f t="shared" si="0"/>
        <v>On Track</v>
      </c>
    </row>
    <row r="25" spans="1:13" x14ac:dyDescent="0.3">
      <c r="A25" t="str">
        <f>IF(MASTER_REGISTER!E25="","",MASTER_REGISTER!E25)</f>
        <v>MSH202609012</v>
      </c>
      <c r="B25" t="str">
        <f>IF(A25="","",MASTER_REGISTER!F25)</f>
        <v>Kgothatso Radebe</v>
      </c>
      <c r="C25">
        <f>IF(A25="","",MASTER_REGISTER!C25)</f>
        <v>9</v>
      </c>
      <c r="D25">
        <f>IF(A25="","",COUNTIF(ASSESSMENTS!B:B,A25))</f>
        <v>10</v>
      </c>
      <c r="E25" s="4">
        <f>IF(D25=0,"",ROUND(AVERAGEIF(ASSESSMENTS!B:B,A25,ASSESSMENTS!H:H),1))</f>
        <v>62.7</v>
      </c>
      <c r="F25" s="4">
        <f>IF(A25="","",IFERROR(ROUND(AVERAGEIFS(ASSESSMENTS!H:H,ASSESSMENTS!B:B,A25,ASSESSMENTS!E:E,"Mathematics"),1),""))</f>
        <v>57.9</v>
      </c>
      <c r="G25" s="4" t="str">
        <f>IF(A25="","",IFERROR(ROUND(AVERAGEIFS(ASSESSMENTS!H:H,ASSESSMENTS!B:B,A25,ASSESSMENTS!E:E,"Mathematical Literacy"),1),""))</f>
        <v/>
      </c>
      <c r="H25" s="4" t="str">
        <f>IF(A25="","",IFERROR(ROUND(AVERAGEIFS(ASSESSMENTS!H:H,ASSESSMENTS!B:B,A25,ASSESSMENTS!E:E,"Physical Sciences"),1),""))</f>
        <v/>
      </c>
      <c r="I25" s="4" t="str">
        <f>IF(A25="","",IFERROR(ROUND(AVERAGEIFS(ASSESSMENTS!H:H,ASSESSMENTS!B:B,A25,ASSESSMENTS!E:E,"Geography"),1),""))</f>
        <v/>
      </c>
      <c r="J25" s="4" t="str">
        <f>IF(A25="","",IFERROR(ROUND(AVERAGEIFS(ASSESSMENTS!H:H,ASSESSMENTS!B:B,A25,ASSESSMENTS!E:E,"Accounting"),1),""))</f>
        <v/>
      </c>
      <c r="K25" s="4">
        <f>IF(A25="","",IFERROR(ROUND(AVERAGEIFS(ASSESSMENTS!H:H,ASSESSMENTS!B:B,A25,ASSESSMENTS!E:E,"English"),1),""))</f>
        <v>65.2</v>
      </c>
      <c r="L25" s="5">
        <f>IF(A25="","",IFERROR(INDEX(ATTENDANCE_SUMMARY!G:G,MATCH(A25,ATTENDANCE_SUMMARY!A:A,0)),""))</f>
        <v>0.85416666666666663</v>
      </c>
      <c r="M25" s="4" t="str">
        <f t="shared" si="0"/>
        <v>On Track</v>
      </c>
    </row>
    <row r="26" spans="1:13" x14ac:dyDescent="0.3">
      <c r="A26" t="str">
        <f>IF(MASTER_REGISTER!E26="","",MASTER_REGISTER!E26)</f>
        <v>MSH202610001</v>
      </c>
      <c r="B26" t="str">
        <f>IF(A26="","",MASTER_REGISTER!F26)</f>
        <v>Lerato Maseko</v>
      </c>
      <c r="C26">
        <f>IF(A26="","",MASTER_REGISTER!C26)</f>
        <v>10</v>
      </c>
      <c r="D26">
        <f>IF(A26="","",COUNTIF(ASSESSMENTS!B:B,A26))</f>
        <v>10</v>
      </c>
      <c r="E26" s="4">
        <f>IF(D26=0,"",ROUND(AVERAGEIF(ASSESSMENTS!B:B,A26,ASSESSMENTS!H:H),1))</f>
        <v>62.3</v>
      </c>
      <c r="F26" s="4">
        <f>IF(A26="","",IFERROR(ROUND(AVERAGEIFS(ASSESSMENTS!H:H,ASSESSMENTS!B:B,A26,ASSESSMENTS!E:E,"Mathematics"),1),""))</f>
        <v>68.7</v>
      </c>
      <c r="G26" s="4" t="str">
        <f>IF(A26="","",IFERROR(ROUND(AVERAGEIFS(ASSESSMENTS!H:H,ASSESSMENTS!B:B,A26,ASSESSMENTS!E:E,"Mathematical Literacy"),1),""))</f>
        <v/>
      </c>
      <c r="H26" s="4" t="str">
        <f>IF(A26="","",IFERROR(ROUND(AVERAGEIFS(ASSESSMENTS!H:H,ASSESSMENTS!B:B,A26,ASSESSMENTS!E:E,"Physical Sciences"),1),""))</f>
        <v/>
      </c>
      <c r="I26" s="4">
        <f>IF(A26="","",IFERROR(ROUND(AVERAGEIFS(ASSESSMENTS!H:H,ASSESSMENTS!B:B,A26,ASSESSMENTS!E:E,"Geography"),1),""))</f>
        <v>50</v>
      </c>
      <c r="J26" s="4">
        <f>IF(A26="","",IFERROR(ROUND(AVERAGEIFS(ASSESSMENTS!H:H,ASSESSMENTS!B:B,A26,ASSESSMENTS!E:E,"Accounting"),1),""))</f>
        <v>69.400000000000006</v>
      </c>
      <c r="K26" s="4">
        <f>IF(A26="","",IFERROR(ROUND(AVERAGEIFS(ASSESSMENTS!H:H,ASSESSMENTS!B:B,A26,ASSESSMENTS!E:E,"English"),1),""))</f>
        <v>59.4</v>
      </c>
      <c r="L26" s="5">
        <f>IF(A26="","",IFERROR(INDEX(ATTENDANCE_SUMMARY!G:G,MATCH(A26,ATTENDANCE_SUMMARY!A:A,0)),""))</f>
        <v>0.79166666666666663</v>
      </c>
      <c r="M26" s="4" t="str">
        <f t="shared" si="0"/>
        <v>On Track</v>
      </c>
    </row>
    <row r="27" spans="1:13" x14ac:dyDescent="0.3">
      <c r="A27" t="str">
        <f>IF(MASTER_REGISTER!E27="","",MASTER_REGISTER!E27)</f>
        <v>MSH202610002</v>
      </c>
      <c r="B27" t="str">
        <f>IF(A27="","",MASTER_REGISTER!F27)</f>
        <v>Sibusiso Molefe</v>
      </c>
      <c r="C27">
        <f>IF(A27="","",MASTER_REGISTER!C27)</f>
        <v>10</v>
      </c>
      <c r="D27">
        <f>IF(A27="","",COUNTIF(ASSESSMENTS!B:B,A27))</f>
        <v>10</v>
      </c>
      <c r="E27" s="4">
        <f>IF(D27=0,"",ROUND(AVERAGEIF(ASSESSMENTS!B:B,A27,ASSESSMENTS!H:H),1))</f>
        <v>59.7</v>
      </c>
      <c r="F27" s="4">
        <f>IF(A27="","",IFERROR(ROUND(AVERAGEIFS(ASSESSMENTS!H:H,ASSESSMENTS!B:B,A27,ASSESSMENTS!E:E,"Mathematics"),1),""))</f>
        <v>55</v>
      </c>
      <c r="G27" s="4" t="str">
        <f>IF(A27="","",IFERROR(ROUND(AVERAGEIFS(ASSESSMENTS!H:H,ASSESSMENTS!B:B,A27,ASSESSMENTS!E:E,"Mathematical Literacy"),1),""))</f>
        <v/>
      </c>
      <c r="H27" s="4">
        <f>IF(A27="","",IFERROR(ROUND(AVERAGEIFS(ASSESSMENTS!H:H,ASSESSMENTS!B:B,A27,ASSESSMENTS!E:E,"Physical Sciences"),1),""))</f>
        <v>57.7</v>
      </c>
      <c r="I27" s="4">
        <f>IF(A27="","",IFERROR(ROUND(AVERAGEIFS(ASSESSMENTS!H:H,ASSESSMENTS!B:B,A27,ASSESSMENTS!E:E,"Geography"),1),""))</f>
        <v>62.9</v>
      </c>
      <c r="J27" s="4">
        <f>IF(A27="","",IFERROR(ROUND(AVERAGEIFS(ASSESSMENTS!H:H,ASSESSMENTS!B:B,A27,ASSESSMENTS!E:E,"Accounting"),1),""))</f>
        <v>59.5</v>
      </c>
      <c r="K27" s="4">
        <f>IF(A27="","",IFERROR(ROUND(AVERAGEIFS(ASSESSMENTS!H:H,ASSESSMENTS!B:B,A27,ASSESSMENTS!E:E,"English"),1),""))</f>
        <v>67</v>
      </c>
      <c r="L27" s="5">
        <f>IF(A27="","",IFERROR(INDEX(ATTENDANCE_SUMMARY!G:G,MATCH(A27,ATTENDANCE_SUMMARY!A:A,0)),""))</f>
        <v>0.89583333333333337</v>
      </c>
      <c r="M27" s="4" t="str">
        <f t="shared" si="0"/>
        <v>On Track</v>
      </c>
    </row>
    <row r="28" spans="1:13" x14ac:dyDescent="0.3">
      <c r="A28" t="str">
        <f>IF(MASTER_REGISTER!E28="","",MASTER_REGISTER!E28)</f>
        <v>MSH202610003</v>
      </c>
      <c r="B28" t="str">
        <f>IF(A28="","",MASTER_REGISTER!F28)</f>
        <v>Nandi Molefe</v>
      </c>
      <c r="C28">
        <f>IF(A28="","",MASTER_REGISTER!C28)</f>
        <v>10</v>
      </c>
      <c r="D28">
        <f>IF(A28="","",COUNTIF(ASSESSMENTS!B:B,A28))</f>
        <v>10</v>
      </c>
      <c r="E28" s="4">
        <f>IF(D28=0,"",ROUND(AVERAGEIF(ASSESSMENTS!B:B,A28,ASSESSMENTS!H:H),1))</f>
        <v>70.7</v>
      </c>
      <c r="F28" s="4">
        <f>IF(A28="","",IFERROR(ROUND(AVERAGEIFS(ASSESSMENTS!H:H,ASSESSMENTS!B:B,A28,ASSESSMENTS!E:E,"Mathematics"),1),""))</f>
        <v>83.1</v>
      </c>
      <c r="G28" s="4">
        <f>IF(A28="","",IFERROR(ROUND(AVERAGEIFS(ASSESSMENTS!H:H,ASSESSMENTS!B:B,A28,ASSESSMENTS!E:E,"Mathematical Literacy"),1),""))</f>
        <v>55.3</v>
      </c>
      <c r="H28" s="4">
        <f>IF(A28="","",IFERROR(ROUND(AVERAGEIFS(ASSESSMENTS!H:H,ASSESSMENTS!B:B,A28,ASSESSMENTS!E:E,"Physical Sciences"),1),""))</f>
        <v>73.099999999999994</v>
      </c>
      <c r="I28" s="4">
        <f>IF(A28="","",IFERROR(ROUND(AVERAGEIFS(ASSESSMENTS!H:H,ASSESSMENTS!B:B,A28,ASSESSMENTS!E:E,"Geography"),1),""))</f>
        <v>65.599999999999994</v>
      </c>
      <c r="J28" s="4">
        <f>IF(A28="","",IFERROR(ROUND(AVERAGEIFS(ASSESSMENTS!H:H,ASSESSMENTS!B:B,A28,ASSESSMENTS!E:E,"Accounting"),1),""))</f>
        <v>70.7</v>
      </c>
      <c r="K28" s="4">
        <f>IF(A28="","",IFERROR(ROUND(AVERAGEIFS(ASSESSMENTS!H:H,ASSESSMENTS!B:B,A28,ASSESSMENTS!E:E,"English"),1),""))</f>
        <v>73.5</v>
      </c>
      <c r="L28" s="5">
        <f>IF(A28="","",IFERROR(INDEX(ATTENDANCE_SUMMARY!G:G,MATCH(A28,ATTENDANCE_SUMMARY!A:A,0)),""))</f>
        <v>0.91666666666666663</v>
      </c>
      <c r="M28" s="4" t="str">
        <f t="shared" si="0"/>
        <v>On Track</v>
      </c>
    </row>
    <row r="29" spans="1:13" x14ac:dyDescent="0.3">
      <c r="A29" t="str">
        <f>IF(MASTER_REGISTER!E29="","",MASTER_REGISTER!E29)</f>
        <v>MSH202610004</v>
      </c>
      <c r="B29" t="str">
        <f>IF(A29="","",MASTER_REGISTER!F29)</f>
        <v>Kgothatso Baloyi</v>
      </c>
      <c r="C29">
        <f>IF(A29="","",MASTER_REGISTER!C29)</f>
        <v>10</v>
      </c>
      <c r="D29">
        <f>IF(A29="","",COUNTIF(ASSESSMENTS!B:B,A29))</f>
        <v>10</v>
      </c>
      <c r="E29" s="4">
        <f>IF(D29=0,"",ROUND(AVERAGEIF(ASSESSMENTS!B:B,A29,ASSESSMENTS!H:H),1))</f>
        <v>61.8</v>
      </c>
      <c r="F29" s="4">
        <f>IF(A29="","",IFERROR(ROUND(AVERAGEIFS(ASSESSMENTS!H:H,ASSESSMENTS!B:B,A29,ASSESSMENTS!E:E,"Mathematics"),1),""))</f>
        <v>53.1</v>
      </c>
      <c r="G29" s="4" t="str">
        <f>IF(A29="","",IFERROR(ROUND(AVERAGEIFS(ASSESSMENTS!H:H,ASSESSMENTS!B:B,A29,ASSESSMENTS!E:E,"Mathematical Literacy"),1),""))</f>
        <v/>
      </c>
      <c r="H29" s="4">
        <f>IF(A29="","",IFERROR(ROUND(AVERAGEIFS(ASSESSMENTS!H:H,ASSESSMENTS!B:B,A29,ASSESSMENTS!E:E,"Physical Sciences"),1),""))</f>
        <v>64.599999999999994</v>
      </c>
      <c r="I29" s="4">
        <f>IF(A29="","",IFERROR(ROUND(AVERAGEIFS(ASSESSMENTS!H:H,ASSESSMENTS!B:B,A29,ASSESSMENTS!E:E,"Geography"),1),""))</f>
        <v>64.8</v>
      </c>
      <c r="J29" s="4">
        <f>IF(A29="","",IFERROR(ROUND(AVERAGEIFS(ASSESSMENTS!H:H,ASSESSMENTS!B:B,A29,ASSESSMENTS!E:E,"Accounting"),1),""))</f>
        <v>47.7</v>
      </c>
      <c r="K29" s="4">
        <f>IF(A29="","",IFERROR(ROUND(AVERAGEIFS(ASSESSMENTS!H:H,ASSESSMENTS!B:B,A29,ASSESSMENTS!E:E,"English"),1),""))</f>
        <v>64.5</v>
      </c>
      <c r="L29" s="5">
        <f>IF(A29="","",IFERROR(INDEX(ATTENDANCE_SUMMARY!G:G,MATCH(A29,ATTENDANCE_SUMMARY!A:A,0)),""))</f>
        <v>0.875</v>
      </c>
      <c r="M29" s="4" t="str">
        <f t="shared" si="0"/>
        <v>On Track</v>
      </c>
    </row>
    <row r="30" spans="1:13" x14ac:dyDescent="0.3">
      <c r="A30" t="str">
        <f>IF(MASTER_REGISTER!E30="","",MASTER_REGISTER!E30)</f>
        <v>MSH202610005</v>
      </c>
      <c r="B30" t="str">
        <f>IF(A30="","",MASTER_REGISTER!F30)</f>
        <v>Ayanda Mokoena</v>
      </c>
      <c r="C30">
        <f>IF(A30="","",MASTER_REGISTER!C30)</f>
        <v>10</v>
      </c>
      <c r="D30">
        <f>IF(A30="","",COUNTIF(ASSESSMENTS!B:B,A30))</f>
        <v>10</v>
      </c>
      <c r="E30" s="4">
        <f>IF(D30=0,"",ROUND(AVERAGEIF(ASSESSMENTS!B:B,A30,ASSESSMENTS!H:H),1))</f>
        <v>70.5</v>
      </c>
      <c r="F30" s="4">
        <f>IF(A30="","",IFERROR(ROUND(AVERAGEIFS(ASSESSMENTS!H:H,ASSESSMENTS!B:B,A30,ASSESSMENTS!E:E,"Mathematics"),1),""))</f>
        <v>51.1</v>
      </c>
      <c r="G30" s="4">
        <f>IF(A30="","",IFERROR(ROUND(AVERAGEIFS(ASSESSMENTS!H:H,ASSESSMENTS!B:B,A30,ASSESSMENTS!E:E,"Mathematical Literacy"),1),""))</f>
        <v>69.5</v>
      </c>
      <c r="H30" s="4">
        <f>IF(A30="","",IFERROR(ROUND(AVERAGEIFS(ASSESSMENTS!H:H,ASSESSMENTS!B:B,A30,ASSESSMENTS!E:E,"Physical Sciences"),1),""))</f>
        <v>79.5</v>
      </c>
      <c r="I30" s="4">
        <f>IF(A30="","",IFERROR(ROUND(AVERAGEIFS(ASSESSMENTS!H:H,ASSESSMENTS!B:B,A30,ASSESSMENTS!E:E,"Geography"),1),""))</f>
        <v>77.400000000000006</v>
      </c>
      <c r="J30" s="4">
        <f>IF(A30="","",IFERROR(ROUND(AVERAGEIFS(ASSESSMENTS!H:H,ASSESSMENTS!B:B,A30,ASSESSMENTS!E:E,"Accounting"),1),""))</f>
        <v>72</v>
      </c>
      <c r="K30" s="4">
        <f>IF(A30="","",IFERROR(ROUND(AVERAGEIFS(ASSESSMENTS!H:H,ASSESSMENTS!B:B,A30,ASSESSMENTS!E:E,"English"),1),""))</f>
        <v>75.599999999999994</v>
      </c>
      <c r="L30" s="5">
        <f>IF(A30="","",IFERROR(INDEX(ATTENDANCE_SUMMARY!G:G,MATCH(A30,ATTENDANCE_SUMMARY!A:A,0)),""))</f>
        <v>0.83333333333333337</v>
      </c>
      <c r="M30" s="4" t="str">
        <f t="shared" si="0"/>
        <v>On Track</v>
      </c>
    </row>
    <row r="31" spans="1:13" x14ac:dyDescent="0.3">
      <c r="A31" t="str">
        <f>IF(MASTER_REGISTER!E31="","",MASTER_REGISTER!E31)</f>
        <v>MSH202610006</v>
      </c>
      <c r="B31" t="str">
        <f>IF(A31="","",MASTER_REGISTER!F31)</f>
        <v>Lwazi Baloyi</v>
      </c>
      <c r="C31">
        <f>IF(A31="","",MASTER_REGISTER!C31)</f>
        <v>10</v>
      </c>
      <c r="D31">
        <f>IF(A31="","",COUNTIF(ASSESSMENTS!B:B,A31))</f>
        <v>10</v>
      </c>
      <c r="E31" s="4">
        <f>IF(D31=0,"",ROUND(AVERAGEIF(ASSESSMENTS!B:B,A31,ASSESSMENTS!H:H),1))</f>
        <v>63.6</v>
      </c>
      <c r="F31" s="4">
        <f>IF(A31="","",IFERROR(ROUND(AVERAGEIFS(ASSESSMENTS!H:H,ASSESSMENTS!B:B,A31,ASSESSMENTS!E:E,"Mathematics"),1),""))</f>
        <v>64.7</v>
      </c>
      <c r="G31" s="4">
        <f>IF(A31="","",IFERROR(ROUND(AVERAGEIFS(ASSESSMENTS!H:H,ASSESSMENTS!B:B,A31,ASSESSMENTS!E:E,"Mathematical Literacy"),1),""))</f>
        <v>62.5</v>
      </c>
      <c r="H31" s="4">
        <f>IF(A31="","",IFERROR(ROUND(AVERAGEIFS(ASSESSMENTS!H:H,ASSESSMENTS!B:B,A31,ASSESSMENTS!E:E,"Physical Sciences"),1),""))</f>
        <v>56.4</v>
      </c>
      <c r="I31" s="4" t="str">
        <f>IF(A31="","",IFERROR(ROUND(AVERAGEIFS(ASSESSMENTS!H:H,ASSESSMENTS!B:B,A31,ASSESSMENTS!E:E,"Geography"),1),""))</f>
        <v/>
      </c>
      <c r="J31" s="4">
        <f>IF(A31="","",IFERROR(ROUND(AVERAGEIFS(ASSESSMENTS!H:H,ASSESSMENTS!B:B,A31,ASSESSMENTS!E:E,"Accounting"),1),""))</f>
        <v>66.599999999999994</v>
      </c>
      <c r="K31" s="4">
        <f>IF(A31="","",IFERROR(ROUND(AVERAGEIFS(ASSESSMENTS!H:H,ASSESSMENTS!B:B,A31,ASSESSMENTS!E:E,"English"),1),""))</f>
        <v>73.5</v>
      </c>
      <c r="L31" s="5">
        <f>IF(A31="","",IFERROR(INDEX(ATTENDANCE_SUMMARY!G:G,MATCH(A31,ATTENDANCE_SUMMARY!A:A,0)),""))</f>
        <v>0.875</v>
      </c>
      <c r="M31" s="4" t="str">
        <f t="shared" si="0"/>
        <v>On Track</v>
      </c>
    </row>
    <row r="32" spans="1:13" x14ac:dyDescent="0.3">
      <c r="A32" t="str">
        <f>IF(MASTER_REGISTER!E32="","",MASTER_REGISTER!E32)</f>
        <v>MSH202610007</v>
      </c>
      <c r="B32" t="str">
        <f>IF(A32="","",MASTER_REGISTER!F32)</f>
        <v>Siyanda Mokoena</v>
      </c>
      <c r="C32">
        <f>IF(A32="","",MASTER_REGISTER!C32)</f>
        <v>10</v>
      </c>
      <c r="D32">
        <f>IF(A32="","",COUNTIF(ASSESSMENTS!B:B,A32))</f>
        <v>10</v>
      </c>
      <c r="E32" s="4">
        <f>IF(D32=0,"",ROUND(AVERAGEIF(ASSESSMENTS!B:B,A32,ASSESSMENTS!H:H),1))</f>
        <v>62.5</v>
      </c>
      <c r="F32" s="4">
        <f>IF(A32="","",IFERROR(ROUND(AVERAGEIFS(ASSESSMENTS!H:H,ASSESSMENTS!B:B,A32,ASSESSMENTS!E:E,"Mathematics"),1),""))</f>
        <v>67</v>
      </c>
      <c r="G32" s="4">
        <f>IF(A32="","",IFERROR(ROUND(AVERAGEIFS(ASSESSMENTS!H:H,ASSESSMENTS!B:B,A32,ASSESSMENTS!E:E,"Mathematical Literacy"),1),""))</f>
        <v>54.5</v>
      </c>
      <c r="H32" s="4">
        <f>IF(A32="","",IFERROR(ROUND(AVERAGEIFS(ASSESSMENTS!H:H,ASSESSMENTS!B:B,A32,ASSESSMENTS!E:E,"Physical Sciences"),1),""))</f>
        <v>54.8</v>
      </c>
      <c r="I32" s="4">
        <f>IF(A32="","",IFERROR(ROUND(AVERAGEIFS(ASSESSMENTS!H:H,ASSESSMENTS!B:B,A32,ASSESSMENTS!E:E,"Geography"),1),""))</f>
        <v>68.900000000000006</v>
      </c>
      <c r="J32" s="4">
        <f>IF(A32="","",IFERROR(ROUND(AVERAGEIFS(ASSESSMENTS!H:H,ASSESSMENTS!B:B,A32,ASSESSMENTS!E:E,"Accounting"),1),""))</f>
        <v>62.8</v>
      </c>
      <c r="K32" s="4">
        <f>IF(A32="","",IFERROR(ROUND(AVERAGEIFS(ASSESSMENTS!H:H,ASSESSMENTS!B:B,A32,ASSESSMENTS!E:E,"English"),1),""))</f>
        <v>71.400000000000006</v>
      </c>
      <c r="L32" s="5">
        <f>IF(A32="","",IFERROR(INDEX(ATTENDANCE_SUMMARY!G:G,MATCH(A32,ATTENDANCE_SUMMARY!A:A,0)),""))</f>
        <v>0.89583333333333337</v>
      </c>
      <c r="M32" s="4" t="str">
        <f t="shared" si="0"/>
        <v>On Track</v>
      </c>
    </row>
    <row r="33" spans="1:13" x14ac:dyDescent="0.3">
      <c r="A33" t="str">
        <f>IF(MASTER_REGISTER!E33="","",MASTER_REGISTER!E33)</f>
        <v>MSH202610008</v>
      </c>
      <c r="B33" t="str">
        <f>IF(A33="","",MASTER_REGISTER!F33)</f>
        <v>Mpho Ngobeni</v>
      </c>
      <c r="C33">
        <f>IF(A33="","",MASTER_REGISTER!C33)</f>
        <v>10</v>
      </c>
      <c r="D33">
        <f>IF(A33="","",COUNTIF(ASSESSMENTS!B:B,A33))</f>
        <v>10</v>
      </c>
      <c r="E33" s="4">
        <f>IF(D33=0,"",ROUND(AVERAGEIF(ASSESSMENTS!B:B,A33,ASSESSMENTS!H:H),1))</f>
        <v>57.2</v>
      </c>
      <c r="F33" s="4">
        <f>IF(A33="","",IFERROR(ROUND(AVERAGEIFS(ASSESSMENTS!H:H,ASSESSMENTS!B:B,A33,ASSESSMENTS!E:E,"Mathematics"),1),""))</f>
        <v>58.5</v>
      </c>
      <c r="G33" s="4" t="str">
        <f>IF(A33="","",IFERROR(ROUND(AVERAGEIFS(ASSESSMENTS!H:H,ASSESSMENTS!B:B,A33,ASSESSMENTS!E:E,"Mathematical Literacy"),1),""))</f>
        <v/>
      </c>
      <c r="H33" s="4">
        <f>IF(A33="","",IFERROR(ROUND(AVERAGEIFS(ASSESSMENTS!H:H,ASSESSMENTS!B:B,A33,ASSESSMENTS!E:E,"Physical Sciences"),1),""))</f>
        <v>56.1</v>
      </c>
      <c r="I33" s="4">
        <f>IF(A33="","",IFERROR(ROUND(AVERAGEIFS(ASSESSMENTS!H:H,ASSESSMENTS!B:B,A33,ASSESSMENTS!E:E,"Geography"),1),""))</f>
        <v>52.6</v>
      </c>
      <c r="J33" s="4" t="str">
        <f>IF(A33="","",IFERROR(ROUND(AVERAGEIFS(ASSESSMENTS!H:H,ASSESSMENTS!B:B,A33,ASSESSMENTS!E:E,"Accounting"),1),""))</f>
        <v/>
      </c>
      <c r="K33" s="4">
        <f>IF(A33="","",IFERROR(ROUND(AVERAGEIFS(ASSESSMENTS!H:H,ASSESSMENTS!B:B,A33,ASSESSMENTS!E:E,"English"),1),""))</f>
        <v>63.1</v>
      </c>
      <c r="L33" s="5">
        <f>IF(A33="","",IFERROR(INDEX(ATTENDANCE_SUMMARY!G:G,MATCH(A33,ATTENDANCE_SUMMARY!A:A,0)),""))</f>
        <v>0.85416666666666663</v>
      </c>
      <c r="M33" s="4" t="str">
        <f t="shared" si="0"/>
        <v>On Track</v>
      </c>
    </row>
    <row r="34" spans="1:13" x14ac:dyDescent="0.3">
      <c r="A34" t="str">
        <f>IF(MASTER_REGISTER!E34="","",MASTER_REGISTER!E34)</f>
        <v>MSH202610009</v>
      </c>
      <c r="B34" t="str">
        <f>IF(A34="","",MASTER_REGISTER!F34)</f>
        <v>Naledi Makhubela</v>
      </c>
      <c r="C34">
        <f>IF(A34="","",MASTER_REGISTER!C34)</f>
        <v>10</v>
      </c>
      <c r="D34">
        <f>IF(A34="","",COUNTIF(ASSESSMENTS!B:B,A34))</f>
        <v>10</v>
      </c>
      <c r="E34" s="4">
        <f>IF(D34=0,"",ROUND(AVERAGEIF(ASSESSMENTS!B:B,A34,ASSESSMENTS!H:H),1))</f>
        <v>64.8</v>
      </c>
      <c r="F34" s="4">
        <f>IF(A34="","",IFERROR(ROUND(AVERAGEIFS(ASSESSMENTS!H:H,ASSESSMENTS!B:B,A34,ASSESSMENTS!E:E,"Mathematics"),1),""))</f>
        <v>64.400000000000006</v>
      </c>
      <c r="G34" s="4">
        <f>IF(A34="","",IFERROR(ROUND(AVERAGEIFS(ASSESSMENTS!H:H,ASSESSMENTS!B:B,A34,ASSESSMENTS!E:E,"Mathematical Literacy"),1),""))</f>
        <v>57</v>
      </c>
      <c r="H34" s="4">
        <f>IF(A34="","",IFERROR(ROUND(AVERAGEIFS(ASSESSMENTS!H:H,ASSESSMENTS!B:B,A34,ASSESSMENTS!E:E,"Physical Sciences"),1),""))</f>
        <v>58.5</v>
      </c>
      <c r="I34" s="4">
        <f>IF(A34="","",IFERROR(ROUND(AVERAGEIFS(ASSESSMENTS!H:H,ASSESSMENTS!B:B,A34,ASSESSMENTS!E:E,"Geography"),1),""))</f>
        <v>61.9</v>
      </c>
      <c r="J34" s="4">
        <f>IF(A34="","",IFERROR(ROUND(AVERAGEIFS(ASSESSMENTS!H:H,ASSESSMENTS!B:B,A34,ASSESSMENTS!E:E,"Accounting"),1),""))</f>
        <v>78.599999999999994</v>
      </c>
      <c r="K34" s="4">
        <f>IF(A34="","",IFERROR(ROUND(AVERAGEIFS(ASSESSMENTS!H:H,ASSESSMENTS!B:B,A34,ASSESSMENTS!E:E,"English"),1),""))</f>
        <v>61.3</v>
      </c>
      <c r="L34" s="5">
        <f>IF(A34="","",IFERROR(INDEX(ATTENDANCE_SUMMARY!G:G,MATCH(A34,ATTENDANCE_SUMMARY!A:A,0)),""))</f>
        <v>0.83333333333333337</v>
      </c>
      <c r="M34" s="4" t="str">
        <f t="shared" si="0"/>
        <v>On Track</v>
      </c>
    </row>
    <row r="35" spans="1:13" x14ac:dyDescent="0.3">
      <c r="A35" t="str">
        <f>IF(MASTER_REGISTER!E35="","",MASTER_REGISTER!E35)</f>
        <v>MSH202610010</v>
      </c>
      <c r="B35" t="str">
        <f>IF(A35="","",MASTER_REGISTER!F35)</f>
        <v>Kgothatso Mokoena</v>
      </c>
      <c r="C35">
        <f>IF(A35="","",MASTER_REGISTER!C35)</f>
        <v>10</v>
      </c>
      <c r="D35">
        <f>IF(A35="","",COUNTIF(ASSESSMENTS!B:B,A35))</f>
        <v>10</v>
      </c>
      <c r="E35" s="4">
        <f>IF(D35=0,"",ROUND(AVERAGEIF(ASSESSMENTS!B:B,A35,ASSESSMENTS!H:H),1))</f>
        <v>67.3</v>
      </c>
      <c r="F35" s="4">
        <f>IF(A35="","",IFERROR(ROUND(AVERAGEIFS(ASSESSMENTS!H:H,ASSESSMENTS!B:B,A35,ASSESSMENTS!E:E,"Mathematics"),1),""))</f>
        <v>64.900000000000006</v>
      </c>
      <c r="G35" s="4" t="str">
        <f>IF(A35="","",IFERROR(ROUND(AVERAGEIFS(ASSESSMENTS!H:H,ASSESSMENTS!B:B,A35,ASSESSMENTS!E:E,"Mathematical Literacy"),1),""))</f>
        <v/>
      </c>
      <c r="H35" s="4">
        <f>IF(A35="","",IFERROR(ROUND(AVERAGEIFS(ASSESSMENTS!H:H,ASSESSMENTS!B:B,A35,ASSESSMENTS!E:E,"Physical Sciences"),1),""))</f>
        <v>74.400000000000006</v>
      </c>
      <c r="I35" s="4">
        <f>IF(A35="","",IFERROR(ROUND(AVERAGEIFS(ASSESSMENTS!H:H,ASSESSMENTS!B:B,A35,ASSESSMENTS!E:E,"Geography"),1),""))</f>
        <v>77.900000000000006</v>
      </c>
      <c r="J35" s="4">
        <f>IF(A35="","",IFERROR(ROUND(AVERAGEIFS(ASSESSMENTS!H:H,ASSESSMENTS!B:B,A35,ASSESSMENTS!E:E,"Accounting"),1),""))</f>
        <v>54</v>
      </c>
      <c r="K35" s="4">
        <f>IF(A35="","",IFERROR(ROUND(AVERAGEIFS(ASSESSMENTS!H:H,ASSESSMENTS!B:B,A35,ASSESSMENTS!E:E,"English"),1),""))</f>
        <v>73.400000000000006</v>
      </c>
      <c r="L35" s="5">
        <f>IF(A35="","",IFERROR(INDEX(ATTENDANCE_SUMMARY!G:G,MATCH(A35,ATTENDANCE_SUMMARY!A:A,0)),""))</f>
        <v>0.875</v>
      </c>
      <c r="M35" s="4" t="str">
        <f t="shared" si="0"/>
        <v>On Track</v>
      </c>
    </row>
    <row r="36" spans="1:13" x14ac:dyDescent="0.3">
      <c r="A36" t="str">
        <f>IF(MASTER_REGISTER!E36="","",MASTER_REGISTER!E36)</f>
        <v>MSH202610011</v>
      </c>
      <c r="B36" t="str">
        <f>IF(A36="","",MASTER_REGISTER!F36)</f>
        <v>Bongani Makhubela</v>
      </c>
      <c r="C36">
        <f>IF(A36="","",MASTER_REGISTER!C36)</f>
        <v>10</v>
      </c>
      <c r="D36">
        <f>IF(A36="","",COUNTIF(ASSESSMENTS!B:B,A36))</f>
        <v>10</v>
      </c>
      <c r="E36" s="4">
        <f>IF(D36=0,"",ROUND(AVERAGEIF(ASSESSMENTS!B:B,A36,ASSESSMENTS!H:H),1))</f>
        <v>62</v>
      </c>
      <c r="F36" s="4">
        <f>IF(A36="","",IFERROR(ROUND(AVERAGEIFS(ASSESSMENTS!H:H,ASSESSMENTS!B:B,A36,ASSESSMENTS!E:E,"Mathematics"),1),""))</f>
        <v>43.7</v>
      </c>
      <c r="G36" s="4">
        <f>IF(A36="","",IFERROR(ROUND(AVERAGEIFS(ASSESSMENTS!H:H,ASSESSMENTS!B:B,A36,ASSESSMENTS!E:E,"Mathematical Literacy"),1),""))</f>
        <v>69.5</v>
      </c>
      <c r="H36" s="4">
        <f>IF(A36="","",IFERROR(ROUND(AVERAGEIFS(ASSESSMENTS!H:H,ASSESSMENTS!B:B,A36,ASSESSMENTS!E:E,"Physical Sciences"),1),""))</f>
        <v>77.3</v>
      </c>
      <c r="I36" s="4">
        <f>IF(A36="","",IFERROR(ROUND(AVERAGEIFS(ASSESSMENTS!H:H,ASSESSMENTS!B:B,A36,ASSESSMENTS!E:E,"Geography"),1),""))</f>
        <v>69</v>
      </c>
      <c r="J36" s="4">
        <f>IF(A36="","",IFERROR(ROUND(AVERAGEIFS(ASSESSMENTS!H:H,ASSESSMENTS!B:B,A36,ASSESSMENTS!E:E,"Accounting"),1),""))</f>
        <v>59.9</v>
      </c>
      <c r="K36" s="4">
        <f>IF(A36="","",IFERROR(ROUND(AVERAGEIFS(ASSESSMENTS!H:H,ASSESSMENTS!B:B,A36,ASSESSMENTS!E:E,"English"),1),""))</f>
        <v>42.6</v>
      </c>
      <c r="L36" s="5">
        <f>IF(A36="","",IFERROR(INDEX(ATTENDANCE_SUMMARY!G:G,MATCH(A36,ATTENDANCE_SUMMARY!A:A,0)),""))</f>
        <v>0.875</v>
      </c>
      <c r="M36" s="4" t="str">
        <f t="shared" si="0"/>
        <v>On Track</v>
      </c>
    </row>
    <row r="37" spans="1:13" x14ac:dyDescent="0.3">
      <c r="A37" t="str">
        <f>IF(MASTER_REGISTER!E37="","",MASTER_REGISTER!E37)</f>
        <v>MSH202610012</v>
      </c>
      <c r="B37" t="str">
        <f>IF(A37="","",MASTER_REGISTER!F37)</f>
        <v>Kagiso Kekana</v>
      </c>
      <c r="C37">
        <f>IF(A37="","",MASTER_REGISTER!C37)</f>
        <v>10</v>
      </c>
      <c r="D37">
        <f>IF(A37="","",COUNTIF(ASSESSMENTS!B:B,A37))</f>
        <v>10</v>
      </c>
      <c r="E37" s="4">
        <f>IF(D37=0,"",ROUND(AVERAGEIF(ASSESSMENTS!B:B,A37,ASSESSMENTS!H:H),1))</f>
        <v>56.5</v>
      </c>
      <c r="F37" s="4" t="str">
        <f>IF(A37="","",IFERROR(ROUND(AVERAGEIFS(ASSESSMENTS!H:H,ASSESSMENTS!B:B,A37,ASSESSMENTS!E:E,"Mathematics"),1),""))</f>
        <v/>
      </c>
      <c r="G37" s="4">
        <f>IF(A37="","",IFERROR(ROUND(AVERAGEIFS(ASSESSMENTS!H:H,ASSESSMENTS!B:B,A37,ASSESSMENTS!E:E,"Mathematical Literacy"),1),""))</f>
        <v>61.8</v>
      </c>
      <c r="H37" s="4">
        <f>IF(A37="","",IFERROR(ROUND(AVERAGEIFS(ASSESSMENTS!H:H,ASSESSMENTS!B:B,A37,ASSESSMENTS!E:E,"Physical Sciences"),1),""))</f>
        <v>52.7</v>
      </c>
      <c r="I37" s="4">
        <f>IF(A37="","",IFERROR(ROUND(AVERAGEIFS(ASSESSMENTS!H:H,ASSESSMENTS!B:B,A37,ASSESSMENTS!E:E,"Geography"),1),""))</f>
        <v>58.8</v>
      </c>
      <c r="J37" s="4">
        <f>IF(A37="","",IFERROR(ROUND(AVERAGEIFS(ASSESSMENTS!H:H,ASSESSMENTS!B:B,A37,ASSESSMENTS!E:E,"Accounting"),1),""))</f>
        <v>56.4</v>
      </c>
      <c r="K37" s="4" t="str">
        <f>IF(A37="","",IFERROR(ROUND(AVERAGEIFS(ASSESSMENTS!H:H,ASSESSMENTS!B:B,A37,ASSESSMENTS!E:E,"English"),1),""))</f>
        <v/>
      </c>
      <c r="L37" s="5">
        <f>IF(A37="","",IFERROR(INDEX(ATTENDANCE_SUMMARY!G:G,MATCH(A37,ATTENDANCE_SUMMARY!A:A,0)),""))</f>
        <v>0.875</v>
      </c>
      <c r="M37" s="4" t="str">
        <f t="shared" si="0"/>
        <v>On Track</v>
      </c>
    </row>
    <row r="38" spans="1:13" x14ac:dyDescent="0.3">
      <c r="A38" t="str">
        <f>IF(MASTER_REGISTER!E38="","",MASTER_REGISTER!E38)</f>
        <v>MSH202611001</v>
      </c>
      <c r="B38" t="str">
        <f>IF(A38="","",MASTER_REGISTER!F38)</f>
        <v>Lwazi Makhubela</v>
      </c>
      <c r="C38">
        <f>IF(A38="","",MASTER_REGISTER!C38)</f>
        <v>11</v>
      </c>
      <c r="D38">
        <f>IF(A38="","",COUNTIF(ASSESSMENTS!B:B,A38))</f>
        <v>10</v>
      </c>
      <c r="E38" s="4">
        <f>IF(D38=0,"",ROUND(AVERAGEIF(ASSESSMENTS!B:B,A38,ASSESSMENTS!H:H),1))</f>
        <v>58.8</v>
      </c>
      <c r="F38" s="4">
        <f>IF(A38="","",IFERROR(ROUND(AVERAGEIFS(ASSESSMENTS!H:H,ASSESSMENTS!B:B,A38,ASSESSMENTS!E:E,"Mathematics"),1),""))</f>
        <v>67</v>
      </c>
      <c r="G38" s="4" t="str">
        <f>IF(A38="","",IFERROR(ROUND(AVERAGEIFS(ASSESSMENTS!H:H,ASSESSMENTS!B:B,A38,ASSESSMENTS!E:E,"Mathematical Literacy"),1),""))</f>
        <v/>
      </c>
      <c r="H38" s="4">
        <f>IF(A38="","",IFERROR(ROUND(AVERAGEIFS(ASSESSMENTS!H:H,ASSESSMENTS!B:B,A38,ASSESSMENTS!E:E,"Physical Sciences"),1),""))</f>
        <v>46.8</v>
      </c>
      <c r="I38" s="4">
        <f>IF(A38="","",IFERROR(ROUND(AVERAGEIFS(ASSESSMENTS!H:H,ASSESSMENTS!B:B,A38,ASSESSMENTS!E:E,"Geography"),1),""))</f>
        <v>66.7</v>
      </c>
      <c r="J38" s="4">
        <f>IF(A38="","",IFERROR(ROUND(AVERAGEIFS(ASSESSMENTS!H:H,ASSESSMENTS!B:B,A38,ASSESSMENTS!E:E,"Accounting"),1),""))</f>
        <v>53.1</v>
      </c>
      <c r="K38" s="4">
        <f>IF(A38="","",IFERROR(ROUND(AVERAGEIFS(ASSESSMENTS!H:H,ASSESSMENTS!B:B,A38,ASSESSMENTS!E:E,"English"),1),""))</f>
        <v>63.7</v>
      </c>
      <c r="L38" s="5">
        <f>IF(A38="","",IFERROR(INDEX(ATTENDANCE_SUMMARY!G:G,MATCH(A38,ATTENDANCE_SUMMARY!A:A,0)),""))</f>
        <v>0.9375</v>
      </c>
      <c r="M38" s="4" t="str">
        <f t="shared" si="0"/>
        <v>On Track</v>
      </c>
    </row>
    <row r="39" spans="1:13" x14ac:dyDescent="0.3">
      <c r="A39" t="str">
        <f>IF(MASTER_REGISTER!E39="","",MASTER_REGISTER!E39)</f>
        <v>MSH202611002</v>
      </c>
      <c r="B39" t="str">
        <f>IF(A39="","",MASTER_REGISTER!F39)</f>
        <v>Lebogang Ramushu</v>
      </c>
      <c r="C39">
        <f>IF(A39="","",MASTER_REGISTER!C39)</f>
        <v>11</v>
      </c>
      <c r="D39">
        <f>IF(A39="","",COUNTIF(ASSESSMENTS!B:B,A39))</f>
        <v>10</v>
      </c>
      <c r="E39" s="4">
        <f>IF(D39=0,"",ROUND(AVERAGEIF(ASSESSMENTS!B:B,A39,ASSESSMENTS!H:H),1))</f>
        <v>62.6</v>
      </c>
      <c r="F39" s="4">
        <f>IF(A39="","",IFERROR(ROUND(AVERAGEIFS(ASSESSMENTS!H:H,ASSESSMENTS!B:B,A39,ASSESSMENTS!E:E,"Mathematics"),1),""))</f>
        <v>56</v>
      </c>
      <c r="G39" s="4">
        <f>IF(A39="","",IFERROR(ROUND(AVERAGEIFS(ASSESSMENTS!H:H,ASSESSMENTS!B:B,A39,ASSESSMENTS!E:E,"Mathematical Literacy"),1),""))</f>
        <v>57.3</v>
      </c>
      <c r="H39" s="4">
        <f>IF(A39="","",IFERROR(ROUND(AVERAGEIFS(ASSESSMENTS!H:H,ASSESSMENTS!B:B,A39,ASSESSMENTS!E:E,"Physical Sciences"),1),""))</f>
        <v>81.099999999999994</v>
      </c>
      <c r="I39" s="4">
        <f>IF(A39="","",IFERROR(ROUND(AVERAGEIFS(ASSESSMENTS!H:H,ASSESSMENTS!B:B,A39,ASSESSMENTS!E:E,"Geography"),1),""))</f>
        <v>81.7</v>
      </c>
      <c r="J39" s="4" t="str">
        <f>IF(A39="","",IFERROR(ROUND(AVERAGEIFS(ASSESSMENTS!H:H,ASSESSMENTS!B:B,A39,ASSESSMENTS!E:E,"Accounting"),1),""))</f>
        <v/>
      </c>
      <c r="K39" s="4">
        <f>IF(A39="","",IFERROR(ROUND(AVERAGEIFS(ASSESSMENTS!H:H,ASSESSMENTS!B:B,A39,ASSESSMENTS!E:E,"English"),1),""))</f>
        <v>41.9</v>
      </c>
      <c r="L39" s="5">
        <f>IF(A39="","",IFERROR(INDEX(ATTENDANCE_SUMMARY!G:G,MATCH(A39,ATTENDANCE_SUMMARY!A:A,0)),""))</f>
        <v>0.85416666666666663</v>
      </c>
      <c r="M39" s="4" t="str">
        <f t="shared" si="0"/>
        <v>On Track</v>
      </c>
    </row>
    <row r="40" spans="1:13" x14ac:dyDescent="0.3">
      <c r="A40" t="str">
        <f>IF(MASTER_REGISTER!E40="","",MASTER_REGISTER!E40)</f>
        <v>MSH202611003</v>
      </c>
      <c r="B40" t="str">
        <f>IF(A40="","",MASTER_REGISTER!F40)</f>
        <v>Lerato Kekana</v>
      </c>
      <c r="C40">
        <f>IF(A40="","",MASTER_REGISTER!C40)</f>
        <v>11</v>
      </c>
      <c r="D40">
        <f>IF(A40="","",COUNTIF(ASSESSMENTS!B:B,A40))</f>
        <v>10</v>
      </c>
      <c r="E40" s="4">
        <f>IF(D40=0,"",ROUND(AVERAGEIF(ASSESSMENTS!B:B,A40,ASSESSMENTS!H:H),1))</f>
        <v>62.6</v>
      </c>
      <c r="F40" s="4">
        <f>IF(A40="","",IFERROR(ROUND(AVERAGEIFS(ASSESSMENTS!H:H,ASSESSMENTS!B:B,A40,ASSESSMENTS!E:E,"Mathematics"),1),""))</f>
        <v>66.099999999999994</v>
      </c>
      <c r="G40" s="4">
        <f>IF(A40="","",IFERROR(ROUND(AVERAGEIFS(ASSESSMENTS!H:H,ASSESSMENTS!B:B,A40,ASSESSMENTS!E:E,"Mathematical Literacy"),1),""))</f>
        <v>78.8</v>
      </c>
      <c r="H40" s="4">
        <f>IF(A40="","",IFERROR(ROUND(AVERAGEIFS(ASSESSMENTS!H:H,ASSESSMENTS!B:B,A40,ASSESSMENTS!E:E,"Physical Sciences"),1),""))</f>
        <v>57.6</v>
      </c>
      <c r="I40" s="4">
        <f>IF(A40="","",IFERROR(ROUND(AVERAGEIFS(ASSESSMENTS!H:H,ASSESSMENTS!B:B,A40,ASSESSMENTS!E:E,"Geography"),1),""))</f>
        <v>53.9</v>
      </c>
      <c r="J40" s="4">
        <f>IF(A40="","",IFERROR(ROUND(AVERAGEIFS(ASSESSMENTS!H:H,ASSESSMENTS!B:B,A40,ASSESSMENTS!E:E,"Accounting"),1),""))</f>
        <v>67.900000000000006</v>
      </c>
      <c r="K40" s="4">
        <f>IF(A40="","",IFERROR(ROUND(AVERAGEIFS(ASSESSMENTS!H:H,ASSESSMENTS!B:B,A40,ASSESSMENTS!E:E,"English"),1),""))</f>
        <v>53.9</v>
      </c>
      <c r="L40" s="5">
        <f>IF(A40="","",IFERROR(INDEX(ATTENDANCE_SUMMARY!G:G,MATCH(A40,ATTENDANCE_SUMMARY!A:A,0)),""))</f>
        <v>0.91666666666666663</v>
      </c>
      <c r="M40" s="4" t="str">
        <f t="shared" si="0"/>
        <v>On Track</v>
      </c>
    </row>
    <row r="41" spans="1:13" x14ac:dyDescent="0.3">
      <c r="A41" t="str">
        <f>IF(MASTER_REGISTER!E41="","",MASTER_REGISTER!E41)</f>
        <v>MSH202611004</v>
      </c>
      <c r="B41" t="str">
        <f>IF(A41="","",MASTER_REGISTER!F41)</f>
        <v>Bongani Ndlovu</v>
      </c>
      <c r="C41">
        <f>IF(A41="","",MASTER_REGISTER!C41)</f>
        <v>11</v>
      </c>
      <c r="D41">
        <f>IF(A41="","",COUNTIF(ASSESSMENTS!B:B,A41))</f>
        <v>10</v>
      </c>
      <c r="E41" s="4">
        <f>IF(D41=0,"",ROUND(AVERAGEIF(ASSESSMENTS!B:B,A41,ASSESSMENTS!H:H),1))</f>
        <v>58.2</v>
      </c>
      <c r="F41" s="4">
        <f>IF(A41="","",IFERROR(ROUND(AVERAGEIFS(ASSESSMENTS!H:H,ASSESSMENTS!B:B,A41,ASSESSMENTS!E:E,"Mathematics"),1),""))</f>
        <v>59.1</v>
      </c>
      <c r="G41" s="4">
        <f>IF(A41="","",IFERROR(ROUND(AVERAGEIFS(ASSESSMENTS!H:H,ASSESSMENTS!B:B,A41,ASSESSMENTS!E:E,"Mathematical Literacy"),1),""))</f>
        <v>56.1</v>
      </c>
      <c r="H41" s="4">
        <f>IF(A41="","",IFERROR(ROUND(AVERAGEIFS(ASSESSMENTS!H:H,ASSESSMENTS!B:B,A41,ASSESSMENTS!E:E,"Physical Sciences"),1),""))</f>
        <v>71</v>
      </c>
      <c r="I41" s="4">
        <f>IF(A41="","",IFERROR(ROUND(AVERAGEIFS(ASSESSMENTS!H:H,ASSESSMENTS!B:B,A41,ASSESSMENTS!E:E,"Geography"),1),""))</f>
        <v>50.7</v>
      </c>
      <c r="J41" s="4">
        <f>IF(A41="","",IFERROR(ROUND(AVERAGEIFS(ASSESSMENTS!H:H,ASSESSMENTS!B:B,A41,ASSESSMENTS!E:E,"Accounting"),1),""))</f>
        <v>62.2</v>
      </c>
      <c r="K41" s="4">
        <f>IF(A41="","",IFERROR(ROUND(AVERAGEIFS(ASSESSMENTS!H:H,ASSESSMENTS!B:B,A41,ASSESSMENTS!E:E,"English"),1),""))</f>
        <v>61.3</v>
      </c>
      <c r="L41" s="5">
        <f>IF(A41="","",IFERROR(INDEX(ATTENDANCE_SUMMARY!G:G,MATCH(A41,ATTENDANCE_SUMMARY!A:A,0)),""))</f>
        <v>0.89583333333333337</v>
      </c>
      <c r="M41" s="4" t="str">
        <f t="shared" si="0"/>
        <v>On Track</v>
      </c>
    </row>
    <row r="42" spans="1:13" x14ac:dyDescent="0.3">
      <c r="A42" t="str">
        <f>IF(MASTER_REGISTER!E42="","",MASTER_REGISTER!E42)</f>
        <v>MSH202611005</v>
      </c>
      <c r="B42" t="str">
        <f>IF(A42="","",MASTER_REGISTER!F42)</f>
        <v>Sifiso Dlamini</v>
      </c>
      <c r="C42">
        <f>IF(A42="","",MASTER_REGISTER!C42)</f>
        <v>11</v>
      </c>
      <c r="D42">
        <f>IF(A42="","",COUNTIF(ASSESSMENTS!B:B,A42))</f>
        <v>10</v>
      </c>
      <c r="E42" s="4">
        <f>IF(D42=0,"",ROUND(AVERAGEIF(ASSESSMENTS!B:B,A42,ASSESSMENTS!H:H),1))</f>
        <v>64.2</v>
      </c>
      <c r="F42" s="4">
        <f>IF(A42="","",IFERROR(ROUND(AVERAGEIFS(ASSESSMENTS!H:H,ASSESSMENTS!B:B,A42,ASSESSMENTS!E:E,"Mathematics"),1),""))</f>
        <v>62</v>
      </c>
      <c r="G42" s="4" t="str">
        <f>IF(A42="","",IFERROR(ROUND(AVERAGEIFS(ASSESSMENTS!H:H,ASSESSMENTS!B:B,A42,ASSESSMENTS!E:E,"Mathematical Literacy"),1),""))</f>
        <v/>
      </c>
      <c r="H42" s="4">
        <f>IF(A42="","",IFERROR(ROUND(AVERAGEIFS(ASSESSMENTS!H:H,ASSESSMENTS!B:B,A42,ASSESSMENTS!E:E,"Physical Sciences"),1),""))</f>
        <v>59.7</v>
      </c>
      <c r="I42" s="4" t="str">
        <f>IF(A42="","",IFERROR(ROUND(AVERAGEIFS(ASSESSMENTS!H:H,ASSESSMENTS!B:B,A42,ASSESSMENTS!E:E,"Geography"),1),""))</f>
        <v/>
      </c>
      <c r="J42" s="4">
        <f>IF(A42="","",IFERROR(ROUND(AVERAGEIFS(ASSESSMENTS!H:H,ASSESSMENTS!B:B,A42,ASSESSMENTS!E:E,"Accounting"),1),""))</f>
        <v>84.5</v>
      </c>
      <c r="K42" s="4">
        <f>IF(A42="","",IFERROR(ROUND(AVERAGEIFS(ASSESSMENTS!H:H,ASSESSMENTS!B:B,A42,ASSESSMENTS!E:E,"English"),1),""))</f>
        <v>63.1</v>
      </c>
      <c r="L42" s="5">
        <f>IF(A42="","",IFERROR(INDEX(ATTENDANCE_SUMMARY!G:G,MATCH(A42,ATTENDANCE_SUMMARY!A:A,0)),""))</f>
        <v>0.91666666666666663</v>
      </c>
      <c r="M42" s="4" t="str">
        <f t="shared" si="0"/>
        <v>On Track</v>
      </c>
    </row>
    <row r="43" spans="1:13" x14ac:dyDescent="0.3">
      <c r="A43" t="str">
        <f>IF(MASTER_REGISTER!E43="","",MASTER_REGISTER!E43)</f>
        <v>MSH202611006</v>
      </c>
      <c r="B43" t="str">
        <f>IF(A43="","",MASTER_REGISTER!F43)</f>
        <v>Refilwe Dlamini</v>
      </c>
      <c r="C43">
        <f>IF(A43="","",MASTER_REGISTER!C43)</f>
        <v>11</v>
      </c>
      <c r="D43">
        <f>IF(A43="","",COUNTIF(ASSESSMENTS!B:B,A43))</f>
        <v>10</v>
      </c>
      <c r="E43" s="4">
        <f>IF(D43=0,"",ROUND(AVERAGEIF(ASSESSMENTS!B:B,A43,ASSESSMENTS!H:H),1))</f>
        <v>65.8</v>
      </c>
      <c r="F43" s="4">
        <f>IF(A43="","",IFERROR(ROUND(AVERAGEIFS(ASSESSMENTS!H:H,ASSESSMENTS!B:B,A43,ASSESSMENTS!E:E,"Mathematics"),1),""))</f>
        <v>63.1</v>
      </c>
      <c r="G43" s="4" t="str">
        <f>IF(A43="","",IFERROR(ROUND(AVERAGEIFS(ASSESSMENTS!H:H,ASSESSMENTS!B:B,A43,ASSESSMENTS!E:E,"Mathematical Literacy"),1),""))</f>
        <v/>
      </c>
      <c r="H43" s="4" t="str">
        <f>IF(A43="","",IFERROR(ROUND(AVERAGEIFS(ASSESSMENTS!H:H,ASSESSMENTS!B:B,A43,ASSESSMENTS!E:E,"Physical Sciences"),1),""))</f>
        <v/>
      </c>
      <c r="I43" s="4">
        <f>IF(A43="","",IFERROR(ROUND(AVERAGEIFS(ASSESSMENTS!H:H,ASSESSMENTS!B:B,A43,ASSESSMENTS!E:E,"Geography"),1),""))</f>
        <v>75.599999999999994</v>
      </c>
      <c r="J43" s="4">
        <f>IF(A43="","",IFERROR(ROUND(AVERAGEIFS(ASSESSMENTS!H:H,ASSESSMENTS!B:B,A43,ASSESSMENTS!E:E,"Accounting"),1),""))</f>
        <v>65.8</v>
      </c>
      <c r="K43" s="4">
        <f>IF(A43="","",IFERROR(ROUND(AVERAGEIFS(ASSESSMENTS!H:H,ASSESSMENTS!B:B,A43,ASSESSMENTS!E:E,"English"),1),""))</f>
        <v>69.7</v>
      </c>
      <c r="L43" s="5">
        <f>IF(A43="","",IFERROR(INDEX(ATTENDANCE_SUMMARY!G:G,MATCH(A43,ATTENDANCE_SUMMARY!A:A,0)),""))</f>
        <v>0.875</v>
      </c>
      <c r="M43" s="4" t="str">
        <f t="shared" si="0"/>
        <v>On Track</v>
      </c>
    </row>
    <row r="44" spans="1:13" x14ac:dyDescent="0.3">
      <c r="A44" t="str">
        <f>IF(MASTER_REGISTER!E44="","",MASTER_REGISTER!E44)</f>
        <v>MSH202611007</v>
      </c>
      <c r="B44" t="str">
        <f>IF(A44="","",MASTER_REGISTER!F44)</f>
        <v>Lwazi Maseko</v>
      </c>
      <c r="C44">
        <f>IF(A44="","",MASTER_REGISTER!C44)</f>
        <v>11</v>
      </c>
      <c r="D44">
        <f>IF(A44="","",COUNTIF(ASSESSMENTS!B:B,A44))</f>
        <v>10</v>
      </c>
      <c r="E44" s="4">
        <f>IF(D44=0,"",ROUND(AVERAGEIF(ASSESSMENTS!B:B,A44,ASSESSMENTS!H:H),1))</f>
        <v>59.8</v>
      </c>
      <c r="F44" s="4">
        <f>IF(A44="","",IFERROR(ROUND(AVERAGEIFS(ASSESSMENTS!H:H,ASSESSMENTS!B:B,A44,ASSESSMENTS!E:E,"Mathematics"),1),""))</f>
        <v>60.7</v>
      </c>
      <c r="G44" s="4">
        <f>IF(A44="","",IFERROR(ROUND(AVERAGEIFS(ASSESSMENTS!H:H,ASSESSMENTS!B:B,A44,ASSESSMENTS!E:E,"Mathematical Literacy"),1),""))</f>
        <v>49.2</v>
      </c>
      <c r="H44" s="4">
        <f>IF(A44="","",IFERROR(ROUND(AVERAGEIFS(ASSESSMENTS!H:H,ASSESSMENTS!B:B,A44,ASSESSMENTS!E:E,"Physical Sciences"),1),""))</f>
        <v>67.5</v>
      </c>
      <c r="I44" s="4">
        <f>IF(A44="","",IFERROR(ROUND(AVERAGEIFS(ASSESSMENTS!H:H,ASSESSMENTS!B:B,A44,ASSESSMENTS!E:E,"Geography"),1),""))</f>
        <v>54.3</v>
      </c>
      <c r="J44" s="4">
        <f>IF(A44="","",IFERROR(ROUND(AVERAGEIFS(ASSESSMENTS!H:H,ASSESSMENTS!B:B,A44,ASSESSMENTS!E:E,"Accounting"),1),""))</f>
        <v>58.3</v>
      </c>
      <c r="K44" s="4" t="str">
        <f>IF(A44="","",IFERROR(ROUND(AVERAGEIFS(ASSESSMENTS!H:H,ASSESSMENTS!B:B,A44,ASSESSMENTS!E:E,"English"),1),""))</f>
        <v/>
      </c>
      <c r="L44" s="5">
        <f>IF(A44="","",IFERROR(INDEX(ATTENDANCE_SUMMARY!G:G,MATCH(A44,ATTENDANCE_SUMMARY!A:A,0)),""))</f>
        <v>0.83333333333333337</v>
      </c>
      <c r="M44" s="4" t="str">
        <f t="shared" si="0"/>
        <v>On Track</v>
      </c>
    </row>
    <row r="45" spans="1:13" x14ac:dyDescent="0.3">
      <c r="A45" t="str">
        <f>IF(MASTER_REGISTER!E45="","",MASTER_REGISTER!E45)</f>
        <v>MSH202611008</v>
      </c>
      <c r="B45" t="str">
        <f>IF(A45="","",MASTER_REGISTER!F45)</f>
        <v>Refilwe Mokgadi</v>
      </c>
      <c r="C45">
        <f>IF(A45="","",MASTER_REGISTER!C45)</f>
        <v>11</v>
      </c>
      <c r="D45">
        <f>IF(A45="","",COUNTIF(ASSESSMENTS!B:B,A45))</f>
        <v>10</v>
      </c>
      <c r="E45" s="4">
        <f>IF(D45=0,"",ROUND(AVERAGEIF(ASSESSMENTS!B:B,A45,ASSESSMENTS!H:H),1))</f>
        <v>63.3</v>
      </c>
      <c r="F45" s="4">
        <f>IF(A45="","",IFERROR(ROUND(AVERAGEIFS(ASSESSMENTS!H:H,ASSESSMENTS!B:B,A45,ASSESSMENTS!E:E,"Mathematics"),1),""))</f>
        <v>64.599999999999994</v>
      </c>
      <c r="G45" s="4">
        <f>IF(A45="","",IFERROR(ROUND(AVERAGEIFS(ASSESSMENTS!H:H,ASSESSMENTS!B:B,A45,ASSESSMENTS!E:E,"Mathematical Literacy"),1),""))</f>
        <v>67.099999999999994</v>
      </c>
      <c r="H45" s="4">
        <f>IF(A45="","",IFERROR(ROUND(AVERAGEIFS(ASSESSMENTS!H:H,ASSESSMENTS!B:B,A45,ASSESSMENTS!E:E,"Physical Sciences"),1),""))</f>
        <v>75.8</v>
      </c>
      <c r="I45" s="4">
        <f>IF(A45="","",IFERROR(ROUND(AVERAGEIFS(ASSESSMENTS!H:H,ASSESSMENTS!B:B,A45,ASSESSMENTS!E:E,"Geography"),1),""))</f>
        <v>60.7</v>
      </c>
      <c r="J45" s="4">
        <f>IF(A45="","",IFERROR(ROUND(AVERAGEIFS(ASSESSMENTS!H:H,ASSESSMENTS!B:B,A45,ASSESSMENTS!E:E,"Accounting"),1),""))</f>
        <v>49.4</v>
      </c>
      <c r="K45" s="4">
        <f>IF(A45="","",IFERROR(ROUND(AVERAGEIFS(ASSESSMENTS!H:H,ASSESSMENTS!B:B,A45,ASSESSMENTS!E:E,"English"),1),""))</f>
        <v>43.8</v>
      </c>
      <c r="L45" s="5">
        <f>IF(A45="","",IFERROR(INDEX(ATTENDANCE_SUMMARY!G:G,MATCH(A45,ATTENDANCE_SUMMARY!A:A,0)),""))</f>
        <v>0.875</v>
      </c>
      <c r="M45" s="4" t="str">
        <f t="shared" si="0"/>
        <v>On Track</v>
      </c>
    </row>
    <row r="46" spans="1:13" x14ac:dyDescent="0.3">
      <c r="A46" t="str">
        <f>IF(MASTER_REGISTER!E46="","",MASTER_REGISTER!E46)</f>
        <v>MSH202611009</v>
      </c>
      <c r="B46" t="str">
        <f>IF(A46="","",MASTER_REGISTER!F46)</f>
        <v>Kgothatso Molefe</v>
      </c>
      <c r="C46">
        <f>IF(A46="","",MASTER_REGISTER!C46)</f>
        <v>11</v>
      </c>
      <c r="D46">
        <f>IF(A46="","",COUNTIF(ASSESSMENTS!B:B,A46))</f>
        <v>10</v>
      </c>
      <c r="E46" s="4">
        <f>IF(D46=0,"",ROUND(AVERAGEIF(ASSESSMENTS!B:B,A46,ASSESSMENTS!H:H),1))</f>
        <v>59</v>
      </c>
      <c r="F46" s="4" t="str">
        <f>IF(A46="","",IFERROR(ROUND(AVERAGEIFS(ASSESSMENTS!H:H,ASSESSMENTS!B:B,A46,ASSESSMENTS!E:E,"Mathematics"),1),""))</f>
        <v/>
      </c>
      <c r="G46" s="4">
        <f>IF(A46="","",IFERROR(ROUND(AVERAGEIFS(ASSESSMENTS!H:H,ASSESSMENTS!B:B,A46,ASSESSMENTS!E:E,"Mathematical Literacy"),1),""))</f>
        <v>65.5</v>
      </c>
      <c r="H46" s="4">
        <f>IF(A46="","",IFERROR(ROUND(AVERAGEIFS(ASSESSMENTS!H:H,ASSESSMENTS!B:B,A46,ASSESSMENTS!E:E,"Physical Sciences"),1),""))</f>
        <v>67</v>
      </c>
      <c r="I46" s="4">
        <f>IF(A46="","",IFERROR(ROUND(AVERAGEIFS(ASSESSMENTS!H:H,ASSESSMENTS!B:B,A46,ASSESSMENTS!E:E,"Geography"),1),""))</f>
        <v>55.8</v>
      </c>
      <c r="J46" s="4">
        <f>IF(A46="","",IFERROR(ROUND(AVERAGEIFS(ASSESSMENTS!H:H,ASSESSMENTS!B:B,A46,ASSESSMENTS!E:E,"Accounting"),1),""))</f>
        <v>60.1</v>
      </c>
      <c r="K46" s="4">
        <f>IF(A46="","",IFERROR(ROUND(AVERAGEIFS(ASSESSMENTS!H:H,ASSESSMENTS!B:B,A46,ASSESSMENTS!E:E,"English"),1),""))</f>
        <v>59.5</v>
      </c>
      <c r="L46" s="5">
        <f>IF(A46="","",IFERROR(INDEX(ATTENDANCE_SUMMARY!G:G,MATCH(A46,ATTENDANCE_SUMMARY!A:A,0)),""))</f>
        <v>0.83333333333333337</v>
      </c>
      <c r="M46" s="4" t="str">
        <f t="shared" si="0"/>
        <v>On Track</v>
      </c>
    </row>
    <row r="47" spans="1:13" x14ac:dyDescent="0.3">
      <c r="A47" t="str">
        <f>IF(MASTER_REGISTER!E47="","",MASTER_REGISTER!E47)</f>
        <v>MSH202611010</v>
      </c>
      <c r="B47" t="str">
        <f>IF(A47="","",MASTER_REGISTER!F47)</f>
        <v>Tshepo Mokgadi</v>
      </c>
      <c r="C47">
        <f>IF(A47="","",MASTER_REGISTER!C47)</f>
        <v>11</v>
      </c>
      <c r="D47">
        <f>IF(A47="","",COUNTIF(ASSESSMENTS!B:B,A47))</f>
        <v>10</v>
      </c>
      <c r="E47" s="4">
        <f>IF(D47=0,"",ROUND(AVERAGEIF(ASSESSMENTS!B:B,A47,ASSESSMENTS!H:H),1))</f>
        <v>50.3</v>
      </c>
      <c r="F47" s="4">
        <f>IF(A47="","",IFERROR(ROUND(AVERAGEIFS(ASSESSMENTS!H:H,ASSESSMENTS!B:B,A47,ASSESSMENTS!E:E,"Mathematics"),1),""))</f>
        <v>51.6</v>
      </c>
      <c r="G47" s="4">
        <f>IF(A47="","",IFERROR(ROUND(AVERAGEIFS(ASSESSMENTS!H:H,ASSESSMENTS!B:B,A47,ASSESSMENTS!E:E,"Mathematical Literacy"),1),""))</f>
        <v>60.3</v>
      </c>
      <c r="H47" s="4">
        <f>IF(A47="","",IFERROR(ROUND(AVERAGEIFS(ASSESSMENTS!H:H,ASSESSMENTS!B:B,A47,ASSESSMENTS!E:E,"Physical Sciences"),1),""))</f>
        <v>53.6</v>
      </c>
      <c r="I47" s="4">
        <f>IF(A47="","",IFERROR(ROUND(AVERAGEIFS(ASSESSMENTS!H:H,ASSESSMENTS!B:B,A47,ASSESSMENTS!E:E,"Geography"),1),""))</f>
        <v>40.9</v>
      </c>
      <c r="J47" s="4" t="str">
        <f>IF(A47="","",IFERROR(ROUND(AVERAGEIFS(ASSESSMENTS!H:H,ASSESSMENTS!B:B,A47,ASSESSMENTS!E:E,"Accounting"),1),""))</f>
        <v/>
      </c>
      <c r="K47" s="4">
        <f>IF(A47="","",IFERROR(ROUND(AVERAGEIFS(ASSESSMENTS!H:H,ASSESSMENTS!B:B,A47,ASSESSMENTS!E:E,"English"),1),""))</f>
        <v>54.1</v>
      </c>
      <c r="L47" s="5">
        <f>IF(A47="","",IFERROR(INDEX(ATTENDANCE_SUMMARY!G:G,MATCH(A47,ATTENDANCE_SUMMARY!A:A,0)),""))</f>
        <v>0.83333333333333337</v>
      </c>
      <c r="M47" s="4" t="str">
        <f t="shared" si="0"/>
        <v>On Track</v>
      </c>
    </row>
    <row r="48" spans="1:13" x14ac:dyDescent="0.3">
      <c r="A48" t="str">
        <f>IF(MASTER_REGISTER!E48="","",MASTER_REGISTER!E48)</f>
        <v>MSH202611011</v>
      </c>
      <c r="B48" t="str">
        <f>IF(A48="","",MASTER_REGISTER!F48)</f>
        <v>Tshepo Phiri</v>
      </c>
      <c r="C48">
        <f>IF(A48="","",MASTER_REGISTER!C48)</f>
        <v>11</v>
      </c>
      <c r="D48">
        <f>IF(A48="","",COUNTIF(ASSESSMENTS!B:B,A48))</f>
        <v>10</v>
      </c>
      <c r="E48" s="4">
        <f>IF(D48=0,"",ROUND(AVERAGEIF(ASSESSMENTS!B:B,A48,ASSESSMENTS!H:H),1))</f>
        <v>64</v>
      </c>
      <c r="F48" s="4">
        <f>IF(A48="","",IFERROR(ROUND(AVERAGEIFS(ASSESSMENTS!H:H,ASSESSMENTS!B:B,A48,ASSESSMENTS!E:E,"Mathematics"),1),""))</f>
        <v>72.2</v>
      </c>
      <c r="G48" s="4">
        <f>IF(A48="","",IFERROR(ROUND(AVERAGEIFS(ASSESSMENTS!H:H,ASSESSMENTS!B:B,A48,ASSESSMENTS!E:E,"Mathematical Literacy"),1),""))</f>
        <v>49.3</v>
      </c>
      <c r="H48" s="4" t="str">
        <f>IF(A48="","",IFERROR(ROUND(AVERAGEIFS(ASSESSMENTS!H:H,ASSESSMENTS!B:B,A48,ASSESSMENTS!E:E,"Physical Sciences"),1),""))</f>
        <v/>
      </c>
      <c r="I48" s="4">
        <f>IF(A48="","",IFERROR(ROUND(AVERAGEIFS(ASSESSMENTS!H:H,ASSESSMENTS!B:B,A48,ASSESSMENTS!E:E,"Geography"),1),""))</f>
        <v>71.7</v>
      </c>
      <c r="J48" s="4">
        <f>IF(A48="","",IFERROR(ROUND(AVERAGEIFS(ASSESSMENTS!H:H,ASSESSMENTS!B:B,A48,ASSESSMENTS!E:E,"Accounting"),1),""))</f>
        <v>84.9</v>
      </c>
      <c r="K48" s="4">
        <f>IF(A48="","",IFERROR(ROUND(AVERAGEIFS(ASSESSMENTS!H:H,ASSESSMENTS!B:B,A48,ASSESSMENTS!E:E,"English"),1),""))</f>
        <v>59.6</v>
      </c>
      <c r="L48" s="5">
        <f>IF(A48="","",IFERROR(INDEX(ATTENDANCE_SUMMARY!G:G,MATCH(A48,ATTENDANCE_SUMMARY!A:A,0)),""))</f>
        <v>0.85416666666666663</v>
      </c>
      <c r="M48" s="4" t="str">
        <f t="shared" si="0"/>
        <v>On Track</v>
      </c>
    </row>
    <row r="49" spans="1:13" x14ac:dyDescent="0.3">
      <c r="A49" t="str">
        <f>IF(MASTER_REGISTER!E49="","",MASTER_REGISTER!E49)</f>
        <v>MSH202611012</v>
      </c>
      <c r="B49" t="str">
        <f>IF(A49="","",MASTER_REGISTER!F49)</f>
        <v>Zanele Ngobeni</v>
      </c>
      <c r="C49">
        <f>IF(A49="","",MASTER_REGISTER!C49)</f>
        <v>11</v>
      </c>
      <c r="D49">
        <f>IF(A49="","",COUNTIF(ASSESSMENTS!B:B,A49))</f>
        <v>10</v>
      </c>
      <c r="E49" s="4">
        <f>IF(D49=0,"",ROUND(AVERAGEIF(ASSESSMENTS!B:B,A49,ASSESSMENTS!H:H),1))</f>
        <v>64.599999999999994</v>
      </c>
      <c r="F49" s="4">
        <f>IF(A49="","",IFERROR(ROUND(AVERAGEIFS(ASSESSMENTS!H:H,ASSESSMENTS!B:B,A49,ASSESSMENTS!E:E,"Mathematics"),1),""))</f>
        <v>76.3</v>
      </c>
      <c r="G49" s="4" t="str">
        <f>IF(A49="","",IFERROR(ROUND(AVERAGEIFS(ASSESSMENTS!H:H,ASSESSMENTS!B:B,A49,ASSESSMENTS!E:E,"Mathematical Literacy"),1),""))</f>
        <v/>
      </c>
      <c r="H49" s="4">
        <f>IF(A49="","",IFERROR(ROUND(AVERAGEIFS(ASSESSMENTS!H:H,ASSESSMENTS!B:B,A49,ASSESSMENTS!E:E,"Physical Sciences"),1),""))</f>
        <v>64.7</v>
      </c>
      <c r="I49" s="4">
        <f>IF(A49="","",IFERROR(ROUND(AVERAGEIFS(ASSESSMENTS!H:H,ASSESSMENTS!B:B,A49,ASSESSMENTS!E:E,"Geography"),1),""))</f>
        <v>70.5</v>
      </c>
      <c r="J49" s="4">
        <f>IF(A49="","",IFERROR(ROUND(AVERAGEIFS(ASSESSMENTS!H:H,ASSESSMENTS!B:B,A49,ASSESSMENTS!E:E,"Accounting"),1),""))</f>
        <v>58.7</v>
      </c>
      <c r="K49" s="4">
        <f>IF(A49="","",IFERROR(ROUND(AVERAGEIFS(ASSESSMENTS!H:H,ASSESSMENTS!B:B,A49,ASSESSMENTS!E:E,"English"),1),""))</f>
        <v>52.8</v>
      </c>
      <c r="L49" s="5">
        <f>IF(A49="","",IFERROR(INDEX(ATTENDANCE_SUMMARY!G:G,MATCH(A49,ATTENDANCE_SUMMARY!A:A,0)),""))</f>
        <v>0.9375</v>
      </c>
      <c r="M49" s="4" t="str">
        <f t="shared" si="0"/>
        <v>On Track</v>
      </c>
    </row>
    <row r="50" spans="1:13" x14ac:dyDescent="0.3">
      <c r="A50" t="str">
        <f>IF(MASTER_REGISTER!E50="","",MASTER_REGISTER!E50)</f>
        <v>MSH202612001</v>
      </c>
      <c r="B50" t="str">
        <f>IF(A50="","",MASTER_REGISTER!F50)</f>
        <v>Palesa Mokoena</v>
      </c>
      <c r="C50">
        <f>IF(A50="","",MASTER_REGISTER!C50)</f>
        <v>12</v>
      </c>
      <c r="D50">
        <f>IF(A50="","",COUNTIF(ASSESSMENTS!B:B,A50))</f>
        <v>10</v>
      </c>
      <c r="E50" s="4">
        <f>IF(D50=0,"",ROUND(AVERAGEIF(ASSESSMENTS!B:B,A50,ASSESSMENTS!H:H),1))</f>
        <v>60.7</v>
      </c>
      <c r="F50" s="4">
        <f>IF(A50="","",IFERROR(ROUND(AVERAGEIFS(ASSESSMENTS!H:H,ASSESSMENTS!B:B,A50,ASSESSMENTS!E:E,"Mathematics"),1),""))</f>
        <v>64</v>
      </c>
      <c r="G50" s="4">
        <f>IF(A50="","",IFERROR(ROUND(AVERAGEIFS(ASSESSMENTS!H:H,ASSESSMENTS!B:B,A50,ASSESSMENTS!E:E,"Mathematical Literacy"),1),""))</f>
        <v>63.1</v>
      </c>
      <c r="H50" s="4">
        <f>IF(A50="","",IFERROR(ROUND(AVERAGEIFS(ASSESSMENTS!H:H,ASSESSMENTS!B:B,A50,ASSESSMENTS!E:E,"Physical Sciences"),1),""))</f>
        <v>59.4</v>
      </c>
      <c r="I50" s="4">
        <f>IF(A50="","",IFERROR(ROUND(AVERAGEIFS(ASSESSMENTS!H:H,ASSESSMENTS!B:B,A50,ASSESSMENTS!E:E,"Geography"),1),""))</f>
        <v>63.3</v>
      </c>
      <c r="J50" s="4" t="str">
        <f>IF(A50="","",IFERROR(ROUND(AVERAGEIFS(ASSESSMENTS!H:H,ASSESSMENTS!B:B,A50,ASSESSMENTS!E:E,"Accounting"),1),""))</f>
        <v/>
      </c>
      <c r="K50" s="4">
        <f>IF(A50="","",IFERROR(ROUND(AVERAGEIFS(ASSESSMENTS!H:H,ASSESSMENTS!B:B,A50,ASSESSMENTS!E:E,"English"),1),""))</f>
        <v>57</v>
      </c>
      <c r="L50" s="5">
        <f>IF(A50="","",IFERROR(INDEX(ATTENDANCE_SUMMARY!G:G,MATCH(A50,ATTENDANCE_SUMMARY!A:A,0)),""))</f>
        <v>0.83333333333333337</v>
      </c>
      <c r="M50" s="4" t="str">
        <f t="shared" si="0"/>
        <v>On Track</v>
      </c>
    </row>
    <row r="51" spans="1:13" x14ac:dyDescent="0.3">
      <c r="A51" t="str">
        <f>IF(MASTER_REGISTER!E51="","",MASTER_REGISTER!E51)</f>
        <v>MSH202612002</v>
      </c>
      <c r="B51" t="str">
        <f>IF(A51="","",MASTER_REGISTER!F51)</f>
        <v>Thabo Ramushu</v>
      </c>
      <c r="C51">
        <f>IF(A51="","",MASTER_REGISTER!C51)</f>
        <v>12</v>
      </c>
      <c r="D51">
        <f>IF(A51="","",COUNTIF(ASSESSMENTS!B:B,A51))</f>
        <v>10</v>
      </c>
      <c r="E51" s="4">
        <f>IF(D51=0,"",ROUND(AVERAGEIF(ASSESSMENTS!B:B,A51,ASSESSMENTS!H:H),1))</f>
        <v>58.9</v>
      </c>
      <c r="F51" s="4">
        <f>IF(A51="","",IFERROR(ROUND(AVERAGEIFS(ASSESSMENTS!H:H,ASSESSMENTS!B:B,A51,ASSESSMENTS!E:E,"Mathematics"),1),""))</f>
        <v>58.8</v>
      </c>
      <c r="G51" s="4">
        <f>IF(A51="","",IFERROR(ROUND(AVERAGEIFS(ASSESSMENTS!H:H,ASSESSMENTS!B:B,A51,ASSESSMENTS!E:E,"Mathematical Literacy"),1),""))</f>
        <v>62.3</v>
      </c>
      <c r="H51" s="4">
        <f>IF(A51="","",IFERROR(ROUND(AVERAGEIFS(ASSESSMENTS!H:H,ASSESSMENTS!B:B,A51,ASSESSMENTS!E:E,"Physical Sciences"),1),""))</f>
        <v>45</v>
      </c>
      <c r="I51" s="4">
        <f>IF(A51="","",IFERROR(ROUND(AVERAGEIFS(ASSESSMENTS!H:H,ASSESSMENTS!B:B,A51,ASSESSMENTS!E:E,"Geography"),1),""))</f>
        <v>76.099999999999994</v>
      </c>
      <c r="J51" s="4">
        <f>IF(A51="","",IFERROR(ROUND(AVERAGEIFS(ASSESSMENTS!H:H,ASSESSMENTS!B:B,A51,ASSESSMENTS!E:E,"Accounting"),1),""))</f>
        <v>56</v>
      </c>
      <c r="K51" s="4">
        <f>IF(A51="","",IFERROR(ROUND(AVERAGEIFS(ASSESSMENTS!H:H,ASSESSMENTS!B:B,A51,ASSESSMENTS!E:E,"English"),1),""))</f>
        <v>57.9</v>
      </c>
      <c r="L51" s="5">
        <f>IF(A51="","",IFERROR(INDEX(ATTENDANCE_SUMMARY!G:G,MATCH(A51,ATTENDANCE_SUMMARY!A:A,0)),""))</f>
        <v>0.875</v>
      </c>
      <c r="M51" s="4" t="str">
        <f t="shared" si="0"/>
        <v>On Track</v>
      </c>
    </row>
    <row r="52" spans="1:13" x14ac:dyDescent="0.3">
      <c r="A52" t="str">
        <f>IF(MASTER_REGISTER!E52="","",MASTER_REGISTER!E52)</f>
        <v>MSH202612003</v>
      </c>
      <c r="B52" t="str">
        <f>IF(A52="","",MASTER_REGISTER!F52)</f>
        <v>Lwazi Ndlovu</v>
      </c>
      <c r="C52">
        <f>IF(A52="","",MASTER_REGISTER!C52)</f>
        <v>12</v>
      </c>
      <c r="D52">
        <f>IF(A52="","",COUNTIF(ASSESSMENTS!B:B,A52))</f>
        <v>10</v>
      </c>
      <c r="E52" s="4">
        <f>IF(D52=0,"",ROUND(AVERAGEIF(ASSESSMENTS!B:B,A52,ASSESSMENTS!H:H),1))</f>
        <v>67</v>
      </c>
      <c r="F52" s="4">
        <f>IF(A52="","",IFERROR(ROUND(AVERAGEIFS(ASSESSMENTS!H:H,ASSESSMENTS!B:B,A52,ASSESSMENTS!E:E,"Mathematics"),1),""))</f>
        <v>62.5</v>
      </c>
      <c r="G52" s="4">
        <f>IF(A52="","",IFERROR(ROUND(AVERAGEIFS(ASSESSMENTS!H:H,ASSESSMENTS!B:B,A52,ASSESSMENTS!E:E,"Mathematical Literacy"),1),""))</f>
        <v>69</v>
      </c>
      <c r="H52" s="4">
        <f>IF(A52="","",IFERROR(ROUND(AVERAGEIFS(ASSESSMENTS!H:H,ASSESSMENTS!B:B,A52,ASSESSMENTS!E:E,"Physical Sciences"),1),""))</f>
        <v>70</v>
      </c>
      <c r="I52" s="4">
        <f>IF(A52="","",IFERROR(ROUND(AVERAGEIFS(ASSESSMENTS!H:H,ASSESSMENTS!B:B,A52,ASSESSMENTS!E:E,"Geography"),1),""))</f>
        <v>51.5</v>
      </c>
      <c r="J52" s="4">
        <f>IF(A52="","",IFERROR(ROUND(AVERAGEIFS(ASSESSMENTS!H:H,ASSESSMENTS!B:B,A52,ASSESSMENTS!E:E,"Accounting"),1),""))</f>
        <v>60.8</v>
      </c>
      <c r="K52" s="4">
        <f>IF(A52="","",IFERROR(ROUND(AVERAGEIFS(ASSESSMENTS!H:H,ASSESSMENTS!B:B,A52,ASSESSMENTS!E:E,"English"),1),""))</f>
        <v>73.900000000000006</v>
      </c>
      <c r="L52" s="5">
        <f>IF(A52="","",IFERROR(INDEX(ATTENDANCE_SUMMARY!G:G,MATCH(A52,ATTENDANCE_SUMMARY!A:A,0)),""))</f>
        <v>0.83333333333333337</v>
      </c>
      <c r="M52" s="4" t="str">
        <f t="shared" si="0"/>
        <v>On Track</v>
      </c>
    </row>
    <row r="53" spans="1:13" x14ac:dyDescent="0.3">
      <c r="A53" t="str">
        <f>IF(MASTER_REGISTER!E53="","",MASTER_REGISTER!E53)</f>
        <v>MSH202612004</v>
      </c>
      <c r="B53" t="str">
        <f>IF(A53="","",MASTER_REGISTER!F53)</f>
        <v>Ayanda Dlamini</v>
      </c>
      <c r="C53">
        <f>IF(A53="","",MASTER_REGISTER!C53)</f>
        <v>12</v>
      </c>
      <c r="D53">
        <f>IF(A53="","",COUNTIF(ASSESSMENTS!B:B,A53))</f>
        <v>10</v>
      </c>
      <c r="E53" s="4">
        <f>IF(D53=0,"",ROUND(AVERAGEIF(ASSESSMENTS!B:B,A53,ASSESSMENTS!H:H),1))</f>
        <v>59.9</v>
      </c>
      <c r="F53" s="4">
        <f>IF(A53="","",IFERROR(ROUND(AVERAGEIFS(ASSESSMENTS!H:H,ASSESSMENTS!B:B,A53,ASSESSMENTS!E:E,"Mathematics"),1),""))</f>
        <v>58.6</v>
      </c>
      <c r="G53" s="4" t="str">
        <f>IF(A53="","",IFERROR(ROUND(AVERAGEIFS(ASSESSMENTS!H:H,ASSESSMENTS!B:B,A53,ASSESSMENTS!E:E,"Mathematical Literacy"),1),""))</f>
        <v/>
      </c>
      <c r="H53" s="4">
        <f>IF(A53="","",IFERROR(ROUND(AVERAGEIFS(ASSESSMENTS!H:H,ASSESSMENTS!B:B,A53,ASSESSMENTS!E:E,"Physical Sciences"),1),""))</f>
        <v>59.2</v>
      </c>
      <c r="I53" s="4">
        <f>IF(A53="","",IFERROR(ROUND(AVERAGEIFS(ASSESSMENTS!H:H,ASSESSMENTS!B:B,A53,ASSESSMENTS!E:E,"Geography"),1),""))</f>
        <v>61.9</v>
      </c>
      <c r="J53" s="4">
        <f>IF(A53="","",IFERROR(ROUND(AVERAGEIFS(ASSESSMENTS!H:H,ASSESSMENTS!B:B,A53,ASSESSMENTS!E:E,"Accounting"),1),""))</f>
        <v>55</v>
      </c>
      <c r="K53" s="4" t="str">
        <f>IF(A53="","",IFERROR(ROUND(AVERAGEIFS(ASSESSMENTS!H:H,ASSESSMENTS!B:B,A53,ASSESSMENTS!E:E,"English"),1),""))</f>
        <v/>
      </c>
      <c r="L53" s="5">
        <f>IF(A53="","",IFERROR(INDEX(ATTENDANCE_SUMMARY!G:G,MATCH(A53,ATTENDANCE_SUMMARY!A:A,0)),""))</f>
        <v>0.79166666666666663</v>
      </c>
      <c r="M53" s="4" t="str">
        <f t="shared" si="0"/>
        <v>On Track</v>
      </c>
    </row>
    <row r="54" spans="1:13" x14ac:dyDescent="0.3">
      <c r="A54" t="str">
        <f>IF(MASTER_REGISTER!E54="","",MASTER_REGISTER!E54)</f>
        <v>MSH202612005</v>
      </c>
      <c r="B54" t="str">
        <f>IF(A54="","",MASTER_REGISTER!F54)</f>
        <v>Neo Ndlovu</v>
      </c>
      <c r="C54">
        <f>IF(A54="","",MASTER_REGISTER!C54)</f>
        <v>12</v>
      </c>
      <c r="D54">
        <f>IF(A54="","",COUNTIF(ASSESSMENTS!B:B,A54))</f>
        <v>10</v>
      </c>
      <c r="E54" s="4">
        <f>IF(D54=0,"",ROUND(AVERAGEIF(ASSESSMENTS!B:B,A54,ASSESSMENTS!H:H),1))</f>
        <v>64.7</v>
      </c>
      <c r="F54" s="4">
        <f>IF(A54="","",IFERROR(ROUND(AVERAGEIFS(ASSESSMENTS!H:H,ASSESSMENTS!B:B,A54,ASSESSMENTS!E:E,"Mathematics"),1),""))</f>
        <v>73.3</v>
      </c>
      <c r="G54" s="4">
        <f>IF(A54="","",IFERROR(ROUND(AVERAGEIFS(ASSESSMENTS!H:H,ASSESSMENTS!B:B,A54,ASSESSMENTS!E:E,"Mathematical Literacy"),1),""))</f>
        <v>64.8</v>
      </c>
      <c r="H54" s="4">
        <f>IF(A54="","",IFERROR(ROUND(AVERAGEIFS(ASSESSMENTS!H:H,ASSESSMENTS!B:B,A54,ASSESSMENTS!E:E,"Physical Sciences"),1),""))</f>
        <v>40.200000000000003</v>
      </c>
      <c r="I54" s="4">
        <f>IF(A54="","",IFERROR(ROUND(AVERAGEIFS(ASSESSMENTS!H:H,ASSESSMENTS!B:B,A54,ASSESSMENTS!E:E,"Geography"),1),""))</f>
        <v>78.8</v>
      </c>
      <c r="J54" s="4" t="str">
        <f>IF(A54="","",IFERROR(ROUND(AVERAGEIFS(ASSESSMENTS!H:H,ASSESSMENTS!B:B,A54,ASSESSMENTS!E:E,"Accounting"),1),""))</f>
        <v/>
      </c>
      <c r="K54" s="4">
        <f>IF(A54="","",IFERROR(ROUND(AVERAGEIFS(ASSESSMENTS!H:H,ASSESSMENTS!B:B,A54,ASSESSMENTS!E:E,"English"),1),""))</f>
        <v>65</v>
      </c>
      <c r="L54" s="5">
        <f>IF(A54="","",IFERROR(INDEX(ATTENDANCE_SUMMARY!G:G,MATCH(A54,ATTENDANCE_SUMMARY!A:A,0)),""))</f>
        <v>0.89583333333333337</v>
      </c>
      <c r="M54" s="4" t="str">
        <f t="shared" si="0"/>
        <v>On Track</v>
      </c>
    </row>
    <row r="55" spans="1:13" x14ac:dyDescent="0.3">
      <c r="A55" t="str">
        <f>IF(MASTER_REGISTER!E55="","",MASTER_REGISTER!E55)</f>
        <v>MSH202612006</v>
      </c>
      <c r="B55" t="str">
        <f>IF(A55="","",MASTER_REGISTER!F55)</f>
        <v>Neo Ramushu</v>
      </c>
      <c r="C55">
        <f>IF(A55="","",MASTER_REGISTER!C55)</f>
        <v>12</v>
      </c>
      <c r="D55">
        <f>IF(A55="","",COUNTIF(ASSESSMENTS!B:B,A55))</f>
        <v>10</v>
      </c>
      <c r="E55" s="4">
        <f>IF(D55=0,"",ROUND(AVERAGEIF(ASSESSMENTS!B:B,A55,ASSESSMENTS!H:H),1))</f>
        <v>53.5</v>
      </c>
      <c r="F55" s="4">
        <f>IF(A55="","",IFERROR(ROUND(AVERAGEIFS(ASSESSMENTS!H:H,ASSESSMENTS!B:B,A55,ASSESSMENTS!E:E,"Mathematics"),1),""))</f>
        <v>45.7</v>
      </c>
      <c r="G55" s="4" t="str">
        <f>IF(A55="","",IFERROR(ROUND(AVERAGEIFS(ASSESSMENTS!H:H,ASSESSMENTS!B:B,A55,ASSESSMENTS!E:E,"Mathematical Literacy"),1),""))</f>
        <v/>
      </c>
      <c r="H55" s="4">
        <f>IF(A55="","",IFERROR(ROUND(AVERAGEIFS(ASSESSMENTS!H:H,ASSESSMENTS!B:B,A55,ASSESSMENTS!E:E,"Physical Sciences"),1),""))</f>
        <v>54</v>
      </c>
      <c r="I55" s="4">
        <f>IF(A55="","",IFERROR(ROUND(AVERAGEIFS(ASSESSMENTS!H:H,ASSESSMENTS!B:B,A55,ASSESSMENTS!E:E,"Geography"),1),""))</f>
        <v>56.5</v>
      </c>
      <c r="J55" s="4">
        <f>IF(A55="","",IFERROR(ROUND(AVERAGEIFS(ASSESSMENTS!H:H,ASSESSMENTS!B:B,A55,ASSESSMENTS!E:E,"Accounting"),1),""))</f>
        <v>53</v>
      </c>
      <c r="K55" s="4">
        <f>IF(A55="","",IFERROR(ROUND(AVERAGEIFS(ASSESSMENTS!H:H,ASSESSMENTS!B:B,A55,ASSESSMENTS!E:E,"English"),1),""))</f>
        <v>54.2</v>
      </c>
      <c r="L55" s="5">
        <f>IF(A55="","",IFERROR(INDEX(ATTENDANCE_SUMMARY!G:G,MATCH(A55,ATTENDANCE_SUMMARY!A:A,0)),""))</f>
        <v>0.91666666666666663</v>
      </c>
      <c r="M55" s="4" t="str">
        <f t="shared" si="0"/>
        <v>On Track</v>
      </c>
    </row>
    <row r="56" spans="1:13" x14ac:dyDescent="0.3">
      <c r="A56" t="str">
        <f>IF(MASTER_REGISTER!E56="","",MASTER_REGISTER!E56)</f>
        <v>MSH202612007</v>
      </c>
      <c r="B56" t="str">
        <f>IF(A56="","",MASTER_REGISTER!F56)</f>
        <v>Karabo Baloyi</v>
      </c>
      <c r="C56">
        <f>IF(A56="","",MASTER_REGISTER!C56)</f>
        <v>12</v>
      </c>
      <c r="D56">
        <f>IF(A56="","",COUNTIF(ASSESSMENTS!B:B,A56))</f>
        <v>10</v>
      </c>
      <c r="E56" s="4">
        <f>IF(D56=0,"",ROUND(AVERAGEIF(ASSESSMENTS!B:B,A56,ASSESSMENTS!H:H),1))</f>
        <v>64.599999999999994</v>
      </c>
      <c r="F56" s="4">
        <f>IF(A56="","",IFERROR(ROUND(AVERAGEIFS(ASSESSMENTS!H:H,ASSESSMENTS!B:B,A56,ASSESSMENTS!E:E,"Mathematics"),1),""))</f>
        <v>66.5</v>
      </c>
      <c r="G56" s="4">
        <f>IF(A56="","",IFERROR(ROUND(AVERAGEIFS(ASSESSMENTS!H:H,ASSESSMENTS!B:B,A56,ASSESSMENTS!E:E,"Mathematical Literacy"),1),""))</f>
        <v>61.4</v>
      </c>
      <c r="H56" s="4">
        <f>IF(A56="","",IFERROR(ROUND(AVERAGEIFS(ASSESSMENTS!H:H,ASSESSMENTS!B:B,A56,ASSESSMENTS!E:E,"Physical Sciences"),1),""))</f>
        <v>61.9</v>
      </c>
      <c r="I56" s="4" t="str">
        <f>IF(A56="","",IFERROR(ROUND(AVERAGEIFS(ASSESSMENTS!H:H,ASSESSMENTS!B:B,A56,ASSESSMENTS!E:E,"Geography"),1),""))</f>
        <v/>
      </c>
      <c r="J56" s="4">
        <f>IF(A56="","",IFERROR(ROUND(AVERAGEIFS(ASSESSMENTS!H:H,ASSESSMENTS!B:B,A56,ASSESSMENTS!E:E,"Accounting"),1),""))</f>
        <v>61.7</v>
      </c>
      <c r="K56" s="4">
        <f>IF(A56="","",IFERROR(ROUND(AVERAGEIFS(ASSESSMENTS!H:H,ASSESSMENTS!B:B,A56,ASSESSMENTS!E:E,"English"),1),""))</f>
        <v>66.599999999999994</v>
      </c>
      <c r="L56" s="5">
        <f>IF(A56="","",IFERROR(INDEX(ATTENDANCE_SUMMARY!G:G,MATCH(A56,ATTENDANCE_SUMMARY!A:A,0)),""))</f>
        <v>0.85416666666666663</v>
      </c>
      <c r="M56" s="4" t="str">
        <f t="shared" si="0"/>
        <v>On Track</v>
      </c>
    </row>
    <row r="57" spans="1:13" x14ac:dyDescent="0.3">
      <c r="A57" t="str">
        <f>IF(MASTER_REGISTER!E57="","",MASTER_REGISTER!E57)</f>
        <v>MSH202612008</v>
      </c>
      <c r="B57" t="str">
        <f>IF(A57="","",MASTER_REGISTER!F57)</f>
        <v>Tshepo Mokgadi</v>
      </c>
      <c r="C57">
        <f>IF(A57="","",MASTER_REGISTER!C57)</f>
        <v>12</v>
      </c>
      <c r="D57">
        <f>IF(A57="","",COUNTIF(ASSESSMENTS!B:B,A57))</f>
        <v>10</v>
      </c>
      <c r="E57" s="4">
        <f>IF(D57=0,"",ROUND(AVERAGEIF(ASSESSMENTS!B:B,A57,ASSESSMENTS!H:H),1))</f>
        <v>61.6</v>
      </c>
      <c r="F57" s="4">
        <f>IF(A57="","",IFERROR(ROUND(AVERAGEIFS(ASSESSMENTS!H:H,ASSESSMENTS!B:B,A57,ASSESSMENTS!E:E,"Mathematics"),1),""))</f>
        <v>73</v>
      </c>
      <c r="G57" s="4">
        <f>IF(A57="","",IFERROR(ROUND(AVERAGEIFS(ASSESSMENTS!H:H,ASSESSMENTS!B:B,A57,ASSESSMENTS!E:E,"Mathematical Literacy"),1),""))</f>
        <v>35.1</v>
      </c>
      <c r="H57" s="4">
        <f>IF(A57="","",IFERROR(ROUND(AVERAGEIFS(ASSESSMENTS!H:H,ASSESSMENTS!B:B,A57,ASSESSMENTS!E:E,"Physical Sciences"),1),""))</f>
        <v>50.1</v>
      </c>
      <c r="I57" s="4" t="str">
        <f>IF(A57="","",IFERROR(ROUND(AVERAGEIFS(ASSESSMENTS!H:H,ASSESSMENTS!B:B,A57,ASSESSMENTS!E:E,"Geography"),1),""))</f>
        <v/>
      </c>
      <c r="J57" s="4">
        <f>IF(A57="","",IFERROR(ROUND(AVERAGEIFS(ASSESSMENTS!H:H,ASSESSMENTS!B:B,A57,ASSESSMENTS!E:E,"Accounting"),1),""))</f>
        <v>80.8</v>
      </c>
      <c r="K57" s="4">
        <f>IF(A57="","",IFERROR(ROUND(AVERAGEIFS(ASSESSMENTS!H:H,ASSESSMENTS!B:B,A57,ASSESSMENTS!E:E,"English"),1),""))</f>
        <v>60.8</v>
      </c>
      <c r="L57" s="5">
        <f>IF(A57="","",IFERROR(INDEX(ATTENDANCE_SUMMARY!G:G,MATCH(A57,ATTENDANCE_SUMMARY!A:A,0)),""))</f>
        <v>0.83333333333333337</v>
      </c>
      <c r="M57" s="4" t="str">
        <f t="shared" si="0"/>
        <v>On Track</v>
      </c>
    </row>
    <row r="58" spans="1:13" x14ac:dyDescent="0.3">
      <c r="A58" t="str">
        <f>IF(MASTER_REGISTER!E58="","",MASTER_REGISTER!E58)</f>
        <v>MSH202612009</v>
      </c>
      <c r="B58" t="str">
        <f>IF(A58="","",MASTER_REGISTER!F58)</f>
        <v>Sifiso Mavuso</v>
      </c>
      <c r="C58">
        <f>IF(A58="","",MASTER_REGISTER!C58)</f>
        <v>12</v>
      </c>
      <c r="D58">
        <f>IF(A58="","",COUNTIF(ASSESSMENTS!B:B,A58))</f>
        <v>10</v>
      </c>
      <c r="E58" s="4">
        <f>IF(D58=0,"",ROUND(AVERAGEIF(ASSESSMENTS!B:B,A58,ASSESSMENTS!H:H),1))</f>
        <v>50.1</v>
      </c>
      <c r="F58" s="4">
        <f>IF(A58="","",IFERROR(ROUND(AVERAGEIFS(ASSESSMENTS!H:H,ASSESSMENTS!B:B,A58,ASSESSMENTS!E:E,"Mathematics"),1),""))</f>
        <v>50.2</v>
      </c>
      <c r="G58" s="4" t="str">
        <f>IF(A58="","",IFERROR(ROUND(AVERAGEIFS(ASSESSMENTS!H:H,ASSESSMENTS!B:B,A58,ASSESSMENTS!E:E,"Mathematical Literacy"),1),""))</f>
        <v/>
      </c>
      <c r="H58" s="4">
        <f>IF(A58="","",IFERROR(ROUND(AVERAGEIFS(ASSESSMENTS!H:H,ASSESSMENTS!B:B,A58,ASSESSMENTS!E:E,"Physical Sciences"),1),""))</f>
        <v>43.6</v>
      </c>
      <c r="I58" s="4">
        <f>IF(A58="","",IFERROR(ROUND(AVERAGEIFS(ASSESSMENTS!H:H,ASSESSMENTS!B:B,A58,ASSESSMENTS!E:E,"Geography"),1),""))</f>
        <v>48</v>
      </c>
      <c r="J58" s="4" t="str">
        <f>IF(A58="","",IFERROR(ROUND(AVERAGEIFS(ASSESSMENTS!H:H,ASSESSMENTS!B:B,A58,ASSESSMENTS!E:E,"Accounting"),1),""))</f>
        <v/>
      </c>
      <c r="K58" s="4">
        <f>IF(A58="","",IFERROR(ROUND(AVERAGEIFS(ASSESSMENTS!H:H,ASSESSMENTS!B:B,A58,ASSESSMENTS!E:E,"English"),1),""))</f>
        <v>56.2</v>
      </c>
      <c r="L58" s="5">
        <f>IF(A58="","",IFERROR(INDEX(ATTENDANCE_SUMMARY!G:G,MATCH(A58,ATTENDANCE_SUMMARY!A:A,0)),""))</f>
        <v>0.8125</v>
      </c>
      <c r="M58" s="4" t="str">
        <f t="shared" si="0"/>
        <v>On Track</v>
      </c>
    </row>
    <row r="59" spans="1:13" x14ac:dyDescent="0.3">
      <c r="A59" t="str">
        <f>IF(MASTER_REGISTER!E59="","",MASTER_REGISTER!E59)</f>
        <v>MSH202612010</v>
      </c>
      <c r="B59" t="str">
        <f>IF(A59="","",MASTER_REGISTER!F59)</f>
        <v>Refilwe Sithole</v>
      </c>
      <c r="C59">
        <f>IF(A59="","",MASTER_REGISTER!C59)</f>
        <v>12</v>
      </c>
      <c r="D59">
        <f>IF(A59="","",COUNTIF(ASSESSMENTS!B:B,A59))</f>
        <v>10</v>
      </c>
      <c r="E59" s="4">
        <f>IF(D59=0,"",ROUND(AVERAGEIF(ASSESSMENTS!B:B,A59,ASSESSMENTS!H:H),1))</f>
        <v>61.4</v>
      </c>
      <c r="F59" s="4">
        <f>IF(A59="","",IFERROR(ROUND(AVERAGEIFS(ASSESSMENTS!H:H,ASSESSMENTS!B:B,A59,ASSESSMENTS!E:E,"Mathematics"),1),""))</f>
        <v>60.4</v>
      </c>
      <c r="G59" s="4">
        <f>IF(A59="","",IFERROR(ROUND(AVERAGEIFS(ASSESSMENTS!H:H,ASSESSMENTS!B:B,A59,ASSESSMENTS!E:E,"Mathematical Literacy"),1),""))</f>
        <v>51.8</v>
      </c>
      <c r="H59" s="4">
        <f>IF(A59="","",IFERROR(ROUND(AVERAGEIFS(ASSESSMENTS!H:H,ASSESSMENTS!B:B,A59,ASSESSMENTS!E:E,"Physical Sciences"),1),""))</f>
        <v>63.6</v>
      </c>
      <c r="I59" s="4">
        <f>IF(A59="","",IFERROR(ROUND(AVERAGEIFS(ASSESSMENTS!H:H,ASSESSMENTS!B:B,A59,ASSESSMENTS!E:E,"Geography"),1),""))</f>
        <v>61.6</v>
      </c>
      <c r="J59" s="4">
        <f>IF(A59="","",IFERROR(ROUND(AVERAGEIFS(ASSESSMENTS!H:H,ASSESSMENTS!B:B,A59,ASSESSMENTS!E:E,"Accounting"),1),""))</f>
        <v>80.099999999999994</v>
      </c>
      <c r="K59" s="4">
        <f>IF(A59="","",IFERROR(ROUND(AVERAGEIFS(ASSESSMENTS!H:H,ASSESSMENTS!B:B,A59,ASSESSMENTS!E:E,"English"),1),""))</f>
        <v>60.6</v>
      </c>
      <c r="L59" s="5">
        <f>IF(A59="","",IFERROR(INDEX(ATTENDANCE_SUMMARY!G:G,MATCH(A59,ATTENDANCE_SUMMARY!A:A,0)),""))</f>
        <v>0.85416666666666663</v>
      </c>
      <c r="M59" s="4" t="str">
        <f t="shared" si="0"/>
        <v>On Track</v>
      </c>
    </row>
    <row r="60" spans="1:13" x14ac:dyDescent="0.3">
      <c r="A60" t="str">
        <f>IF(MASTER_REGISTER!E60="","",MASTER_REGISTER!E60)</f>
        <v>MSH202612011</v>
      </c>
      <c r="B60" t="str">
        <f>IF(A60="","",MASTER_REGISTER!F60)</f>
        <v>Lerato Sithole</v>
      </c>
      <c r="C60">
        <f>IF(A60="","",MASTER_REGISTER!C60)</f>
        <v>12</v>
      </c>
      <c r="D60">
        <f>IF(A60="","",COUNTIF(ASSESSMENTS!B:B,A60))</f>
        <v>10</v>
      </c>
      <c r="E60" s="4">
        <f>IF(D60=0,"",ROUND(AVERAGEIF(ASSESSMENTS!B:B,A60,ASSESSMENTS!H:H),1))</f>
        <v>64.900000000000006</v>
      </c>
      <c r="F60" s="4">
        <f>IF(A60="","",IFERROR(ROUND(AVERAGEIFS(ASSESSMENTS!H:H,ASSESSMENTS!B:B,A60,ASSESSMENTS!E:E,"Mathematics"),1),""))</f>
        <v>61.8</v>
      </c>
      <c r="G60" s="4">
        <f>IF(A60="","",IFERROR(ROUND(AVERAGEIFS(ASSESSMENTS!H:H,ASSESSMENTS!B:B,A60,ASSESSMENTS!E:E,"Mathematical Literacy"),1),""))</f>
        <v>53.3</v>
      </c>
      <c r="H60" s="4">
        <f>IF(A60="","",IFERROR(ROUND(AVERAGEIFS(ASSESSMENTS!H:H,ASSESSMENTS!B:B,A60,ASSESSMENTS!E:E,"Physical Sciences"),1),""))</f>
        <v>50.9</v>
      </c>
      <c r="I60" s="4">
        <f>IF(A60="","",IFERROR(ROUND(AVERAGEIFS(ASSESSMENTS!H:H,ASSESSMENTS!B:B,A60,ASSESSMENTS!E:E,"Geography"),1),""))</f>
        <v>80.2</v>
      </c>
      <c r="J60" s="4">
        <f>IF(A60="","",IFERROR(ROUND(AVERAGEIFS(ASSESSMENTS!H:H,ASSESSMENTS!B:B,A60,ASSESSMENTS!E:E,"Accounting"),1),""))</f>
        <v>57.7</v>
      </c>
      <c r="K60" s="4">
        <f>IF(A60="","",IFERROR(ROUND(AVERAGEIFS(ASSESSMENTS!H:H,ASSESSMENTS!B:B,A60,ASSESSMENTS!E:E,"English"),1),""))</f>
        <v>74.900000000000006</v>
      </c>
      <c r="L60" s="5">
        <f>IF(A60="","",IFERROR(INDEX(ATTENDANCE_SUMMARY!G:G,MATCH(A60,ATTENDANCE_SUMMARY!A:A,0)),""))</f>
        <v>0.8125</v>
      </c>
      <c r="M60" s="4" t="str">
        <f t="shared" si="0"/>
        <v>On Track</v>
      </c>
    </row>
    <row r="61" spans="1:13" x14ac:dyDescent="0.3">
      <c r="A61" t="str">
        <f>IF(MASTER_REGISTER!E61="","",MASTER_REGISTER!E61)</f>
        <v>MSH202612012</v>
      </c>
      <c r="B61" t="str">
        <f>IF(A61="","",MASTER_REGISTER!F61)</f>
        <v>Sibusiso Ngobeni</v>
      </c>
      <c r="C61">
        <f>IF(A61="","",MASTER_REGISTER!C61)</f>
        <v>12</v>
      </c>
      <c r="D61">
        <f>IF(A61="","",COUNTIF(ASSESSMENTS!B:B,A61))</f>
        <v>10</v>
      </c>
      <c r="E61" s="4">
        <f>IF(D61=0,"",ROUND(AVERAGEIF(ASSESSMENTS!B:B,A61,ASSESSMENTS!H:H),1))</f>
        <v>61.1</v>
      </c>
      <c r="F61" s="4">
        <f>IF(A61="","",IFERROR(ROUND(AVERAGEIFS(ASSESSMENTS!H:H,ASSESSMENTS!B:B,A61,ASSESSMENTS!E:E,"Mathematics"),1),""))</f>
        <v>59.6</v>
      </c>
      <c r="G61" s="4">
        <f>IF(A61="","",IFERROR(ROUND(AVERAGEIFS(ASSESSMENTS!H:H,ASSESSMENTS!B:B,A61,ASSESSMENTS!E:E,"Mathematical Literacy"),1),""))</f>
        <v>66.3</v>
      </c>
      <c r="H61" s="4">
        <f>IF(A61="","",IFERROR(ROUND(AVERAGEIFS(ASSESSMENTS!H:H,ASSESSMENTS!B:B,A61,ASSESSMENTS!E:E,"Physical Sciences"),1),""))</f>
        <v>77.400000000000006</v>
      </c>
      <c r="I61" s="4">
        <f>IF(A61="","",IFERROR(ROUND(AVERAGEIFS(ASSESSMENTS!H:H,ASSESSMENTS!B:B,A61,ASSESSMENTS!E:E,"Geography"),1),""))</f>
        <v>50.2</v>
      </c>
      <c r="J61" s="4" t="str">
        <f>IF(A61="","",IFERROR(ROUND(AVERAGEIFS(ASSESSMENTS!H:H,ASSESSMENTS!B:B,A61,ASSESSMENTS!E:E,"Accounting"),1),""))</f>
        <v/>
      </c>
      <c r="K61" s="4">
        <f>IF(A61="","",IFERROR(ROUND(AVERAGEIFS(ASSESSMENTS!H:H,ASSESSMENTS!B:B,A61,ASSESSMENTS!E:E,"English"),1),""))</f>
        <v>48.8</v>
      </c>
      <c r="L61" s="5">
        <f>IF(A61="","",IFERROR(INDEX(ATTENDANCE_SUMMARY!G:G,MATCH(A61,ATTENDANCE_SUMMARY!A:A,0)),""))</f>
        <v>0.9375</v>
      </c>
      <c r="M61" s="4" t="str">
        <f t="shared" si="0"/>
        <v>On Track</v>
      </c>
    </row>
    <row r="62" spans="1:13" x14ac:dyDescent="0.3">
      <c r="A62" t="str">
        <f>IF(MASTER_REGISTER!E62="","",MASTER_REGISTER!E62)</f>
        <v/>
      </c>
      <c r="B62" t="str">
        <f>IF(A62="","",MASTER_REGISTER!F62)</f>
        <v/>
      </c>
      <c r="C62" t="str">
        <f>IF(A62="","",MASTER_REGISTER!C62)</f>
        <v/>
      </c>
      <c r="D62" t="str">
        <f>IF(A62="","",COUNTIF(ASSESSMENTS!B:B,A62))</f>
        <v/>
      </c>
      <c r="E62" s="4" t="e">
        <f>IF(D62=0,"",ROUND(AVERAGEIF(ASSESSMENTS!B:B,A62,ASSESSMENTS!H:H),1))</f>
        <v>#DIV/0!</v>
      </c>
      <c r="F62" s="4" t="str">
        <f>IF(A62="","",IFERROR(ROUND(AVERAGEIFS(ASSESSMENTS!H:H,ASSESSMENTS!B:B,A62,ASSESSMENTS!E:E,"Mathematics"),1),""))</f>
        <v/>
      </c>
      <c r="G62" s="4" t="str">
        <f>IF(A62="","",IFERROR(ROUND(AVERAGEIFS(ASSESSMENTS!H:H,ASSESSMENTS!B:B,A62,ASSESSMENTS!E:E,"Mathematical Literacy"),1),""))</f>
        <v/>
      </c>
      <c r="H62" s="4" t="str">
        <f>IF(A62="","",IFERROR(ROUND(AVERAGEIFS(ASSESSMENTS!H:H,ASSESSMENTS!B:B,A62,ASSESSMENTS!E:E,"Physical Sciences"),1),""))</f>
        <v/>
      </c>
      <c r="I62" s="4" t="str">
        <f>IF(A62="","",IFERROR(ROUND(AVERAGEIFS(ASSESSMENTS!H:H,ASSESSMENTS!B:B,A62,ASSESSMENTS!E:E,"Geography"),1),""))</f>
        <v/>
      </c>
      <c r="J62" s="4" t="str">
        <f>IF(A62="","",IFERROR(ROUND(AVERAGEIFS(ASSESSMENTS!H:H,ASSESSMENTS!B:B,A62,ASSESSMENTS!E:E,"Accounting"),1),""))</f>
        <v/>
      </c>
      <c r="K62" s="4" t="str">
        <f>IF(A62="","",IFERROR(ROUND(AVERAGEIFS(ASSESSMENTS!H:H,ASSESSMENTS!B:B,A62,ASSESSMENTS!E:E,"English"),1),""))</f>
        <v/>
      </c>
      <c r="L62" s="5" t="str">
        <f>IF(A62="","",IFERROR(INDEX(ATTENDANCE_SUMMARY!G:G,MATCH(A62,ATTENDANCE_SUMMARY!A:A,0)),""))</f>
        <v/>
      </c>
      <c r="M62" s="4" t="str">
        <f t="shared" si="0"/>
        <v/>
      </c>
    </row>
    <row r="63" spans="1:13" x14ac:dyDescent="0.3">
      <c r="A63" t="str">
        <f>IF(MASTER_REGISTER!E63="","",MASTER_REGISTER!E63)</f>
        <v/>
      </c>
      <c r="B63" t="str">
        <f>IF(A63="","",MASTER_REGISTER!F63)</f>
        <v/>
      </c>
      <c r="C63" t="str">
        <f>IF(A63="","",MASTER_REGISTER!C63)</f>
        <v/>
      </c>
      <c r="D63" t="str">
        <f>IF(A63="","",COUNTIF(ASSESSMENTS!B:B,A63))</f>
        <v/>
      </c>
      <c r="E63" s="4" t="e">
        <f>IF(D63=0,"",ROUND(AVERAGEIF(ASSESSMENTS!B:B,A63,ASSESSMENTS!H:H),1))</f>
        <v>#DIV/0!</v>
      </c>
      <c r="F63" s="4" t="str">
        <f>IF(A63="","",IFERROR(ROUND(AVERAGEIFS(ASSESSMENTS!H:H,ASSESSMENTS!B:B,A63,ASSESSMENTS!E:E,"Mathematics"),1),""))</f>
        <v/>
      </c>
      <c r="G63" s="4" t="str">
        <f>IF(A63="","",IFERROR(ROUND(AVERAGEIFS(ASSESSMENTS!H:H,ASSESSMENTS!B:B,A63,ASSESSMENTS!E:E,"Mathematical Literacy"),1),""))</f>
        <v/>
      </c>
      <c r="H63" s="4" t="str">
        <f>IF(A63="","",IFERROR(ROUND(AVERAGEIFS(ASSESSMENTS!H:H,ASSESSMENTS!B:B,A63,ASSESSMENTS!E:E,"Physical Sciences"),1),""))</f>
        <v/>
      </c>
      <c r="I63" s="4" t="str">
        <f>IF(A63="","",IFERROR(ROUND(AVERAGEIFS(ASSESSMENTS!H:H,ASSESSMENTS!B:B,A63,ASSESSMENTS!E:E,"Geography"),1),""))</f>
        <v/>
      </c>
      <c r="J63" s="4" t="str">
        <f>IF(A63="","",IFERROR(ROUND(AVERAGEIFS(ASSESSMENTS!H:H,ASSESSMENTS!B:B,A63,ASSESSMENTS!E:E,"Accounting"),1),""))</f>
        <v/>
      </c>
      <c r="K63" s="4" t="str">
        <f>IF(A63="","",IFERROR(ROUND(AVERAGEIFS(ASSESSMENTS!H:H,ASSESSMENTS!B:B,A63,ASSESSMENTS!E:E,"English"),1),""))</f>
        <v/>
      </c>
      <c r="L63" s="5" t="str">
        <f>IF(A63="","",IFERROR(INDEX(ATTENDANCE_SUMMARY!G:G,MATCH(A63,ATTENDANCE_SUMMARY!A:A,0)),""))</f>
        <v/>
      </c>
      <c r="M63" s="4" t="str">
        <f t="shared" si="0"/>
        <v/>
      </c>
    </row>
    <row r="64" spans="1:13" x14ac:dyDescent="0.3">
      <c r="A64" t="str">
        <f>IF(MASTER_REGISTER!E64="","",MASTER_REGISTER!E64)</f>
        <v/>
      </c>
      <c r="B64" t="str">
        <f>IF(A64="","",MASTER_REGISTER!F64)</f>
        <v/>
      </c>
      <c r="C64" t="str">
        <f>IF(A64="","",MASTER_REGISTER!C64)</f>
        <v/>
      </c>
      <c r="D64" t="str">
        <f>IF(A64="","",COUNTIF(ASSESSMENTS!B:B,A64))</f>
        <v/>
      </c>
      <c r="E64" s="4" t="e">
        <f>IF(D64=0,"",ROUND(AVERAGEIF(ASSESSMENTS!B:B,A64,ASSESSMENTS!H:H),1))</f>
        <v>#DIV/0!</v>
      </c>
      <c r="F64" s="4" t="str">
        <f>IF(A64="","",IFERROR(ROUND(AVERAGEIFS(ASSESSMENTS!H:H,ASSESSMENTS!B:B,A64,ASSESSMENTS!E:E,"Mathematics"),1),""))</f>
        <v/>
      </c>
      <c r="G64" s="4" t="str">
        <f>IF(A64="","",IFERROR(ROUND(AVERAGEIFS(ASSESSMENTS!H:H,ASSESSMENTS!B:B,A64,ASSESSMENTS!E:E,"Mathematical Literacy"),1),""))</f>
        <v/>
      </c>
      <c r="H64" s="4" t="str">
        <f>IF(A64="","",IFERROR(ROUND(AVERAGEIFS(ASSESSMENTS!H:H,ASSESSMENTS!B:B,A64,ASSESSMENTS!E:E,"Physical Sciences"),1),""))</f>
        <v/>
      </c>
      <c r="I64" s="4" t="str">
        <f>IF(A64="","",IFERROR(ROUND(AVERAGEIFS(ASSESSMENTS!H:H,ASSESSMENTS!B:B,A64,ASSESSMENTS!E:E,"Geography"),1),""))</f>
        <v/>
      </c>
      <c r="J64" s="4" t="str">
        <f>IF(A64="","",IFERROR(ROUND(AVERAGEIFS(ASSESSMENTS!H:H,ASSESSMENTS!B:B,A64,ASSESSMENTS!E:E,"Accounting"),1),""))</f>
        <v/>
      </c>
      <c r="K64" s="4" t="str">
        <f>IF(A64="","",IFERROR(ROUND(AVERAGEIFS(ASSESSMENTS!H:H,ASSESSMENTS!B:B,A64,ASSESSMENTS!E:E,"English"),1),""))</f>
        <v/>
      </c>
      <c r="L64" s="5" t="str">
        <f>IF(A64="","",IFERROR(INDEX(ATTENDANCE_SUMMARY!G:G,MATCH(A64,ATTENDANCE_SUMMARY!A:A,0)),""))</f>
        <v/>
      </c>
      <c r="M64" s="4" t="str">
        <f t="shared" si="0"/>
        <v/>
      </c>
    </row>
    <row r="65" spans="1:13" x14ac:dyDescent="0.3">
      <c r="A65" t="str">
        <f>IF(MASTER_REGISTER!E65="","",MASTER_REGISTER!E65)</f>
        <v/>
      </c>
      <c r="B65" t="str">
        <f>IF(A65="","",MASTER_REGISTER!F65)</f>
        <v/>
      </c>
      <c r="C65" t="str">
        <f>IF(A65="","",MASTER_REGISTER!C65)</f>
        <v/>
      </c>
      <c r="D65" t="str">
        <f>IF(A65="","",COUNTIF(ASSESSMENTS!B:B,A65))</f>
        <v/>
      </c>
      <c r="E65" s="4" t="e">
        <f>IF(D65=0,"",ROUND(AVERAGEIF(ASSESSMENTS!B:B,A65,ASSESSMENTS!H:H),1))</f>
        <v>#DIV/0!</v>
      </c>
      <c r="F65" s="4" t="str">
        <f>IF(A65="","",IFERROR(ROUND(AVERAGEIFS(ASSESSMENTS!H:H,ASSESSMENTS!B:B,A65,ASSESSMENTS!E:E,"Mathematics"),1),""))</f>
        <v/>
      </c>
      <c r="G65" s="4" t="str">
        <f>IF(A65="","",IFERROR(ROUND(AVERAGEIFS(ASSESSMENTS!H:H,ASSESSMENTS!B:B,A65,ASSESSMENTS!E:E,"Mathematical Literacy"),1),""))</f>
        <v/>
      </c>
      <c r="H65" s="4" t="str">
        <f>IF(A65="","",IFERROR(ROUND(AVERAGEIFS(ASSESSMENTS!H:H,ASSESSMENTS!B:B,A65,ASSESSMENTS!E:E,"Physical Sciences"),1),""))</f>
        <v/>
      </c>
      <c r="I65" s="4" t="str">
        <f>IF(A65="","",IFERROR(ROUND(AVERAGEIFS(ASSESSMENTS!H:H,ASSESSMENTS!B:B,A65,ASSESSMENTS!E:E,"Geography"),1),""))</f>
        <v/>
      </c>
      <c r="J65" s="4" t="str">
        <f>IF(A65="","",IFERROR(ROUND(AVERAGEIFS(ASSESSMENTS!H:H,ASSESSMENTS!B:B,A65,ASSESSMENTS!E:E,"Accounting"),1),""))</f>
        <v/>
      </c>
      <c r="K65" s="4" t="str">
        <f>IF(A65="","",IFERROR(ROUND(AVERAGEIFS(ASSESSMENTS!H:H,ASSESSMENTS!B:B,A65,ASSESSMENTS!E:E,"English"),1),""))</f>
        <v/>
      </c>
      <c r="L65" s="5" t="str">
        <f>IF(A65="","",IFERROR(INDEX(ATTENDANCE_SUMMARY!G:G,MATCH(A65,ATTENDANCE_SUMMARY!A:A,0)),""))</f>
        <v/>
      </c>
      <c r="M65" s="4" t="str">
        <f t="shared" si="0"/>
        <v/>
      </c>
    </row>
    <row r="66" spans="1:13" x14ac:dyDescent="0.3">
      <c r="A66" t="str">
        <f>IF(MASTER_REGISTER!E66="","",MASTER_REGISTER!E66)</f>
        <v/>
      </c>
      <c r="B66" t="str">
        <f>IF(A66="","",MASTER_REGISTER!F66)</f>
        <v/>
      </c>
      <c r="C66" t="str">
        <f>IF(A66="","",MASTER_REGISTER!C66)</f>
        <v/>
      </c>
      <c r="D66" t="str">
        <f>IF(A66="","",COUNTIF(ASSESSMENTS!B:B,A66))</f>
        <v/>
      </c>
      <c r="E66" s="4" t="e">
        <f>IF(D66=0,"",ROUND(AVERAGEIF(ASSESSMENTS!B:B,A66,ASSESSMENTS!H:H),1))</f>
        <v>#DIV/0!</v>
      </c>
      <c r="F66" s="4" t="str">
        <f>IF(A66="","",IFERROR(ROUND(AVERAGEIFS(ASSESSMENTS!H:H,ASSESSMENTS!B:B,A66,ASSESSMENTS!E:E,"Mathematics"),1),""))</f>
        <v/>
      </c>
      <c r="G66" s="4" t="str">
        <f>IF(A66="","",IFERROR(ROUND(AVERAGEIFS(ASSESSMENTS!H:H,ASSESSMENTS!B:B,A66,ASSESSMENTS!E:E,"Mathematical Literacy"),1),""))</f>
        <v/>
      </c>
      <c r="H66" s="4" t="str">
        <f>IF(A66="","",IFERROR(ROUND(AVERAGEIFS(ASSESSMENTS!H:H,ASSESSMENTS!B:B,A66,ASSESSMENTS!E:E,"Physical Sciences"),1),""))</f>
        <v/>
      </c>
      <c r="I66" s="4" t="str">
        <f>IF(A66="","",IFERROR(ROUND(AVERAGEIFS(ASSESSMENTS!H:H,ASSESSMENTS!B:B,A66,ASSESSMENTS!E:E,"Geography"),1),""))</f>
        <v/>
      </c>
      <c r="J66" s="4" t="str">
        <f>IF(A66="","",IFERROR(ROUND(AVERAGEIFS(ASSESSMENTS!H:H,ASSESSMENTS!B:B,A66,ASSESSMENTS!E:E,"Accounting"),1),""))</f>
        <v/>
      </c>
      <c r="K66" s="4" t="str">
        <f>IF(A66="","",IFERROR(ROUND(AVERAGEIFS(ASSESSMENTS!H:H,ASSESSMENTS!B:B,A66,ASSESSMENTS!E:E,"English"),1),""))</f>
        <v/>
      </c>
      <c r="L66" s="5" t="str">
        <f>IF(A66="","",IFERROR(INDEX(ATTENDANCE_SUMMARY!G:G,MATCH(A66,ATTENDANCE_SUMMARY!A:A,0)),""))</f>
        <v/>
      </c>
      <c r="M66" s="4" t="str">
        <f t="shared" ref="M66:M129" si="1">IF(A66="","",IF(OR(E66&lt;50,AND(L66&lt;0.75,L66&lt;&gt;"" )),"At Risk","On Track"))</f>
        <v/>
      </c>
    </row>
    <row r="67" spans="1:13" x14ac:dyDescent="0.3">
      <c r="A67" t="str">
        <f>IF(MASTER_REGISTER!E67="","",MASTER_REGISTER!E67)</f>
        <v/>
      </c>
      <c r="B67" t="str">
        <f>IF(A67="","",MASTER_REGISTER!F67)</f>
        <v/>
      </c>
      <c r="C67" t="str">
        <f>IF(A67="","",MASTER_REGISTER!C67)</f>
        <v/>
      </c>
      <c r="D67" t="str">
        <f>IF(A67="","",COUNTIF(ASSESSMENTS!B:B,A67))</f>
        <v/>
      </c>
      <c r="E67" s="4" t="e">
        <f>IF(D67=0,"",ROUND(AVERAGEIF(ASSESSMENTS!B:B,A67,ASSESSMENTS!H:H),1))</f>
        <v>#DIV/0!</v>
      </c>
      <c r="F67" s="4" t="str">
        <f>IF(A67="","",IFERROR(ROUND(AVERAGEIFS(ASSESSMENTS!H:H,ASSESSMENTS!B:B,A67,ASSESSMENTS!E:E,"Mathematics"),1),""))</f>
        <v/>
      </c>
      <c r="G67" s="4" t="str">
        <f>IF(A67="","",IFERROR(ROUND(AVERAGEIFS(ASSESSMENTS!H:H,ASSESSMENTS!B:B,A67,ASSESSMENTS!E:E,"Mathematical Literacy"),1),""))</f>
        <v/>
      </c>
      <c r="H67" s="4" t="str">
        <f>IF(A67="","",IFERROR(ROUND(AVERAGEIFS(ASSESSMENTS!H:H,ASSESSMENTS!B:B,A67,ASSESSMENTS!E:E,"Physical Sciences"),1),""))</f>
        <v/>
      </c>
      <c r="I67" s="4" t="str">
        <f>IF(A67="","",IFERROR(ROUND(AVERAGEIFS(ASSESSMENTS!H:H,ASSESSMENTS!B:B,A67,ASSESSMENTS!E:E,"Geography"),1),""))</f>
        <v/>
      </c>
      <c r="J67" s="4" t="str">
        <f>IF(A67="","",IFERROR(ROUND(AVERAGEIFS(ASSESSMENTS!H:H,ASSESSMENTS!B:B,A67,ASSESSMENTS!E:E,"Accounting"),1),""))</f>
        <v/>
      </c>
      <c r="K67" s="4" t="str">
        <f>IF(A67="","",IFERROR(ROUND(AVERAGEIFS(ASSESSMENTS!H:H,ASSESSMENTS!B:B,A67,ASSESSMENTS!E:E,"English"),1),""))</f>
        <v/>
      </c>
      <c r="L67" s="5" t="str">
        <f>IF(A67="","",IFERROR(INDEX(ATTENDANCE_SUMMARY!G:G,MATCH(A67,ATTENDANCE_SUMMARY!A:A,0)),""))</f>
        <v/>
      </c>
      <c r="M67" s="4" t="str">
        <f t="shared" si="1"/>
        <v/>
      </c>
    </row>
    <row r="68" spans="1:13" x14ac:dyDescent="0.3">
      <c r="A68" t="str">
        <f>IF(MASTER_REGISTER!E68="","",MASTER_REGISTER!E68)</f>
        <v/>
      </c>
      <c r="B68" t="str">
        <f>IF(A68="","",MASTER_REGISTER!F68)</f>
        <v/>
      </c>
      <c r="C68" t="str">
        <f>IF(A68="","",MASTER_REGISTER!C68)</f>
        <v/>
      </c>
      <c r="D68" t="str">
        <f>IF(A68="","",COUNTIF(ASSESSMENTS!B:B,A68))</f>
        <v/>
      </c>
      <c r="E68" s="4" t="e">
        <f>IF(D68=0,"",ROUND(AVERAGEIF(ASSESSMENTS!B:B,A68,ASSESSMENTS!H:H),1))</f>
        <v>#DIV/0!</v>
      </c>
      <c r="F68" s="4" t="str">
        <f>IF(A68="","",IFERROR(ROUND(AVERAGEIFS(ASSESSMENTS!H:H,ASSESSMENTS!B:B,A68,ASSESSMENTS!E:E,"Mathematics"),1),""))</f>
        <v/>
      </c>
      <c r="G68" s="4" t="str">
        <f>IF(A68="","",IFERROR(ROUND(AVERAGEIFS(ASSESSMENTS!H:H,ASSESSMENTS!B:B,A68,ASSESSMENTS!E:E,"Mathematical Literacy"),1),""))</f>
        <v/>
      </c>
      <c r="H68" s="4" t="str">
        <f>IF(A68="","",IFERROR(ROUND(AVERAGEIFS(ASSESSMENTS!H:H,ASSESSMENTS!B:B,A68,ASSESSMENTS!E:E,"Physical Sciences"),1),""))</f>
        <v/>
      </c>
      <c r="I68" s="4" t="str">
        <f>IF(A68="","",IFERROR(ROUND(AVERAGEIFS(ASSESSMENTS!H:H,ASSESSMENTS!B:B,A68,ASSESSMENTS!E:E,"Geography"),1),""))</f>
        <v/>
      </c>
      <c r="J68" s="4" t="str">
        <f>IF(A68="","",IFERROR(ROUND(AVERAGEIFS(ASSESSMENTS!H:H,ASSESSMENTS!B:B,A68,ASSESSMENTS!E:E,"Accounting"),1),""))</f>
        <v/>
      </c>
      <c r="K68" s="4" t="str">
        <f>IF(A68="","",IFERROR(ROUND(AVERAGEIFS(ASSESSMENTS!H:H,ASSESSMENTS!B:B,A68,ASSESSMENTS!E:E,"English"),1),""))</f>
        <v/>
      </c>
      <c r="L68" s="5" t="str">
        <f>IF(A68="","",IFERROR(INDEX(ATTENDANCE_SUMMARY!G:G,MATCH(A68,ATTENDANCE_SUMMARY!A:A,0)),""))</f>
        <v/>
      </c>
      <c r="M68" s="4" t="str">
        <f t="shared" si="1"/>
        <v/>
      </c>
    </row>
    <row r="69" spans="1:13" x14ac:dyDescent="0.3">
      <c r="A69" t="str">
        <f>IF(MASTER_REGISTER!E69="","",MASTER_REGISTER!E69)</f>
        <v/>
      </c>
      <c r="B69" t="str">
        <f>IF(A69="","",MASTER_REGISTER!F69)</f>
        <v/>
      </c>
      <c r="C69" t="str">
        <f>IF(A69="","",MASTER_REGISTER!C69)</f>
        <v/>
      </c>
      <c r="D69" t="str">
        <f>IF(A69="","",COUNTIF(ASSESSMENTS!B:B,A69))</f>
        <v/>
      </c>
      <c r="E69" s="4" t="e">
        <f>IF(D69=0,"",ROUND(AVERAGEIF(ASSESSMENTS!B:B,A69,ASSESSMENTS!H:H),1))</f>
        <v>#DIV/0!</v>
      </c>
      <c r="F69" s="4" t="str">
        <f>IF(A69="","",IFERROR(ROUND(AVERAGEIFS(ASSESSMENTS!H:H,ASSESSMENTS!B:B,A69,ASSESSMENTS!E:E,"Mathematics"),1),""))</f>
        <v/>
      </c>
      <c r="G69" s="4" t="str">
        <f>IF(A69="","",IFERROR(ROUND(AVERAGEIFS(ASSESSMENTS!H:H,ASSESSMENTS!B:B,A69,ASSESSMENTS!E:E,"Mathematical Literacy"),1),""))</f>
        <v/>
      </c>
      <c r="H69" s="4" t="str">
        <f>IF(A69="","",IFERROR(ROUND(AVERAGEIFS(ASSESSMENTS!H:H,ASSESSMENTS!B:B,A69,ASSESSMENTS!E:E,"Physical Sciences"),1),""))</f>
        <v/>
      </c>
      <c r="I69" s="4" t="str">
        <f>IF(A69="","",IFERROR(ROUND(AVERAGEIFS(ASSESSMENTS!H:H,ASSESSMENTS!B:B,A69,ASSESSMENTS!E:E,"Geography"),1),""))</f>
        <v/>
      </c>
      <c r="J69" s="4" t="str">
        <f>IF(A69="","",IFERROR(ROUND(AVERAGEIFS(ASSESSMENTS!H:H,ASSESSMENTS!B:B,A69,ASSESSMENTS!E:E,"Accounting"),1),""))</f>
        <v/>
      </c>
      <c r="K69" s="4" t="str">
        <f>IF(A69="","",IFERROR(ROUND(AVERAGEIFS(ASSESSMENTS!H:H,ASSESSMENTS!B:B,A69,ASSESSMENTS!E:E,"English"),1),""))</f>
        <v/>
      </c>
      <c r="L69" s="5" t="str">
        <f>IF(A69="","",IFERROR(INDEX(ATTENDANCE_SUMMARY!G:G,MATCH(A69,ATTENDANCE_SUMMARY!A:A,0)),""))</f>
        <v/>
      </c>
      <c r="M69" s="4" t="str">
        <f t="shared" si="1"/>
        <v/>
      </c>
    </row>
    <row r="70" spans="1:13" x14ac:dyDescent="0.3">
      <c r="A70" t="str">
        <f>IF(MASTER_REGISTER!E70="","",MASTER_REGISTER!E70)</f>
        <v/>
      </c>
      <c r="B70" t="str">
        <f>IF(A70="","",MASTER_REGISTER!F70)</f>
        <v/>
      </c>
      <c r="C70" t="str">
        <f>IF(A70="","",MASTER_REGISTER!C70)</f>
        <v/>
      </c>
      <c r="D70" t="str">
        <f>IF(A70="","",COUNTIF(ASSESSMENTS!B:B,A70))</f>
        <v/>
      </c>
      <c r="E70" s="4" t="e">
        <f>IF(D70=0,"",ROUND(AVERAGEIF(ASSESSMENTS!B:B,A70,ASSESSMENTS!H:H),1))</f>
        <v>#DIV/0!</v>
      </c>
      <c r="F70" s="4" t="str">
        <f>IF(A70="","",IFERROR(ROUND(AVERAGEIFS(ASSESSMENTS!H:H,ASSESSMENTS!B:B,A70,ASSESSMENTS!E:E,"Mathematics"),1),""))</f>
        <v/>
      </c>
      <c r="G70" s="4" t="str">
        <f>IF(A70="","",IFERROR(ROUND(AVERAGEIFS(ASSESSMENTS!H:H,ASSESSMENTS!B:B,A70,ASSESSMENTS!E:E,"Mathematical Literacy"),1),""))</f>
        <v/>
      </c>
      <c r="H70" s="4" t="str">
        <f>IF(A70="","",IFERROR(ROUND(AVERAGEIFS(ASSESSMENTS!H:H,ASSESSMENTS!B:B,A70,ASSESSMENTS!E:E,"Physical Sciences"),1),""))</f>
        <v/>
      </c>
      <c r="I70" s="4" t="str">
        <f>IF(A70="","",IFERROR(ROUND(AVERAGEIFS(ASSESSMENTS!H:H,ASSESSMENTS!B:B,A70,ASSESSMENTS!E:E,"Geography"),1),""))</f>
        <v/>
      </c>
      <c r="J70" s="4" t="str">
        <f>IF(A70="","",IFERROR(ROUND(AVERAGEIFS(ASSESSMENTS!H:H,ASSESSMENTS!B:B,A70,ASSESSMENTS!E:E,"Accounting"),1),""))</f>
        <v/>
      </c>
      <c r="K70" s="4" t="str">
        <f>IF(A70="","",IFERROR(ROUND(AVERAGEIFS(ASSESSMENTS!H:H,ASSESSMENTS!B:B,A70,ASSESSMENTS!E:E,"English"),1),""))</f>
        <v/>
      </c>
      <c r="L70" s="5" t="str">
        <f>IF(A70="","",IFERROR(INDEX(ATTENDANCE_SUMMARY!G:G,MATCH(A70,ATTENDANCE_SUMMARY!A:A,0)),""))</f>
        <v/>
      </c>
      <c r="M70" s="4" t="str">
        <f t="shared" si="1"/>
        <v/>
      </c>
    </row>
    <row r="71" spans="1:13" x14ac:dyDescent="0.3">
      <c r="A71" t="str">
        <f>IF(MASTER_REGISTER!E71="","",MASTER_REGISTER!E71)</f>
        <v/>
      </c>
      <c r="B71" t="str">
        <f>IF(A71="","",MASTER_REGISTER!F71)</f>
        <v/>
      </c>
      <c r="C71" t="str">
        <f>IF(A71="","",MASTER_REGISTER!C71)</f>
        <v/>
      </c>
      <c r="D71" t="str">
        <f>IF(A71="","",COUNTIF(ASSESSMENTS!B:B,A71))</f>
        <v/>
      </c>
      <c r="E71" s="4" t="e">
        <f>IF(D71=0,"",ROUND(AVERAGEIF(ASSESSMENTS!B:B,A71,ASSESSMENTS!H:H),1))</f>
        <v>#DIV/0!</v>
      </c>
      <c r="F71" s="4" t="str">
        <f>IF(A71="","",IFERROR(ROUND(AVERAGEIFS(ASSESSMENTS!H:H,ASSESSMENTS!B:B,A71,ASSESSMENTS!E:E,"Mathematics"),1),""))</f>
        <v/>
      </c>
      <c r="G71" s="4" t="str">
        <f>IF(A71="","",IFERROR(ROUND(AVERAGEIFS(ASSESSMENTS!H:H,ASSESSMENTS!B:B,A71,ASSESSMENTS!E:E,"Mathematical Literacy"),1),""))</f>
        <v/>
      </c>
      <c r="H71" s="4" t="str">
        <f>IF(A71="","",IFERROR(ROUND(AVERAGEIFS(ASSESSMENTS!H:H,ASSESSMENTS!B:B,A71,ASSESSMENTS!E:E,"Physical Sciences"),1),""))</f>
        <v/>
      </c>
      <c r="I71" s="4" t="str">
        <f>IF(A71="","",IFERROR(ROUND(AVERAGEIFS(ASSESSMENTS!H:H,ASSESSMENTS!B:B,A71,ASSESSMENTS!E:E,"Geography"),1),""))</f>
        <v/>
      </c>
      <c r="J71" s="4" t="str">
        <f>IF(A71="","",IFERROR(ROUND(AVERAGEIFS(ASSESSMENTS!H:H,ASSESSMENTS!B:B,A71,ASSESSMENTS!E:E,"Accounting"),1),""))</f>
        <v/>
      </c>
      <c r="K71" s="4" t="str">
        <f>IF(A71="","",IFERROR(ROUND(AVERAGEIFS(ASSESSMENTS!H:H,ASSESSMENTS!B:B,A71,ASSESSMENTS!E:E,"English"),1),""))</f>
        <v/>
      </c>
      <c r="L71" s="5" t="str">
        <f>IF(A71="","",IFERROR(INDEX(ATTENDANCE_SUMMARY!G:G,MATCH(A71,ATTENDANCE_SUMMARY!A:A,0)),""))</f>
        <v/>
      </c>
      <c r="M71" s="4" t="str">
        <f t="shared" si="1"/>
        <v/>
      </c>
    </row>
    <row r="72" spans="1:13" x14ac:dyDescent="0.3">
      <c r="A72" t="str">
        <f>IF(MASTER_REGISTER!E72="","",MASTER_REGISTER!E72)</f>
        <v/>
      </c>
      <c r="B72" t="str">
        <f>IF(A72="","",MASTER_REGISTER!F72)</f>
        <v/>
      </c>
      <c r="C72" t="str">
        <f>IF(A72="","",MASTER_REGISTER!C72)</f>
        <v/>
      </c>
      <c r="D72" t="str">
        <f>IF(A72="","",COUNTIF(ASSESSMENTS!B:B,A72))</f>
        <v/>
      </c>
      <c r="E72" s="4" t="e">
        <f>IF(D72=0,"",ROUND(AVERAGEIF(ASSESSMENTS!B:B,A72,ASSESSMENTS!H:H),1))</f>
        <v>#DIV/0!</v>
      </c>
      <c r="F72" s="4" t="str">
        <f>IF(A72="","",IFERROR(ROUND(AVERAGEIFS(ASSESSMENTS!H:H,ASSESSMENTS!B:B,A72,ASSESSMENTS!E:E,"Mathematics"),1),""))</f>
        <v/>
      </c>
      <c r="G72" s="4" t="str">
        <f>IF(A72="","",IFERROR(ROUND(AVERAGEIFS(ASSESSMENTS!H:H,ASSESSMENTS!B:B,A72,ASSESSMENTS!E:E,"Mathematical Literacy"),1),""))</f>
        <v/>
      </c>
      <c r="H72" s="4" t="str">
        <f>IF(A72="","",IFERROR(ROUND(AVERAGEIFS(ASSESSMENTS!H:H,ASSESSMENTS!B:B,A72,ASSESSMENTS!E:E,"Physical Sciences"),1),""))</f>
        <v/>
      </c>
      <c r="I72" s="4" t="str">
        <f>IF(A72="","",IFERROR(ROUND(AVERAGEIFS(ASSESSMENTS!H:H,ASSESSMENTS!B:B,A72,ASSESSMENTS!E:E,"Geography"),1),""))</f>
        <v/>
      </c>
      <c r="J72" s="4" t="str">
        <f>IF(A72="","",IFERROR(ROUND(AVERAGEIFS(ASSESSMENTS!H:H,ASSESSMENTS!B:B,A72,ASSESSMENTS!E:E,"Accounting"),1),""))</f>
        <v/>
      </c>
      <c r="K72" s="4" t="str">
        <f>IF(A72="","",IFERROR(ROUND(AVERAGEIFS(ASSESSMENTS!H:H,ASSESSMENTS!B:B,A72,ASSESSMENTS!E:E,"English"),1),""))</f>
        <v/>
      </c>
      <c r="L72" s="5" t="str">
        <f>IF(A72="","",IFERROR(INDEX(ATTENDANCE_SUMMARY!G:G,MATCH(A72,ATTENDANCE_SUMMARY!A:A,0)),""))</f>
        <v/>
      </c>
      <c r="M72" s="4" t="str">
        <f t="shared" si="1"/>
        <v/>
      </c>
    </row>
    <row r="73" spans="1:13" x14ac:dyDescent="0.3">
      <c r="A73" t="str">
        <f>IF(MASTER_REGISTER!E73="","",MASTER_REGISTER!E73)</f>
        <v/>
      </c>
      <c r="B73" t="str">
        <f>IF(A73="","",MASTER_REGISTER!F73)</f>
        <v/>
      </c>
      <c r="C73" t="str">
        <f>IF(A73="","",MASTER_REGISTER!C73)</f>
        <v/>
      </c>
      <c r="D73" t="str">
        <f>IF(A73="","",COUNTIF(ASSESSMENTS!B:B,A73))</f>
        <v/>
      </c>
      <c r="E73" s="4" t="e">
        <f>IF(D73=0,"",ROUND(AVERAGEIF(ASSESSMENTS!B:B,A73,ASSESSMENTS!H:H),1))</f>
        <v>#DIV/0!</v>
      </c>
      <c r="F73" s="4" t="str">
        <f>IF(A73="","",IFERROR(ROUND(AVERAGEIFS(ASSESSMENTS!H:H,ASSESSMENTS!B:B,A73,ASSESSMENTS!E:E,"Mathematics"),1),""))</f>
        <v/>
      </c>
      <c r="G73" s="4" t="str">
        <f>IF(A73="","",IFERROR(ROUND(AVERAGEIFS(ASSESSMENTS!H:H,ASSESSMENTS!B:B,A73,ASSESSMENTS!E:E,"Mathematical Literacy"),1),""))</f>
        <v/>
      </c>
      <c r="H73" s="4" t="str">
        <f>IF(A73="","",IFERROR(ROUND(AVERAGEIFS(ASSESSMENTS!H:H,ASSESSMENTS!B:B,A73,ASSESSMENTS!E:E,"Physical Sciences"),1),""))</f>
        <v/>
      </c>
      <c r="I73" s="4" t="str">
        <f>IF(A73="","",IFERROR(ROUND(AVERAGEIFS(ASSESSMENTS!H:H,ASSESSMENTS!B:B,A73,ASSESSMENTS!E:E,"Geography"),1),""))</f>
        <v/>
      </c>
      <c r="J73" s="4" t="str">
        <f>IF(A73="","",IFERROR(ROUND(AVERAGEIFS(ASSESSMENTS!H:H,ASSESSMENTS!B:B,A73,ASSESSMENTS!E:E,"Accounting"),1),""))</f>
        <v/>
      </c>
      <c r="K73" s="4" t="str">
        <f>IF(A73="","",IFERROR(ROUND(AVERAGEIFS(ASSESSMENTS!H:H,ASSESSMENTS!B:B,A73,ASSESSMENTS!E:E,"English"),1),""))</f>
        <v/>
      </c>
      <c r="L73" s="5" t="str">
        <f>IF(A73="","",IFERROR(INDEX(ATTENDANCE_SUMMARY!G:G,MATCH(A73,ATTENDANCE_SUMMARY!A:A,0)),""))</f>
        <v/>
      </c>
      <c r="M73" s="4" t="str">
        <f t="shared" si="1"/>
        <v/>
      </c>
    </row>
    <row r="74" spans="1:13" x14ac:dyDescent="0.3">
      <c r="A74" t="str">
        <f>IF(MASTER_REGISTER!E74="","",MASTER_REGISTER!E74)</f>
        <v/>
      </c>
      <c r="B74" t="str">
        <f>IF(A74="","",MASTER_REGISTER!F74)</f>
        <v/>
      </c>
      <c r="C74" t="str">
        <f>IF(A74="","",MASTER_REGISTER!C74)</f>
        <v/>
      </c>
      <c r="D74" t="str">
        <f>IF(A74="","",COUNTIF(ASSESSMENTS!B:B,A74))</f>
        <v/>
      </c>
      <c r="E74" s="4" t="e">
        <f>IF(D74=0,"",ROUND(AVERAGEIF(ASSESSMENTS!B:B,A74,ASSESSMENTS!H:H),1))</f>
        <v>#DIV/0!</v>
      </c>
      <c r="F74" s="4" t="str">
        <f>IF(A74="","",IFERROR(ROUND(AVERAGEIFS(ASSESSMENTS!H:H,ASSESSMENTS!B:B,A74,ASSESSMENTS!E:E,"Mathematics"),1),""))</f>
        <v/>
      </c>
      <c r="G74" s="4" t="str">
        <f>IF(A74="","",IFERROR(ROUND(AVERAGEIFS(ASSESSMENTS!H:H,ASSESSMENTS!B:B,A74,ASSESSMENTS!E:E,"Mathematical Literacy"),1),""))</f>
        <v/>
      </c>
      <c r="H74" s="4" t="str">
        <f>IF(A74="","",IFERROR(ROUND(AVERAGEIFS(ASSESSMENTS!H:H,ASSESSMENTS!B:B,A74,ASSESSMENTS!E:E,"Physical Sciences"),1),""))</f>
        <v/>
      </c>
      <c r="I74" s="4" t="str">
        <f>IF(A74="","",IFERROR(ROUND(AVERAGEIFS(ASSESSMENTS!H:H,ASSESSMENTS!B:B,A74,ASSESSMENTS!E:E,"Geography"),1),""))</f>
        <v/>
      </c>
      <c r="J74" s="4" t="str">
        <f>IF(A74="","",IFERROR(ROUND(AVERAGEIFS(ASSESSMENTS!H:H,ASSESSMENTS!B:B,A74,ASSESSMENTS!E:E,"Accounting"),1),""))</f>
        <v/>
      </c>
      <c r="K74" s="4" t="str">
        <f>IF(A74="","",IFERROR(ROUND(AVERAGEIFS(ASSESSMENTS!H:H,ASSESSMENTS!B:B,A74,ASSESSMENTS!E:E,"English"),1),""))</f>
        <v/>
      </c>
      <c r="L74" s="5" t="str">
        <f>IF(A74="","",IFERROR(INDEX(ATTENDANCE_SUMMARY!G:G,MATCH(A74,ATTENDANCE_SUMMARY!A:A,0)),""))</f>
        <v/>
      </c>
      <c r="M74" s="4" t="str">
        <f t="shared" si="1"/>
        <v/>
      </c>
    </row>
    <row r="75" spans="1:13" x14ac:dyDescent="0.3">
      <c r="A75" t="str">
        <f>IF(MASTER_REGISTER!E75="","",MASTER_REGISTER!E75)</f>
        <v/>
      </c>
      <c r="B75" t="str">
        <f>IF(A75="","",MASTER_REGISTER!F75)</f>
        <v/>
      </c>
      <c r="C75" t="str">
        <f>IF(A75="","",MASTER_REGISTER!C75)</f>
        <v/>
      </c>
      <c r="D75" t="str">
        <f>IF(A75="","",COUNTIF(ASSESSMENTS!B:B,A75))</f>
        <v/>
      </c>
      <c r="E75" s="4" t="e">
        <f>IF(D75=0,"",ROUND(AVERAGEIF(ASSESSMENTS!B:B,A75,ASSESSMENTS!H:H),1))</f>
        <v>#DIV/0!</v>
      </c>
      <c r="F75" s="4" t="str">
        <f>IF(A75="","",IFERROR(ROUND(AVERAGEIFS(ASSESSMENTS!H:H,ASSESSMENTS!B:B,A75,ASSESSMENTS!E:E,"Mathematics"),1),""))</f>
        <v/>
      </c>
      <c r="G75" s="4" t="str">
        <f>IF(A75="","",IFERROR(ROUND(AVERAGEIFS(ASSESSMENTS!H:H,ASSESSMENTS!B:B,A75,ASSESSMENTS!E:E,"Mathematical Literacy"),1),""))</f>
        <v/>
      </c>
      <c r="H75" s="4" t="str">
        <f>IF(A75="","",IFERROR(ROUND(AVERAGEIFS(ASSESSMENTS!H:H,ASSESSMENTS!B:B,A75,ASSESSMENTS!E:E,"Physical Sciences"),1),""))</f>
        <v/>
      </c>
      <c r="I75" s="4" t="str">
        <f>IF(A75="","",IFERROR(ROUND(AVERAGEIFS(ASSESSMENTS!H:H,ASSESSMENTS!B:B,A75,ASSESSMENTS!E:E,"Geography"),1),""))</f>
        <v/>
      </c>
      <c r="J75" s="4" t="str">
        <f>IF(A75="","",IFERROR(ROUND(AVERAGEIFS(ASSESSMENTS!H:H,ASSESSMENTS!B:B,A75,ASSESSMENTS!E:E,"Accounting"),1),""))</f>
        <v/>
      </c>
      <c r="K75" s="4" t="str">
        <f>IF(A75="","",IFERROR(ROUND(AVERAGEIFS(ASSESSMENTS!H:H,ASSESSMENTS!B:B,A75,ASSESSMENTS!E:E,"English"),1),""))</f>
        <v/>
      </c>
      <c r="L75" s="5" t="str">
        <f>IF(A75="","",IFERROR(INDEX(ATTENDANCE_SUMMARY!G:G,MATCH(A75,ATTENDANCE_SUMMARY!A:A,0)),""))</f>
        <v/>
      </c>
      <c r="M75" s="4" t="str">
        <f t="shared" si="1"/>
        <v/>
      </c>
    </row>
    <row r="76" spans="1:13" x14ac:dyDescent="0.3">
      <c r="A76" t="str">
        <f>IF(MASTER_REGISTER!E76="","",MASTER_REGISTER!E76)</f>
        <v/>
      </c>
      <c r="B76" t="str">
        <f>IF(A76="","",MASTER_REGISTER!F76)</f>
        <v/>
      </c>
      <c r="C76" t="str">
        <f>IF(A76="","",MASTER_REGISTER!C76)</f>
        <v/>
      </c>
      <c r="D76" t="str">
        <f>IF(A76="","",COUNTIF(ASSESSMENTS!B:B,A76))</f>
        <v/>
      </c>
      <c r="E76" s="4" t="e">
        <f>IF(D76=0,"",ROUND(AVERAGEIF(ASSESSMENTS!B:B,A76,ASSESSMENTS!H:H),1))</f>
        <v>#DIV/0!</v>
      </c>
      <c r="F76" s="4" t="str">
        <f>IF(A76="","",IFERROR(ROUND(AVERAGEIFS(ASSESSMENTS!H:H,ASSESSMENTS!B:B,A76,ASSESSMENTS!E:E,"Mathematics"),1),""))</f>
        <v/>
      </c>
      <c r="G76" s="4" t="str">
        <f>IF(A76="","",IFERROR(ROUND(AVERAGEIFS(ASSESSMENTS!H:H,ASSESSMENTS!B:B,A76,ASSESSMENTS!E:E,"Mathematical Literacy"),1),""))</f>
        <v/>
      </c>
      <c r="H76" s="4" t="str">
        <f>IF(A76="","",IFERROR(ROUND(AVERAGEIFS(ASSESSMENTS!H:H,ASSESSMENTS!B:B,A76,ASSESSMENTS!E:E,"Physical Sciences"),1),""))</f>
        <v/>
      </c>
      <c r="I76" s="4" t="str">
        <f>IF(A76="","",IFERROR(ROUND(AVERAGEIFS(ASSESSMENTS!H:H,ASSESSMENTS!B:B,A76,ASSESSMENTS!E:E,"Geography"),1),""))</f>
        <v/>
      </c>
      <c r="J76" s="4" t="str">
        <f>IF(A76="","",IFERROR(ROUND(AVERAGEIFS(ASSESSMENTS!H:H,ASSESSMENTS!B:B,A76,ASSESSMENTS!E:E,"Accounting"),1),""))</f>
        <v/>
      </c>
      <c r="K76" s="4" t="str">
        <f>IF(A76="","",IFERROR(ROUND(AVERAGEIFS(ASSESSMENTS!H:H,ASSESSMENTS!B:B,A76,ASSESSMENTS!E:E,"English"),1),""))</f>
        <v/>
      </c>
      <c r="L76" s="5" t="str">
        <f>IF(A76="","",IFERROR(INDEX(ATTENDANCE_SUMMARY!G:G,MATCH(A76,ATTENDANCE_SUMMARY!A:A,0)),""))</f>
        <v/>
      </c>
      <c r="M76" s="4" t="str">
        <f t="shared" si="1"/>
        <v/>
      </c>
    </row>
    <row r="77" spans="1:13" x14ac:dyDescent="0.3">
      <c r="A77" t="str">
        <f>IF(MASTER_REGISTER!E77="","",MASTER_REGISTER!E77)</f>
        <v/>
      </c>
      <c r="B77" t="str">
        <f>IF(A77="","",MASTER_REGISTER!F77)</f>
        <v/>
      </c>
      <c r="C77" t="str">
        <f>IF(A77="","",MASTER_REGISTER!C77)</f>
        <v/>
      </c>
      <c r="D77" t="str">
        <f>IF(A77="","",COUNTIF(ASSESSMENTS!B:B,A77))</f>
        <v/>
      </c>
      <c r="E77" s="4" t="e">
        <f>IF(D77=0,"",ROUND(AVERAGEIF(ASSESSMENTS!B:B,A77,ASSESSMENTS!H:H),1))</f>
        <v>#DIV/0!</v>
      </c>
      <c r="F77" s="4" t="str">
        <f>IF(A77="","",IFERROR(ROUND(AVERAGEIFS(ASSESSMENTS!H:H,ASSESSMENTS!B:B,A77,ASSESSMENTS!E:E,"Mathematics"),1),""))</f>
        <v/>
      </c>
      <c r="G77" s="4" t="str">
        <f>IF(A77="","",IFERROR(ROUND(AVERAGEIFS(ASSESSMENTS!H:H,ASSESSMENTS!B:B,A77,ASSESSMENTS!E:E,"Mathematical Literacy"),1),""))</f>
        <v/>
      </c>
      <c r="H77" s="4" t="str">
        <f>IF(A77="","",IFERROR(ROUND(AVERAGEIFS(ASSESSMENTS!H:H,ASSESSMENTS!B:B,A77,ASSESSMENTS!E:E,"Physical Sciences"),1),""))</f>
        <v/>
      </c>
      <c r="I77" s="4" t="str">
        <f>IF(A77="","",IFERROR(ROUND(AVERAGEIFS(ASSESSMENTS!H:H,ASSESSMENTS!B:B,A77,ASSESSMENTS!E:E,"Geography"),1),""))</f>
        <v/>
      </c>
      <c r="J77" s="4" t="str">
        <f>IF(A77="","",IFERROR(ROUND(AVERAGEIFS(ASSESSMENTS!H:H,ASSESSMENTS!B:B,A77,ASSESSMENTS!E:E,"Accounting"),1),""))</f>
        <v/>
      </c>
      <c r="K77" s="4" t="str">
        <f>IF(A77="","",IFERROR(ROUND(AVERAGEIFS(ASSESSMENTS!H:H,ASSESSMENTS!B:B,A77,ASSESSMENTS!E:E,"English"),1),""))</f>
        <v/>
      </c>
      <c r="L77" s="5" t="str">
        <f>IF(A77="","",IFERROR(INDEX(ATTENDANCE_SUMMARY!G:G,MATCH(A77,ATTENDANCE_SUMMARY!A:A,0)),""))</f>
        <v/>
      </c>
      <c r="M77" s="4" t="str">
        <f t="shared" si="1"/>
        <v/>
      </c>
    </row>
    <row r="78" spans="1:13" x14ac:dyDescent="0.3">
      <c r="A78" t="str">
        <f>IF(MASTER_REGISTER!E78="","",MASTER_REGISTER!E78)</f>
        <v/>
      </c>
      <c r="B78" t="str">
        <f>IF(A78="","",MASTER_REGISTER!F78)</f>
        <v/>
      </c>
      <c r="C78" t="str">
        <f>IF(A78="","",MASTER_REGISTER!C78)</f>
        <v/>
      </c>
      <c r="D78" t="str">
        <f>IF(A78="","",COUNTIF(ASSESSMENTS!B:B,A78))</f>
        <v/>
      </c>
      <c r="E78" s="4" t="e">
        <f>IF(D78=0,"",ROUND(AVERAGEIF(ASSESSMENTS!B:B,A78,ASSESSMENTS!H:H),1))</f>
        <v>#DIV/0!</v>
      </c>
      <c r="F78" s="4" t="str">
        <f>IF(A78="","",IFERROR(ROUND(AVERAGEIFS(ASSESSMENTS!H:H,ASSESSMENTS!B:B,A78,ASSESSMENTS!E:E,"Mathematics"),1),""))</f>
        <v/>
      </c>
      <c r="G78" s="4" t="str">
        <f>IF(A78="","",IFERROR(ROUND(AVERAGEIFS(ASSESSMENTS!H:H,ASSESSMENTS!B:B,A78,ASSESSMENTS!E:E,"Mathematical Literacy"),1),""))</f>
        <v/>
      </c>
      <c r="H78" s="4" t="str">
        <f>IF(A78="","",IFERROR(ROUND(AVERAGEIFS(ASSESSMENTS!H:H,ASSESSMENTS!B:B,A78,ASSESSMENTS!E:E,"Physical Sciences"),1),""))</f>
        <v/>
      </c>
      <c r="I78" s="4" t="str">
        <f>IF(A78="","",IFERROR(ROUND(AVERAGEIFS(ASSESSMENTS!H:H,ASSESSMENTS!B:B,A78,ASSESSMENTS!E:E,"Geography"),1),""))</f>
        <v/>
      </c>
      <c r="J78" s="4" t="str">
        <f>IF(A78="","",IFERROR(ROUND(AVERAGEIFS(ASSESSMENTS!H:H,ASSESSMENTS!B:B,A78,ASSESSMENTS!E:E,"Accounting"),1),""))</f>
        <v/>
      </c>
      <c r="K78" s="4" t="str">
        <f>IF(A78="","",IFERROR(ROUND(AVERAGEIFS(ASSESSMENTS!H:H,ASSESSMENTS!B:B,A78,ASSESSMENTS!E:E,"English"),1),""))</f>
        <v/>
      </c>
      <c r="L78" s="5" t="str">
        <f>IF(A78="","",IFERROR(INDEX(ATTENDANCE_SUMMARY!G:G,MATCH(A78,ATTENDANCE_SUMMARY!A:A,0)),""))</f>
        <v/>
      </c>
      <c r="M78" s="4" t="str">
        <f t="shared" si="1"/>
        <v/>
      </c>
    </row>
    <row r="79" spans="1:13" x14ac:dyDescent="0.3">
      <c r="A79" t="str">
        <f>IF(MASTER_REGISTER!E79="","",MASTER_REGISTER!E79)</f>
        <v/>
      </c>
      <c r="B79" t="str">
        <f>IF(A79="","",MASTER_REGISTER!F79)</f>
        <v/>
      </c>
      <c r="C79" t="str">
        <f>IF(A79="","",MASTER_REGISTER!C79)</f>
        <v/>
      </c>
      <c r="D79" t="str">
        <f>IF(A79="","",COUNTIF(ASSESSMENTS!B:B,A79))</f>
        <v/>
      </c>
      <c r="E79" s="4" t="e">
        <f>IF(D79=0,"",ROUND(AVERAGEIF(ASSESSMENTS!B:B,A79,ASSESSMENTS!H:H),1))</f>
        <v>#DIV/0!</v>
      </c>
      <c r="F79" s="4" t="str">
        <f>IF(A79="","",IFERROR(ROUND(AVERAGEIFS(ASSESSMENTS!H:H,ASSESSMENTS!B:B,A79,ASSESSMENTS!E:E,"Mathematics"),1),""))</f>
        <v/>
      </c>
      <c r="G79" s="4" t="str">
        <f>IF(A79="","",IFERROR(ROUND(AVERAGEIFS(ASSESSMENTS!H:H,ASSESSMENTS!B:B,A79,ASSESSMENTS!E:E,"Mathematical Literacy"),1),""))</f>
        <v/>
      </c>
      <c r="H79" s="4" t="str">
        <f>IF(A79="","",IFERROR(ROUND(AVERAGEIFS(ASSESSMENTS!H:H,ASSESSMENTS!B:B,A79,ASSESSMENTS!E:E,"Physical Sciences"),1),""))</f>
        <v/>
      </c>
      <c r="I79" s="4" t="str">
        <f>IF(A79="","",IFERROR(ROUND(AVERAGEIFS(ASSESSMENTS!H:H,ASSESSMENTS!B:B,A79,ASSESSMENTS!E:E,"Geography"),1),""))</f>
        <v/>
      </c>
      <c r="J79" s="4" t="str">
        <f>IF(A79="","",IFERROR(ROUND(AVERAGEIFS(ASSESSMENTS!H:H,ASSESSMENTS!B:B,A79,ASSESSMENTS!E:E,"Accounting"),1),""))</f>
        <v/>
      </c>
      <c r="K79" s="4" t="str">
        <f>IF(A79="","",IFERROR(ROUND(AVERAGEIFS(ASSESSMENTS!H:H,ASSESSMENTS!B:B,A79,ASSESSMENTS!E:E,"English"),1),""))</f>
        <v/>
      </c>
      <c r="L79" s="5" t="str">
        <f>IF(A79="","",IFERROR(INDEX(ATTENDANCE_SUMMARY!G:G,MATCH(A79,ATTENDANCE_SUMMARY!A:A,0)),""))</f>
        <v/>
      </c>
      <c r="M79" s="4" t="str">
        <f t="shared" si="1"/>
        <v/>
      </c>
    </row>
    <row r="80" spans="1:13" x14ac:dyDescent="0.3">
      <c r="A80" t="str">
        <f>IF(MASTER_REGISTER!E80="","",MASTER_REGISTER!E80)</f>
        <v/>
      </c>
      <c r="B80" t="str">
        <f>IF(A80="","",MASTER_REGISTER!F80)</f>
        <v/>
      </c>
      <c r="C80" t="str">
        <f>IF(A80="","",MASTER_REGISTER!C80)</f>
        <v/>
      </c>
      <c r="D80" t="str">
        <f>IF(A80="","",COUNTIF(ASSESSMENTS!B:B,A80))</f>
        <v/>
      </c>
      <c r="E80" s="4" t="e">
        <f>IF(D80=0,"",ROUND(AVERAGEIF(ASSESSMENTS!B:B,A80,ASSESSMENTS!H:H),1))</f>
        <v>#DIV/0!</v>
      </c>
      <c r="F80" s="4" t="str">
        <f>IF(A80="","",IFERROR(ROUND(AVERAGEIFS(ASSESSMENTS!H:H,ASSESSMENTS!B:B,A80,ASSESSMENTS!E:E,"Mathematics"),1),""))</f>
        <v/>
      </c>
      <c r="G80" s="4" t="str">
        <f>IF(A80="","",IFERROR(ROUND(AVERAGEIFS(ASSESSMENTS!H:H,ASSESSMENTS!B:B,A80,ASSESSMENTS!E:E,"Mathematical Literacy"),1),""))</f>
        <v/>
      </c>
      <c r="H80" s="4" t="str">
        <f>IF(A80="","",IFERROR(ROUND(AVERAGEIFS(ASSESSMENTS!H:H,ASSESSMENTS!B:B,A80,ASSESSMENTS!E:E,"Physical Sciences"),1),""))</f>
        <v/>
      </c>
      <c r="I80" s="4" t="str">
        <f>IF(A80="","",IFERROR(ROUND(AVERAGEIFS(ASSESSMENTS!H:H,ASSESSMENTS!B:B,A80,ASSESSMENTS!E:E,"Geography"),1),""))</f>
        <v/>
      </c>
      <c r="J80" s="4" t="str">
        <f>IF(A80="","",IFERROR(ROUND(AVERAGEIFS(ASSESSMENTS!H:H,ASSESSMENTS!B:B,A80,ASSESSMENTS!E:E,"Accounting"),1),""))</f>
        <v/>
      </c>
      <c r="K80" s="4" t="str">
        <f>IF(A80="","",IFERROR(ROUND(AVERAGEIFS(ASSESSMENTS!H:H,ASSESSMENTS!B:B,A80,ASSESSMENTS!E:E,"English"),1),""))</f>
        <v/>
      </c>
      <c r="L80" s="5" t="str">
        <f>IF(A80="","",IFERROR(INDEX(ATTENDANCE_SUMMARY!G:G,MATCH(A80,ATTENDANCE_SUMMARY!A:A,0)),""))</f>
        <v/>
      </c>
      <c r="M80" s="4" t="str">
        <f t="shared" si="1"/>
        <v/>
      </c>
    </row>
    <row r="81" spans="1:13" x14ac:dyDescent="0.3">
      <c r="A81" t="str">
        <f>IF(MASTER_REGISTER!E81="","",MASTER_REGISTER!E81)</f>
        <v/>
      </c>
      <c r="B81" t="str">
        <f>IF(A81="","",MASTER_REGISTER!F81)</f>
        <v/>
      </c>
      <c r="C81" t="str">
        <f>IF(A81="","",MASTER_REGISTER!C81)</f>
        <v/>
      </c>
      <c r="D81" t="str">
        <f>IF(A81="","",COUNTIF(ASSESSMENTS!B:B,A81))</f>
        <v/>
      </c>
      <c r="E81" s="4" t="e">
        <f>IF(D81=0,"",ROUND(AVERAGEIF(ASSESSMENTS!B:B,A81,ASSESSMENTS!H:H),1))</f>
        <v>#DIV/0!</v>
      </c>
      <c r="F81" s="4" t="str">
        <f>IF(A81="","",IFERROR(ROUND(AVERAGEIFS(ASSESSMENTS!H:H,ASSESSMENTS!B:B,A81,ASSESSMENTS!E:E,"Mathematics"),1),""))</f>
        <v/>
      </c>
      <c r="G81" s="4" t="str">
        <f>IF(A81="","",IFERROR(ROUND(AVERAGEIFS(ASSESSMENTS!H:H,ASSESSMENTS!B:B,A81,ASSESSMENTS!E:E,"Mathematical Literacy"),1),""))</f>
        <v/>
      </c>
      <c r="H81" s="4" t="str">
        <f>IF(A81="","",IFERROR(ROUND(AVERAGEIFS(ASSESSMENTS!H:H,ASSESSMENTS!B:B,A81,ASSESSMENTS!E:E,"Physical Sciences"),1),""))</f>
        <v/>
      </c>
      <c r="I81" s="4" t="str">
        <f>IF(A81="","",IFERROR(ROUND(AVERAGEIFS(ASSESSMENTS!H:H,ASSESSMENTS!B:B,A81,ASSESSMENTS!E:E,"Geography"),1),""))</f>
        <v/>
      </c>
      <c r="J81" s="4" t="str">
        <f>IF(A81="","",IFERROR(ROUND(AVERAGEIFS(ASSESSMENTS!H:H,ASSESSMENTS!B:B,A81,ASSESSMENTS!E:E,"Accounting"),1),""))</f>
        <v/>
      </c>
      <c r="K81" s="4" t="str">
        <f>IF(A81="","",IFERROR(ROUND(AVERAGEIFS(ASSESSMENTS!H:H,ASSESSMENTS!B:B,A81,ASSESSMENTS!E:E,"English"),1),""))</f>
        <v/>
      </c>
      <c r="L81" s="5" t="str">
        <f>IF(A81="","",IFERROR(INDEX(ATTENDANCE_SUMMARY!G:G,MATCH(A81,ATTENDANCE_SUMMARY!A:A,0)),""))</f>
        <v/>
      </c>
      <c r="M81" s="4" t="str">
        <f t="shared" si="1"/>
        <v/>
      </c>
    </row>
    <row r="82" spans="1:13" x14ac:dyDescent="0.3">
      <c r="A82" t="str">
        <f>IF(MASTER_REGISTER!E82="","",MASTER_REGISTER!E82)</f>
        <v/>
      </c>
      <c r="B82" t="str">
        <f>IF(A82="","",MASTER_REGISTER!F82)</f>
        <v/>
      </c>
      <c r="C82" t="str">
        <f>IF(A82="","",MASTER_REGISTER!C82)</f>
        <v/>
      </c>
      <c r="D82" t="str">
        <f>IF(A82="","",COUNTIF(ASSESSMENTS!B:B,A82))</f>
        <v/>
      </c>
      <c r="E82" s="4" t="e">
        <f>IF(D82=0,"",ROUND(AVERAGEIF(ASSESSMENTS!B:B,A82,ASSESSMENTS!H:H),1))</f>
        <v>#DIV/0!</v>
      </c>
      <c r="F82" s="4" t="str">
        <f>IF(A82="","",IFERROR(ROUND(AVERAGEIFS(ASSESSMENTS!H:H,ASSESSMENTS!B:B,A82,ASSESSMENTS!E:E,"Mathematics"),1),""))</f>
        <v/>
      </c>
      <c r="G82" s="4" t="str">
        <f>IF(A82="","",IFERROR(ROUND(AVERAGEIFS(ASSESSMENTS!H:H,ASSESSMENTS!B:B,A82,ASSESSMENTS!E:E,"Mathematical Literacy"),1),""))</f>
        <v/>
      </c>
      <c r="H82" s="4" t="str">
        <f>IF(A82="","",IFERROR(ROUND(AVERAGEIFS(ASSESSMENTS!H:H,ASSESSMENTS!B:B,A82,ASSESSMENTS!E:E,"Physical Sciences"),1),""))</f>
        <v/>
      </c>
      <c r="I82" s="4" t="str">
        <f>IF(A82="","",IFERROR(ROUND(AVERAGEIFS(ASSESSMENTS!H:H,ASSESSMENTS!B:B,A82,ASSESSMENTS!E:E,"Geography"),1),""))</f>
        <v/>
      </c>
      <c r="J82" s="4" t="str">
        <f>IF(A82="","",IFERROR(ROUND(AVERAGEIFS(ASSESSMENTS!H:H,ASSESSMENTS!B:B,A82,ASSESSMENTS!E:E,"Accounting"),1),""))</f>
        <v/>
      </c>
      <c r="K82" s="4" t="str">
        <f>IF(A82="","",IFERROR(ROUND(AVERAGEIFS(ASSESSMENTS!H:H,ASSESSMENTS!B:B,A82,ASSESSMENTS!E:E,"English"),1),""))</f>
        <v/>
      </c>
      <c r="L82" s="5" t="str">
        <f>IF(A82="","",IFERROR(INDEX(ATTENDANCE_SUMMARY!G:G,MATCH(A82,ATTENDANCE_SUMMARY!A:A,0)),""))</f>
        <v/>
      </c>
      <c r="M82" s="4" t="str">
        <f t="shared" si="1"/>
        <v/>
      </c>
    </row>
    <row r="83" spans="1:13" x14ac:dyDescent="0.3">
      <c r="A83" t="str">
        <f>IF(MASTER_REGISTER!E83="","",MASTER_REGISTER!E83)</f>
        <v/>
      </c>
      <c r="B83" t="str">
        <f>IF(A83="","",MASTER_REGISTER!F83)</f>
        <v/>
      </c>
      <c r="C83" t="str">
        <f>IF(A83="","",MASTER_REGISTER!C83)</f>
        <v/>
      </c>
      <c r="D83" t="str">
        <f>IF(A83="","",COUNTIF(ASSESSMENTS!B:B,A83))</f>
        <v/>
      </c>
      <c r="E83" s="4" t="e">
        <f>IF(D83=0,"",ROUND(AVERAGEIF(ASSESSMENTS!B:B,A83,ASSESSMENTS!H:H),1))</f>
        <v>#DIV/0!</v>
      </c>
      <c r="F83" s="4" t="str">
        <f>IF(A83="","",IFERROR(ROUND(AVERAGEIFS(ASSESSMENTS!H:H,ASSESSMENTS!B:B,A83,ASSESSMENTS!E:E,"Mathematics"),1),""))</f>
        <v/>
      </c>
      <c r="G83" s="4" t="str">
        <f>IF(A83="","",IFERROR(ROUND(AVERAGEIFS(ASSESSMENTS!H:H,ASSESSMENTS!B:B,A83,ASSESSMENTS!E:E,"Mathematical Literacy"),1),""))</f>
        <v/>
      </c>
      <c r="H83" s="4" t="str">
        <f>IF(A83="","",IFERROR(ROUND(AVERAGEIFS(ASSESSMENTS!H:H,ASSESSMENTS!B:B,A83,ASSESSMENTS!E:E,"Physical Sciences"),1),""))</f>
        <v/>
      </c>
      <c r="I83" s="4" t="str">
        <f>IF(A83="","",IFERROR(ROUND(AVERAGEIFS(ASSESSMENTS!H:H,ASSESSMENTS!B:B,A83,ASSESSMENTS!E:E,"Geography"),1),""))</f>
        <v/>
      </c>
      <c r="J83" s="4" t="str">
        <f>IF(A83="","",IFERROR(ROUND(AVERAGEIFS(ASSESSMENTS!H:H,ASSESSMENTS!B:B,A83,ASSESSMENTS!E:E,"Accounting"),1),""))</f>
        <v/>
      </c>
      <c r="K83" s="4" t="str">
        <f>IF(A83="","",IFERROR(ROUND(AVERAGEIFS(ASSESSMENTS!H:H,ASSESSMENTS!B:B,A83,ASSESSMENTS!E:E,"English"),1),""))</f>
        <v/>
      </c>
      <c r="L83" s="5" t="str">
        <f>IF(A83="","",IFERROR(INDEX(ATTENDANCE_SUMMARY!G:G,MATCH(A83,ATTENDANCE_SUMMARY!A:A,0)),""))</f>
        <v/>
      </c>
      <c r="M83" s="4" t="str">
        <f t="shared" si="1"/>
        <v/>
      </c>
    </row>
    <row r="84" spans="1:13" x14ac:dyDescent="0.3">
      <c r="A84" t="str">
        <f>IF(MASTER_REGISTER!E84="","",MASTER_REGISTER!E84)</f>
        <v/>
      </c>
      <c r="B84" t="str">
        <f>IF(A84="","",MASTER_REGISTER!F84)</f>
        <v/>
      </c>
      <c r="C84" t="str">
        <f>IF(A84="","",MASTER_REGISTER!C84)</f>
        <v/>
      </c>
      <c r="D84" t="str">
        <f>IF(A84="","",COUNTIF(ASSESSMENTS!B:B,A84))</f>
        <v/>
      </c>
      <c r="E84" s="4" t="e">
        <f>IF(D84=0,"",ROUND(AVERAGEIF(ASSESSMENTS!B:B,A84,ASSESSMENTS!H:H),1))</f>
        <v>#DIV/0!</v>
      </c>
      <c r="F84" s="4" t="str">
        <f>IF(A84="","",IFERROR(ROUND(AVERAGEIFS(ASSESSMENTS!H:H,ASSESSMENTS!B:B,A84,ASSESSMENTS!E:E,"Mathematics"),1),""))</f>
        <v/>
      </c>
      <c r="G84" s="4" t="str">
        <f>IF(A84="","",IFERROR(ROUND(AVERAGEIFS(ASSESSMENTS!H:H,ASSESSMENTS!B:B,A84,ASSESSMENTS!E:E,"Mathematical Literacy"),1),""))</f>
        <v/>
      </c>
      <c r="H84" s="4" t="str">
        <f>IF(A84="","",IFERROR(ROUND(AVERAGEIFS(ASSESSMENTS!H:H,ASSESSMENTS!B:B,A84,ASSESSMENTS!E:E,"Physical Sciences"),1),""))</f>
        <v/>
      </c>
      <c r="I84" s="4" t="str">
        <f>IF(A84="","",IFERROR(ROUND(AVERAGEIFS(ASSESSMENTS!H:H,ASSESSMENTS!B:B,A84,ASSESSMENTS!E:E,"Geography"),1),""))</f>
        <v/>
      </c>
      <c r="J84" s="4" t="str">
        <f>IF(A84="","",IFERROR(ROUND(AVERAGEIFS(ASSESSMENTS!H:H,ASSESSMENTS!B:B,A84,ASSESSMENTS!E:E,"Accounting"),1),""))</f>
        <v/>
      </c>
      <c r="K84" s="4" t="str">
        <f>IF(A84="","",IFERROR(ROUND(AVERAGEIFS(ASSESSMENTS!H:H,ASSESSMENTS!B:B,A84,ASSESSMENTS!E:E,"English"),1),""))</f>
        <v/>
      </c>
      <c r="L84" s="5" t="str">
        <f>IF(A84="","",IFERROR(INDEX(ATTENDANCE_SUMMARY!G:G,MATCH(A84,ATTENDANCE_SUMMARY!A:A,0)),""))</f>
        <v/>
      </c>
      <c r="M84" s="4" t="str">
        <f t="shared" si="1"/>
        <v/>
      </c>
    </row>
    <row r="85" spans="1:13" x14ac:dyDescent="0.3">
      <c r="A85" t="str">
        <f>IF(MASTER_REGISTER!E85="","",MASTER_REGISTER!E85)</f>
        <v/>
      </c>
      <c r="B85" t="str">
        <f>IF(A85="","",MASTER_REGISTER!F85)</f>
        <v/>
      </c>
      <c r="C85" t="str">
        <f>IF(A85="","",MASTER_REGISTER!C85)</f>
        <v/>
      </c>
      <c r="D85" t="str">
        <f>IF(A85="","",COUNTIF(ASSESSMENTS!B:B,A85))</f>
        <v/>
      </c>
      <c r="E85" s="4" t="e">
        <f>IF(D85=0,"",ROUND(AVERAGEIF(ASSESSMENTS!B:B,A85,ASSESSMENTS!H:H),1))</f>
        <v>#DIV/0!</v>
      </c>
      <c r="F85" s="4" t="str">
        <f>IF(A85="","",IFERROR(ROUND(AVERAGEIFS(ASSESSMENTS!H:H,ASSESSMENTS!B:B,A85,ASSESSMENTS!E:E,"Mathematics"),1),""))</f>
        <v/>
      </c>
      <c r="G85" s="4" t="str">
        <f>IF(A85="","",IFERROR(ROUND(AVERAGEIFS(ASSESSMENTS!H:H,ASSESSMENTS!B:B,A85,ASSESSMENTS!E:E,"Mathematical Literacy"),1),""))</f>
        <v/>
      </c>
      <c r="H85" s="4" t="str">
        <f>IF(A85="","",IFERROR(ROUND(AVERAGEIFS(ASSESSMENTS!H:H,ASSESSMENTS!B:B,A85,ASSESSMENTS!E:E,"Physical Sciences"),1),""))</f>
        <v/>
      </c>
      <c r="I85" s="4" t="str">
        <f>IF(A85="","",IFERROR(ROUND(AVERAGEIFS(ASSESSMENTS!H:H,ASSESSMENTS!B:B,A85,ASSESSMENTS!E:E,"Geography"),1),""))</f>
        <v/>
      </c>
      <c r="J85" s="4" t="str">
        <f>IF(A85="","",IFERROR(ROUND(AVERAGEIFS(ASSESSMENTS!H:H,ASSESSMENTS!B:B,A85,ASSESSMENTS!E:E,"Accounting"),1),""))</f>
        <v/>
      </c>
      <c r="K85" s="4" t="str">
        <f>IF(A85="","",IFERROR(ROUND(AVERAGEIFS(ASSESSMENTS!H:H,ASSESSMENTS!B:B,A85,ASSESSMENTS!E:E,"English"),1),""))</f>
        <v/>
      </c>
      <c r="L85" s="5" t="str">
        <f>IF(A85="","",IFERROR(INDEX(ATTENDANCE_SUMMARY!G:G,MATCH(A85,ATTENDANCE_SUMMARY!A:A,0)),""))</f>
        <v/>
      </c>
      <c r="M85" s="4" t="str">
        <f t="shared" si="1"/>
        <v/>
      </c>
    </row>
    <row r="86" spans="1:13" x14ac:dyDescent="0.3">
      <c r="A86" t="str">
        <f>IF(MASTER_REGISTER!E86="","",MASTER_REGISTER!E86)</f>
        <v/>
      </c>
      <c r="B86" t="str">
        <f>IF(A86="","",MASTER_REGISTER!F86)</f>
        <v/>
      </c>
      <c r="C86" t="str">
        <f>IF(A86="","",MASTER_REGISTER!C86)</f>
        <v/>
      </c>
      <c r="D86" t="str">
        <f>IF(A86="","",COUNTIF(ASSESSMENTS!B:B,A86))</f>
        <v/>
      </c>
      <c r="E86" s="4" t="e">
        <f>IF(D86=0,"",ROUND(AVERAGEIF(ASSESSMENTS!B:B,A86,ASSESSMENTS!H:H),1))</f>
        <v>#DIV/0!</v>
      </c>
      <c r="F86" s="4" t="str">
        <f>IF(A86="","",IFERROR(ROUND(AVERAGEIFS(ASSESSMENTS!H:H,ASSESSMENTS!B:B,A86,ASSESSMENTS!E:E,"Mathematics"),1),""))</f>
        <v/>
      </c>
      <c r="G86" s="4" t="str">
        <f>IF(A86="","",IFERROR(ROUND(AVERAGEIFS(ASSESSMENTS!H:H,ASSESSMENTS!B:B,A86,ASSESSMENTS!E:E,"Mathematical Literacy"),1),""))</f>
        <v/>
      </c>
      <c r="H86" s="4" t="str">
        <f>IF(A86="","",IFERROR(ROUND(AVERAGEIFS(ASSESSMENTS!H:H,ASSESSMENTS!B:B,A86,ASSESSMENTS!E:E,"Physical Sciences"),1),""))</f>
        <v/>
      </c>
      <c r="I86" s="4" t="str">
        <f>IF(A86="","",IFERROR(ROUND(AVERAGEIFS(ASSESSMENTS!H:H,ASSESSMENTS!B:B,A86,ASSESSMENTS!E:E,"Geography"),1),""))</f>
        <v/>
      </c>
      <c r="J86" s="4" t="str">
        <f>IF(A86="","",IFERROR(ROUND(AVERAGEIFS(ASSESSMENTS!H:H,ASSESSMENTS!B:B,A86,ASSESSMENTS!E:E,"Accounting"),1),""))</f>
        <v/>
      </c>
      <c r="K86" s="4" t="str">
        <f>IF(A86="","",IFERROR(ROUND(AVERAGEIFS(ASSESSMENTS!H:H,ASSESSMENTS!B:B,A86,ASSESSMENTS!E:E,"English"),1),""))</f>
        <v/>
      </c>
      <c r="L86" s="5" t="str">
        <f>IF(A86="","",IFERROR(INDEX(ATTENDANCE_SUMMARY!G:G,MATCH(A86,ATTENDANCE_SUMMARY!A:A,0)),""))</f>
        <v/>
      </c>
      <c r="M86" s="4" t="str">
        <f t="shared" si="1"/>
        <v/>
      </c>
    </row>
    <row r="87" spans="1:13" x14ac:dyDescent="0.3">
      <c r="A87" t="str">
        <f>IF(MASTER_REGISTER!E87="","",MASTER_REGISTER!E87)</f>
        <v/>
      </c>
      <c r="B87" t="str">
        <f>IF(A87="","",MASTER_REGISTER!F87)</f>
        <v/>
      </c>
      <c r="C87" t="str">
        <f>IF(A87="","",MASTER_REGISTER!C87)</f>
        <v/>
      </c>
      <c r="D87" t="str">
        <f>IF(A87="","",COUNTIF(ASSESSMENTS!B:B,A87))</f>
        <v/>
      </c>
      <c r="E87" s="4" t="e">
        <f>IF(D87=0,"",ROUND(AVERAGEIF(ASSESSMENTS!B:B,A87,ASSESSMENTS!H:H),1))</f>
        <v>#DIV/0!</v>
      </c>
      <c r="F87" s="4" t="str">
        <f>IF(A87="","",IFERROR(ROUND(AVERAGEIFS(ASSESSMENTS!H:H,ASSESSMENTS!B:B,A87,ASSESSMENTS!E:E,"Mathematics"),1),""))</f>
        <v/>
      </c>
      <c r="G87" s="4" t="str">
        <f>IF(A87="","",IFERROR(ROUND(AVERAGEIFS(ASSESSMENTS!H:H,ASSESSMENTS!B:B,A87,ASSESSMENTS!E:E,"Mathematical Literacy"),1),""))</f>
        <v/>
      </c>
      <c r="H87" s="4" t="str">
        <f>IF(A87="","",IFERROR(ROUND(AVERAGEIFS(ASSESSMENTS!H:H,ASSESSMENTS!B:B,A87,ASSESSMENTS!E:E,"Physical Sciences"),1),""))</f>
        <v/>
      </c>
      <c r="I87" s="4" t="str">
        <f>IF(A87="","",IFERROR(ROUND(AVERAGEIFS(ASSESSMENTS!H:H,ASSESSMENTS!B:B,A87,ASSESSMENTS!E:E,"Geography"),1),""))</f>
        <v/>
      </c>
      <c r="J87" s="4" t="str">
        <f>IF(A87="","",IFERROR(ROUND(AVERAGEIFS(ASSESSMENTS!H:H,ASSESSMENTS!B:B,A87,ASSESSMENTS!E:E,"Accounting"),1),""))</f>
        <v/>
      </c>
      <c r="K87" s="4" t="str">
        <f>IF(A87="","",IFERROR(ROUND(AVERAGEIFS(ASSESSMENTS!H:H,ASSESSMENTS!B:B,A87,ASSESSMENTS!E:E,"English"),1),""))</f>
        <v/>
      </c>
      <c r="L87" s="5" t="str">
        <f>IF(A87="","",IFERROR(INDEX(ATTENDANCE_SUMMARY!G:G,MATCH(A87,ATTENDANCE_SUMMARY!A:A,0)),""))</f>
        <v/>
      </c>
      <c r="M87" s="4" t="str">
        <f t="shared" si="1"/>
        <v/>
      </c>
    </row>
    <row r="88" spans="1:13" x14ac:dyDescent="0.3">
      <c r="A88" t="str">
        <f>IF(MASTER_REGISTER!E88="","",MASTER_REGISTER!E88)</f>
        <v/>
      </c>
      <c r="B88" t="str">
        <f>IF(A88="","",MASTER_REGISTER!F88)</f>
        <v/>
      </c>
      <c r="C88" t="str">
        <f>IF(A88="","",MASTER_REGISTER!C88)</f>
        <v/>
      </c>
      <c r="D88" t="str">
        <f>IF(A88="","",COUNTIF(ASSESSMENTS!B:B,A88))</f>
        <v/>
      </c>
      <c r="E88" s="4" t="e">
        <f>IF(D88=0,"",ROUND(AVERAGEIF(ASSESSMENTS!B:B,A88,ASSESSMENTS!H:H),1))</f>
        <v>#DIV/0!</v>
      </c>
      <c r="F88" s="4" t="str">
        <f>IF(A88="","",IFERROR(ROUND(AVERAGEIFS(ASSESSMENTS!H:H,ASSESSMENTS!B:B,A88,ASSESSMENTS!E:E,"Mathematics"),1),""))</f>
        <v/>
      </c>
      <c r="G88" s="4" t="str">
        <f>IF(A88="","",IFERROR(ROUND(AVERAGEIFS(ASSESSMENTS!H:H,ASSESSMENTS!B:B,A88,ASSESSMENTS!E:E,"Mathematical Literacy"),1),""))</f>
        <v/>
      </c>
      <c r="H88" s="4" t="str">
        <f>IF(A88="","",IFERROR(ROUND(AVERAGEIFS(ASSESSMENTS!H:H,ASSESSMENTS!B:B,A88,ASSESSMENTS!E:E,"Physical Sciences"),1),""))</f>
        <v/>
      </c>
      <c r="I88" s="4" t="str">
        <f>IF(A88="","",IFERROR(ROUND(AVERAGEIFS(ASSESSMENTS!H:H,ASSESSMENTS!B:B,A88,ASSESSMENTS!E:E,"Geography"),1),""))</f>
        <v/>
      </c>
      <c r="J88" s="4" t="str">
        <f>IF(A88="","",IFERROR(ROUND(AVERAGEIFS(ASSESSMENTS!H:H,ASSESSMENTS!B:B,A88,ASSESSMENTS!E:E,"Accounting"),1),""))</f>
        <v/>
      </c>
      <c r="K88" s="4" t="str">
        <f>IF(A88="","",IFERROR(ROUND(AVERAGEIFS(ASSESSMENTS!H:H,ASSESSMENTS!B:B,A88,ASSESSMENTS!E:E,"English"),1),""))</f>
        <v/>
      </c>
      <c r="L88" s="5" t="str">
        <f>IF(A88="","",IFERROR(INDEX(ATTENDANCE_SUMMARY!G:G,MATCH(A88,ATTENDANCE_SUMMARY!A:A,0)),""))</f>
        <v/>
      </c>
      <c r="M88" s="4" t="str">
        <f t="shared" si="1"/>
        <v/>
      </c>
    </row>
    <row r="89" spans="1:13" x14ac:dyDescent="0.3">
      <c r="A89" t="str">
        <f>IF(MASTER_REGISTER!E89="","",MASTER_REGISTER!E89)</f>
        <v/>
      </c>
      <c r="B89" t="str">
        <f>IF(A89="","",MASTER_REGISTER!F89)</f>
        <v/>
      </c>
      <c r="C89" t="str">
        <f>IF(A89="","",MASTER_REGISTER!C89)</f>
        <v/>
      </c>
      <c r="D89" t="str">
        <f>IF(A89="","",COUNTIF(ASSESSMENTS!B:B,A89))</f>
        <v/>
      </c>
      <c r="E89" s="4" t="e">
        <f>IF(D89=0,"",ROUND(AVERAGEIF(ASSESSMENTS!B:B,A89,ASSESSMENTS!H:H),1))</f>
        <v>#DIV/0!</v>
      </c>
      <c r="F89" s="4" t="str">
        <f>IF(A89="","",IFERROR(ROUND(AVERAGEIFS(ASSESSMENTS!H:H,ASSESSMENTS!B:B,A89,ASSESSMENTS!E:E,"Mathematics"),1),""))</f>
        <v/>
      </c>
      <c r="G89" s="4" t="str">
        <f>IF(A89="","",IFERROR(ROUND(AVERAGEIFS(ASSESSMENTS!H:H,ASSESSMENTS!B:B,A89,ASSESSMENTS!E:E,"Mathematical Literacy"),1),""))</f>
        <v/>
      </c>
      <c r="H89" s="4" t="str">
        <f>IF(A89="","",IFERROR(ROUND(AVERAGEIFS(ASSESSMENTS!H:H,ASSESSMENTS!B:B,A89,ASSESSMENTS!E:E,"Physical Sciences"),1),""))</f>
        <v/>
      </c>
      <c r="I89" s="4" t="str">
        <f>IF(A89="","",IFERROR(ROUND(AVERAGEIFS(ASSESSMENTS!H:H,ASSESSMENTS!B:B,A89,ASSESSMENTS!E:E,"Geography"),1),""))</f>
        <v/>
      </c>
      <c r="J89" s="4" t="str">
        <f>IF(A89="","",IFERROR(ROUND(AVERAGEIFS(ASSESSMENTS!H:H,ASSESSMENTS!B:B,A89,ASSESSMENTS!E:E,"Accounting"),1),""))</f>
        <v/>
      </c>
      <c r="K89" s="4" t="str">
        <f>IF(A89="","",IFERROR(ROUND(AVERAGEIFS(ASSESSMENTS!H:H,ASSESSMENTS!B:B,A89,ASSESSMENTS!E:E,"English"),1),""))</f>
        <v/>
      </c>
      <c r="L89" s="5" t="str">
        <f>IF(A89="","",IFERROR(INDEX(ATTENDANCE_SUMMARY!G:G,MATCH(A89,ATTENDANCE_SUMMARY!A:A,0)),""))</f>
        <v/>
      </c>
      <c r="M89" s="4" t="str">
        <f t="shared" si="1"/>
        <v/>
      </c>
    </row>
    <row r="90" spans="1:13" x14ac:dyDescent="0.3">
      <c r="A90" t="str">
        <f>IF(MASTER_REGISTER!E90="","",MASTER_REGISTER!E90)</f>
        <v/>
      </c>
      <c r="B90" t="str">
        <f>IF(A90="","",MASTER_REGISTER!F90)</f>
        <v/>
      </c>
      <c r="C90" t="str">
        <f>IF(A90="","",MASTER_REGISTER!C90)</f>
        <v/>
      </c>
      <c r="D90" t="str">
        <f>IF(A90="","",COUNTIF(ASSESSMENTS!B:B,A90))</f>
        <v/>
      </c>
      <c r="E90" s="4" t="e">
        <f>IF(D90=0,"",ROUND(AVERAGEIF(ASSESSMENTS!B:B,A90,ASSESSMENTS!H:H),1))</f>
        <v>#DIV/0!</v>
      </c>
      <c r="F90" s="4" t="str">
        <f>IF(A90="","",IFERROR(ROUND(AVERAGEIFS(ASSESSMENTS!H:H,ASSESSMENTS!B:B,A90,ASSESSMENTS!E:E,"Mathematics"),1),""))</f>
        <v/>
      </c>
      <c r="G90" s="4" t="str">
        <f>IF(A90="","",IFERROR(ROUND(AVERAGEIFS(ASSESSMENTS!H:H,ASSESSMENTS!B:B,A90,ASSESSMENTS!E:E,"Mathematical Literacy"),1),""))</f>
        <v/>
      </c>
      <c r="H90" s="4" t="str">
        <f>IF(A90="","",IFERROR(ROUND(AVERAGEIFS(ASSESSMENTS!H:H,ASSESSMENTS!B:B,A90,ASSESSMENTS!E:E,"Physical Sciences"),1),""))</f>
        <v/>
      </c>
      <c r="I90" s="4" t="str">
        <f>IF(A90="","",IFERROR(ROUND(AVERAGEIFS(ASSESSMENTS!H:H,ASSESSMENTS!B:B,A90,ASSESSMENTS!E:E,"Geography"),1),""))</f>
        <v/>
      </c>
      <c r="J90" s="4" t="str">
        <f>IF(A90="","",IFERROR(ROUND(AVERAGEIFS(ASSESSMENTS!H:H,ASSESSMENTS!B:B,A90,ASSESSMENTS!E:E,"Accounting"),1),""))</f>
        <v/>
      </c>
      <c r="K90" s="4" t="str">
        <f>IF(A90="","",IFERROR(ROUND(AVERAGEIFS(ASSESSMENTS!H:H,ASSESSMENTS!B:B,A90,ASSESSMENTS!E:E,"English"),1),""))</f>
        <v/>
      </c>
      <c r="L90" s="5" t="str">
        <f>IF(A90="","",IFERROR(INDEX(ATTENDANCE_SUMMARY!G:G,MATCH(A90,ATTENDANCE_SUMMARY!A:A,0)),""))</f>
        <v/>
      </c>
      <c r="M90" s="4" t="str">
        <f t="shared" si="1"/>
        <v/>
      </c>
    </row>
    <row r="91" spans="1:13" x14ac:dyDescent="0.3">
      <c r="A91" t="str">
        <f>IF(MASTER_REGISTER!E91="","",MASTER_REGISTER!E91)</f>
        <v/>
      </c>
      <c r="B91" t="str">
        <f>IF(A91="","",MASTER_REGISTER!F91)</f>
        <v/>
      </c>
      <c r="C91" t="str">
        <f>IF(A91="","",MASTER_REGISTER!C91)</f>
        <v/>
      </c>
      <c r="D91" t="str">
        <f>IF(A91="","",COUNTIF(ASSESSMENTS!B:B,A91))</f>
        <v/>
      </c>
      <c r="E91" s="4" t="e">
        <f>IF(D91=0,"",ROUND(AVERAGEIF(ASSESSMENTS!B:B,A91,ASSESSMENTS!H:H),1))</f>
        <v>#DIV/0!</v>
      </c>
      <c r="F91" s="4" t="str">
        <f>IF(A91="","",IFERROR(ROUND(AVERAGEIFS(ASSESSMENTS!H:H,ASSESSMENTS!B:B,A91,ASSESSMENTS!E:E,"Mathematics"),1),""))</f>
        <v/>
      </c>
      <c r="G91" s="4" t="str">
        <f>IF(A91="","",IFERROR(ROUND(AVERAGEIFS(ASSESSMENTS!H:H,ASSESSMENTS!B:B,A91,ASSESSMENTS!E:E,"Mathematical Literacy"),1),""))</f>
        <v/>
      </c>
      <c r="H91" s="4" t="str">
        <f>IF(A91="","",IFERROR(ROUND(AVERAGEIFS(ASSESSMENTS!H:H,ASSESSMENTS!B:B,A91,ASSESSMENTS!E:E,"Physical Sciences"),1),""))</f>
        <v/>
      </c>
      <c r="I91" s="4" t="str">
        <f>IF(A91="","",IFERROR(ROUND(AVERAGEIFS(ASSESSMENTS!H:H,ASSESSMENTS!B:B,A91,ASSESSMENTS!E:E,"Geography"),1),""))</f>
        <v/>
      </c>
      <c r="J91" s="4" t="str">
        <f>IF(A91="","",IFERROR(ROUND(AVERAGEIFS(ASSESSMENTS!H:H,ASSESSMENTS!B:B,A91,ASSESSMENTS!E:E,"Accounting"),1),""))</f>
        <v/>
      </c>
      <c r="K91" s="4" t="str">
        <f>IF(A91="","",IFERROR(ROUND(AVERAGEIFS(ASSESSMENTS!H:H,ASSESSMENTS!B:B,A91,ASSESSMENTS!E:E,"English"),1),""))</f>
        <v/>
      </c>
      <c r="L91" s="5" t="str">
        <f>IF(A91="","",IFERROR(INDEX(ATTENDANCE_SUMMARY!G:G,MATCH(A91,ATTENDANCE_SUMMARY!A:A,0)),""))</f>
        <v/>
      </c>
      <c r="M91" s="4" t="str">
        <f t="shared" si="1"/>
        <v/>
      </c>
    </row>
    <row r="92" spans="1:13" x14ac:dyDescent="0.3">
      <c r="A92" t="str">
        <f>IF(MASTER_REGISTER!E92="","",MASTER_REGISTER!E92)</f>
        <v/>
      </c>
      <c r="B92" t="str">
        <f>IF(A92="","",MASTER_REGISTER!F92)</f>
        <v/>
      </c>
      <c r="C92" t="str">
        <f>IF(A92="","",MASTER_REGISTER!C92)</f>
        <v/>
      </c>
      <c r="D92" t="str">
        <f>IF(A92="","",COUNTIF(ASSESSMENTS!B:B,A92))</f>
        <v/>
      </c>
      <c r="E92" s="4" t="e">
        <f>IF(D92=0,"",ROUND(AVERAGEIF(ASSESSMENTS!B:B,A92,ASSESSMENTS!H:H),1))</f>
        <v>#DIV/0!</v>
      </c>
      <c r="F92" s="4" t="str">
        <f>IF(A92="","",IFERROR(ROUND(AVERAGEIFS(ASSESSMENTS!H:H,ASSESSMENTS!B:B,A92,ASSESSMENTS!E:E,"Mathematics"),1),""))</f>
        <v/>
      </c>
      <c r="G92" s="4" t="str">
        <f>IF(A92="","",IFERROR(ROUND(AVERAGEIFS(ASSESSMENTS!H:H,ASSESSMENTS!B:B,A92,ASSESSMENTS!E:E,"Mathematical Literacy"),1),""))</f>
        <v/>
      </c>
      <c r="H92" s="4" t="str">
        <f>IF(A92="","",IFERROR(ROUND(AVERAGEIFS(ASSESSMENTS!H:H,ASSESSMENTS!B:B,A92,ASSESSMENTS!E:E,"Physical Sciences"),1),""))</f>
        <v/>
      </c>
      <c r="I92" s="4" t="str">
        <f>IF(A92="","",IFERROR(ROUND(AVERAGEIFS(ASSESSMENTS!H:H,ASSESSMENTS!B:B,A92,ASSESSMENTS!E:E,"Geography"),1),""))</f>
        <v/>
      </c>
      <c r="J92" s="4" t="str">
        <f>IF(A92="","",IFERROR(ROUND(AVERAGEIFS(ASSESSMENTS!H:H,ASSESSMENTS!B:B,A92,ASSESSMENTS!E:E,"Accounting"),1),""))</f>
        <v/>
      </c>
      <c r="K92" s="4" t="str">
        <f>IF(A92="","",IFERROR(ROUND(AVERAGEIFS(ASSESSMENTS!H:H,ASSESSMENTS!B:B,A92,ASSESSMENTS!E:E,"English"),1),""))</f>
        <v/>
      </c>
      <c r="L92" s="5" t="str">
        <f>IF(A92="","",IFERROR(INDEX(ATTENDANCE_SUMMARY!G:G,MATCH(A92,ATTENDANCE_SUMMARY!A:A,0)),""))</f>
        <v/>
      </c>
      <c r="M92" s="4" t="str">
        <f t="shared" si="1"/>
        <v/>
      </c>
    </row>
    <row r="93" spans="1:13" x14ac:dyDescent="0.3">
      <c r="A93" t="str">
        <f>IF(MASTER_REGISTER!E93="","",MASTER_REGISTER!E93)</f>
        <v/>
      </c>
      <c r="B93" t="str">
        <f>IF(A93="","",MASTER_REGISTER!F93)</f>
        <v/>
      </c>
      <c r="C93" t="str">
        <f>IF(A93="","",MASTER_REGISTER!C93)</f>
        <v/>
      </c>
      <c r="D93" t="str">
        <f>IF(A93="","",COUNTIF(ASSESSMENTS!B:B,A93))</f>
        <v/>
      </c>
      <c r="E93" s="4" t="e">
        <f>IF(D93=0,"",ROUND(AVERAGEIF(ASSESSMENTS!B:B,A93,ASSESSMENTS!H:H),1))</f>
        <v>#DIV/0!</v>
      </c>
      <c r="F93" s="4" t="str">
        <f>IF(A93="","",IFERROR(ROUND(AVERAGEIFS(ASSESSMENTS!H:H,ASSESSMENTS!B:B,A93,ASSESSMENTS!E:E,"Mathematics"),1),""))</f>
        <v/>
      </c>
      <c r="G93" s="4" t="str">
        <f>IF(A93="","",IFERROR(ROUND(AVERAGEIFS(ASSESSMENTS!H:H,ASSESSMENTS!B:B,A93,ASSESSMENTS!E:E,"Mathematical Literacy"),1),""))</f>
        <v/>
      </c>
      <c r="H93" s="4" t="str">
        <f>IF(A93="","",IFERROR(ROUND(AVERAGEIFS(ASSESSMENTS!H:H,ASSESSMENTS!B:B,A93,ASSESSMENTS!E:E,"Physical Sciences"),1),""))</f>
        <v/>
      </c>
      <c r="I93" s="4" t="str">
        <f>IF(A93="","",IFERROR(ROUND(AVERAGEIFS(ASSESSMENTS!H:H,ASSESSMENTS!B:B,A93,ASSESSMENTS!E:E,"Geography"),1),""))</f>
        <v/>
      </c>
      <c r="J93" s="4" t="str">
        <f>IF(A93="","",IFERROR(ROUND(AVERAGEIFS(ASSESSMENTS!H:H,ASSESSMENTS!B:B,A93,ASSESSMENTS!E:E,"Accounting"),1),""))</f>
        <v/>
      </c>
      <c r="K93" s="4" t="str">
        <f>IF(A93="","",IFERROR(ROUND(AVERAGEIFS(ASSESSMENTS!H:H,ASSESSMENTS!B:B,A93,ASSESSMENTS!E:E,"English"),1),""))</f>
        <v/>
      </c>
      <c r="L93" s="5" t="str">
        <f>IF(A93="","",IFERROR(INDEX(ATTENDANCE_SUMMARY!G:G,MATCH(A93,ATTENDANCE_SUMMARY!A:A,0)),""))</f>
        <v/>
      </c>
      <c r="M93" s="4" t="str">
        <f t="shared" si="1"/>
        <v/>
      </c>
    </row>
    <row r="94" spans="1:13" x14ac:dyDescent="0.3">
      <c r="A94" t="str">
        <f>IF(MASTER_REGISTER!E94="","",MASTER_REGISTER!E94)</f>
        <v/>
      </c>
      <c r="B94" t="str">
        <f>IF(A94="","",MASTER_REGISTER!F94)</f>
        <v/>
      </c>
      <c r="C94" t="str">
        <f>IF(A94="","",MASTER_REGISTER!C94)</f>
        <v/>
      </c>
      <c r="D94" t="str">
        <f>IF(A94="","",COUNTIF(ASSESSMENTS!B:B,A94))</f>
        <v/>
      </c>
      <c r="E94" s="4" t="e">
        <f>IF(D94=0,"",ROUND(AVERAGEIF(ASSESSMENTS!B:B,A94,ASSESSMENTS!H:H),1))</f>
        <v>#DIV/0!</v>
      </c>
      <c r="F94" s="4" t="str">
        <f>IF(A94="","",IFERROR(ROUND(AVERAGEIFS(ASSESSMENTS!H:H,ASSESSMENTS!B:B,A94,ASSESSMENTS!E:E,"Mathematics"),1),""))</f>
        <v/>
      </c>
      <c r="G94" s="4" t="str">
        <f>IF(A94="","",IFERROR(ROUND(AVERAGEIFS(ASSESSMENTS!H:H,ASSESSMENTS!B:B,A94,ASSESSMENTS!E:E,"Mathematical Literacy"),1),""))</f>
        <v/>
      </c>
      <c r="H94" s="4" t="str">
        <f>IF(A94="","",IFERROR(ROUND(AVERAGEIFS(ASSESSMENTS!H:H,ASSESSMENTS!B:B,A94,ASSESSMENTS!E:E,"Physical Sciences"),1),""))</f>
        <v/>
      </c>
      <c r="I94" s="4" t="str">
        <f>IF(A94="","",IFERROR(ROUND(AVERAGEIFS(ASSESSMENTS!H:H,ASSESSMENTS!B:B,A94,ASSESSMENTS!E:E,"Geography"),1),""))</f>
        <v/>
      </c>
      <c r="J94" s="4" t="str">
        <f>IF(A94="","",IFERROR(ROUND(AVERAGEIFS(ASSESSMENTS!H:H,ASSESSMENTS!B:B,A94,ASSESSMENTS!E:E,"Accounting"),1),""))</f>
        <v/>
      </c>
      <c r="K94" s="4" t="str">
        <f>IF(A94="","",IFERROR(ROUND(AVERAGEIFS(ASSESSMENTS!H:H,ASSESSMENTS!B:B,A94,ASSESSMENTS!E:E,"English"),1),""))</f>
        <v/>
      </c>
      <c r="L94" s="5" t="str">
        <f>IF(A94="","",IFERROR(INDEX(ATTENDANCE_SUMMARY!G:G,MATCH(A94,ATTENDANCE_SUMMARY!A:A,0)),""))</f>
        <v/>
      </c>
      <c r="M94" s="4" t="str">
        <f t="shared" si="1"/>
        <v/>
      </c>
    </row>
    <row r="95" spans="1:13" x14ac:dyDescent="0.3">
      <c r="A95" t="str">
        <f>IF(MASTER_REGISTER!E95="","",MASTER_REGISTER!E95)</f>
        <v/>
      </c>
      <c r="B95" t="str">
        <f>IF(A95="","",MASTER_REGISTER!F95)</f>
        <v/>
      </c>
      <c r="C95" t="str">
        <f>IF(A95="","",MASTER_REGISTER!C95)</f>
        <v/>
      </c>
      <c r="D95" t="str">
        <f>IF(A95="","",COUNTIF(ASSESSMENTS!B:B,A95))</f>
        <v/>
      </c>
      <c r="E95" s="4" t="e">
        <f>IF(D95=0,"",ROUND(AVERAGEIF(ASSESSMENTS!B:B,A95,ASSESSMENTS!H:H),1))</f>
        <v>#DIV/0!</v>
      </c>
      <c r="F95" s="4" t="str">
        <f>IF(A95="","",IFERROR(ROUND(AVERAGEIFS(ASSESSMENTS!H:H,ASSESSMENTS!B:B,A95,ASSESSMENTS!E:E,"Mathematics"),1),""))</f>
        <v/>
      </c>
      <c r="G95" s="4" t="str">
        <f>IF(A95="","",IFERROR(ROUND(AVERAGEIFS(ASSESSMENTS!H:H,ASSESSMENTS!B:B,A95,ASSESSMENTS!E:E,"Mathematical Literacy"),1),""))</f>
        <v/>
      </c>
      <c r="H95" s="4" t="str">
        <f>IF(A95="","",IFERROR(ROUND(AVERAGEIFS(ASSESSMENTS!H:H,ASSESSMENTS!B:B,A95,ASSESSMENTS!E:E,"Physical Sciences"),1),""))</f>
        <v/>
      </c>
      <c r="I95" s="4" t="str">
        <f>IF(A95="","",IFERROR(ROUND(AVERAGEIFS(ASSESSMENTS!H:H,ASSESSMENTS!B:B,A95,ASSESSMENTS!E:E,"Geography"),1),""))</f>
        <v/>
      </c>
      <c r="J95" s="4" t="str">
        <f>IF(A95="","",IFERROR(ROUND(AVERAGEIFS(ASSESSMENTS!H:H,ASSESSMENTS!B:B,A95,ASSESSMENTS!E:E,"Accounting"),1),""))</f>
        <v/>
      </c>
      <c r="K95" s="4" t="str">
        <f>IF(A95="","",IFERROR(ROUND(AVERAGEIFS(ASSESSMENTS!H:H,ASSESSMENTS!B:B,A95,ASSESSMENTS!E:E,"English"),1),""))</f>
        <v/>
      </c>
      <c r="L95" s="5" t="str">
        <f>IF(A95="","",IFERROR(INDEX(ATTENDANCE_SUMMARY!G:G,MATCH(A95,ATTENDANCE_SUMMARY!A:A,0)),""))</f>
        <v/>
      </c>
      <c r="M95" s="4" t="str">
        <f t="shared" si="1"/>
        <v/>
      </c>
    </row>
    <row r="96" spans="1:13" x14ac:dyDescent="0.3">
      <c r="A96" t="str">
        <f>IF(MASTER_REGISTER!E96="","",MASTER_REGISTER!E96)</f>
        <v/>
      </c>
      <c r="B96" t="str">
        <f>IF(A96="","",MASTER_REGISTER!F96)</f>
        <v/>
      </c>
      <c r="C96" t="str">
        <f>IF(A96="","",MASTER_REGISTER!C96)</f>
        <v/>
      </c>
      <c r="D96" t="str">
        <f>IF(A96="","",COUNTIF(ASSESSMENTS!B:B,A96))</f>
        <v/>
      </c>
      <c r="E96" s="4" t="e">
        <f>IF(D96=0,"",ROUND(AVERAGEIF(ASSESSMENTS!B:B,A96,ASSESSMENTS!H:H),1))</f>
        <v>#DIV/0!</v>
      </c>
      <c r="F96" s="4" t="str">
        <f>IF(A96="","",IFERROR(ROUND(AVERAGEIFS(ASSESSMENTS!H:H,ASSESSMENTS!B:B,A96,ASSESSMENTS!E:E,"Mathematics"),1),""))</f>
        <v/>
      </c>
      <c r="G96" s="4" t="str">
        <f>IF(A96="","",IFERROR(ROUND(AVERAGEIFS(ASSESSMENTS!H:H,ASSESSMENTS!B:B,A96,ASSESSMENTS!E:E,"Mathematical Literacy"),1),""))</f>
        <v/>
      </c>
      <c r="H96" s="4" t="str">
        <f>IF(A96="","",IFERROR(ROUND(AVERAGEIFS(ASSESSMENTS!H:H,ASSESSMENTS!B:B,A96,ASSESSMENTS!E:E,"Physical Sciences"),1),""))</f>
        <v/>
      </c>
      <c r="I96" s="4" t="str">
        <f>IF(A96="","",IFERROR(ROUND(AVERAGEIFS(ASSESSMENTS!H:H,ASSESSMENTS!B:B,A96,ASSESSMENTS!E:E,"Geography"),1),""))</f>
        <v/>
      </c>
      <c r="J96" s="4" t="str">
        <f>IF(A96="","",IFERROR(ROUND(AVERAGEIFS(ASSESSMENTS!H:H,ASSESSMENTS!B:B,A96,ASSESSMENTS!E:E,"Accounting"),1),""))</f>
        <v/>
      </c>
      <c r="K96" s="4" t="str">
        <f>IF(A96="","",IFERROR(ROUND(AVERAGEIFS(ASSESSMENTS!H:H,ASSESSMENTS!B:B,A96,ASSESSMENTS!E:E,"English"),1),""))</f>
        <v/>
      </c>
      <c r="L96" s="5" t="str">
        <f>IF(A96="","",IFERROR(INDEX(ATTENDANCE_SUMMARY!G:G,MATCH(A96,ATTENDANCE_SUMMARY!A:A,0)),""))</f>
        <v/>
      </c>
      <c r="M96" s="4" t="str">
        <f t="shared" si="1"/>
        <v/>
      </c>
    </row>
    <row r="97" spans="1:13" x14ac:dyDescent="0.3">
      <c r="A97" t="str">
        <f>IF(MASTER_REGISTER!E97="","",MASTER_REGISTER!E97)</f>
        <v/>
      </c>
      <c r="B97" t="str">
        <f>IF(A97="","",MASTER_REGISTER!F97)</f>
        <v/>
      </c>
      <c r="C97" t="str">
        <f>IF(A97="","",MASTER_REGISTER!C97)</f>
        <v/>
      </c>
      <c r="D97" t="str">
        <f>IF(A97="","",COUNTIF(ASSESSMENTS!B:B,A97))</f>
        <v/>
      </c>
      <c r="E97" s="4" t="e">
        <f>IF(D97=0,"",ROUND(AVERAGEIF(ASSESSMENTS!B:B,A97,ASSESSMENTS!H:H),1))</f>
        <v>#DIV/0!</v>
      </c>
      <c r="F97" s="4" t="str">
        <f>IF(A97="","",IFERROR(ROUND(AVERAGEIFS(ASSESSMENTS!H:H,ASSESSMENTS!B:B,A97,ASSESSMENTS!E:E,"Mathematics"),1),""))</f>
        <v/>
      </c>
      <c r="G97" s="4" t="str">
        <f>IF(A97="","",IFERROR(ROUND(AVERAGEIFS(ASSESSMENTS!H:H,ASSESSMENTS!B:B,A97,ASSESSMENTS!E:E,"Mathematical Literacy"),1),""))</f>
        <v/>
      </c>
      <c r="H97" s="4" t="str">
        <f>IF(A97="","",IFERROR(ROUND(AVERAGEIFS(ASSESSMENTS!H:H,ASSESSMENTS!B:B,A97,ASSESSMENTS!E:E,"Physical Sciences"),1),""))</f>
        <v/>
      </c>
      <c r="I97" s="4" t="str">
        <f>IF(A97="","",IFERROR(ROUND(AVERAGEIFS(ASSESSMENTS!H:H,ASSESSMENTS!B:B,A97,ASSESSMENTS!E:E,"Geography"),1),""))</f>
        <v/>
      </c>
      <c r="J97" s="4" t="str">
        <f>IF(A97="","",IFERROR(ROUND(AVERAGEIFS(ASSESSMENTS!H:H,ASSESSMENTS!B:B,A97,ASSESSMENTS!E:E,"Accounting"),1),""))</f>
        <v/>
      </c>
      <c r="K97" s="4" t="str">
        <f>IF(A97="","",IFERROR(ROUND(AVERAGEIFS(ASSESSMENTS!H:H,ASSESSMENTS!B:B,A97,ASSESSMENTS!E:E,"English"),1),""))</f>
        <v/>
      </c>
      <c r="L97" s="5" t="str">
        <f>IF(A97="","",IFERROR(INDEX(ATTENDANCE_SUMMARY!G:G,MATCH(A97,ATTENDANCE_SUMMARY!A:A,0)),""))</f>
        <v/>
      </c>
      <c r="M97" s="4" t="str">
        <f t="shared" si="1"/>
        <v/>
      </c>
    </row>
    <row r="98" spans="1:13" x14ac:dyDescent="0.3">
      <c r="A98" t="str">
        <f>IF(MASTER_REGISTER!E98="","",MASTER_REGISTER!E98)</f>
        <v/>
      </c>
      <c r="B98" t="str">
        <f>IF(A98="","",MASTER_REGISTER!F98)</f>
        <v/>
      </c>
      <c r="C98" t="str">
        <f>IF(A98="","",MASTER_REGISTER!C98)</f>
        <v/>
      </c>
      <c r="D98" t="str">
        <f>IF(A98="","",COUNTIF(ASSESSMENTS!B:B,A98))</f>
        <v/>
      </c>
      <c r="E98" s="4" t="e">
        <f>IF(D98=0,"",ROUND(AVERAGEIF(ASSESSMENTS!B:B,A98,ASSESSMENTS!H:H),1))</f>
        <v>#DIV/0!</v>
      </c>
      <c r="F98" s="4" t="str">
        <f>IF(A98="","",IFERROR(ROUND(AVERAGEIFS(ASSESSMENTS!H:H,ASSESSMENTS!B:B,A98,ASSESSMENTS!E:E,"Mathematics"),1),""))</f>
        <v/>
      </c>
      <c r="G98" s="4" t="str">
        <f>IF(A98="","",IFERROR(ROUND(AVERAGEIFS(ASSESSMENTS!H:H,ASSESSMENTS!B:B,A98,ASSESSMENTS!E:E,"Mathematical Literacy"),1),""))</f>
        <v/>
      </c>
      <c r="H98" s="4" t="str">
        <f>IF(A98="","",IFERROR(ROUND(AVERAGEIFS(ASSESSMENTS!H:H,ASSESSMENTS!B:B,A98,ASSESSMENTS!E:E,"Physical Sciences"),1),""))</f>
        <v/>
      </c>
      <c r="I98" s="4" t="str">
        <f>IF(A98="","",IFERROR(ROUND(AVERAGEIFS(ASSESSMENTS!H:H,ASSESSMENTS!B:B,A98,ASSESSMENTS!E:E,"Geography"),1),""))</f>
        <v/>
      </c>
      <c r="J98" s="4" t="str">
        <f>IF(A98="","",IFERROR(ROUND(AVERAGEIFS(ASSESSMENTS!H:H,ASSESSMENTS!B:B,A98,ASSESSMENTS!E:E,"Accounting"),1),""))</f>
        <v/>
      </c>
      <c r="K98" s="4" t="str">
        <f>IF(A98="","",IFERROR(ROUND(AVERAGEIFS(ASSESSMENTS!H:H,ASSESSMENTS!B:B,A98,ASSESSMENTS!E:E,"English"),1),""))</f>
        <v/>
      </c>
      <c r="L98" s="5" t="str">
        <f>IF(A98="","",IFERROR(INDEX(ATTENDANCE_SUMMARY!G:G,MATCH(A98,ATTENDANCE_SUMMARY!A:A,0)),""))</f>
        <v/>
      </c>
      <c r="M98" s="4" t="str">
        <f t="shared" si="1"/>
        <v/>
      </c>
    </row>
    <row r="99" spans="1:13" x14ac:dyDescent="0.3">
      <c r="A99" t="str">
        <f>IF(MASTER_REGISTER!E99="","",MASTER_REGISTER!E99)</f>
        <v/>
      </c>
      <c r="B99" t="str">
        <f>IF(A99="","",MASTER_REGISTER!F99)</f>
        <v/>
      </c>
      <c r="C99" t="str">
        <f>IF(A99="","",MASTER_REGISTER!C99)</f>
        <v/>
      </c>
      <c r="D99" t="str">
        <f>IF(A99="","",COUNTIF(ASSESSMENTS!B:B,A99))</f>
        <v/>
      </c>
      <c r="E99" s="4" t="e">
        <f>IF(D99=0,"",ROUND(AVERAGEIF(ASSESSMENTS!B:B,A99,ASSESSMENTS!H:H),1))</f>
        <v>#DIV/0!</v>
      </c>
      <c r="F99" s="4" t="str">
        <f>IF(A99="","",IFERROR(ROUND(AVERAGEIFS(ASSESSMENTS!H:H,ASSESSMENTS!B:B,A99,ASSESSMENTS!E:E,"Mathematics"),1),""))</f>
        <v/>
      </c>
      <c r="G99" s="4" t="str">
        <f>IF(A99="","",IFERROR(ROUND(AVERAGEIFS(ASSESSMENTS!H:H,ASSESSMENTS!B:B,A99,ASSESSMENTS!E:E,"Mathematical Literacy"),1),""))</f>
        <v/>
      </c>
      <c r="H99" s="4" t="str">
        <f>IF(A99="","",IFERROR(ROUND(AVERAGEIFS(ASSESSMENTS!H:H,ASSESSMENTS!B:B,A99,ASSESSMENTS!E:E,"Physical Sciences"),1),""))</f>
        <v/>
      </c>
      <c r="I99" s="4" t="str">
        <f>IF(A99="","",IFERROR(ROUND(AVERAGEIFS(ASSESSMENTS!H:H,ASSESSMENTS!B:B,A99,ASSESSMENTS!E:E,"Geography"),1),""))</f>
        <v/>
      </c>
      <c r="J99" s="4" t="str">
        <f>IF(A99="","",IFERROR(ROUND(AVERAGEIFS(ASSESSMENTS!H:H,ASSESSMENTS!B:B,A99,ASSESSMENTS!E:E,"Accounting"),1),""))</f>
        <v/>
      </c>
      <c r="K99" s="4" t="str">
        <f>IF(A99="","",IFERROR(ROUND(AVERAGEIFS(ASSESSMENTS!H:H,ASSESSMENTS!B:B,A99,ASSESSMENTS!E:E,"English"),1),""))</f>
        <v/>
      </c>
      <c r="L99" s="5" t="str">
        <f>IF(A99="","",IFERROR(INDEX(ATTENDANCE_SUMMARY!G:G,MATCH(A99,ATTENDANCE_SUMMARY!A:A,0)),""))</f>
        <v/>
      </c>
      <c r="M99" s="4" t="str">
        <f t="shared" si="1"/>
        <v/>
      </c>
    </row>
    <row r="100" spans="1:13" x14ac:dyDescent="0.3">
      <c r="A100" t="str">
        <f>IF(MASTER_REGISTER!E100="","",MASTER_REGISTER!E100)</f>
        <v/>
      </c>
      <c r="B100" t="str">
        <f>IF(A100="","",MASTER_REGISTER!F100)</f>
        <v/>
      </c>
      <c r="C100" t="str">
        <f>IF(A100="","",MASTER_REGISTER!C100)</f>
        <v/>
      </c>
      <c r="D100" t="str">
        <f>IF(A100="","",COUNTIF(ASSESSMENTS!B:B,A100))</f>
        <v/>
      </c>
      <c r="E100" s="4" t="e">
        <f>IF(D100=0,"",ROUND(AVERAGEIF(ASSESSMENTS!B:B,A100,ASSESSMENTS!H:H),1))</f>
        <v>#DIV/0!</v>
      </c>
      <c r="F100" s="4" t="str">
        <f>IF(A100="","",IFERROR(ROUND(AVERAGEIFS(ASSESSMENTS!H:H,ASSESSMENTS!B:B,A100,ASSESSMENTS!E:E,"Mathematics"),1),""))</f>
        <v/>
      </c>
      <c r="G100" s="4" t="str">
        <f>IF(A100="","",IFERROR(ROUND(AVERAGEIFS(ASSESSMENTS!H:H,ASSESSMENTS!B:B,A100,ASSESSMENTS!E:E,"Mathematical Literacy"),1),""))</f>
        <v/>
      </c>
      <c r="H100" s="4" t="str">
        <f>IF(A100="","",IFERROR(ROUND(AVERAGEIFS(ASSESSMENTS!H:H,ASSESSMENTS!B:B,A100,ASSESSMENTS!E:E,"Physical Sciences"),1),""))</f>
        <v/>
      </c>
      <c r="I100" s="4" t="str">
        <f>IF(A100="","",IFERROR(ROUND(AVERAGEIFS(ASSESSMENTS!H:H,ASSESSMENTS!B:B,A100,ASSESSMENTS!E:E,"Geography"),1),""))</f>
        <v/>
      </c>
      <c r="J100" s="4" t="str">
        <f>IF(A100="","",IFERROR(ROUND(AVERAGEIFS(ASSESSMENTS!H:H,ASSESSMENTS!B:B,A100,ASSESSMENTS!E:E,"Accounting"),1),""))</f>
        <v/>
      </c>
      <c r="K100" s="4" t="str">
        <f>IF(A100="","",IFERROR(ROUND(AVERAGEIFS(ASSESSMENTS!H:H,ASSESSMENTS!B:B,A100,ASSESSMENTS!E:E,"English"),1),""))</f>
        <v/>
      </c>
      <c r="L100" s="5" t="str">
        <f>IF(A100="","",IFERROR(INDEX(ATTENDANCE_SUMMARY!G:G,MATCH(A100,ATTENDANCE_SUMMARY!A:A,0)),""))</f>
        <v/>
      </c>
      <c r="M100" s="4" t="str">
        <f t="shared" si="1"/>
        <v/>
      </c>
    </row>
    <row r="101" spans="1:13" x14ac:dyDescent="0.3">
      <c r="A101" t="str">
        <f>IF(MASTER_REGISTER!E101="","",MASTER_REGISTER!E101)</f>
        <v/>
      </c>
      <c r="B101" t="str">
        <f>IF(A101="","",MASTER_REGISTER!F101)</f>
        <v/>
      </c>
      <c r="C101" t="str">
        <f>IF(A101="","",MASTER_REGISTER!C101)</f>
        <v/>
      </c>
      <c r="D101" t="str">
        <f>IF(A101="","",COUNTIF(ASSESSMENTS!B:B,A101))</f>
        <v/>
      </c>
      <c r="E101" s="4" t="e">
        <f>IF(D101=0,"",ROUND(AVERAGEIF(ASSESSMENTS!B:B,A101,ASSESSMENTS!H:H),1))</f>
        <v>#DIV/0!</v>
      </c>
      <c r="F101" s="4" t="str">
        <f>IF(A101="","",IFERROR(ROUND(AVERAGEIFS(ASSESSMENTS!H:H,ASSESSMENTS!B:B,A101,ASSESSMENTS!E:E,"Mathematics"),1),""))</f>
        <v/>
      </c>
      <c r="G101" s="4" t="str">
        <f>IF(A101="","",IFERROR(ROUND(AVERAGEIFS(ASSESSMENTS!H:H,ASSESSMENTS!B:B,A101,ASSESSMENTS!E:E,"Mathematical Literacy"),1),""))</f>
        <v/>
      </c>
      <c r="H101" s="4" t="str">
        <f>IF(A101="","",IFERROR(ROUND(AVERAGEIFS(ASSESSMENTS!H:H,ASSESSMENTS!B:B,A101,ASSESSMENTS!E:E,"Physical Sciences"),1),""))</f>
        <v/>
      </c>
      <c r="I101" s="4" t="str">
        <f>IF(A101="","",IFERROR(ROUND(AVERAGEIFS(ASSESSMENTS!H:H,ASSESSMENTS!B:B,A101,ASSESSMENTS!E:E,"Geography"),1),""))</f>
        <v/>
      </c>
      <c r="J101" s="4" t="str">
        <f>IF(A101="","",IFERROR(ROUND(AVERAGEIFS(ASSESSMENTS!H:H,ASSESSMENTS!B:B,A101,ASSESSMENTS!E:E,"Accounting"),1),""))</f>
        <v/>
      </c>
      <c r="K101" s="4" t="str">
        <f>IF(A101="","",IFERROR(ROUND(AVERAGEIFS(ASSESSMENTS!H:H,ASSESSMENTS!B:B,A101,ASSESSMENTS!E:E,"English"),1),""))</f>
        <v/>
      </c>
      <c r="L101" s="5" t="str">
        <f>IF(A101="","",IFERROR(INDEX(ATTENDANCE_SUMMARY!G:G,MATCH(A101,ATTENDANCE_SUMMARY!A:A,0)),""))</f>
        <v/>
      </c>
      <c r="M101" s="4" t="str">
        <f t="shared" si="1"/>
        <v/>
      </c>
    </row>
    <row r="102" spans="1:13" x14ac:dyDescent="0.3">
      <c r="A102" t="str">
        <f>IF(MASTER_REGISTER!E102="","",MASTER_REGISTER!E102)</f>
        <v/>
      </c>
      <c r="B102" t="str">
        <f>IF(A102="","",MASTER_REGISTER!F102)</f>
        <v/>
      </c>
      <c r="C102" t="str">
        <f>IF(A102="","",MASTER_REGISTER!C102)</f>
        <v/>
      </c>
      <c r="D102" t="str">
        <f>IF(A102="","",COUNTIF(ASSESSMENTS!B:B,A102))</f>
        <v/>
      </c>
      <c r="E102" s="4" t="e">
        <f>IF(D102=0,"",ROUND(AVERAGEIF(ASSESSMENTS!B:B,A102,ASSESSMENTS!H:H),1))</f>
        <v>#DIV/0!</v>
      </c>
      <c r="F102" s="4" t="str">
        <f>IF(A102="","",IFERROR(ROUND(AVERAGEIFS(ASSESSMENTS!H:H,ASSESSMENTS!B:B,A102,ASSESSMENTS!E:E,"Mathematics"),1),""))</f>
        <v/>
      </c>
      <c r="G102" s="4" t="str">
        <f>IF(A102="","",IFERROR(ROUND(AVERAGEIFS(ASSESSMENTS!H:H,ASSESSMENTS!B:B,A102,ASSESSMENTS!E:E,"Mathematical Literacy"),1),""))</f>
        <v/>
      </c>
      <c r="H102" s="4" t="str">
        <f>IF(A102="","",IFERROR(ROUND(AVERAGEIFS(ASSESSMENTS!H:H,ASSESSMENTS!B:B,A102,ASSESSMENTS!E:E,"Physical Sciences"),1),""))</f>
        <v/>
      </c>
      <c r="I102" s="4" t="str">
        <f>IF(A102="","",IFERROR(ROUND(AVERAGEIFS(ASSESSMENTS!H:H,ASSESSMENTS!B:B,A102,ASSESSMENTS!E:E,"Geography"),1),""))</f>
        <v/>
      </c>
      <c r="J102" s="4" t="str">
        <f>IF(A102="","",IFERROR(ROUND(AVERAGEIFS(ASSESSMENTS!H:H,ASSESSMENTS!B:B,A102,ASSESSMENTS!E:E,"Accounting"),1),""))</f>
        <v/>
      </c>
      <c r="K102" s="4" t="str">
        <f>IF(A102="","",IFERROR(ROUND(AVERAGEIFS(ASSESSMENTS!H:H,ASSESSMENTS!B:B,A102,ASSESSMENTS!E:E,"English"),1),""))</f>
        <v/>
      </c>
      <c r="L102" s="5" t="str">
        <f>IF(A102="","",IFERROR(INDEX(ATTENDANCE_SUMMARY!G:G,MATCH(A102,ATTENDANCE_SUMMARY!A:A,0)),""))</f>
        <v/>
      </c>
      <c r="M102" s="4" t="str">
        <f t="shared" si="1"/>
        <v/>
      </c>
    </row>
    <row r="103" spans="1:13" x14ac:dyDescent="0.3">
      <c r="A103" t="str">
        <f>IF(MASTER_REGISTER!E103="","",MASTER_REGISTER!E103)</f>
        <v/>
      </c>
      <c r="B103" t="str">
        <f>IF(A103="","",MASTER_REGISTER!F103)</f>
        <v/>
      </c>
      <c r="C103" t="str">
        <f>IF(A103="","",MASTER_REGISTER!C103)</f>
        <v/>
      </c>
      <c r="D103" t="str">
        <f>IF(A103="","",COUNTIF(ASSESSMENTS!B:B,A103))</f>
        <v/>
      </c>
      <c r="E103" s="4" t="e">
        <f>IF(D103=0,"",ROUND(AVERAGEIF(ASSESSMENTS!B:B,A103,ASSESSMENTS!H:H),1))</f>
        <v>#DIV/0!</v>
      </c>
      <c r="F103" s="4" t="str">
        <f>IF(A103="","",IFERROR(ROUND(AVERAGEIFS(ASSESSMENTS!H:H,ASSESSMENTS!B:B,A103,ASSESSMENTS!E:E,"Mathematics"),1),""))</f>
        <v/>
      </c>
      <c r="G103" s="4" t="str">
        <f>IF(A103="","",IFERROR(ROUND(AVERAGEIFS(ASSESSMENTS!H:H,ASSESSMENTS!B:B,A103,ASSESSMENTS!E:E,"Mathematical Literacy"),1),""))</f>
        <v/>
      </c>
      <c r="H103" s="4" t="str">
        <f>IF(A103="","",IFERROR(ROUND(AVERAGEIFS(ASSESSMENTS!H:H,ASSESSMENTS!B:B,A103,ASSESSMENTS!E:E,"Physical Sciences"),1),""))</f>
        <v/>
      </c>
      <c r="I103" s="4" t="str">
        <f>IF(A103="","",IFERROR(ROUND(AVERAGEIFS(ASSESSMENTS!H:H,ASSESSMENTS!B:B,A103,ASSESSMENTS!E:E,"Geography"),1),""))</f>
        <v/>
      </c>
      <c r="J103" s="4" t="str">
        <f>IF(A103="","",IFERROR(ROUND(AVERAGEIFS(ASSESSMENTS!H:H,ASSESSMENTS!B:B,A103,ASSESSMENTS!E:E,"Accounting"),1),""))</f>
        <v/>
      </c>
      <c r="K103" s="4" t="str">
        <f>IF(A103="","",IFERROR(ROUND(AVERAGEIFS(ASSESSMENTS!H:H,ASSESSMENTS!B:B,A103,ASSESSMENTS!E:E,"English"),1),""))</f>
        <v/>
      </c>
      <c r="L103" s="5" t="str">
        <f>IF(A103="","",IFERROR(INDEX(ATTENDANCE_SUMMARY!G:G,MATCH(A103,ATTENDANCE_SUMMARY!A:A,0)),""))</f>
        <v/>
      </c>
      <c r="M103" s="4" t="str">
        <f t="shared" si="1"/>
        <v/>
      </c>
    </row>
    <row r="104" spans="1:13" x14ac:dyDescent="0.3">
      <c r="A104" t="str">
        <f>IF(MASTER_REGISTER!E104="","",MASTER_REGISTER!E104)</f>
        <v/>
      </c>
      <c r="B104" t="str">
        <f>IF(A104="","",MASTER_REGISTER!F104)</f>
        <v/>
      </c>
      <c r="C104" t="str">
        <f>IF(A104="","",MASTER_REGISTER!C104)</f>
        <v/>
      </c>
      <c r="D104" t="str">
        <f>IF(A104="","",COUNTIF(ASSESSMENTS!B:B,A104))</f>
        <v/>
      </c>
      <c r="E104" s="4" t="e">
        <f>IF(D104=0,"",ROUND(AVERAGEIF(ASSESSMENTS!B:B,A104,ASSESSMENTS!H:H),1))</f>
        <v>#DIV/0!</v>
      </c>
      <c r="F104" s="4" t="str">
        <f>IF(A104="","",IFERROR(ROUND(AVERAGEIFS(ASSESSMENTS!H:H,ASSESSMENTS!B:B,A104,ASSESSMENTS!E:E,"Mathematics"),1),""))</f>
        <v/>
      </c>
      <c r="G104" s="4" t="str">
        <f>IF(A104="","",IFERROR(ROUND(AVERAGEIFS(ASSESSMENTS!H:H,ASSESSMENTS!B:B,A104,ASSESSMENTS!E:E,"Mathematical Literacy"),1),""))</f>
        <v/>
      </c>
      <c r="H104" s="4" t="str">
        <f>IF(A104="","",IFERROR(ROUND(AVERAGEIFS(ASSESSMENTS!H:H,ASSESSMENTS!B:B,A104,ASSESSMENTS!E:E,"Physical Sciences"),1),""))</f>
        <v/>
      </c>
      <c r="I104" s="4" t="str">
        <f>IF(A104="","",IFERROR(ROUND(AVERAGEIFS(ASSESSMENTS!H:H,ASSESSMENTS!B:B,A104,ASSESSMENTS!E:E,"Geography"),1),""))</f>
        <v/>
      </c>
      <c r="J104" s="4" t="str">
        <f>IF(A104="","",IFERROR(ROUND(AVERAGEIFS(ASSESSMENTS!H:H,ASSESSMENTS!B:B,A104,ASSESSMENTS!E:E,"Accounting"),1),""))</f>
        <v/>
      </c>
      <c r="K104" s="4" t="str">
        <f>IF(A104="","",IFERROR(ROUND(AVERAGEIFS(ASSESSMENTS!H:H,ASSESSMENTS!B:B,A104,ASSESSMENTS!E:E,"English"),1),""))</f>
        <v/>
      </c>
      <c r="L104" s="5" t="str">
        <f>IF(A104="","",IFERROR(INDEX(ATTENDANCE_SUMMARY!G:G,MATCH(A104,ATTENDANCE_SUMMARY!A:A,0)),""))</f>
        <v/>
      </c>
      <c r="M104" s="4" t="str">
        <f t="shared" si="1"/>
        <v/>
      </c>
    </row>
    <row r="105" spans="1:13" x14ac:dyDescent="0.3">
      <c r="A105" t="str">
        <f>IF(MASTER_REGISTER!E105="","",MASTER_REGISTER!E105)</f>
        <v/>
      </c>
      <c r="B105" t="str">
        <f>IF(A105="","",MASTER_REGISTER!F105)</f>
        <v/>
      </c>
      <c r="C105" t="str">
        <f>IF(A105="","",MASTER_REGISTER!C105)</f>
        <v/>
      </c>
      <c r="D105" t="str">
        <f>IF(A105="","",COUNTIF(ASSESSMENTS!B:B,A105))</f>
        <v/>
      </c>
      <c r="E105" s="4" t="e">
        <f>IF(D105=0,"",ROUND(AVERAGEIF(ASSESSMENTS!B:B,A105,ASSESSMENTS!H:H),1))</f>
        <v>#DIV/0!</v>
      </c>
      <c r="F105" s="4" t="str">
        <f>IF(A105="","",IFERROR(ROUND(AVERAGEIFS(ASSESSMENTS!H:H,ASSESSMENTS!B:B,A105,ASSESSMENTS!E:E,"Mathematics"),1),""))</f>
        <v/>
      </c>
      <c r="G105" s="4" t="str">
        <f>IF(A105="","",IFERROR(ROUND(AVERAGEIFS(ASSESSMENTS!H:H,ASSESSMENTS!B:B,A105,ASSESSMENTS!E:E,"Mathematical Literacy"),1),""))</f>
        <v/>
      </c>
      <c r="H105" s="4" t="str">
        <f>IF(A105="","",IFERROR(ROUND(AVERAGEIFS(ASSESSMENTS!H:H,ASSESSMENTS!B:B,A105,ASSESSMENTS!E:E,"Physical Sciences"),1),""))</f>
        <v/>
      </c>
      <c r="I105" s="4" t="str">
        <f>IF(A105="","",IFERROR(ROUND(AVERAGEIFS(ASSESSMENTS!H:H,ASSESSMENTS!B:B,A105,ASSESSMENTS!E:E,"Geography"),1),""))</f>
        <v/>
      </c>
      <c r="J105" s="4" t="str">
        <f>IF(A105="","",IFERROR(ROUND(AVERAGEIFS(ASSESSMENTS!H:H,ASSESSMENTS!B:B,A105,ASSESSMENTS!E:E,"Accounting"),1),""))</f>
        <v/>
      </c>
      <c r="K105" s="4" t="str">
        <f>IF(A105="","",IFERROR(ROUND(AVERAGEIFS(ASSESSMENTS!H:H,ASSESSMENTS!B:B,A105,ASSESSMENTS!E:E,"English"),1),""))</f>
        <v/>
      </c>
      <c r="L105" s="5" t="str">
        <f>IF(A105="","",IFERROR(INDEX(ATTENDANCE_SUMMARY!G:G,MATCH(A105,ATTENDANCE_SUMMARY!A:A,0)),""))</f>
        <v/>
      </c>
      <c r="M105" s="4" t="str">
        <f t="shared" si="1"/>
        <v/>
      </c>
    </row>
    <row r="106" spans="1:13" x14ac:dyDescent="0.3">
      <c r="A106" t="str">
        <f>IF(MASTER_REGISTER!E106="","",MASTER_REGISTER!E106)</f>
        <v/>
      </c>
      <c r="B106" t="str">
        <f>IF(A106="","",MASTER_REGISTER!F106)</f>
        <v/>
      </c>
      <c r="C106" t="str">
        <f>IF(A106="","",MASTER_REGISTER!C106)</f>
        <v/>
      </c>
      <c r="D106" t="str">
        <f>IF(A106="","",COUNTIF(ASSESSMENTS!B:B,A106))</f>
        <v/>
      </c>
      <c r="E106" s="4" t="e">
        <f>IF(D106=0,"",ROUND(AVERAGEIF(ASSESSMENTS!B:B,A106,ASSESSMENTS!H:H),1))</f>
        <v>#DIV/0!</v>
      </c>
      <c r="F106" s="4" t="str">
        <f>IF(A106="","",IFERROR(ROUND(AVERAGEIFS(ASSESSMENTS!H:H,ASSESSMENTS!B:B,A106,ASSESSMENTS!E:E,"Mathematics"),1),""))</f>
        <v/>
      </c>
      <c r="G106" s="4" t="str">
        <f>IF(A106="","",IFERROR(ROUND(AVERAGEIFS(ASSESSMENTS!H:H,ASSESSMENTS!B:B,A106,ASSESSMENTS!E:E,"Mathematical Literacy"),1),""))</f>
        <v/>
      </c>
      <c r="H106" s="4" t="str">
        <f>IF(A106="","",IFERROR(ROUND(AVERAGEIFS(ASSESSMENTS!H:H,ASSESSMENTS!B:B,A106,ASSESSMENTS!E:E,"Physical Sciences"),1),""))</f>
        <v/>
      </c>
      <c r="I106" s="4" t="str">
        <f>IF(A106="","",IFERROR(ROUND(AVERAGEIFS(ASSESSMENTS!H:H,ASSESSMENTS!B:B,A106,ASSESSMENTS!E:E,"Geography"),1),""))</f>
        <v/>
      </c>
      <c r="J106" s="4" t="str">
        <f>IF(A106="","",IFERROR(ROUND(AVERAGEIFS(ASSESSMENTS!H:H,ASSESSMENTS!B:B,A106,ASSESSMENTS!E:E,"Accounting"),1),""))</f>
        <v/>
      </c>
      <c r="K106" s="4" t="str">
        <f>IF(A106="","",IFERROR(ROUND(AVERAGEIFS(ASSESSMENTS!H:H,ASSESSMENTS!B:B,A106,ASSESSMENTS!E:E,"English"),1),""))</f>
        <v/>
      </c>
      <c r="L106" s="5" t="str">
        <f>IF(A106="","",IFERROR(INDEX(ATTENDANCE_SUMMARY!G:G,MATCH(A106,ATTENDANCE_SUMMARY!A:A,0)),""))</f>
        <v/>
      </c>
      <c r="M106" s="4" t="str">
        <f t="shared" si="1"/>
        <v/>
      </c>
    </row>
    <row r="107" spans="1:13" x14ac:dyDescent="0.3">
      <c r="A107" t="str">
        <f>IF(MASTER_REGISTER!E107="","",MASTER_REGISTER!E107)</f>
        <v/>
      </c>
      <c r="B107" t="str">
        <f>IF(A107="","",MASTER_REGISTER!F107)</f>
        <v/>
      </c>
      <c r="C107" t="str">
        <f>IF(A107="","",MASTER_REGISTER!C107)</f>
        <v/>
      </c>
      <c r="D107" t="str">
        <f>IF(A107="","",COUNTIF(ASSESSMENTS!B:B,A107))</f>
        <v/>
      </c>
      <c r="E107" s="4" t="e">
        <f>IF(D107=0,"",ROUND(AVERAGEIF(ASSESSMENTS!B:B,A107,ASSESSMENTS!H:H),1))</f>
        <v>#DIV/0!</v>
      </c>
      <c r="F107" s="4" t="str">
        <f>IF(A107="","",IFERROR(ROUND(AVERAGEIFS(ASSESSMENTS!H:H,ASSESSMENTS!B:B,A107,ASSESSMENTS!E:E,"Mathematics"),1),""))</f>
        <v/>
      </c>
      <c r="G107" s="4" t="str">
        <f>IF(A107="","",IFERROR(ROUND(AVERAGEIFS(ASSESSMENTS!H:H,ASSESSMENTS!B:B,A107,ASSESSMENTS!E:E,"Mathematical Literacy"),1),""))</f>
        <v/>
      </c>
      <c r="H107" s="4" t="str">
        <f>IF(A107="","",IFERROR(ROUND(AVERAGEIFS(ASSESSMENTS!H:H,ASSESSMENTS!B:B,A107,ASSESSMENTS!E:E,"Physical Sciences"),1),""))</f>
        <v/>
      </c>
      <c r="I107" s="4" t="str">
        <f>IF(A107="","",IFERROR(ROUND(AVERAGEIFS(ASSESSMENTS!H:H,ASSESSMENTS!B:B,A107,ASSESSMENTS!E:E,"Geography"),1),""))</f>
        <v/>
      </c>
      <c r="J107" s="4" t="str">
        <f>IF(A107="","",IFERROR(ROUND(AVERAGEIFS(ASSESSMENTS!H:H,ASSESSMENTS!B:B,A107,ASSESSMENTS!E:E,"Accounting"),1),""))</f>
        <v/>
      </c>
      <c r="K107" s="4" t="str">
        <f>IF(A107="","",IFERROR(ROUND(AVERAGEIFS(ASSESSMENTS!H:H,ASSESSMENTS!B:B,A107,ASSESSMENTS!E:E,"English"),1),""))</f>
        <v/>
      </c>
      <c r="L107" s="5" t="str">
        <f>IF(A107="","",IFERROR(INDEX(ATTENDANCE_SUMMARY!G:G,MATCH(A107,ATTENDANCE_SUMMARY!A:A,0)),""))</f>
        <v/>
      </c>
      <c r="M107" s="4" t="str">
        <f t="shared" si="1"/>
        <v/>
      </c>
    </row>
    <row r="108" spans="1:13" x14ac:dyDescent="0.3">
      <c r="A108" t="str">
        <f>IF(MASTER_REGISTER!E108="","",MASTER_REGISTER!E108)</f>
        <v/>
      </c>
      <c r="B108" t="str">
        <f>IF(A108="","",MASTER_REGISTER!F108)</f>
        <v/>
      </c>
      <c r="C108" t="str">
        <f>IF(A108="","",MASTER_REGISTER!C108)</f>
        <v/>
      </c>
      <c r="D108" t="str">
        <f>IF(A108="","",COUNTIF(ASSESSMENTS!B:B,A108))</f>
        <v/>
      </c>
      <c r="E108" s="4" t="e">
        <f>IF(D108=0,"",ROUND(AVERAGEIF(ASSESSMENTS!B:B,A108,ASSESSMENTS!H:H),1))</f>
        <v>#DIV/0!</v>
      </c>
      <c r="F108" s="4" t="str">
        <f>IF(A108="","",IFERROR(ROUND(AVERAGEIFS(ASSESSMENTS!H:H,ASSESSMENTS!B:B,A108,ASSESSMENTS!E:E,"Mathematics"),1),""))</f>
        <v/>
      </c>
      <c r="G108" s="4" t="str">
        <f>IF(A108="","",IFERROR(ROUND(AVERAGEIFS(ASSESSMENTS!H:H,ASSESSMENTS!B:B,A108,ASSESSMENTS!E:E,"Mathematical Literacy"),1),""))</f>
        <v/>
      </c>
      <c r="H108" s="4" t="str">
        <f>IF(A108="","",IFERROR(ROUND(AVERAGEIFS(ASSESSMENTS!H:H,ASSESSMENTS!B:B,A108,ASSESSMENTS!E:E,"Physical Sciences"),1),""))</f>
        <v/>
      </c>
      <c r="I108" s="4" t="str">
        <f>IF(A108="","",IFERROR(ROUND(AVERAGEIFS(ASSESSMENTS!H:H,ASSESSMENTS!B:B,A108,ASSESSMENTS!E:E,"Geography"),1),""))</f>
        <v/>
      </c>
      <c r="J108" s="4" t="str">
        <f>IF(A108="","",IFERROR(ROUND(AVERAGEIFS(ASSESSMENTS!H:H,ASSESSMENTS!B:B,A108,ASSESSMENTS!E:E,"Accounting"),1),""))</f>
        <v/>
      </c>
      <c r="K108" s="4" t="str">
        <f>IF(A108="","",IFERROR(ROUND(AVERAGEIFS(ASSESSMENTS!H:H,ASSESSMENTS!B:B,A108,ASSESSMENTS!E:E,"English"),1),""))</f>
        <v/>
      </c>
      <c r="L108" s="5" t="str">
        <f>IF(A108="","",IFERROR(INDEX(ATTENDANCE_SUMMARY!G:G,MATCH(A108,ATTENDANCE_SUMMARY!A:A,0)),""))</f>
        <v/>
      </c>
      <c r="M108" s="4" t="str">
        <f t="shared" si="1"/>
        <v/>
      </c>
    </row>
    <row r="109" spans="1:13" x14ac:dyDescent="0.3">
      <c r="A109" t="str">
        <f>IF(MASTER_REGISTER!E109="","",MASTER_REGISTER!E109)</f>
        <v/>
      </c>
      <c r="B109" t="str">
        <f>IF(A109="","",MASTER_REGISTER!F109)</f>
        <v/>
      </c>
      <c r="C109" t="str">
        <f>IF(A109="","",MASTER_REGISTER!C109)</f>
        <v/>
      </c>
      <c r="D109" t="str">
        <f>IF(A109="","",COUNTIF(ASSESSMENTS!B:B,A109))</f>
        <v/>
      </c>
      <c r="E109" s="4" t="e">
        <f>IF(D109=0,"",ROUND(AVERAGEIF(ASSESSMENTS!B:B,A109,ASSESSMENTS!H:H),1))</f>
        <v>#DIV/0!</v>
      </c>
      <c r="F109" s="4" t="str">
        <f>IF(A109="","",IFERROR(ROUND(AVERAGEIFS(ASSESSMENTS!H:H,ASSESSMENTS!B:B,A109,ASSESSMENTS!E:E,"Mathematics"),1),""))</f>
        <v/>
      </c>
      <c r="G109" s="4" t="str">
        <f>IF(A109="","",IFERROR(ROUND(AVERAGEIFS(ASSESSMENTS!H:H,ASSESSMENTS!B:B,A109,ASSESSMENTS!E:E,"Mathematical Literacy"),1),""))</f>
        <v/>
      </c>
      <c r="H109" s="4" t="str">
        <f>IF(A109="","",IFERROR(ROUND(AVERAGEIFS(ASSESSMENTS!H:H,ASSESSMENTS!B:B,A109,ASSESSMENTS!E:E,"Physical Sciences"),1),""))</f>
        <v/>
      </c>
      <c r="I109" s="4" t="str">
        <f>IF(A109="","",IFERROR(ROUND(AVERAGEIFS(ASSESSMENTS!H:H,ASSESSMENTS!B:B,A109,ASSESSMENTS!E:E,"Geography"),1),""))</f>
        <v/>
      </c>
      <c r="J109" s="4" t="str">
        <f>IF(A109="","",IFERROR(ROUND(AVERAGEIFS(ASSESSMENTS!H:H,ASSESSMENTS!B:B,A109,ASSESSMENTS!E:E,"Accounting"),1),""))</f>
        <v/>
      </c>
      <c r="K109" s="4" t="str">
        <f>IF(A109="","",IFERROR(ROUND(AVERAGEIFS(ASSESSMENTS!H:H,ASSESSMENTS!B:B,A109,ASSESSMENTS!E:E,"English"),1),""))</f>
        <v/>
      </c>
      <c r="L109" s="5" t="str">
        <f>IF(A109="","",IFERROR(INDEX(ATTENDANCE_SUMMARY!G:G,MATCH(A109,ATTENDANCE_SUMMARY!A:A,0)),""))</f>
        <v/>
      </c>
      <c r="M109" s="4" t="str">
        <f t="shared" si="1"/>
        <v/>
      </c>
    </row>
    <row r="110" spans="1:13" x14ac:dyDescent="0.3">
      <c r="A110" t="str">
        <f>IF(MASTER_REGISTER!E110="","",MASTER_REGISTER!E110)</f>
        <v/>
      </c>
      <c r="B110" t="str">
        <f>IF(A110="","",MASTER_REGISTER!F110)</f>
        <v/>
      </c>
      <c r="C110" t="str">
        <f>IF(A110="","",MASTER_REGISTER!C110)</f>
        <v/>
      </c>
      <c r="D110" t="str">
        <f>IF(A110="","",COUNTIF(ASSESSMENTS!B:B,A110))</f>
        <v/>
      </c>
      <c r="E110" s="4" t="e">
        <f>IF(D110=0,"",ROUND(AVERAGEIF(ASSESSMENTS!B:B,A110,ASSESSMENTS!H:H),1))</f>
        <v>#DIV/0!</v>
      </c>
      <c r="F110" s="4" t="str">
        <f>IF(A110="","",IFERROR(ROUND(AVERAGEIFS(ASSESSMENTS!H:H,ASSESSMENTS!B:B,A110,ASSESSMENTS!E:E,"Mathematics"),1),""))</f>
        <v/>
      </c>
      <c r="G110" s="4" t="str">
        <f>IF(A110="","",IFERROR(ROUND(AVERAGEIFS(ASSESSMENTS!H:H,ASSESSMENTS!B:B,A110,ASSESSMENTS!E:E,"Mathematical Literacy"),1),""))</f>
        <v/>
      </c>
      <c r="H110" s="4" t="str">
        <f>IF(A110="","",IFERROR(ROUND(AVERAGEIFS(ASSESSMENTS!H:H,ASSESSMENTS!B:B,A110,ASSESSMENTS!E:E,"Physical Sciences"),1),""))</f>
        <v/>
      </c>
      <c r="I110" s="4" t="str">
        <f>IF(A110="","",IFERROR(ROUND(AVERAGEIFS(ASSESSMENTS!H:H,ASSESSMENTS!B:B,A110,ASSESSMENTS!E:E,"Geography"),1),""))</f>
        <v/>
      </c>
      <c r="J110" s="4" t="str">
        <f>IF(A110="","",IFERROR(ROUND(AVERAGEIFS(ASSESSMENTS!H:H,ASSESSMENTS!B:B,A110,ASSESSMENTS!E:E,"Accounting"),1),""))</f>
        <v/>
      </c>
      <c r="K110" s="4" t="str">
        <f>IF(A110="","",IFERROR(ROUND(AVERAGEIFS(ASSESSMENTS!H:H,ASSESSMENTS!B:B,A110,ASSESSMENTS!E:E,"English"),1),""))</f>
        <v/>
      </c>
      <c r="L110" s="5" t="str">
        <f>IF(A110="","",IFERROR(INDEX(ATTENDANCE_SUMMARY!G:G,MATCH(A110,ATTENDANCE_SUMMARY!A:A,0)),""))</f>
        <v/>
      </c>
      <c r="M110" s="4" t="str">
        <f t="shared" si="1"/>
        <v/>
      </c>
    </row>
    <row r="111" spans="1:13" x14ac:dyDescent="0.3">
      <c r="A111" t="str">
        <f>IF(MASTER_REGISTER!E111="","",MASTER_REGISTER!E111)</f>
        <v/>
      </c>
      <c r="B111" t="str">
        <f>IF(A111="","",MASTER_REGISTER!F111)</f>
        <v/>
      </c>
      <c r="C111" t="str">
        <f>IF(A111="","",MASTER_REGISTER!C111)</f>
        <v/>
      </c>
      <c r="D111" t="str">
        <f>IF(A111="","",COUNTIF(ASSESSMENTS!B:B,A111))</f>
        <v/>
      </c>
      <c r="E111" s="4" t="e">
        <f>IF(D111=0,"",ROUND(AVERAGEIF(ASSESSMENTS!B:B,A111,ASSESSMENTS!H:H),1))</f>
        <v>#DIV/0!</v>
      </c>
      <c r="F111" s="4" t="str">
        <f>IF(A111="","",IFERROR(ROUND(AVERAGEIFS(ASSESSMENTS!H:H,ASSESSMENTS!B:B,A111,ASSESSMENTS!E:E,"Mathematics"),1),""))</f>
        <v/>
      </c>
      <c r="G111" s="4" t="str">
        <f>IF(A111="","",IFERROR(ROUND(AVERAGEIFS(ASSESSMENTS!H:H,ASSESSMENTS!B:B,A111,ASSESSMENTS!E:E,"Mathematical Literacy"),1),""))</f>
        <v/>
      </c>
      <c r="H111" s="4" t="str">
        <f>IF(A111="","",IFERROR(ROUND(AVERAGEIFS(ASSESSMENTS!H:H,ASSESSMENTS!B:B,A111,ASSESSMENTS!E:E,"Physical Sciences"),1),""))</f>
        <v/>
      </c>
      <c r="I111" s="4" t="str">
        <f>IF(A111="","",IFERROR(ROUND(AVERAGEIFS(ASSESSMENTS!H:H,ASSESSMENTS!B:B,A111,ASSESSMENTS!E:E,"Geography"),1),""))</f>
        <v/>
      </c>
      <c r="J111" s="4" t="str">
        <f>IF(A111="","",IFERROR(ROUND(AVERAGEIFS(ASSESSMENTS!H:H,ASSESSMENTS!B:B,A111,ASSESSMENTS!E:E,"Accounting"),1),""))</f>
        <v/>
      </c>
      <c r="K111" s="4" t="str">
        <f>IF(A111="","",IFERROR(ROUND(AVERAGEIFS(ASSESSMENTS!H:H,ASSESSMENTS!B:B,A111,ASSESSMENTS!E:E,"English"),1),""))</f>
        <v/>
      </c>
      <c r="L111" s="5" t="str">
        <f>IF(A111="","",IFERROR(INDEX(ATTENDANCE_SUMMARY!G:G,MATCH(A111,ATTENDANCE_SUMMARY!A:A,0)),""))</f>
        <v/>
      </c>
      <c r="M111" s="4" t="str">
        <f t="shared" si="1"/>
        <v/>
      </c>
    </row>
    <row r="112" spans="1:13" x14ac:dyDescent="0.3">
      <c r="A112" t="str">
        <f>IF(MASTER_REGISTER!E112="","",MASTER_REGISTER!E112)</f>
        <v/>
      </c>
      <c r="B112" t="str">
        <f>IF(A112="","",MASTER_REGISTER!F112)</f>
        <v/>
      </c>
      <c r="C112" t="str">
        <f>IF(A112="","",MASTER_REGISTER!C112)</f>
        <v/>
      </c>
      <c r="D112" t="str">
        <f>IF(A112="","",COUNTIF(ASSESSMENTS!B:B,A112))</f>
        <v/>
      </c>
      <c r="E112" s="4" t="e">
        <f>IF(D112=0,"",ROUND(AVERAGEIF(ASSESSMENTS!B:B,A112,ASSESSMENTS!H:H),1))</f>
        <v>#DIV/0!</v>
      </c>
      <c r="F112" s="4" t="str">
        <f>IF(A112="","",IFERROR(ROUND(AVERAGEIFS(ASSESSMENTS!H:H,ASSESSMENTS!B:B,A112,ASSESSMENTS!E:E,"Mathematics"),1),""))</f>
        <v/>
      </c>
      <c r="G112" s="4" t="str">
        <f>IF(A112="","",IFERROR(ROUND(AVERAGEIFS(ASSESSMENTS!H:H,ASSESSMENTS!B:B,A112,ASSESSMENTS!E:E,"Mathematical Literacy"),1),""))</f>
        <v/>
      </c>
      <c r="H112" s="4" t="str">
        <f>IF(A112="","",IFERROR(ROUND(AVERAGEIFS(ASSESSMENTS!H:H,ASSESSMENTS!B:B,A112,ASSESSMENTS!E:E,"Physical Sciences"),1),""))</f>
        <v/>
      </c>
      <c r="I112" s="4" t="str">
        <f>IF(A112="","",IFERROR(ROUND(AVERAGEIFS(ASSESSMENTS!H:H,ASSESSMENTS!B:B,A112,ASSESSMENTS!E:E,"Geography"),1),""))</f>
        <v/>
      </c>
      <c r="J112" s="4" t="str">
        <f>IF(A112="","",IFERROR(ROUND(AVERAGEIFS(ASSESSMENTS!H:H,ASSESSMENTS!B:B,A112,ASSESSMENTS!E:E,"Accounting"),1),""))</f>
        <v/>
      </c>
      <c r="K112" s="4" t="str">
        <f>IF(A112="","",IFERROR(ROUND(AVERAGEIFS(ASSESSMENTS!H:H,ASSESSMENTS!B:B,A112,ASSESSMENTS!E:E,"English"),1),""))</f>
        <v/>
      </c>
      <c r="L112" s="5" t="str">
        <f>IF(A112="","",IFERROR(INDEX(ATTENDANCE_SUMMARY!G:G,MATCH(A112,ATTENDANCE_SUMMARY!A:A,0)),""))</f>
        <v/>
      </c>
      <c r="M112" s="4" t="str">
        <f t="shared" si="1"/>
        <v/>
      </c>
    </row>
    <row r="113" spans="1:13" x14ac:dyDescent="0.3">
      <c r="A113" t="str">
        <f>IF(MASTER_REGISTER!E113="","",MASTER_REGISTER!E113)</f>
        <v/>
      </c>
      <c r="B113" t="str">
        <f>IF(A113="","",MASTER_REGISTER!F113)</f>
        <v/>
      </c>
      <c r="C113" t="str">
        <f>IF(A113="","",MASTER_REGISTER!C113)</f>
        <v/>
      </c>
      <c r="D113" t="str">
        <f>IF(A113="","",COUNTIF(ASSESSMENTS!B:B,A113))</f>
        <v/>
      </c>
      <c r="E113" s="4" t="e">
        <f>IF(D113=0,"",ROUND(AVERAGEIF(ASSESSMENTS!B:B,A113,ASSESSMENTS!H:H),1))</f>
        <v>#DIV/0!</v>
      </c>
      <c r="F113" s="4" t="str">
        <f>IF(A113="","",IFERROR(ROUND(AVERAGEIFS(ASSESSMENTS!H:H,ASSESSMENTS!B:B,A113,ASSESSMENTS!E:E,"Mathematics"),1),""))</f>
        <v/>
      </c>
      <c r="G113" s="4" t="str">
        <f>IF(A113="","",IFERROR(ROUND(AVERAGEIFS(ASSESSMENTS!H:H,ASSESSMENTS!B:B,A113,ASSESSMENTS!E:E,"Mathematical Literacy"),1),""))</f>
        <v/>
      </c>
      <c r="H113" s="4" t="str">
        <f>IF(A113="","",IFERROR(ROUND(AVERAGEIFS(ASSESSMENTS!H:H,ASSESSMENTS!B:B,A113,ASSESSMENTS!E:E,"Physical Sciences"),1),""))</f>
        <v/>
      </c>
      <c r="I113" s="4" t="str">
        <f>IF(A113="","",IFERROR(ROUND(AVERAGEIFS(ASSESSMENTS!H:H,ASSESSMENTS!B:B,A113,ASSESSMENTS!E:E,"Geography"),1),""))</f>
        <v/>
      </c>
      <c r="J113" s="4" t="str">
        <f>IF(A113="","",IFERROR(ROUND(AVERAGEIFS(ASSESSMENTS!H:H,ASSESSMENTS!B:B,A113,ASSESSMENTS!E:E,"Accounting"),1),""))</f>
        <v/>
      </c>
      <c r="K113" s="4" t="str">
        <f>IF(A113="","",IFERROR(ROUND(AVERAGEIFS(ASSESSMENTS!H:H,ASSESSMENTS!B:B,A113,ASSESSMENTS!E:E,"English"),1),""))</f>
        <v/>
      </c>
      <c r="L113" s="5" t="str">
        <f>IF(A113="","",IFERROR(INDEX(ATTENDANCE_SUMMARY!G:G,MATCH(A113,ATTENDANCE_SUMMARY!A:A,0)),""))</f>
        <v/>
      </c>
      <c r="M113" s="4" t="str">
        <f t="shared" si="1"/>
        <v/>
      </c>
    </row>
    <row r="114" spans="1:13" x14ac:dyDescent="0.3">
      <c r="A114" t="str">
        <f>IF(MASTER_REGISTER!E114="","",MASTER_REGISTER!E114)</f>
        <v/>
      </c>
      <c r="B114" t="str">
        <f>IF(A114="","",MASTER_REGISTER!F114)</f>
        <v/>
      </c>
      <c r="C114" t="str">
        <f>IF(A114="","",MASTER_REGISTER!C114)</f>
        <v/>
      </c>
      <c r="D114" t="str">
        <f>IF(A114="","",COUNTIF(ASSESSMENTS!B:B,A114))</f>
        <v/>
      </c>
      <c r="E114" s="4" t="e">
        <f>IF(D114=0,"",ROUND(AVERAGEIF(ASSESSMENTS!B:B,A114,ASSESSMENTS!H:H),1))</f>
        <v>#DIV/0!</v>
      </c>
      <c r="F114" s="4" t="str">
        <f>IF(A114="","",IFERROR(ROUND(AVERAGEIFS(ASSESSMENTS!H:H,ASSESSMENTS!B:B,A114,ASSESSMENTS!E:E,"Mathematics"),1),""))</f>
        <v/>
      </c>
      <c r="G114" s="4" t="str">
        <f>IF(A114="","",IFERROR(ROUND(AVERAGEIFS(ASSESSMENTS!H:H,ASSESSMENTS!B:B,A114,ASSESSMENTS!E:E,"Mathematical Literacy"),1),""))</f>
        <v/>
      </c>
      <c r="H114" s="4" t="str">
        <f>IF(A114="","",IFERROR(ROUND(AVERAGEIFS(ASSESSMENTS!H:H,ASSESSMENTS!B:B,A114,ASSESSMENTS!E:E,"Physical Sciences"),1),""))</f>
        <v/>
      </c>
      <c r="I114" s="4" t="str">
        <f>IF(A114="","",IFERROR(ROUND(AVERAGEIFS(ASSESSMENTS!H:H,ASSESSMENTS!B:B,A114,ASSESSMENTS!E:E,"Geography"),1),""))</f>
        <v/>
      </c>
      <c r="J114" s="4" t="str">
        <f>IF(A114="","",IFERROR(ROUND(AVERAGEIFS(ASSESSMENTS!H:H,ASSESSMENTS!B:B,A114,ASSESSMENTS!E:E,"Accounting"),1),""))</f>
        <v/>
      </c>
      <c r="K114" s="4" t="str">
        <f>IF(A114="","",IFERROR(ROUND(AVERAGEIFS(ASSESSMENTS!H:H,ASSESSMENTS!B:B,A114,ASSESSMENTS!E:E,"English"),1),""))</f>
        <v/>
      </c>
      <c r="L114" s="5" t="str">
        <f>IF(A114="","",IFERROR(INDEX(ATTENDANCE_SUMMARY!G:G,MATCH(A114,ATTENDANCE_SUMMARY!A:A,0)),""))</f>
        <v/>
      </c>
      <c r="M114" s="4" t="str">
        <f t="shared" si="1"/>
        <v/>
      </c>
    </row>
    <row r="115" spans="1:13" x14ac:dyDescent="0.3">
      <c r="A115" t="str">
        <f>IF(MASTER_REGISTER!E115="","",MASTER_REGISTER!E115)</f>
        <v/>
      </c>
      <c r="B115" t="str">
        <f>IF(A115="","",MASTER_REGISTER!F115)</f>
        <v/>
      </c>
      <c r="C115" t="str">
        <f>IF(A115="","",MASTER_REGISTER!C115)</f>
        <v/>
      </c>
      <c r="D115" t="str">
        <f>IF(A115="","",COUNTIF(ASSESSMENTS!B:B,A115))</f>
        <v/>
      </c>
      <c r="E115" s="4" t="e">
        <f>IF(D115=0,"",ROUND(AVERAGEIF(ASSESSMENTS!B:B,A115,ASSESSMENTS!H:H),1))</f>
        <v>#DIV/0!</v>
      </c>
      <c r="F115" s="4" t="str">
        <f>IF(A115="","",IFERROR(ROUND(AVERAGEIFS(ASSESSMENTS!H:H,ASSESSMENTS!B:B,A115,ASSESSMENTS!E:E,"Mathematics"),1),""))</f>
        <v/>
      </c>
      <c r="G115" s="4" t="str">
        <f>IF(A115="","",IFERROR(ROUND(AVERAGEIFS(ASSESSMENTS!H:H,ASSESSMENTS!B:B,A115,ASSESSMENTS!E:E,"Mathematical Literacy"),1),""))</f>
        <v/>
      </c>
      <c r="H115" s="4" t="str">
        <f>IF(A115="","",IFERROR(ROUND(AVERAGEIFS(ASSESSMENTS!H:H,ASSESSMENTS!B:B,A115,ASSESSMENTS!E:E,"Physical Sciences"),1),""))</f>
        <v/>
      </c>
      <c r="I115" s="4" t="str">
        <f>IF(A115="","",IFERROR(ROUND(AVERAGEIFS(ASSESSMENTS!H:H,ASSESSMENTS!B:B,A115,ASSESSMENTS!E:E,"Geography"),1),""))</f>
        <v/>
      </c>
      <c r="J115" s="4" t="str">
        <f>IF(A115="","",IFERROR(ROUND(AVERAGEIFS(ASSESSMENTS!H:H,ASSESSMENTS!B:B,A115,ASSESSMENTS!E:E,"Accounting"),1),""))</f>
        <v/>
      </c>
      <c r="K115" s="4" t="str">
        <f>IF(A115="","",IFERROR(ROUND(AVERAGEIFS(ASSESSMENTS!H:H,ASSESSMENTS!B:B,A115,ASSESSMENTS!E:E,"English"),1),""))</f>
        <v/>
      </c>
      <c r="L115" s="5" t="str">
        <f>IF(A115="","",IFERROR(INDEX(ATTENDANCE_SUMMARY!G:G,MATCH(A115,ATTENDANCE_SUMMARY!A:A,0)),""))</f>
        <v/>
      </c>
      <c r="M115" s="4" t="str">
        <f t="shared" si="1"/>
        <v/>
      </c>
    </row>
    <row r="116" spans="1:13" x14ac:dyDescent="0.3">
      <c r="A116" t="str">
        <f>IF(MASTER_REGISTER!E116="","",MASTER_REGISTER!E116)</f>
        <v/>
      </c>
      <c r="B116" t="str">
        <f>IF(A116="","",MASTER_REGISTER!F116)</f>
        <v/>
      </c>
      <c r="C116" t="str">
        <f>IF(A116="","",MASTER_REGISTER!C116)</f>
        <v/>
      </c>
      <c r="D116" t="str">
        <f>IF(A116="","",COUNTIF(ASSESSMENTS!B:B,A116))</f>
        <v/>
      </c>
      <c r="E116" s="4" t="e">
        <f>IF(D116=0,"",ROUND(AVERAGEIF(ASSESSMENTS!B:B,A116,ASSESSMENTS!H:H),1))</f>
        <v>#DIV/0!</v>
      </c>
      <c r="F116" s="4" t="str">
        <f>IF(A116="","",IFERROR(ROUND(AVERAGEIFS(ASSESSMENTS!H:H,ASSESSMENTS!B:B,A116,ASSESSMENTS!E:E,"Mathematics"),1),""))</f>
        <v/>
      </c>
      <c r="G116" s="4" t="str">
        <f>IF(A116="","",IFERROR(ROUND(AVERAGEIFS(ASSESSMENTS!H:H,ASSESSMENTS!B:B,A116,ASSESSMENTS!E:E,"Mathematical Literacy"),1),""))</f>
        <v/>
      </c>
      <c r="H116" s="4" t="str">
        <f>IF(A116="","",IFERROR(ROUND(AVERAGEIFS(ASSESSMENTS!H:H,ASSESSMENTS!B:B,A116,ASSESSMENTS!E:E,"Physical Sciences"),1),""))</f>
        <v/>
      </c>
      <c r="I116" s="4" t="str">
        <f>IF(A116="","",IFERROR(ROUND(AVERAGEIFS(ASSESSMENTS!H:H,ASSESSMENTS!B:B,A116,ASSESSMENTS!E:E,"Geography"),1),""))</f>
        <v/>
      </c>
      <c r="J116" s="4" t="str">
        <f>IF(A116="","",IFERROR(ROUND(AVERAGEIFS(ASSESSMENTS!H:H,ASSESSMENTS!B:B,A116,ASSESSMENTS!E:E,"Accounting"),1),""))</f>
        <v/>
      </c>
      <c r="K116" s="4" t="str">
        <f>IF(A116="","",IFERROR(ROUND(AVERAGEIFS(ASSESSMENTS!H:H,ASSESSMENTS!B:B,A116,ASSESSMENTS!E:E,"English"),1),""))</f>
        <v/>
      </c>
      <c r="L116" s="5" t="str">
        <f>IF(A116="","",IFERROR(INDEX(ATTENDANCE_SUMMARY!G:G,MATCH(A116,ATTENDANCE_SUMMARY!A:A,0)),""))</f>
        <v/>
      </c>
      <c r="M116" s="4" t="str">
        <f t="shared" si="1"/>
        <v/>
      </c>
    </row>
    <row r="117" spans="1:13" x14ac:dyDescent="0.3">
      <c r="A117" t="str">
        <f>IF(MASTER_REGISTER!E117="","",MASTER_REGISTER!E117)</f>
        <v/>
      </c>
      <c r="B117" t="str">
        <f>IF(A117="","",MASTER_REGISTER!F117)</f>
        <v/>
      </c>
      <c r="C117" t="str">
        <f>IF(A117="","",MASTER_REGISTER!C117)</f>
        <v/>
      </c>
      <c r="D117" t="str">
        <f>IF(A117="","",COUNTIF(ASSESSMENTS!B:B,A117))</f>
        <v/>
      </c>
      <c r="E117" s="4" t="e">
        <f>IF(D117=0,"",ROUND(AVERAGEIF(ASSESSMENTS!B:B,A117,ASSESSMENTS!H:H),1))</f>
        <v>#DIV/0!</v>
      </c>
      <c r="F117" s="4" t="str">
        <f>IF(A117="","",IFERROR(ROUND(AVERAGEIFS(ASSESSMENTS!H:H,ASSESSMENTS!B:B,A117,ASSESSMENTS!E:E,"Mathematics"),1),""))</f>
        <v/>
      </c>
      <c r="G117" s="4" t="str">
        <f>IF(A117="","",IFERROR(ROUND(AVERAGEIFS(ASSESSMENTS!H:H,ASSESSMENTS!B:B,A117,ASSESSMENTS!E:E,"Mathematical Literacy"),1),""))</f>
        <v/>
      </c>
      <c r="H117" s="4" t="str">
        <f>IF(A117="","",IFERROR(ROUND(AVERAGEIFS(ASSESSMENTS!H:H,ASSESSMENTS!B:B,A117,ASSESSMENTS!E:E,"Physical Sciences"),1),""))</f>
        <v/>
      </c>
      <c r="I117" s="4" t="str">
        <f>IF(A117="","",IFERROR(ROUND(AVERAGEIFS(ASSESSMENTS!H:H,ASSESSMENTS!B:B,A117,ASSESSMENTS!E:E,"Geography"),1),""))</f>
        <v/>
      </c>
      <c r="J117" s="4" t="str">
        <f>IF(A117="","",IFERROR(ROUND(AVERAGEIFS(ASSESSMENTS!H:H,ASSESSMENTS!B:B,A117,ASSESSMENTS!E:E,"Accounting"),1),""))</f>
        <v/>
      </c>
      <c r="K117" s="4" t="str">
        <f>IF(A117="","",IFERROR(ROUND(AVERAGEIFS(ASSESSMENTS!H:H,ASSESSMENTS!B:B,A117,ASSESSMENTS!E:E,"English"),1),""))</f>
        <v/>
      </c>
      <c r="L117" s="5" t="str">
        <f>IF(A117="","",IFERROR(INDEX(ATTENDANCE_SUMMARY!G:G,MATCH(A117,ATTENDANCE_SUMMARY!A:A,0)),""))</f>
        <v/>
      </c>
      <c r="M117" s="4" t="str">
        <f t="shared" si="1"/>
        <v/>
      </c>
    </row>
    <row r="118" spans="1:13" x14ac:dyDescent="0.3">
      <c r="A118" t="str">
        <f>IF(MASTER_REGISTER!E118="","",MASTER_REGISTER!E118)</f>
        <v/>
      </c>
      <c r="B118" t="str">
        <f>IF(A118="","",MASTER_REGISTER!F118)</f>
        <v/>
      </c>
      <c r="C118" t="str">
        <f>IF(A118="","",MASTER_REGISTER!C118)</f>
        <v/>
      </c>
      <c r="D118" t="str">
        <f>IF(A118="","",COUNTIF(ASSESSMENTS!B:B,A118))</f>
        <v/>
      </c>
      <c r="E118" s="4" t="e">
        <f>IF(D118=0,"",ROUND(AVERAGEIF(ASSESSMENTS!B:B,A118,ASSESSMENTS!H:H),1))</f>
        <v>#DIV/0!</v>
      </c>
      <c r="F118" s="4" t="str">
        <f>IF(A118="","",IFERROR(ROUND(AVERAGEIFS(ASSESSMENTS!H:H,ASSESSMENTS!B:B,A118,ASSESSMENTS!E:E,"Mathematics"),1),""))</f>
        <v/>
      </c>
      <c r="G118" s="4" t="str">
        <f>IF(A118="","",IFERROR(ROUND(AVERAGEIFS(ASSESSMENTS!H:H,ASSESSMENTS!B:B,A118,ASSESSMENTS!E:E,"Mathematical Literacy"),1),""))</f>
        <v/>
      </c>
      <c r="H118" s="4" t="str">
        <f>IF(A118="","",IFERROR(ROUND(AVERAGEIFS(ASSESSMENTS!H:H,ASSESSMENTS!B:B,A118,ASSESSMENTS!E:E,"Physical Sciences"),1),""))</f>
        <v/>
      </c>
      <c r="I118" s="4" t="str">
        <f>IF(A118="","",IFERROR(ROUND(AVERAGEIFS(ASSESSMENTS!H:H,ASSESSMENTS!B:B,A118,ASSESSMENTS!E:E,"Geography"),1),""))</f>
        <v/>
      </c>
      <c r="J118" s="4" t="str">
        <f>IF(A118="","",IFERROR(ROUND(AVERAGEIFS(ASSESSMENTS!H:H,ASSESSMENTS!B:B,A118,ASSESSMENTS!E:E,"Accounting"),1),""))</f>
        <v/>
      </c>
      <c r="K118" s="4" t="str">
        <f>IF(A118="","",IFERROR(ROUND(AVERAGEIFS(ASSESSMENTS!H:H,ASSESSMENTS!B:B,A118,ASSESSMENTS!E:E,"English"),1),""))</f>
        <v/>
      </c>
      <c r="L118" s="5" t="str">
        <f>IF(A118="","",IFERROR(INDEX(ATTENDANCE_SUMMARY!G:G,MATCH(A118,ATTENDANCE_SUMMARY!A:A,0)),""))</f>
        <v/>
      </c>
      <c r="M118" s="4" t="str">
        <f t="shared" si="1"/>
        <v/>
      </c>
    </row>
    <row r="119" spans="1:13" x14ac:dyDescent="0.3">
      <c r="A119" t="str">
        <f>IF(MASTER_REGISTER!E119="","",MASTER_REGISTER!E119)</f>
        <v/>
      </c>
      <c r="B119" t="str">
        <f>IF(A119="","",MASTER_REGISTER!F119)</f>
        <v/>
      </c>
      <c r="C119" t="str">
        <f>IF(A119="","",MASTER_REGISTER!C119)</f>
        <v/>
      </c>
      <c r="D119" t="str">
        <f>IF(A119="","",COUNTIF(ASSESSMENTS!B:B,A119))</f>
        <v/>
      </c>
      <c r="E119" s="4" t="e">
        <f>IF(D119=0,"",ROUND(AVERAGEIF(ASSESSMENTS!B:B,A119,ASSESSMENTS!H:H),1))</f>
        <v>#DIV/0!</v>
      </c>
      <c r="F119" s="4" t="str">
        <f>IF(A119="","",IFERROR(ROUND(AVERAGEIFS(ASSESSMENTS!H:H,ASSESSMENTS!B:B,A119,ASSESSMENTS!E:E,"Mathematics"),1),""))</f>
        <v/>
      </c>
      <c r="G119" s="4" t="str">
        <f>IF(A119="","",IFERROR(ROUND(AVERAGEIFS(ASSESSMENTS!H:H,ASSESSMENTS!B:B,A119,ASSESSMENTS!E:E,"Mathematical Literacy"),1),""))</f>
        <v/>
      </c>
      <c r="H119" s="4" t="str">
        <f>IF(A119="","",IFERROR(ROUND(AVERAGEIFS(ASSESSMENTS!H:H,ASSESSMENTS!B:B,A119,ASSESSMENTS!E:E,"Physical Sciences"),1),""))</f>
        <v/>
      </c>
      <c r="I119" s="4" t="str">
        <f>IF(A119="","",IFERROR(ROUND(AVERAGEIFS(ASSESSMENTS!H:H,ASSESSMENTS!B:B,A119,ASSESSMENTS!E:E,"Geography"),1),""))</f>
        <v/>
      </c>
      <c r="J119" s="4" t="str">
        <f>IF(A119="","",IFERROR(ROUND(AVERAGEIFS(ASSESSMENTS!H:H,ASSESSMENTS!B:B,A119,ASSESSMENTS!E:E,"Accounting"),1),""))</f>
        <v/>
      </c>
      <c r="K119" s="4" t="str">
        <f>IF(A119="","",IFERROR(ROUND(AVERAGEIFS(ASSESSMENTS!H:H,ASSESSMENTS!B:B,A119,ASSESSMENTS!E:E,"English"),1),""))</f>
        <v/>
      </c>
      <c r="L119" s="5" t="str">
        <f>IF(A119="","",IFERROR(INDEX(ATTENDANCE_SUMMARY!G:G,MATCH(A119,ATTENDANCE_SUMMARY!A:A,0)),""))</f>
        <v/>
      </c>
      <c r="M119" s="4" t="str">
        <f t="shared" si="1"/>
        <v/>
      </c>
    </row>
    <row r="120" spans="1:13" x14ac:dyDescent="0.3">
      <c r="A120" t="str">
        <f>IF(MASTER_REGISTER!E120="","",MASTER_REGISTER!E120)</f>
        <v/>
      </c>
      <c r="B120" t="str">
        <f>IF(A120="","",MASTER_REGISTER!F120)</f>
        <v/>
      </c>
      <c r="C120" t="str">
        <f>IF(A120="","",MASTER_REGISTER!C120)</f>
        <v/>
      </c>
      <c r="D120" t="str">
        <f>IF(A120="","",COUNTIF(ASSESSMENTS!B:B,A120))</f>
        <v/>
      </c>
      <c r="E120" s="4" t="e">
        <f>IF(D120=0,"",ROUND(AVERAGEIF(ASSESSMENTS!B:B,A120,ASSESSMENTS!H:H),1))</f>
        <v>#DIV/0!</v>
      </c>
      <c r="F120" s="4" t="str">
        <f>IF(A120="","",IFERROR(ROUND(AVERAGEIFS(ASSESSMENTS!H:H,ASSESSMENTS!B:B,A120,ASSESSMENTS!E:E,"Mathematics"),1),""))</f>
        <v/>
      </c>
      <c r="G120" s="4" t="str">
        <f>IF(A120="","",IFERROR(ROUND(AVERAGEIFS(ASSESSMENTS!H:H,ASSESSMENTS!B:B,A120,ASSESSMENTS!E:E,"Mathematical Literacy"),1),""))</f>
        <v/>
      </c>
      <c r="H120" s="4" t="str">
        <f>IF(A120="","",IFERROR(ROUND(AVERAGEIFS(ASSESSMENTS!H:H,ASSESSMENTS!B:B,A120,ASSESSMENTS!E:E,"Physical Sciences"),1),""))</f>
        <v/>
      </c>
      <c r="I120" s="4" t="str">
        <f>IF(A120="","",IFERROR(ROUND(AVERAGEIFS(ASSESSMENTS!H:H,ASSESSMENTS!B:B,A120,ASSESSMENTS!E:E,"Geography"),1),""))</f>
        <v/>
      </c>
      <c r="J120" s="4" t="str">
        <f>IF(A120="","",IFERROR(ROUND(AVERAGEIFS(ASSESSMENTS!H:H,ASSESSMENTS!B:B,A120,ASSESSMENTS!E:E,"Accounting"),1),""))</f>
        <v/>
      </c>
      <c r="K120" s="4" t="str">
        <f>IF(A120="","",IFERROR(ROUND(AVERAGEIFS(ASSESSMENTS!H:H,ASSESSMENTS!B:B,A120,ASSESSMENTS!E:E,"English"),1),""))</f>
        <v/>
      </c>
      <c r="L120" s="5" t="str">
        <f>IF(A120="","",IFERROR(INDEX(ATTENDANCE_SUMMARY!G:G,MATCH(A120,ATTENDANCE_SUMMARY!A:A,0)),""))</f>
        <v/>
      </c>
      <c r="M120" s="4" t="str">
        <f t="shared" si="1"/>
        <v/>
      </c>
    </row>
    <row r="121" spans="1:13" x14ac:dyDescent="0.3">
      <c r="A121" t="str">
        <f>IF(MASTER_REGISTER!E121="","",MASTER_REGISTER!E121)</f>
        <v/>
      </c>
      <c r="B121" t="str">
        <f>IF(A121="","",MASTER_REGISTER!F121)</f>
        <v/>
      </c>
      <c r="C121" t="str">
        <f>IF(A121="","",MASTER_REGISTER!C121)</f>
        <v/>
      </c>
      <c r="D121" t="str">
        <f>IF(A121="","",COUNTIF(ASSESSMENTS!B:B,A121))</f>
        <v/>
      </c>
      <c r="E121" s="4" t="e">
        <f>IF(D121=0,"",ROUND(AVERAGEIF(ASSESSMENTS!B:B,A121,ASSESSMENTS!H:H),1))</f>
        <v>#DIV/0!</v>
      </c>
      <c r="F121" s="4" t="str">
        <f>IF(A121="","",IFERROR(ROUND(AVERAGEIFS(ASSESSMENTS!H:H,ASSESSMENTS!B:B,A121,ASSESSMENTS!E:E,"Mathematics"),1),""))</f>
        <v/>
      </c>
      <c r="G121" s="4" t="str">
        <f>IF(A121="","",IFERROR(ROUND(AVERAGEIFS(ASSESSMENTS!H:H,ASSESSMENTS!B:B,A121,ASSESSMENTS!E:E,"Mathematical Literacy"),1),""))</f>
        <v/>
      </c>
      <c r="H121" s="4" t="str">
        <f>IF(A121="","",IFERROR(ROUND(AVERAGEIFS(ASSESSMENTS!H:H,ASSESSMENTS!B:B,A121,ASSESSMENTS!E:E,"Physical Sciences"),1),""))</f>
        <v/>
      </c>
      <c r="I121" s="4" t="str">
        <f>IF(A121="","",IFERROR(ROUND(AVERAGEIFS(ASSESSMENTS!H:H,ASSESSMENTS!B:B,A121,ASSESSMENTS!E:E,"Geography"),1),""))</f>
        <v/>
      </c>
      <c r="J121" s="4" t="str">
        <f>IF(A121="","",IFERROR(ROUND(AVERAGEIFS(ASSESSMENTS!H:H,ASSESSMENTS!B:B,A121,ASSESSMENTS!E:E,"Accounting"),1),""))</f>
        <v/>
      </c>
      <c r="K121" s="4" t="str">
        <f>IF(A121="","",IFERROR(ROUND(AVERAGEIFS(ASSESSMENTS!H:H,ASSESSMENTS!B:B,A121,ASSESSMENTS!E:E,"English"),1),""))</f>
        <v/>
      </c>
      <c r="L121" s="5" t="str">
        <f>IF(A121="","",IFERROR(INDEX(ATTENDANCE_SUMMARY!G:G,MATCH(A121,ATTENDANCE_SUMMARY!A:A,0)),""))</f>
        <v/>
      </c>
      <c r="M121" s="4" t="str">
        <f t="shared" si="1"/>
        <v/>
      </c>
    </row>
    <row r="122" spans="1:13" x14ac:dyDescent="0.3">
      <c r="A122" t="str">
        <f>IF(MASTER_REGISTER!E122="","",MASTER_REGISTER!E122)</f>
        <v/>
      </c>
      <c r="B122" t="str">
        <f>IF(A122="","",MASTER_REGISTER!F122)</f>
        <v/>
      </c>
      <c r="C122" t="str">
        <f>IF(A122="","",MASTER_REGISTER!C122)</f>
        <v/>
      </c>
      <c r="D122" t="str">
        <f>IF(A122="","",COUNTIF(ASSESSMENTS!B:B,A122))</f>
        <v/>
      </c>
      <c r="E122" s="4" t="e">
        <f>IF(D122=0,"",ROUND(AVERAGEIF(ASSESSMENTS!B:B,A122,ASSESSMENTS!H:H),1))</f>
        <v>#DIV/0!</v>
      </c>
      <c r="F122" s="4" t="str">
        <f>IF(A122="","",IFERROR(ROUND(AVERAGEIFS(ASSESSMENTS!H:H,ASSESSMENTS!B:B,A122,ASSESSMENTS!E:E,"Mathematics"),1),""))</f>
        <v/>
      </c>
      <c r="G122" s="4" t="str">
        <f>IF(A122="","",IFERROR(ROUND(AVERAGEIFS(ASSESSMENTS!H:H,ASSESSMENTS!B:B,A122,ASSESSMENTS!E:E,"Mathematical Literacy"),1),""))</f>
        <v/>
      </c>
      <c r="H122" s="4" t="str">
        <f>IF(A122="","",IFERROR(ROUND(AVERAGEIFS(ASSESSMENTS!H:H,ASSESSMENTS!B:B,A122,ASSESSMENTS!E:E,"Physical Sciences"),1),""))</f>
        <v/>
      </c>
      <c r="I122" s="4" t="str">
        <f>IF(A122="","",IFERROR(ROUND(AVERAGEIFS(ASSESSMENTS!H:H,ASSESSMENTS!B:B,A122,ASSESSMENTS!E:E,"Geography"),1),""))</f>
        <v/>
      </c>
      <c r="J122" s="4" t="str">
        <f>IF(A122="","",IFERROR(ROUND(AVERAGEIFS(ASSESSMENTS!H:H,ASSESSMENTS!B:B,A122,ASSESSMENTS!E:E,"Accounting"),1),""))</f>
        <v/>
      </c>
      <c r="K122" s="4" t="str">
        <f>IF(A122="","",IFERROR(ROUND(AVERAGEIFS(ASSESSMENTS!H:H,ASSESSMENTS!B:B,A122,ASSESSMENTS!E:E,"English"),1),""))</f>
        <v/>
      </c>
      <c r="L122" s="5" t="str">
        <f>IF(A122="","",IFERROR(INDEX(ATTENDANCE_SUMMARY!G:G,MATCH(A122,ATTENDANCE_SUMMARY!A:A,0)),""))</f>
        <v/>
      </c>
      <c r="M122" s="4" t="str">
        <f t="shared" si="1"/>
        <v/>
      </c>
    </row>
    <row r="123" spans="1:13" x14ac:dyDescent="0.3">
      <c r="A123" t="str">
        <f>IF(MASTER_REGISTER!E123="","",MASTER_REGISTER!E123)</f>
        <v/>
      </c>
      <c r="B123" t="str">
        <f>IF(A123="","",MASTER_REGISTER!F123)</f>
        <v/>
      </c>
      <c r="C123" t="str">
        <f>IF(A123="","",MASTER_REGISTER!C123)</f>
        <v/>
      </c>
      <c r="D123" t="str">
        <f>IF(A123="","",COUNTIF(ASSESSMENTS!B:B,A123))</f>
        <v/>
      </c>
      <c r="E123" s="4" t="e">
        <f>IF(D123=0,"",ROUND(AVERAGEIF(ASSESSMENTS!B:B,A123,ASSESSMENTS!H:H),1))</f>
        <v>#DIV/0!</v>
      </c>
      <c r="F123" s="4" t="str">
        <f>IF(A123="","",IFERROR(ROUND(AVERAGEIFS(ASSESSMENTS!H:H,ASSESSMENTS!B:B,A123,ASSESSMENTS!E:E,"Mathematics"),1),""))</f>
        <v/>
      </c>
      <c r="G123" s="4" t="str">
        <f>IF(A123="","",IFERROR(ROUND(AVERAGEIFS(ASSESSMENTS!H:H,ASSESSMENTS!B:B,A123,ASSESSMENTS!E:E,"Mathematical Literacy"),1),""))</f>
        <v/>
      </c>
      <c r="H123" s="4" t="str">
        <f>IF(A123="","",IFERROR(ROUND(AVERAGEIFS(ASSESSMENTS!H:H,ASSESSMENTS!B:B,A123,ASSESSMENTS!E:E,"Physical Sciences"),1),""))</f>
        <v/>
      </c>
      <c r="I123" s="4" t="str">
        <f>IF(A123="","",IFERROR(ROUND(AVERAGEIFS(ASSESSMENTS!H:H,ASSESSMENTS!B:B,A123,ASSESSMENTS!E:E,"Geography"),1),""))</f>
        <v/>
      </c>
      <c r="J123" s="4" t="str">
        <f>IF(A123="","",IFERROR(ROUND(AVERAGEIFS(ASSESSMENTS!H:H,ASSESSMENTS!B:B,A123,ASSESSMENTS!E:E,"Accounting"),1),""))</f>
        <v/>
      </c>
      <c r="K123" s="4" t="str">
        <f>IF(A123="","",IFERROR(ROUND(AVERAGEIFS(ASSESSMENTS!H:H,ASSESSMENTS!B:B,A123,ASSESSMENTS!E:E,"English"),1),""))</f>
        <v/>
      </c>
      <c r="L123" s="5" t="str">
        <f>IF(A123="","",IFERROR(INDEX(ATTENDANCE_SUMMARY!G:G,MATCH(A123,ATTENDANCE_SUMMARY!A:A,0)),""))</f>
        <v/>
      </c>
      <c r="M123" s="4" t="str">
        <f t="shared" si="1"/>
        <v/>
      </c>
    </row>
    <row r="124" spans="1:13" x14ac:dyDescent="0.3">
      <c r="A124" t="str">
        <f>IF(MASTER_REGISTER!E124="","",MASTER_REGISTER!E124)</f>
        <v/>
      </c>
      <c r="B124" t="str">
        <f>IF(A124="","",MASTER_REGISTER!F124)</f>
        <v/>
      </c>
      <c r="C124" t="str">
        <f>IF(A124="","",MASTER_REGISTER!C124)</f>
        <v/>
      </c>
      <c r="D124" t="str">
        <f>IF(A124="","",COUNTIF(ASSESSMENTS!B:B,A124))</f>
        <v/>
      </c>
      <c r="E124" s="4" t="e">
        <f>IF(D124=0,"",ROUND(AVERAGEIF(ASSESSMENTS!B:B,A124,ASSESSMENTS!H:H),1))</f>
        <v>#DIV/0!</v>
      </c>
      <c r="F124" s="4" t="str">
        <f>IF(A124="","",IFERROR(ROUND(AVERAGEIFS(ASSESSMENTS!H:H,ASSESSMENTS!B:B,A124,ASSESSMENTS!E:E,"Mathematics"),1),""))</f>
        <v/>
      </c>
      <c r="G124" s="4" t="str">
        <f>IF(A124="","",IFERROR(ROUND(AVERAGEIFS(ASSESSMENTS!H:H,ASSESSMENTS!B:B,A124,ASSESSMENTS!E:E,"Mathematical Literacy"),1),""))</f>
        <v/>
      </c>
      <c r="H124" s="4" t="str">
        <f>IF(A124="","",IFERROR(ROUND(AVERAGEIFS(ASSESSMENTS!H:H,ASSESSMENTS!B:B,A124,ASSESSMENTS!E:E,"Physical Sciences"),1),""))</f>
        <v/>
      </c>
      <c r="I124" s="4" t="str">
        <f>IF(A124="","",IFERROR(ROUND(AVERAGEIFS(ASSESSMENTS!H:H,ASSESSMENTS!B:B,A124,ASSESSMENTS!E:E,"Geography"),1),""))</f>
        <v/>
      </c>
      <c r="J124" s="4" t="str">
        <f>IF(A124="","",IFERROR(ROUND(AVERAGEIFS(ASSESSMENTS!H:H,ASSESSMENTS!B:B,A124,ASSESSMENTS!E:E,"Accounting"),1),""))</f>
        <v/>
      </c>
      <c r="K124" s="4" t="str">
        <f>IF(A124="","",IFERROR(ROUND(AVERAGEIFS(ASSESSMENTS!H:H,ASSESSMENTS!B:B,A124,ASSESSMENTS!E:E,"English"),1),""))</f>
        <v/>
      </c>
      <c r="L124" s="5" t="str">
        <f>IF(A124="","",IFERROR(INDEX(ATTENDANCE_SUMMARY!G:G,MATCH(A124,ATTENDANCE_SUMMARY!A:A,0)),""))</f>
        <v/>
      </c>
      <c r="M124" s="4" t="str">
        <f t="shared" si="1"/>
        <v/>
      </c>
    </row>
    <row r="125" spans="1:13" x14ac:dyDescent="0.3">
      <c r="A125" t="str">
        <f>IF(MASTER_REGISTER!E125="","",MASTER_REGISTER!E125)</f>
        <v/>
      </c>
      <c r="B125" t="str">
        <f>IF(A125="","",MASTER_REGISTER!F125)</f>
        <v/>
      </c>
      <c r="C125" t="str">
        <f>IF(A125="","",MASTER_REGISTER!C125)</f>
        <v/>
      </c>
      <c r="D125" t="str">
        <f>IF(A125="","",COUNTIF(ASSESSMENTS!B:B,A125))</f>
        <v/>
      </c>
      <c r="E125" s="4" t="e">
        <f>IF(D125=0,"",ROUND(AVERAGEIF(ASSESSMENTS!B:B,A125,ASSESSMENTS!H:H),1))</f>
        <v>#DIV/0!</v>
      </c>
      <c r="F125" s="4" t="str">
        <f>IF(A125="","",IFERROR(ROUND(AVERAGEIFS(ASSESSMENTS!H:H,ASSESSMENTS!B:B,A125,ASSESSMENTS!E:E,"Mathematics"),1),""))</f>
        <v/>
      </c>
      <c r="G125" s="4" t="str">
        <f>IF(A125="","",IFERROR(ROUND(AVERAGEIFS(ASSESSMENTS!H:H,ASSESSMENTS!B:B,A125,ASSESSMENTS!E:E,"Mathematical Literacy"),1),""))</f>
        <v/>
      </c>
      <c r="H125" s="4" t="str">
        <f>IF(A125="","",IFERROR(ROUND(AVERAGEIFS(ASSESSMENTS!H:H,ASSESSMENTS!B:B,A125,ASSESSMENTS!E:E,"Physical Sciences"),1),""))</f>
        <v/>
      </c>
      <c r="I125" s="4" t="str">
        <f>IF(A125="","",IFERROR(ROUND(AVERAGEIFS(ASSESSMENTS!H:H,ASSESSMENTS!B:B,A125,ASSESSMENTS!E:E,"Geography"),1),""))</f>
        <v/>
      </c>
      <c r="J125" s="4" t="str">
        <f>IF(A125="","",IFERROR(ROUND(AVERAGEIFS(ASSESSMENTS!H:H,ASSESSMENTS!B:B,A125,ASSESSMENTS!E:E,"Accounting"),1),""))</f>
        <v/>
      </c>
      <c r="K125" s="4" t="str">
        <f>IF(A125="","",IFERROR(ROUND(AVERAGEIFS(ASSESSMENTS!H:H,ASSESSMENTS!B:B,A125,ASSESSMENTS!E:E,"English"),1),""))</f>
        <v/>
      </c>
      <c r="L125" s="5" t="str">
        <f>IF(A125="","",IFERROR(INDEX(ATTENDANCE_SUMMARY!G:G,MATCH(A125,ATTENDANCE_SUMMARY!A:A,0)),""))</f>
        <v/>
      </c>
      <c r="M125" s="4" t="str">
        <f t="shared" si="1"/>
        <v/>
      </c>
    </row>
    <row r="126" spans="1:13" x14ac:dyDescent="0.3">
      <c r="A126" t="str">
        <f>IF(MASTER_REGISTER!E126="","",MASTER_REGISTER!E126)</f>
        <v/>
      </c>
      <c r="B126" t="str">
        <f>IF(A126="","",MASTER_REGISTER!F126)</f>
        <v/>
      </c>
      <c r="C126" t="str">
        <f>IF(A126="","",MASTER_REGISTER!C126)</f>
        <v/>
      </c>
      <c r="D126" t="str">
        <f>IF(A126="","",COUNTIF(ASSESSMENTS!B:B,A126))</f>
        <v/>
      </c>
      <c r="E126" s="4" t="e">
        <f>IF(D126=0,"",ROUND(AVERAGEIF(ASSESSMENTS!B:B,A126,ASSESSMENTS!H:H),1))</f>
        <v>#DIV/0!</v>
      </c>
      <c r="F126" s="4" t="str">
        <f>IF(A126="","",IFERROR(ROUND(AVERAGEIFS(ASSESSMENTS!H:H,ASSESSMENTS!B:B,A126,ASSESSMENTS!E:E,"Mathematics"),1),""))</f>
        <v/>
      </c>
      <c r="G126" s="4" t="str">
        <f>IF(A126="","",IFERROR(ROUND(AVERAGEIFS(ASSESSMENTS!H:H,ASSESSMENTS!B:B,A126,ASSESSMENTS!E:E,"Mathematical Literacy"),1),""))</f>
        <v/>
      </c>
      <c r="H126" s="4" t="str">
        <f>IF(A126="","",IFERROR(ROUND(AVERAGEIFS(ASSESSMENTS!H:H,ASSESSMENTS!B:B,A126,ASSESSMENTS!E:E,"Physical Sciences"),1),""))</f>
        <v/>
      </c>
      <c r="I126" s="4" t="str">
        <f>IF(A126="","",IFERROR(ROUND(AVERAGEIFS(ASSESSMENTS!H:H,ASSESSMENTS!B:B,A126,ASSESSMENTS!E:E,"Geography"),1),""))</f>
        <v/>
      </c>
      <c r="J126" s="4" t="str">
        <f>IF(A126="","",IFERROR(ROUND(AVERAGEIFS(ASSESSMENTS!H:H,ASSESSMENTS!B:B,A126,ASSESSMENTS!E:E,"Accounting"),1),""))</f>
        <v/>
      </c>
      <c r="K126" s="4" t="str">
        <f>IF(A126="","",IFERROR(ROUND(AVERAGEIFS(ASSESSMENTS!H:H,ASSESSMENTS!B:B,A126,ASSESSMENTS!E:E,"English"),1),""))</f>
        <v/>
      </c>
      <c r="L126" s="5" t="str">
        <f>IF(A126="","",IFERROR(INDEX(ATTENDANCE_SUMMARY!G:G,MATCH(A126,ATTENDANCE_SUMMARY!A:A,0)),""))</f>
        <v/>
      </c>
      <c r="M126" s="4" t="str">
        <f t="shared" si="1"/>
        <v/>
      </c>
    </row>
    <row r="127" spans="1:13" x14ac:dyDescent="0.3">
      <c r="A127" t="str">
        <f>IF(MASTER_REGISTER!E127="","",MASTER_REGISTER!E127)</f>
        <v/>
      </c>
      <c r="B127" t="str">
        <f>IF(A127="","",MASTER_REGISTER!F127)</f>
        <v/>
      </c>
      <c r="C127" t="str">
        <f>IF(A127="","",MASTER_REGISTER!C127)</f>
        <v/>
      </c>
      <c r="D127" t="str">
        <f>IF(A127="","",COUNTIF(ASSESSMENTS!B:B,A127))</f>
        <v/>
      </c>
      <c r="E127" s="4" t="e">
        <f>IF(D127=0,"",ROUND(AVERAGEIF(ASSESSMENTS!B:B,A127,ASSESSMENTS!H:H),1))</f>
        <v>#DIV/0!</v>
      </c>
      <c r="F127" s="4" t="str">
        <f>IF(A127="","",IFERROR(ROUND(AVERAGEIFS(ASSESSMENTS!H:H,ASSESSMENTS!B:B,A127,ASSESSMENTS!E:E,"Mathematics"),1),""))</f>
        <v/>
      </c>
      <c r="G127" s="4" t="str">
        <f>IF(A127="","",IFERROR(ROUND(AVERAGEIFS(ASSESSMENTS!H:H,ASSESSMENTS!B:B,A127,ASSESSMENTS!E:E,"Mathematical Literacy"),1),""))</f>
        <v/>
      </c>
      <c r="H127" s="4" t="str">
        <f>IF(A127="","",IFERROR(ROUND(AVERAGEIFS(ASSESSMENTS!H:H,ASSESSMENTS!B:B,A127,ASSESSMENTS!E:E,"Physical Sciences"),1),""))</f>
        <v/>
      </c>
      <c r="I127" s="4" t="str">
        <f>IF(A127="","",IFERROR(ROUND(AVERAGEIFS(ASSESSMENTS!H:H,ASSESSMENTS!B:B,A127,ASSESSMENTS!E:E,"Geography"),1),""))</f>
        <v/>
      </c>
      <c r="J127" s="4" t="str">
        <f>IF(A127="","",IFERROR(ROUND(AVERAGEIFS(ASSESSMENTS!H:H,ASSESSMENTS!B:B,A127,ASSESSMENTS!E:E,"Accounting"),1),""))</f>
        <v/>
      </c>
      <c r="K127" s="4" t="str">
        <f>IF(A127="","",IFERROR(ROUND(AVERAGEIFS(ASSESSMENTS!H:H,ASSESSMENTS!B:B,A127,ASSESSMENTS!E:E,"English"),1),""))</f>
        <v/>
      </c>
      <c r="L127" s="5" t="str">
        <f>IF(A127="","",IFERROR(INDEX(ATTENDANCE_SUMMARY!G:G,MATCH(A127,ATTENDANCE_SUMMARY!A:A,0)),""))</f>
        <v/>
      </c>
      <c r="M127" s="4" t="str">
        <f t="shared" si="1"/>
        <v/>
      </c>
    </row>
    <row r="128" spans="1:13" x14ac:dyDescent="0.3">
      <c r="A128" t="str">
        <f>IF(MASTER_REGISTER!E128="","",MASTER_REGISTER!E128)</f>
        <v/>
      </c>
      <c r="B128" t="str">
        <f>IF(A128="","",MASTER_REGISTER!F128)</f>
        <v/>
      </c>
      <c r="C128" t="str">
        <f>IF(A128="","",MASTER_REGISTER!C128)</f>
        <v/>
      </c>
      <c r="D128" t="str">
        <f>IF(A128="","",COUNTIF(ASSESSMENTS!B:B,A128))</f>
        <v/>
      </c>
      <c r="E128" s="4" t="e">
        <f>IF(D128=0,"",ROUND(AVERAGEIF(ASSESSMENTS!B:B,A128,ASSESSMENTS!H:H),1))</f>
        <v>#DIV/0!</v>
      </c>
      <c r="F128" s="4" t="str">
        <f>IF(A128="","",IFERROR(ROUND(AVERAGEIFS(ASSESSMENTS!H:H,ASSESSMENTS!B:B,A128,ASSESSMENTS!E:E,"Mathematics"),1),""))</f>
        <v/>
      </c>
      <c r="G128" s="4" t="str">
        <f>IF(A128="","",IFERROR(ROUND(AVERAGEIFS(ASSESSMENTS!H:H,ASSESSMENTS!B:B,A128,ASSESSMENTS!E:E,"Mathematical Literacy"),1),""))</f>
        <v/>
      </c>
      <c r="H128" s="4" t="str">
        <f>IF(A128="","",IFERROR(ROUND(AVERAGEIFS(ASSESSMENTS!H:H,ASSESSMENTS!B:B,A128,ASSESSMENTS!E:E,"Physical Sciences"),1),""))</f>
        <v/>
      </c>
      <c r="I128" s="4" t="str">
        <f>IF(A128="","",IFERROR(ROUND(AVERAGEIFS(ASSESSMENTS!H:H,ASSESSMENTS!B:B,A128,ASSESSMENTS!E:E,"Geography"),1),""))</f>
        <v/>
      </c>
      <c r="J128" s="4" t="str">
        <f>IF(A128="","",IFERROR(ROUND(AVERAGEIFS(ASSESSMENTS!H:H,ASSESSMENTS!B:B,A128,ASSESSMENTS!E:E,"Accounting"),1),""))</f>
        <v/>
      </c>
      <c r="K128" s="4" t="str">
        <f>IF(A128="","",IFERROR(ROUND(AVERAGEIFS(ASSESSMENTS!H:H,ASSESSMENTS!B:B,A128,ASSESSMENTS!E:E,"English"),1),""))</f>
        <v/>
      </c>
      <c r="L128" s="5" t="str">
        <f>IF(A128="","",IFERROR(INDEX(ATTENDANCE_SUMMARY!G:G,MATCH(A128,ATTENDANCE_SUMMARY!A:A,0)),""))</f>
        <v/>
      </c>
      <c r="M128" s="4" t="str">
        <f t="shared" si="1"/>
        <v/>
      </c>
    </row>
    <row r="129" spans="1:13" x14ac:dyDescent="0.3">
      <c r="A129" t="str">
        <f>IF(MASTER_REGISTER!E129="","",MASTER_REGISTER!E129)</f>
        <v/>
      </c>
      <c r="B129" t="str">
        <f>IF(A129="","",MASTER_REGISTER!F129)</f>
        <v/>
      </c>
      <c r="C129" t="str">
        <f>IF(A129="","",MASTER_REGISTER!C129)</f>
        <v/>
      </c>
      <c r="D129" t="str">
        <f>IF(A129="","",COUNTIF(ASSESSMENTS!B:B,A129))</f>
        <v/>
      </c>
      <c r="E129" s="4" t="e">
        <f>IF(D129=0,"",ROUND(AVERAGEIF(ASSESSMENTS!B:B,A129,ASSESSMENTS!H:H),1))</f>
        <v>#DIV/0!</v>
      </c>
      <c r="F129" s="4" t="str">
        <f>IF(A129="","",IFERROR(ROUND(AVERAGEIFS(ASSESSMENTS!H:H,ASSESSMENTS!B:B,A129,ASSESSMENTS!E:E,"Mathematics"),1),""))</f>
        <v/>
      </c>
      <c r="G129" s="4" t="str">
        <f>IF(A129="","",IFERROR(ROUND(AVERAGEIFS(ASSESSMENTS!H:H,ASSESSMENTS!B:B,A129,ASSESSMENTS!E:E,"Mathematical Literacy"),1),""))</f>
        <v/>
      </c>
      <c r="H129" s="4" t="str">
        <f>IF(A129="","",IFERROR(ROUND(AVERAGEIFS(ASSESSMENTS!H:H,ASSESSMENTS!B:B,A129,ASSESSMENTS!E:E,"Physical Sciences"),1),""))</f>
        <v/>
      </c>
      <c r="I129" s="4" t="str">
        <f>IF(A129="","",IFERROR(ROUND(AVERAGEIFS(ASSESSMENTS!H:H,ASSESSMENTS!B:B,A129,ASSESSMENTS!E:E,"Geography"),1),""))</f>
        <v/>
      </c>
      <c r="J129" s="4" t="str">
        <f>IF(A129="","",IFERROR(ROUND(AVERAGEIFS(ASSESSMENTS!H:H,ASSESSMENTS!B:B,A129,ASSESSMENTS!E:E,"Accounting"),1),""))</f>
        <v/>
      </c>
      <c r="K129" s="4" t="str">
        <f>IF(A129="","",IFERROR(ROUND(AVERAGEIFS(ASSESSMENTS!H:H,ASSESSMENTS!B:B,A129,ASSESSMENTS!E:E,"English"),1),""))</f>
        <v/>
      </c>
      <c r="L129" s="5" t="str">
        <f>IF(A129="","",IFERROR(INDEX(ATTENDANCE_SUMMARY!G:G,MATCH(A129,ATTENDANCE_SUMMARY!A:A,0)),""))</f>
        <v/>
      </c>
      <c r="M129" s="4" t="str">
        <f t="shared" si="1"/>
        <v/>
      </c>
    </row>
    <row r="130" spans="1:13" x14ac:dyDescent="0.3">
      <c r="A130" t="str">
        <f>IF(MASTER_REGISTER!E130="","",MASTER_REGISTER!E130)</f>
        <v/>
      </c>
      <c r="B130" t="str">
        <f>IF(A130="","",MASTER_REGISTER!F130)</f>
        <v/>
      </c>
      <c r="C130" t="str">
        <f>IF(A130="","",MASTER_REGISTER!C130)</f>
        <v/>
      </c>
      <c r="D130" t="str">
        <f>IF(A130="","",COUNTIF(ASSESSMENTS!B:B,A130))</f>
        <v/>
      </c>
      <c r="E130" s="4" t="e">
        <f>IF(D130=0,"",ROUND(AVERAGEIF(ASSESSMENTS!B:B,A130,ASSESSMENTS!H:H),1))</f>
        <v>#DIV/0!</v>
      </c>
      <c r="F130" s="4" t="str">
        <f>IF(A130="","",IFERROR(ROUND(AVERAGEIFS(ASSESSMENTS!H:H,ASSESSMENTS!B:B,A130,ASSESSMENTS!E:E,"Mathematics"),1),""))</f>
        <v/>
      </c>
      <c r="G130" s="4" t="str">
        <f>IF(A130="","",IFERROR(ROUND(AVERAGEIFS(ASSESSMENTS!H:H,ASSESSMENTS!B:B,A130,ASSESSMENTS!E:E,"Mathematical Literacy"),1),""))</f>
        <v/>
      </c>
      <c r="H130" s="4" t="str">
        <f>IF(A130="","",IFERROR(ROUND(AVERAGEIFS(ASSESSMENTS!H:H,ASSESSMENTS!B:B,A130,ASSESSMENTS!E:E,"Physical Sciences"),1),""))</f>
        <v/>
      </c>
      <c r="I130" s="4" t="str">
        <f>IF(A130="","",IFERROR(ROUND(AVERAGEIFS(ASSESSMENTS!H:H,ASSESSMENTS!B:B,A130,ASSESSMENTS!E:E,"Geography"),1),""))</f>
        <v/>
      </c>
      <c r="J130" s="4" t="str">
        <f>IF(A130="","",IFERROR(ROUND(AVERAGEIFS(ASSESSMENTS!H:H,ASSESSMENTS!B:B,A130,ASSESSMENTS!E:E,"Accounting"),1),""))</f>
        <v/>
      </c>
      <c r="K130" s="4" t="str">
        <f>IF(A130="","",IFERROR(ROUND(AVERAGEIFS(ASSESSMENTS!H:H,ASSESSMENTS!B:B,A130,ASSESSMENTS!E:E,"English"),1),""))</f>
        <v/>
      </c>
      <c r="L130" s="5" t="str">
        <f>IF(A130="","",IFERROR(INDEX(ATTENDANCE_SUMMARY!G:G,MATCH(A130,ATTENDANCE_SUMMARY!A:A,0)),""))</f>
        <v/>
      </c>
      <c r="M130" s="4" t="str">
        <f t="shared" ref="M130:M193" si="2">IF(A130="","",IF(OR(E130&lt;50,AND(L130&lt;0.75,L130&lt;&gt;"" )),"At Risk","On Track"))</f>
        <v/>
      </c>
    </row>
    <row r="131" spans="1:13" x14ac:dyDescent="0.3">
      <c r="A131" t="str">
        <f>IF(MASTER_REGISTER!E131="","",MASTER_REGISTER!E131)</f>
        <v/>
      </c>
      <c r="B131" t="str">
        <f>IF(A131="","",MASTER_REGISTER!F131)</f>
        <v/>
      </c>
      <c r="C131" t="str">
        <f>IF(A131="","",MASTER_REGISTER!C131)</f>
        <v/>
      </c>
      <c r="D131" t="str">
        <f>IF(A131="","",COUNTIF(ASSESSMENTS!B:B,A131))</f>
        <v/>
      </c>
      <c r="E131" s="4" t="e">
        <f>IF(D131=0,"",ROUND(AVERAGEIF(ASSESSMENTS!B:B,A131,ASSESSMENTS!H:H),1))</f>
        <v>#DIV/0!</v>
      </c>
      <c r="F131" s="4" t="str">
        <f>IF(A131="","",IFERROR(ROUND(AVERAGEIFS(ASSESSMENTS!H:H,ASSESSMENTS!B:B,A131,ASSESSMENTS!E:E,"Mathematics"),1),""))</f>
        <v/>
      </c>
      <c r="G131" s="4" t="str">
        <f>IF(A131="","",IFERROR(ROUND(AVERAGEIFS(ASSESSMENTS!H:H,ASSESSMENTS!B:B,A131,ASSESSMENTS!E:E,"Mathematical Literacy"),1),""))</f>
        <v/>
      </c>
      <c r="H131" s="4" t="str">
        <f>IF(A131="","",IFERROR(ROUND(AVERAGEIFS(ASSESSMENTS!H:H,ASSESSMENTS!B:B,A131,ASSESSMENTS!E:E,"Physical Sciences"),1),""))</f>
        <v/>
      </c>
      <c r="I131" s="4" t="str">
        <f>IF(A131="","",IFERROR(ROUND(AVERAGEIFS(ASSESSMENTS!H:H,ASSESSMENTS!B:B,A131,ASSESSMENTS!E:E,"Geography"),1),""))</f>
        <v/>
      </c>
      <c r="J131" s="4" t="str">
        <f>IF(A131="","",IFERROR(ROUND(AVERAGEIFS(ASSESSMENTS!H:H,ASSESSMENTS!B:B,A131,ASSESSMENTS!E:E,"Accounting"),1),""))</f>
        <v/>
      </c>
      <c r="K131" s="4" t="str">
        <f>IF(A131="","",IFERROR(ROUND(AVERAGEIFS(ASSESSMENTS!H:H,ASSESSMENTS!B:B,A131,ASSESSMENTS!E:E,"English"),1),""))</f>
        <v/>
      </c>
      <c r="L131" s="5" t="str">
        <f>IF(A131="","",IFERROR(INDEX(ATTENDANCE_SUMMARY!G:G,MATCH(A131,ATTENDANCE_SUMMARY!A:A,0)),""))</f>
        <v/>
      </c>
      <c r="M131" s="4" t="str">
        <f t="shared" si="2"/>
        <v/>
      </c>
    </row>
    <row r="132" spans="1:13" x14ac:dyDescent="0.3">
      <c r="A132" t="str">
        <f>IF(MASTER_REGISTER!E132="","",MASTER_REGISTER!E132)</f>
        <v/>
      </c>
      <c r="B132" t="str">
        <f>IF(A132="","",MASTER_REGISTER!F132)</f>
        <v/>
      </c>
      <c r="C132" t="str">
        <f>IF(A132="","",MASTER_REGISTER!C132)</f>
        <v/>
      </c>
      <c r="D132" t="str">
        <f>IF(A132="","",COUNTIF(ASSESSMENTS!B:B,A132))</f>
        <v/>
      </c>
      <c r="E132" s="4" t="e">
        <f>IF(D132=0,"",ROUND(AVERAGEIF(ASSESSMENTS!B:B,A132,ASSESSMENTS!H:H),1))</f>
        <v>#DIV/0!</v>
      </c>
      <c r="F132" s="4" t="str">
        <f>IF(A132="","",IFERROR(ROUND(AVERAGEIFS(ASSESSMENTS!H:H,ASSESSMENTS!B:B,A132,ASSESSMENTS!E:E,"Mathematics"),1),""))</f>
        <v/>
      </c>
      <c r="G132" s="4" t="str">
        <f>IF(A132="","",IFERROR(ROUND(AVERAGEIFS(ASSESSMENTS!H:H,ASSESSMENTS!B:B,A132,ASSESSMENTS!E:E,"Mathematical Literacy"),1),""))</f>
        <v/>
      </c>
      <c r="H132" s="4" t="str">
        <f>IF(A132="","",IFERROR(ROUND(AVERAGEIFS(ASSESSMENTS!H:H,ASSESSMENTS!B:B,A132,ASSESSMENTS!E:E,"Physical Sciences"),1),""))</f>
        <v/>
      </c>
      <c r="I132" s="4" t="str">
        <f>IF(A132="","",IFERROR(ROUND(AVERAGEIFS(ASSESSMENTS!H:H,ASSESSMENTS!B:B,A132,ASSESSMENTS!E:E,"Geography"),1),""))</f>
        <v/>
      </c>
      <c r="J132" s="4" t="str">
        <f>IF(A132="","",IFERROR(ROUND(AVERAGEIFS(ASSESSMENTS!H:H,ASSESSMENTS!B:B,A132,ASSESSMENTS!E:E,"Accounting"),1),""))</f>
        <v/>
      </c>
      <c r="K132" s="4" t="str">
        <f>IF(A132="","",IFERROR(ROUND(AVERAGEIFS(ASSESSMENTS!H:H,ASSESSMENTS!B:B,A132,ASSESSMENTS!E:E,"English"),1),""))</f>
        <v/>
      </c>
      <c r="L132" s="5" t="str">
        <f>IF(A132="","",IFERROR(INDEX(ATTENDANCE_SUMMARY!G:G,MATCH(A132,ATTENDANCE_SUMMARY!A:A,0)),""))</f>
        <v/>
      </c>
      <c r="M132" s="4" t="str">
        <f t="shared" si="2"/>
        <v/>
      </c>
    </row>
    <row r="133" spans="1:13" x14ac:dyDescent="0.3">
      <c r="A133" t="str">
        <f>IF(MASTER_REGISTER!E133="","",MASTER_REGISTER!E133)</f>
        <v/>
      </c>
      <c r="B133" t="str">
        <f>IF(A133="","",MASTER_REGISTER!F133)</f>
        <v/>
      </c>
      <c r="C133" t="str">
        <f>IF(A133="","",MASTER_REGISTER!C133)</f>
        <v/>
      </c>
      <c r="D133" t="str">
        <f>IF(A133="","",COUNTIF(ASSESSMENTS!B:B,A133))</f>
        <v/>
      </c>
      <c r="E133" s="4" t="e">
        <f>IF(D133=0,"",ROUND(AVERAGEIF(ASSESSMENTS!B:B,A133,ASSESSMENTS!H:H),1))</f>
        <v>#DIV/0!</v>
      </c>
      <c r="F133" s="4" t="str">
        <f>IF(A133="","",IFERROR(ROUND(AVERAGEIFS(ASSESSMENTS!H:H,ASSESSMENTS!B:B,A133,ASSESSMENTS!E:E,"Mathematics"),1),""))</f>
        <v/>
      </c>
      <c r="G133" s="4" t="str">
        <f>IF(A133="","",IFERROR(ROUND(AVERAGEIFS(ASSESSMENTS!H:H,ASSESSMENTS!B:B,A133,ASSESSMENTS!E:E,"Mathematical Literacy"),1),""))</f>
        <v/>
      </c>
      <c r="H133" s="4" t="str">
        <f>IF(A133="","",IFERROR(ROUND(AVERAGEIFS(ASSESSMENTS!H:H,ASSESSMENTS!B:B,A133,ASSESSMENTS!E:E,"Physical Sciences"),1),""))</f>
        <v/>
      </c>
      <c r="I133" s="4" t="str">
        <f>IF(A133="","",IFERROR(ROUND(AVERAGEIFS(ASSESSMENTS!H:H,ASSESSMENTS!B:B,A133,ASSESSMENTS!E:E,"Geography"),1),""))</f>
        <v/>
      </c>
      <c r="J133" s="4" t="str">
        <f>IF(A133="","",IFERROR(ROUND(AVERAGEIFS(ASSESSMENTS!H:H,ASSESSMENTS!B:B,A133,ASSESSMENTS!E:E,"Accounting"),1),""))</f>
        <v/>
      </c>
      <c r="K133" s="4" t="str">
        <f>IF(A133="","",IFERROR(ROUND(AVERAGEIFS(ASSESSMENTS!H:H,ASSESSMENTS!B:B,A133,ASSESSMENTS!E:E,"English"),1),""))</f>
        <v/>
      </c>
      <c r="L133" s="5" t="str">
        <f>IF(A133="","",IFERROR(INDEX(ATTENDANCE_SUMMARY!G:G,MATCH(A133,ATTENDANCE_SUMMARY!A:A,0)),""))</f>
        <v/>
      </c>
      <c r="M133" s="4" t="str">
        <f t="shared" si="2"/>
        <v/>
      </c>
    </row>
    <row r="134" spans="1:13" x14ac:dyDescent="0.3">
      <c r="A134" t="str">
        <f>IF(MASTER_REGISTER!E134="","",MASTER_REGISTER!E134)</f>
        <v/>
      </c>
      <c r="B134" t="str">
        <f>IF(A134="","",MASTER_REGISTER!F134)</f>
        <v/>
      </c>
      <c r="C134" t="str">
        <f>IF(A134="","",MASTER_REGISTER!C134)</f>
        <v/>
      </c>
      <c r="D134" t="str">
        <f>IF(A134="","",COUNTIF(ASSESSMENTS!B:B,A134))</f>
        <v/>
      </c>
      <c r="E134" s="4" t="e">
        <f>IF(D134=0,"",ROUND(AVERAGEIF(ASSESSMENTS!B:B,A134,ASSESSMENTS!H:H),1))</f>
        <v>#DIV/0!</v>
      </c>
      <c r="F134" s="4" t="str">
        <f>IF(A134="","",IFERROR(ROUND(AVERAGEIFS(ASSESSMENTS!H:H,ASSESSMENTS!B:B,A134,ASSESSMENTS!E:E,"Mathematics"),1),""))</f>
        <v/>
      </c>
      <c r="G134" s="4" t="str">
        <f>IF(A134="","",IFERROR(ROUND(AVERAGEIFS(ASSESSMENTS!H:H,ASSESSMENTS!B:B,A134,ASSESSMENTS!E:E,"Mathematical Literacy"),1),""))</f>
        <v/>
      </c>
      <c r="H134" s="4" t="str">
        <f>IF(A134="","",IFERROR(ROUND(AVERAGEIFS(ASSESSMENTS!H:H,ASSESSMENTS!B:B,A134,ASSESSMENTS!E:E,"Physical Sciences"),1),""))</f>
        <v/>
      </c>
      <c r="I134" s="4" t="str">
        <f>IF(A134="","",IFERROR(ROUND(AVERAGEIFS(ASSESSMENTS!H:H,ASSESSMENTS!B:B,A134,ASSESSMENTS!E:E,"Geography"),1),""))</f>
        <v/>
      </c>
      <c r="J134" s="4" t="str">
        <f>IF(A134="","",IFERROR(ROUND(AVERAGEIFS(ASSESSMENTS!H:H,ASSESSMENTS!B:B,A134,ASSESSMENTS!E:E,"Accounting"),1),""))</f>
        <v/>
      </c>
      <c r="K134" s="4" t="str">
        <f>IF(A134="","",IFERROR(ROUND(AVERAGEIFS(ASSESSMENTS!H:H,ASSESSMENTS!B:B,A134,ASSESSMENTS!E:E,"English"),1),""))</f>
        <v/>
      </c>
      <c r="L134" s="5" t="str">
        <f>IF(A134="","",IFERROR(INDEX(ATTENDANCE_SUMMARY!G:G,MATCH(A134,ATTENDANCE_SUMMARY!A:A,0)),""))</f>
        <v/>
      </c>
      <c r="M134" s="4" t="str">
        <f t="shared" si="2"/>
        <v/>
      </c>
    </row>
    <row r="135" spans="1:13" x14ac:dyDescent="0.3">
      <c r="A135" t="str">
        <f>IF(MASTER_REGISTER!E135="","",MASTER_REGISTER!E135)</f>
        <v/>
      </c>
      <c r="B135" t="str">
        <f>IF(A135="","",MASTER_REGISTER!F135)</f>
        <v/>
      </c>
      <c r="C135" t="str">
        <f>IF(A135="","",MASTER_REGISTER!C135)</f>
        <v/>
      </c>
      <c r="D135" t="str">
        <f>IF(A135="","",COUNTIF(ASSESSMENTS!B:B,A135))</f>
        <v/>
      </c>
      <c r="E135" s="4" t="e">
        <f>IF(D135=0,"",ROUND(AVERAGEIF(ASSESSMENTS!B:B,A135,ASSESSMENTS!H:H),1))</f>
        <v>#DIV/0!</v>
      </c>
      <c r="F135" s="4" t="str">
        <f>IF(A135="","",IFERROR(ROUND(AVERAGEIFS(ASSESSMENTS!H:H,ASSESSMENTS!B:B,A135,ASSESSMENTS!E:E,"Mathematics"),1),""))</f>
        <v/>
      </c>
      <c r="G135" s="4" t="str">
        <f>IF(A135="","",IFERROR(ROUND(AVERAGEIFS(ASSESSMENTS!H:H,ASSESSMENTS!B:B,A135,ASSESSMENTS!E:E,"Mathematical Literacy"),1),""))</f>
        <v/>
      </c>
      <c r="H135" s="4" t="str">
        <f>IF(A135="","",IFERROR(ROUND(AVERAGEIFS(ASSESSMENTS!H:H,ASSESSMENTS!B:B,A135,ASSESSMENTS!E:E,"Physical Sciences"),1),""))</f>
        <v/>
      </c>
      <c r="I135" s="4" t="str">
        <f>IF(A135="","",IFERROR(ROUND(AVERAGEIFS(ASSESSMENTS!H:H,ASSESSMENTS!B:B,A135,ASSESSMENTS!E:E,"Geography"),1),""))</f>
        <v/>
      </c>
      <c r="J135" s="4" t="str">
        <f>IF(A135="","",IFERROR(ROUND(AVERAGEIFS(ASSESSMENTS!H:H,ASSESSMENTS!B:B,A135,ASSESSMENTS!E:E,"Accounting"),1),""))</f>
        <v/>
      </c>
      <c r="K135" s="4" t="str">
        <f>IF(A135="","",IFERROR(ROUND(AVERAGEIFS(ASSESSMENTS!H:H,ASSESSMENTS!B:B,A135,ASSESSMENTS!E:E,"English"),1),""))</f>
        <v/>
      </c>
      <c r="L135" s="5" t="str">
        <f>IF(A135="","",IFERROR(INDEX(ATTENDANCE_SUMMARY!G:G,MATCH(A135,ATTENDANCE_SUMMARY!A:A,0)),""))</f>
        <v/>
      </c>
      <c r="M135" s="4" t="str">
        <f t="shared" si="2"/>
        <v/>
      </c>
    </row>
    <row r="136" spans="1:13" x14ac:dyDescent="0.3">
      <c r="A136" t="str">
        <f>IF(MASTER_REGISTER!E136="","",MASTER_REGISTER!E136)</f>
        <v/>
      </c>
      <c r="B136" t="str">
        <f>IF(A136="","",MASTER_REGISTER!F136)</f>
        <v/>
      </c>
      <c r="C136" t="str">
        <f>IF(A136="","",MASTER_REGISTER!C136)</f>
        <v/>
      </c>
      <c r="D136" t="str">
        <f>IF(A136="","",COUNTIF(ASSESSMENTS!B:B,A136))</f>
        <v/>
      </c>
      <c r="E136" s="4" t="e">
        <f>IF(D136=0,"",ROUND(AVERAGEIF(ASSESSMENTS!B:B,A136,ASSESSMENTS!H:H),1))</f>
        <v>#DIV/0!</v>
      </c>
      <c r="F136" s="4" t="str">
        <f>IF(A136="","",IFERROR(ROUND(AVERAGEIFS(ASSESSMENTS!H:H,ASSESSMENTS!B:B,A136,ASSESSMENTS!E:E,"Mathematics"),1),""))</f>
        <v/>
      </c>
      <c r="G136" s="4" t="str">
        <f>IF(A136="","",IFERROR(ROUND(AVERAGEIFS(ASSESSMENTS!H:H,ASSESSMENTS!B:B,A136,ASSESSMENTS!E:E,"Mathematical Literacy"),1),""))</f>
        <v/>
      </c>
      <c r="H136" s="4" t="str">
        <f>IF(A136="","",IFERROR(ROUND(AVERAGEIFS(ASSESSMENTS!H:H,ASSESSMENTS!B:B,A136,ASSESSMENTS!E:E,"Physical Sciences"),1),""))</f>
        <v/>
      </c>
      <c r="I136" s="4" t="str">
        <f>IF(A136="","",IFERROR(ROUND(AVERAGEIFS(ASSESSMENTS!H:H,ASSESSMENTS!B:B,A136,ASSESSMENTS!E:E,"Geography"),1),""))</f>
        <v/>
      </c>
      <c r="J136" s="4" t="str">
        <f>IF(A136="","",IFERROR(ROUND(AVERAGEIFS(ASSESSMENTS!H:H,ASSESSMENTS!B:B,A136,ASSESSMENTS!E:E,"Accounting"),1),""))</f>
        <v/>
      </c>
      <c r="K136" s="4" t="str">
        <f>IF(A136="","",IFERROR(ROUND(AVERAGEIFS(ASSESSMENTS!H:H,ASSESSMENTS!B:B,A136,ASSESSMENTS!E:E,"English"),1),""))</f>
        <v/>
      </c>
      <c r="L136" s="5" t="str">
        <f>IF(A136="","",IFERROR(INDEX(ATTENDANCE_SUMMARY!G:G,MATCH(A136,ATTENDANCE_SUMMARY!A:A,0)),""))</f>
        <v/>
      </c>
      <c r="M136" s="4" t="str">
        <f t="shared" si="2"/>
        <v/>
      </c>
    </row>
    <row r="137" spans="1:13" x14ac:dyDescent="0.3">
      <c r="A137" t="str">
        <f>IF(MASTER_REGISTER!E137="","",MASTER_REGISTER!E137)</f>
        <v/>
      </c>
      <c r="B137" t="str">
        <f>IF(A137="","",MASTER_REGISTER!F137)</f>
        <v/>
      </c>
      <c r="C137" t="str">
        <f>IF(A137="","",MASTER_REGISTER!C137)</f>
        <v/>
      </c>
      <c r="D137" t="str">
        <f>IF(A137="","",COUNTIF(ASSESSMENTS!B:B,A137))</f>
        <v/>
      </c>
      <c r="E137" s="4" t="e">
        <f>IF(D137=0,"",ROUND(AVERAGEIF(ASSESSMENTS!B:B,A137,ASSESSMENTS!H:H),1))</f>
        <v>#DIV/0!</v>
      </c>
      <c r="F137" s="4" t="str">
        <f>IF(A137="","",IFERROR(ROUND(AVERAGEIFS(ASSESSMENTS!H:H,ASSESSMENTS!B:B,A137,ASSESSMENTS!E:E,"Mathematics"),1),""))</f>
        <v/>
      </c>
      <c r="G137" s="4" t="str">
        <f>IF(A137="","",IFERROR(ROUND(AVERAGEIFS(ASSESSMENTS!H:H,ASSESSMENTS!B:B,A137,ASSESSMENTS!E:E,"Mathematical Literacy"),1),""))</f>
        <v/>
      </c>
      <c r="H137" s="4" t="str">
        <f>IF(A137="","",IFERROR(ROUND(AVERAGEIFS(ASSESSMENTS!H:H,ASSESSMENTS!B:B,A137,ASSESSMENTS!E:E,"Physical Sciences"),1),""))</f>
        <v/>
      </c>
      <c r="I137" s="4" t="str">
        <f>IF(A137="","",IFERROR(ROUND(AVERAGEIFS(ASSESSMENTS!H:H,ASSESSMENTS!B:B,A137,ASSESSMENTS!E:E,"Geography"),1),""))</f>
        <v/>
      </c>
      <c r="J137" s="4" t="str">
        <f>IF(A137="","",IFERROR(ROUND(AVERAGEIFS(ASSESSMENTS!H:H,ASSESSMENTS!B:B,A137,ASSESSMENTS!E:E,"Accounting"),1),""))</f>
        <v/>
      </c>
      <c r="K137" s="4" t="str">
        <f>IF(A137="","",IFERROR(ROUND(AVERAGEIFS(ASSESSMENTS!H:H,ASSESSMENTS!B:B,A137,ASSESSMENTS!E:E,"English"),1),""))</f>
        <v/>
      </c>
      <c r="L137" s="5" t="str">
        <f>IF(A137="","",IFERROR(INDEX(ATTENDANCE_SUMMARY!G:G,MATCH(A137,ATTENDANCE_SUMMARY!A:A,0)),""))</f>
        <v/>
      </c>
      <c r="M137" s="4" t="str">
        <f t="shared" si="2"/>
        <v/>
      </c>
    </row>
    <row r="138" spans="1:13" x14ac:dyDescent="0.3">
      <c r="A138" t="str">
        <f>IF(MASTER_REGISTER!E138="","",MASTER_REGISTER!E138)</f>
        <v/>
      </c>
      <c r="B138" t="str">
        <f>IF(A138="","",MASTER_REGISTER!F138)</f>
        <v/>
      </c>
      <c r="C138" t="str">
        <f>IF(A138="","",MASTER_REGISTER!C138)</f>
        <v/>
      </c>
      <c r="D138" t="str">
        <f>IF(A138="","",COUNTIF(ASSESSMENTS!B:B,A138))</f>
        <v/>
      </c>
      <c r="E138" s="4" t="e">
        <f>IF(D138=0,"",ROUND(AVERAGEIF(ASSESSMENTS!B:B,A138,ASSESSMENTS!H:H),1))</f>
        <v>#DIV/0!</v>
      </c>
      <c r="F138" s="4" t="str">
        <f>IF(A138="","",IFERROR(ROUND(AVERAGEIFS(ASSESSMENTS!H:H,ASSESSMENTS!B:B,A138,ASSESSMENTS!E:E,"Mathematics"),1),""))</f>
        <v/>
      </c>
      <c r="G138" s="4" t="str">
        <f>IF(A138="","",IFERROR(ROUND(AVERAGEIFS(ASSESSMENTS!H:H,ASSESSMENTS!B:B,A138,ASSESSMENTS!E:E,"Mathematical Literacy"),1),""))</f>
        <v/>
      </c>
      <c r="H138" s="4" t="str">
        <f>IF(A138="","",IFERROR(ROUND(AVERAGEIFS(ASSESSMENTS!H:H,ASSESSMENTS!B:B,A138,ASSESSMENTS!E:E,"Physical Sciences"),1),""))</f>
        <v/>
      </c>
      <c r="I138" s="4" t="str">
        <f>IF(A138="","",IFERROR(ROUND(AVERAGEIFS(ASSESSMENTS!H:H,ASSESSMENTS!B:B,A138,ASSESSMENTS!E:E,"Geography"),1),""))</f>
        <v/>
      </c>
      <c r="J138" s="4" t="str">
        <f>IF(A138="","",IFERROR(ROUND(AVERAGEIFS(ASSESSMENTS!H:H,ASSESSMENTS!B:B,A138,ASSESSMENTS!E:E,"Accounting"),1),""))</f>
        <v/>
      </c>
      <c r="K138" s="4" t="str">
        <f>IF(A138="","",IFERROR(ROUND(AVERAGEIFS(ASSESSMENTS!H:H,ASSESSMENTS!B:B,A138,ASSESSMENTS!E:E,"English"),1),""))</f>
        <v/>
      </c>
      <c r="L138" s="5" t="str">
        <f>IF(A138="","",IFERROR(INDEX(ATTENDANCE_SUMMARY!G:G,MATCH(A138,ATTENDANCE_SUMMARY!A:A,0)),""))</f>
        <v/>
      </c>
      <c r="M138" s="4" t="str">
        <f t="shared" si="2"/>
        <v/>
      </c>
    </row>
    <row r="139" spans="1:13" x14ac:dyDescent="0.3">
      <c r="A139" t="str">
        <f>IF(MASTER_REGISTER!E139="","",MASTER_REGISTER!E139)</f>
        <v/>
      </c>
      <c r="B139" t="str">
        <f>IF(A139="","",MASTER_REGISTER!F139)</f>
        <v/>
      </c>
      <c r="C139" t="str">
        <f>IF(A139="","",MASTER_REGISTER!C139)</f>
        <v/>
      </c>
      <c r="D139" t="str">
        <f>IF(A139="","",COUNTIF(ASSESSMENTS!B:B,A139))</f>
        <v/>
      </c>
      <c r="E139" s="4" t="e">
        <f>IF(D139=0,"",ROUND(AVERAGEIF(ASSESSMENTS!B:B,A139,ASSESSMENTS!H:H),1))</f>
        <v>#DIV/0!</v>
      </c>
      <c r="F139" s="4" t="str">
        <f>IF(A139="","",IFERROR(ROUND(AVERAGEIFS(ASSESSMENTS!H:H,ASSESSMENTS!B:B,A139,ASSESSMENTS!E:E,"Mathematics"),1),""))</f>
        <v/>
      </c>
      <c r="G139" s="4" t="str">
        <f>IF(A139="","",IFERROR(ROUND(AVERAGEIFS(ASSESSMENTS!H:H,ASSESSMENTS!B:B,A139,ASSESSMENTS!E:E,"Mathematical Literacy"),1),""))</f>
        <v/>
      </c>
      <c r="H139" s="4" t="str">
        <f>IF(A139="","",IFERROR(ROUND(AVERAGEIFS(ASSESSMENTS!H:H,ASSESSMENTS!B:B,A139,ASSESSMENTS!E:E,"Physical Sciences"),1),""))</f>
        <v/>
      </c>
      <c r="I139" s="4" t="str">
        <f>IF(A139="","",IFERROR(ROUND(AVERAGEIFS(ASSESSMENTS!H:H,ASSESSMENTS!B:B,A139,ASSESSMENTS!E:E,"Geography"),1),""))</f>
        <v/>
      </c>
      <c r="J139" s="4" t="str">
        <f>IF(A139="","",IFERROR(ROUND(AVERAGEIFS(ASSESSMENTS!H:H,ASSESSMENTS!B:B,A139,ASSESSMENTS!E:E,"Accounting"),1),""))</f>
        <v/>
      </c>
      <c r="K139" s="4" t="str">
        <f>IF(A139="","",IFERROR(ROUND(AVERAGEIFS(ASSESSMENTS!H:H,ASSESSMENTS!B:B,A139,ASSESSMENTS!E:E,"English"),1),""))</f>
        <v/>
      </c>
      <c r="L139" s="5" t="str">
        <f>IF(A139="","",IFERROR(INDEX(ATTENDANCE_SUMMARY!G:G,MATCH(A139,ATTENDANCE_SUMMARY!A:A,0)),""))</f>
        <v/>
      </c>
      <c r="M139" s="4" t="str">
        <f t="shared" si="2"/>
        <v/>
      </c>
    </row>
    <row r="140" spans="1:13" x14ac:dyDescent="0.3">
      <c r="A140" t="str">
        <f>IF(MASTER_REGISTER!E140="","",MASTER_REGISTER!E140)</f>
        <v/>
      </c>
      <c r="B140" t="str">
        <f>IF(A140="","",MASTER_REGISTER!F140)</f>
        <v/>
      </c>
      <c r="C140" t="str">
        <f>IF(A140="","",MASTER_REGISTER!C140)</f>
        <v/>
      </c>
      <c r="D140" t="str">
        <f>IF(A140="","",COUNTIF(ASSESSMENTS!B:B,A140))</f>
        <v/>
      </c>
      <c r="E140" s="4" t="e">
        <f>IF(D140=0,"",ROUND(AVERAGEIF(ASSESSMENTS!B:B,A140,ASSESSMENTS!H:H),1))</f>
        <v>#DIV/0!</v>
      </c>
      <c r="F140" s="4" t="str">
        <f>IF(A140="","",IFERROR(ROUND(AVERAGEIFS(ASSESSMENTS!H:H,ASSESSMENTS!B:B,A140,ASSESSMENTS!E:E,"Mathematics"),1),""))</f>
        <v/>
      </c>
      <c r="G140" s="4" t="str">
        <f>IF(A140="","",IFERROR(ROUND(AVERAGEIFS(ASSESSMENTS!H:H,ASSESSMENTS!B:B,A140,ASSESSMENTS!E:E,"Mathematical Literacy"),1),""))</f>
        <v/>
      </c>
      <c r="H140" s="4" t="str">
        <f>IF(A140="","",IFERROR(ROUND(AVERAGEIFS(ASSESSMENTS!H:H,ASSESSMENTS!B:B,A140,ASSESSMENTS!E:E,"Physical Sciences"),1),""))</f>
        <v/>
      </c>
      <c r="I140" s="4" t="str">
        <f>IF(A140="","",IFERROR(ROUND(AVERAGEIFS(ASSESSMENTS!H:H,ASSESSMENTS!B:B,A140,ASSESSMENTS!E:E,"Geography"),1),""))</f>
        <v/>
      </c>
      <c r="J140" s="4" t="str">
        <f>IF(A140="","",IFERROR(ROUND(AVERAGEIFS(ASSESSMENTS!H:H,ASSESSMENTS!B:B,A140,ASSESSMENTS!E:E,"Accounting"),1),""))</f>
        <v/>
      </c>
      <c r="K140" s="4" t="str">
        <f>IF(A140="","",IFERROR(ROUND(AVERAGEIFS(ASSESSMENTS!H:H,ASSESSMENTS!B:B,A140,ASSESSMENTS!E:E,"English"),1),""))</f>
        <v/>
      </c>
      <c r="L140" s="5" t="str">
        <f>IF(A140="","",IFERROR(INDEX(ATTENDANCE_SUMMARY!G:G,MATCH(A140,ATTENDANCE_SUMMARY!A:A,0)),""))</f>
        <v/>
      </c>
      <c r="M140" s="4" t="str">
        <f t="shared" si="2"/>
        <v/>
      </c>
    </row>
    <row r="141" spans="1:13" x14ac:dyDescent="0.3">
      <c r="A141" t="str">
        <f>IF(MASTER_REGISTER!E141="","",MASTER_REGISTER!E141)</f>
        <v/>
      </c>
      <c r="B141" t="str">
        <f>IF(A141="","",MASTER_REGISTER!F141)</f>
        <v/>
      </c>
      <c r="C141" t="str">
        <f>IF(A141="","",MASTER_REGISTER!C141)</f>
        <v/>
      </c>
      <c r="D141" t="str">
        <f>IF(A141="","",COUNTIF(ASSESSMENTS!B:B,A141))</f>
        <v/>
      </c>
      <c r="E141" s="4" t="e">
        <f>IF(D141=0,"",ROUND(AVERAGEIF(ASSESSMENTS!B:B,A141,ASSESSMENTS!H:H),1))</f>
        <v>#DIV/0!</v>
      </c>
      <c r="F141" s="4" t="str">
        <f>IF(A141="","",IFERROR(ROUND(AVERAGEIFS(ASSESSMENTS!H:H,ASSESSMENTS!B:B,A141,ASSESSMENTS!E:E,"Mathematics"),1),""))</f>
        <v/>
      </c>
      <c r="G141" s="4" t="str">
        <f>IF(A141="","",IFERROR(ROUND(AVERAGEIFS(ASSESSMENTS!H:H,ASSESSMENTS!B:B,A141,ASSESSMENTS!E:E,"Mathematical Literacy"),1),""))</f>
        <v/>
      </c>
      <c r="H141" s="4" t="str">
        <f>IF(A141="","",IFERROR(ROUND(AVERAGEIFS(ASSESSMENTS!H:H,ASSESSMENTS!B:B,A141,ASSESSMENTS!E:E,"Physical Sciences"),1),""))</f>
        <v/>
      </c>
      <c r="I141" s="4" t="str">
        <f>IF(A141="","",IFERROR(ROUND(AVERAGEIFS(ASSESSMENTS!H:H,ASSESSMENTS!B:B,A141,ASSESSMENTS!E:E,"Geography"),1),""))</f>
        <v/>
      </c>
      <c r="J141" s="4" t="str">
        <f>IF(A141="","",IFERROR(ROUND(AVERAGEIFS(ASSESSMENTS!H:H,ASSESSMENTS!B:B,A141,ASSESSMENTS!E:E,"Accounting"),1),""))</f>
        <v/>
      </c>
      <c r="K141" s="4" t="str">
        <f>IF(A141="","",IFERROR(ROUND(AVERAGEIFS(ASSESSMENTS!H:H,ASSESSMENTS!B:B,A141,ASSESSMENTS!E:E,"English"),1),""))</f>
        <v/>
      </c>
      <c r="L141" s="5" t="str">
        <f>IF(A141="","",IFERROR(INDEX(ATTENDANCE_SUMMARY!G:G,MATCH(A141,ATTENDANCE_SUMMARY!A:A,0)),""))</f>
        <v/>
      </c>
      <c r="M141" s="4" t="str">
        <f t="shared" si="2"/>
        <v/>
      </c>
    </row>
    <row r="142" spans="1:13" x14ac:dyDescent="0.3">
      <c r="A142" t="str">
        <f>IF(MASTER_REGISTER!E142="","",MASTER_REGISTER!E142)</f>
        <v/>
      </c>
      <c r="B142" t="str">
        <f>IF(A142="","",MASTER_REGISTER!F142)</f>
        <v/>
      </c>
      <c r="C142" t="str">
        <f>IF(A142="","",MASTER_REGISTER!C142)</f>
        <v/>
      </c>
      <c r="D142" t="str">
        <f>IF(A142="","",COUNTIF(ASSESSMENTS!B:B,A142))</f>
        <v/>
      </c>
      <c r="E142" s="4" t="e">
        <f>IF(D142=0,"",ROUND(AVERAGEIF(ASSESSMENTS!B:B,A142,ASSESSMENTS!H:H),1))</f>
        <v>#DIV/0!</v>
      </c>
      <c r="F142" s="4" t="str">
        <f>IF(A142="","",IFERROR(ROUND(AVERAGEIFS(ASSESSMENTS!H:H,ASSESSMENTS!B:B,A142,ASSESSMENTS!E:E,"Mathematics"),1),""))</f>
        <v/>
      </c>
      <c r="G142" s="4" t="str">
        <f>IF(A142="","",IFERROR(ROUND(AVERAGEIFS(ASSESSMENTS!H:H,ASSESSMENTS!B:B,A142,ASSESSMENTS!E:E,"Mathematical Literacy"),1),""))</f>
        <v/>
      </c>
      <c r="H142" s="4" t="str">
        <f>IF(A142="","",IFERROR(ROUND(AVERAGEIFS(ASSESSMENTS!H:H,ASSESSMENTS!B:B,A142,ASSESSMENTS!E:E,"Physical Sciences"),1),""))</f>
        <v/>
      </c>
      <c r="I142" s="4" t="str">
        <f>IF(A142="","",IFERROR(ROUND(AVERAGEIFS(ASSESSMENTS!H:H,ASSESSMENTS!B:B,A142,ASSESSMENTS!E:E,"Geography"),1),""))</f>
        <v/>
      </c>
      <c r="J142" s="4" t="str">
        <f>IF(A142="","",IFERROR(ROUND(AVERAGEIFS(ASSESSMENTS!H:H,ASSESSMENTS!B:B,A142,ASSESSMENTS!E:E,"Accounting"),1),""))</f>
        <v/>
      </c>
      <c r="K142" s="4" t="str">
        <f>IF(A142="","",IFERROR(ROUND(AVERAGEIFS(ASSESSMENTS!H:H,ASSESSMENTS!B:B,A142,ASSESSMENTS!E:E,"English"),1),""))</f>
        <v/>
      </c>
      <c r="L142" s="5" t="str">
        <f>IF(A142="","",IFERROR(INDEX(ATTENDANCE_SUMMARY!G:G,MATCH(A142,ATTENDANCE_SUMMARY!A:A,0)),""))</f>
        <v/>
      </c>
      <c r="M142" s="4" t="str">
        <f t="shared" si="2"/>
        <v/>
      </c>
    </row>
    <row r="143" spans="1:13" x14ac:dyDescent="0.3">
      <c r="A143" t="str">
        <f>IF(MASTER_REGISTER!E143="","",MASTER_REGISTER!E143)</f>
        <v/>
      </c>
      <c r="B143" t="str">
        <f>IF(A143="","",MASTER_REGISTER!F143)</f>
        <v/>
      </c>
      <c r="C143" t="str">
        <f>IF(A143="","",MASTER_REGISTER!C143)</f>
        <v/>
      </c>
      <c r="D143" t="str">
        <f>IF(A143="","",COUNTIF(ASSESSMENTS!B:B,A143))</f>
        <v/>
      </c>
      <c r="E143" s="4" t="e">
        <f>IF(D143=0,"",ROUND(AVERAGEIF(ASSESSMENTS!B:B,A143,ASSESSMENTS!H:H),1))</f>
        <v>#DIV/0!</v>
      </c>
      <c r="F143" s="4" t="str">
        <f>IF(A143="","",IFERROR(ROUND(AVERAGEIFS(ASSESSMENTS!H:H,ASSESSMENTS!B:B,A143,ASSESSMENTS!E:E,"Mathematics"),1),""))</f>
        <v/>
      </c>
      <c r="G143" s="4" t="str">
        <f>IF(A143="","",IFERROR(ROUND(AVERAGEIFS(ASSESSMENTS!H:H,ASSESSMENTS!B:B,A143,ASSESSMENTS!E:E,"Mathematical Literacy"),1),""))</f>
        <v/>
      </c>
      <c r="H143" s="4" t="str">
        <f>IF(A143="","",IFERROR(ROUND(AVERAGEIFS(ASSESSMENTS!H:H,ASSESSMENTS!B:B,A143,ASSESSMENTS!E:E,"Physical Sciences"),1),""))</f>
        <v/>
      </c>
      <c r="I143" s="4" t="str">
        <f>IF(A143="","",IFERROR(ROUND(AVERAGEIFS(ASSESSMENTS!H:H,ASSESSMENTS!B:B,A143,ASSESSMENTS!E:E,"Geography"),1),""))</f>
        <v/>
      </c>
      <c r="J143" s="4" t="str">
        <f>IF(A143="","",IFERROR(ROUND(AVERAGEIFS(ASSESSMENTS!H:H,ASSESSMENTS!B:B,A143,ASSESSMENTS!E:E,"Accounting"),1),""))</f>
        <v/>
      </c>
      <c r="K143" s="4" t="str">
        <f>IF(A143="","",IFERROR(ROUND(AVERAGEIFS(ASSESSMENTS!H:H,ASSESSMENTS!B:B,A143,ASSESSMENTS!E:E,"English"),1),""))</f>
        <v/>
      </c>
      <c r="L143" s="5" t="str">
        <f>IF(A143="","",IFERROR(INDEX(ATTENDANCE_SUMMARY!G:G,MATCH(A143,ATTENDANCE_SUMMARY!A:A,0)),""))</f>
        <v/>
      </c>
      <c r="M143" s="4" t="str">
        <f t="shared" si="2"/>
        <v/>
      </c>
    </row>
    <row r="144" spans="1:13" x14ac:dyDescent="0.3">
      <c r="A144" t="str">
        <f>IF(MASTER_REGISTER!E144="","",MASTER_REGISTER!E144)</f>
        <v/>
      </c>
      <c r="B144" t="str">
        <f>IF(A144="","",MASTER_REGISTER!F144)</f>
        <v/>
      </c>
      <c r="C144" t="str">
        <f>IF(A144="","",MASTER_REGISTER!C144)</f>
        <v/>
      </c>
      <c r="D144" t="str">
        <f>IF(A144="","",COUNTIF(ASSESSMENTS!B:B,A144))</f>
        <v/>
      </c>
      <c r="E144" s="4" t="e">
        <f>IF(D144=0,"",ROUND(AVERAGEIF(ASSESSMENTS!B:B,A144,ASSESSMENTS!H:H),1))</f>
        <v>#DIV/0!</v>
      </c>
      <c r="F144" s="4" t="str">
        <f>IF(A144="","",IFERROR(ROUND(AVERAGEIFS(ASSESSMENTS!H:H,ASSESSMENTS!B:B,A144,ASSESSMENTS!E:E,"Mathematics"),1),""))</f>
        <v/>
      </c>
      <c r="G144" s="4" t="str">
        <f>IF(A144="","",IFERROR(ROUND(AVERAGEIFS(ASSESSMENTS!H:H,ASSESSMENTS!B:B,A144,ASSESSMENTS!E:E,"Mathematical Literacy"),1),""))</f>
        <v/>
      </c>
      <c r="H144" s="4" t="str">
        <f>IF(A144="","",IFERROR(ROUND(AVERAGEIFS(ASSESSMENTS!H:H,ASSESSMENTS!B:B,A144,ASSESSMENTS!E:E,"Physical Sciences"),1),""))</f>
        <v/>
      </c>
      <c r="I144" s="4" t="str">
        <f>IF(A144="","",IFERROR(ROUND(AVERAGEIFS(ASSESSMENTS!H:H,ASSESSMENTS!B:B,A144,ASSESSMENTS!E:E,"Geography"),1),""))</f>
        <v/>
      </c>
      <c r="J144" s="4" t="str">
        <f>IF(A144="","",IFERROR(ROUND(AVERAGEIFS(ASSESSMENTS!H:H,ASSESSMENTS!B:B,A144,ASSESSMENTS!E:E,"Accounting"),1),""))</f>
        <v/>
      </c>
      <c r="K144" s="4" t="str">
        <f>IF(A144="","",IFERROR(ROUND(AVERAGEIFS(ASSESSMENTS!H:H,ASSESSMENTS!B:B,A144,ASSESSMENTS!E:E,"English"),1),""))</f>
        <v/>
      </c>
      <c r="L144" s="5" t="str">
        <f>IF(A144="","",IFERROR(INDEX(ATTENDANCE_SUMMARY!G:G,MATCH(A144,ATTENDANCE_SUMMARY!A:A,0)),""))</f>
        <v/>
      </c>
      <c r="M144" s="4" t="str">
        <f t="shared" si="2"/>
        <v/>
      </c>
    </row>
    <row r="145" spans="1:13" x14ac:dyDescent="0.3">
      <c r="A145" t="str">
        <f>IF(MASTER_REGISTER!E145="","",MASTER_REGISTER!E145)</f>
        <v/>
      </c>
      <c r="B145" t="str">
        <f>IF(A145="","",MASTER_REGISTER!F145)</f>
        <v/>
      </c>
      <c r="C145" t="str">
        <f>IF(A145="","",MASTER_REGISTER!C145)</f>
        <v/>
      </c>
      <c r="D145" t="str">
        <f>IF(A145="","",COUNTIF(ASSESSMENTS!B:B,A145))</f>
        <v/>
      </c>
      <c r="E145" s="4" t="e">
        <f>IF(D145=0,"",ROUND(AVERAGEIF(ASSESSMENTS!B:B,A145,ASSESSMENTS!H:H),1))</f>
        <v>#DIV/0!</v>
      </c>
      <c r="F145" s="4" t="str">
        <f>IF(A145="","",IFERROR(ROUND(AVERAGEIFS(ASSESSMENTS!H:H,ASSESSMENTS!B:B,A145,ASSESSMENTS!E:E,"Mathematics"),1),""))</f>
        <v/>
      </c>
      <c r="G145" s="4" t="str">
        <f>IF(A145="","",IFERROR(ROUND(AVERAGEIFS(ASSESSMENTS!H:H,ASSESSMENTS!B:B,A145,ASSESSMENTS!E:E,"Mathematical Literacy"),1),""))</f>
        <v/>
      </c>
      <c r="H145" s="4" t="str">
        <f>IF(A145="","",IFERROR(ROUND(AVERAGEIFS(ASSESSMENTS!H:H,ASSESSMENTS!B:B,A145,ASSESSMENTS!E:E,"Physical Sciences"),1),""))</f>
        <v/>
      </c>
      <c r="I145" s="4" t="str">
        <f>IF(A145="","",IFERROR(ROUND(AVERAGEIFS(ASSESSMENTS!H:H,ASSESSMENTS!B:B,A145,ASSESSMENTS!E:E,"Geography"),1),""))</f>
        <v/>
      </c>
      <c r="J145" s="4" t="str">
        <f>IF(A145="","",IFERROR(ROUND(AVERAGEIFS(ASSESSMENTS!H:H,ASSESSMENTS!B:B,A145,ASSESSMENTS!E:E,"Accounting"),1),""))</f>
        <v/>
      </c>
      <c r="K145" s="4" t="str">
        <f>IF(A145="","",IFERROR(ROUND(AVERAGEIFS(ASSESSMENTS!H:H,ASSESSMENTS!B:B,A145,ASSESSMENTS!E:E,"English"),1),""))</f>
        <v/>
      </c>
      <c r="L145" s="5" t="str">
        <f>IF(A145="","",IFERROR(INDEX(ATTENDANCE_SUMMARY!G:G,MATCH(A145,ATTENDANCE_SUMMARY!A:A,0)),""))</f>
        <v/>
      </c>
      <c r="M145" s="4" t="str">
        <f t="shared" si="2"/>
        <v/>
      </c>
    </row>
    <row r="146" spans="1:13" x14ac:dyDescent="0.3">
      <c r="A146" t="str">
        <f>IF(MASTER_REGISTER!E146="","",MASTER_REGISTER!E146)</f>
        <v/>
      </c>
      <c r="B146" t="str">
        <f>IF(A146="","",MASTER_REGISTER!F146)</f>
        <v/>
      </c>
      <c r="C146" t="str">
        <f>IF(A146="","",MASTER_REGISTER!C146)</f>
        <v/>
      </c>
      <c r="D146" t="str">
        <f>IF(A146="","",COUNTIF(ASSESSMENTS!B:B,A146))</f>
        <v/>
      </c>
      <c r="E146" s="4" t="e">
        <f>IF(D146=0,"",ROUND(AVERAGEIF(ASSESSMENTS!B:B,A146,ASSESSMENTS!H:H),1))</f>
        <v>#DIV/0!</v>
      </c>
      <c r="F146" s="4" t="str">
        <f>IF(A146="","",IFERROR(ROUND(AVERAGEIFS(ASSESSMENTS!H:H,ASSESSMENTS!B:B,A146,ASSESSMENTS!E:E,"Mathematics"),1),""))</f>
        <v/>
      </c>
      <c r="G146" s="4" t="str">
        <f>IF(A146="","",IFERROR(ROUND(AVERAGEIFS(ASSESSMENTS!H:H,ASSESSMENTS!B:B,A146,ASSESSMENTS!E:E,"Mathematical Literacy"),1),""))</f>
        <v/>
      </c>
      <c r="H146" s="4" t="str">
        <f>IF(A146="","",IFERROR(ROUND(AVERAGEIFS(ASSESSMENTS!H:H,ASSESSMENTS!B:B,A146,ASSESSMENTS!E:E,"Physical Sciences"),1),""))</f>
        <v/>
      </c>
      <c r="I146" s="4" t="str">
        <f>IF(A146="","",IFERROR(ROUND(AVERAGEIFS(ASSESSMENTS!H:H,ASSESSMENTS!B:B,A146,ASSESSMENTS!E:E,"Geography"),1),""))</f>
        <v/>
      </c>
      <c r="J146" s="4" t="str">
        <f>IF(A146="","",IFERROR(ROUND(AVERAGEIFS(ASSESSMENTS!H:H,ASSESSMENTS!B:B,A146,ASSESSMENTS!E:E,"Accounting"),1),""))</f>
        <v/>
      </c>
      <c r="K146" s="4" t="str">
        <f>IF(A146="","",IFERROR(ROUND(AVERAGEIFS(ASSESSMENTS!H:H,ASSESSMENTS!B:B,A146,ASSESSMENTS!E:E,"English"),1),""))</f>
        <v/>
      </c>
      <c r="L146" s="5" t="str">
        <f>IF(A146="","",IFERROR(INDEX(ATTENDANCE_SUMMARY!G:G,MATCH(A146,ATTENDANCE_SUMMARY!A:A,0)),""))</f>
        <v/>
      </c>
      <c r="M146" s="4" t="str">
        <f t="shared" si="2"/>
        <v/>
      </c>
    </row>
    <row r="147" spans="1:13" x14ac:dyDescent="0.3">
      <c r="A147" t="str">
        <f>IF(MASTER_REGISTER!E147="","",MASTER_REGISTER!E147)</f>
        <v/>
      </c>
      <c r="B147" t="str">
        <f>IF(A147="","",MASTER_REGISTER!F147)</f>
        <v/>
      </c>
      <c r="C147" t="str">
        <f>IF(A147="","",MASTER_REGISTER!C147)</f>
        <v/>
      </c>
      <c r="D147" t="str">
        <f>IF(A147="","",COUNTIF(ASSESSMENTS!B:B,A147))</f>
        <v/>
      </c>
      <c r="E147" s="4" t="e">
        <f>IF(D147=0,"",ROUND(AVERAGEIF(ASSESSMENTS!B:B,A147,ASSESSMENTS!H:H),1))</f>
        <v>#DIV/0!</v>
      </c>
      <c r="F147" s="4" t="str">
        <f>IF(A147="","",IFERROR(ROUND(AVERAGEIFS(ASSESSMENTS!H:H,ASSESSMENTS!B:B,A147,ASSESSMENTS!E:E,"Mathematics"),1),""))</f>
        <v/>
      </c>
      <c r="G147" s="4" t="str">
        <f>IF(A147="","",IFERROR(ROUND(AVERAGEIFS(ASSESSMENTS!H:H,ASSESSMENTS!B:B,A147,ASSESSMENTS!E:E,"Mathematical Literacy"),1),""))</f>
        <v/>
      </c>
      <c r="H147" s="4" t="str">
        <f>IF(A147="","",IFERROR(ROUND(AVERAGEIFS(ASSESSMENTS!H:H,ASSESSMENTS!B:B,A147,ASSESSMENTS!E:E,"Physical Sciences"),1),""))</f>
        <v/>
      </c>
      <c r="I147" s="4" t="str">
        <f>IF(A147="","",IFERROR(ROUND(AVERAGEIFS(ASSESSMENTS!H:H,ASSESSMENTS!B:B,A147,ASSESSMENTS!E:E,"Geography"),1),""))</f>
        <v/>
      </c>
      <c r="J147" s="4" t="str">
        <f>IF(A147="","",IFERROR(ROUND(AVERAGEIFS(ASSESSMENTS!H:H,ASSESSMENTS!B:B,A147,ASSESSMENTS!E:E,"Accounting"),1),""))</f>
        <v/>
      </c>
      <c r="K147" s="4" t="str">
        <f>IF(A147="","",IFERROR(ROUND(AVERAGEIFS(ASSESSMENTS!H:H,ASSESSMENTS!B:B,A147,ASSESSMENTS!E:E,"English"),1),""))</f>
        <v/>
      </c>
      <c r="L147" s="5" t="str">
        <f>IF(A147="","",IFERROR(INDEX(ATTENDANCE_SUMMARY!G:G,MATCH(A147,ATTENDANCE_SUMMARY!A:A,0)),""))</f>
        <v/>
      </c>
      <c r="M147" s="4" t="str">
        <f t="shared" si="2"/>
        <v/>
      </c>
    </row>
    <row r="148" spans="1:13" x14ac:dyDescent="0.3">
      <c r="A148" t="str">
        <f>IF(MASTER_REGISTER!E148="","",MASTER_REGISTER!E148)</f>
        <v/>
      </c>
      <c r="B148" t="str">
        <f>IF(A148="","",MASTER_REGISTER!F148)</f>
        <v/>
      </c>
      <c r="C148" t="str">
        <f>IF(A148="","",MASTER_REGISTER!C148)</f>
        <v/>
      </c>
      <c r="D148" t="str">
        <f>IF(A148="","",COUNTIF(ASSESSMENTS!B:B,A148))</f>
        <v/>
      </c>
      <c r="E148" s="4" t="e">
        <f>IF(D148=0,"",ROUND(AVERAGEIF(ASSESSMENTS!B:B,A148,ASSESSMENTS!H:H),1))</f>
        <v>#DIV/0!</v>
      </c>
      <c r="F148" s="4" t="str">
        <f>IF(A148="","",IFERROR(ROUND(AVERAGEIFS(ASSESSMENTS!H:H,ASSESSMENTS!B:B,A148,ASSESSMENTS!E:E,"Mathematics"),1),""))</f>
        <v/>
      </c>
      <c r="G148" s="4" t="str">
        <f>IF(A148="","",IFERROR(ROUND(AVERAGEIFS(ASSESSMENTS!H:H,ASSESSMENTS!B:B,A148,ASSESSMENTS!E:E,"Mathematical Literacy"),1),""))</f>
        <v/>
      </c>
      <c r="H148" s="4" t="str">
        <f>IF(A148="","",IFERROR(ROUND(AVERAGEIFS(ASSESSMENTS!H:H,ASSESSMENTS!B:B,A148,ASSESSMENTS!E:E,"Physical Sciences"),1),""))</f>
        <v/>
      </c>
      <c r="I148" s="4" t="str">
        <f>IF(A148="","",IFERROR(ROUND(AVERAGEIFS(ASSESSMENTS!H:H,ASSESSMENTS!B:B,A148,ASSESSMENTS!E:E,"Geography"),1),""))</f>
        <v/>
      </c>
      <c r="J148" s="4" t="str">
        <f>IF(A148="","",IFERROR(ROUND(AVERAGEIFS(ASSESSMENTS!H:H,ASSESSMENTS!B:B,A148,ASSESSMENTS!E:E,"Accounting"),1),""))</f>
        <v/>
      </c>
      <c r="K148" s="4" t="str">
        <f>IF(A148="","",IFERROR(ROUND(AVERAGEIFS(ASSESSMENTS!H:H,ASSESSMENTS!B:B,A148,ASSESSMENTS!E:E,"English"),1),""))</f>
        <v/>
      </c>
      <c r="L148" s="5" t="str">
        <f>IF(A148="","",IFERROR(INDEX(ATTENDANCE_SUMMARY!G:G,MATCH(A148,ATTENDANCE_SUMMARY!A:A,0)),""))</f>
        <v/>
      </c>
      <c r="M148" s="4" t="str">
        <f t="shared" si="2"/>
        <v/>
      </c>
    </row>
    <row r="149" spans="1:13" x14ac:dyDescent="0.3">
      <c r="A149" t="str">
        <f>IF(MASTER_REGISTER!E149="","",MASTER_REGISTER!E149)</f>
        <v/>
      </c>
      <c r="B149" t="str">
        <f>IF(A149="","",MASTER_REGISTER!F149)</f>
        <v/>
      </c>
      <c r="C149" t="str">
        <f>IF(A149="","",MASTER_REGISTER!C149)</f>
        <v/>
      </c>
      <c r="D149" t="str">
        <f>IF(A149="","",COUNTIF(ASSESSMENTS!B:B,A149))</f>
        <v/>
      </c>
      <c r="E149" s="4" t="e">
        <f>IF(D149=0,"",ROUND(AVERAGEIF(ASSESSMENTS!B:B,A149,ASSESSMENTS!H:H),1))</f>
        <v>#DIV/0!</v>
      </c>
      <c r="F149" s="4" t="str">
        <f>IF(A149="","",IFERROR(ROUND(AVERAGEIFS(ASSESSMENTS!H:H,ASSESSMENTS!B:B,A149,ASSESSMENTS!E:E,"Mathematics"),1),""))</f>
        <v/>
      </c>
      <c r="G149" s="4" t="str">
        <f>IF(A149="","",IFERROR(ROUND(AVERAGEIFS(ASSESSMENTS!H:H,ASSESSMENTS!B:B,A149,ASSESSMENTS!E:E,"Mathematical Literacy"),1),""))</f>
        <v/>
      </c>
      <c r="H149" s="4" t="str">
        <f>IF(A149="","",IFERROR(ROUND(AVERAGEIFS(ASSESSMENTS!H:H,ASSESSMENTS!B:B,A149,ASSESSMENTS!E:E,"Physical Sciences"),1),""))</f>
        <v/>
      </c>
      <c r="I149" s="4" t="str">
        <f>IF(A149="","",IFERROR(ROUND(AVERAGEIFS(ASSESSMENTS!H:H,ASSESSMENTS!B:B,A149,ASSESSMENTS!E:E,"Geography"),1),""))</f>
        <v/>
      </c>
      <c r="J149" s="4" t="str">
        <f>IF(A149="","",IFERROR(ROUND(AVERAGEIFS(ASSESSMENTS!H:H,ASSESSMENTS!B:B,A149,ASSESSMENTS!E:E,"Accounting"),1),""))</f>
        <v/>
      </c>
      <c r="K149" s="4" t="str">
        <f>IF(A149="","",IFERROR(ROUND(AVERAGEIFS(ASSESSMENTS!H:H,ASSESSMENTS!B:B,A149,ASSESSMENTS!E:E,"English"),1),""))</f>
        <v/>
      </c>
      <c r="L149" s="5" t="str">
        <f>IF(A149="","",IFERROR(INDEX(ATTENDANCE_SUMMARY!G:G,MATCH(A149,ATTENDANCE_SUMMARY!A:A,0)),""))</f>
        <v/>
      </c>
      <c r="M149" s="4" t="str">
        <f t="shared" si="2"/>
        <v/>
      </c>
    </row>
    <row r="150" spans="1:13" x14ac:dyDescent="0.3">
      <c r="A150" t="str">
        <f>IF(MASTER_REGISTER!E150="","",MASTER_REGISTER!E150)</f>
        <v/>
      </c>
      <c r="B150" t="str">
        <f>IF(A150="","",MASTER_REGISTER!F150)</f>
        <v/>
      </c>
      <c r="C150" t="str">
        <f>IF(A150="","",MASTER_REGISTER!C150)</f>
        <v/>
      </c>
      <c r="D150" t="str">
        <f>IF(A150="","",COUNTIF(ASSESSMENTS!B:B,A150))</f>
        <v/>
      </c>
      <c r="E150" s="4" t="e">
        <f>IF(D150=0,"",ROUND(AVERAGEIF(ASSESSMENTS!B:B,A150,ASSESSMENTS!H:H),1))</f>
        <v>#DIV/0!</v>
      </c>
      <c r="F150" s="4" t="str">
        <f>IF(A150="","",IFERROR(ROUND(AVERAGEIFS(ASSESSMENTS!H:H,ASSESSMENTS!B:B,A150,ASSESSMENTS!E:E,"Mathematics"),1),""))</f>
        <v/>
      </c>
      <c r="G150" s="4" t="str">
        <f>IF(A150="","",IFERROR(ROUND(AVERAGEIFS(ASSESSMENTS!H:H,ASSESSMENTS!B:B,A150,ASSESSMENTS!E:E,"Mathematical Literacy"),1),""))</f>
        <v/>
      </c>
      <c r="H150" s="4" t="str">
        <f>IF(A150="","",IFERROR(ROUND(AVERAGEIFS(ASSESSMENTS!H:H,ASSESSMENTS!B:B,A150,ASSESSMENTS!E:E,"Physical Sciences"),1),""))</f>
        <v/>
      </c>
      <c r="I150" s="4" t="str">
        <f>IF(A150="","",IFERROR(ROUND(AVERAGEIFS(ASSESSMENTS!H:H,ASSESSMENTS!B:B,A150,ASSESSMENTS!E:E,"Geography"),1),""))</f>
        <v/>
      </c>
      <c r="J150" s="4" t="str">
        <f>IF(A150="","",IFERROR(ROUND(AVERAGEIFS(ASSESSMENTS!H:H,ASSESSMENTS!B:B,A150,ASSESSMENTS!E:E,"Accounting"),1),""))</f>
        <v/>
      </c>
      <c r="K150" s="4" t="str">
        <f>IF(A150="","",IFERROR(ROUND(AVERAGEIFS(ASSESSMENTS!H:H,ASSESSMENTS!B:B,A150,ASSESSMENTS!E:E,"English"),1),""))</f>
        <v/>
      </c>
      <c r="L150" s="5" t="str">
        <f>IF(A150="","",IFERROR(INDEX(ATTENDANCE_SUMMARY!G:G,MATCH(A150,ATTENDANCE_SUMMARY!A:A,0)),""))</f>
        <v/>
      </c>
      <c r="M150" s="4" t="str">
        <f t="shared" si="2"/>
        <v/>
      </c>
    </row>
    <row r="151" spans="1:13" x14ac:dyDescent="0.3">
      <c r="A151" t="str">
        <f>IF(MASTER_REGISTER!E151="","",MASTER_REGISTER!E151)</f>
        <v/>
      </c>
      <c r="B151" t="str">
        <f>IF(A151="","",MASTER_REGISTER!F151)</f>
        <v/>
      </c>
      <c r="C151" t="str">
        <f>IF(A151="","",MASTER_REGISTER!C151)</f>
        <v/>
      </c>
      <c r="D151" t="str">
        <f>IF(A151="","",COUNTIF(ASSESSMENTS!B:B,A151))</f>
        <v/>
      </c>
      <c r="E151" s="4" t="e">
        <f>IF(D151=0,"",ROUND(AVERAGEIF(ASSESSMENTS!B:B,A151,ASSESSMENTS!H:H),1))</f>
        <v>#DIV/0!</v>
      </c>
      <c r="F151" s="4" t="str">
        <f>IF(A151="","",IFERROR(ROUND(AVERAGEIFS(ASSESSMENTS!H:H,ASSESSMENTS!B:B,A151,ASSESSMENTS!E:E,"Mathematics"),1),""))</f>
        <v/>
      </c>
      <c r="G151" s="4" t="str">
        <f>IF(A151="","",IFERROR(ROUND(AVERAGEIFS(ASSESSMENTS!H:H,ASSESSMENTS!B:B,A151,ASSESSMENTS!E:E,"Mathematical Literacy"),1),""))</f>
        <v/>
      </c>
      <c r="H151" s="4" t="str">
        <f>IF(A151="","",IFERROR(ROUND(AVERAGEIFS(ASSESSMENTS!H:H,ASSESSMENTS!B:B,A151,ASSESSMENTS!E:E,"Physical Sciences"),1),""))</f>
        <v/>
      </c>
      <c r="I151" s="4" t="str">
        <f>IF(A151="","",IFERROR(ROUND(AVERAGEIFS(ASSESSMENTS!H:H,ASSESSMENTS!B:B,A151,ASSESSMENTS!E:E,"Geography"),1),""))</f>
        <v/>
      </c>
      <c r="J151" s="4" t="str">
        <f>IF(A151="","",IFERROR(ROUND(AVERAGEIFS(ASSESSMENTS!H:H,ASSESSMENTS!B:B,A151,ASSESSMENTS!E:E,"Accounting"),1),""))</f>
        <v/>
      </c>
      <c r="K151" s="4" t="str">
        <f>IF(A151="","",IFERROR(ROUND(AVERAGEIFS(ASSESSMENTS!H:H,ASSESSMENTS!B:B,A151,ASSESSMENTS!E:E,"English"),1),""))</f>
        <v/>
      </c>
      <c r="L151" s="5" t="str">
        <f>IF(A151="","",IFERROR(INDEX(ATTENDANCE_SUMMARY!G:G,MATCH(A151,ATTENDANCE_SUMMARY!A:A,0)),""))</f>
        <v/>
      </c>
      <c r="M151" s="4" t="str">
        <f t="shared" si="2"/>
        <v/>
      </c>
    </row>
    <row r="152" spans="1:13" x14ac:dyDescent="0.3">
      <c r="A152" t="str">
        <f>IF(MASTER_REGISTER!E152="","",MASTER_REGISTER!E152)</f>
        <v/>
      </c>
      <c r="B152" t="str">
        <f>IF(A152="","",MASTER_REGISTER!F152)</f>
        <v/>
      </c>
      <c r="C152" t="str">
        <f>IF(A152="","",MASTER_REGISTER!C152)</f>
        <v/>
      </c>
      <c r="D152" t="str">
        <f>IF(A152="","",COUNTIF(ASSESSMENTS!B:B,A152))</f>
        <v/>
      </c>
      <c r="E152" s="4" t="e">
        <f>IF(D152=0,"",ROUND(AVERAGEIF(ASSESSMENTS!B:B,A152,ASSESSMENTS!H:H),1))</f>
        <v>#DIV/0!</v>
      </c>
      <c r="F152" s="4" t="str">
        <f>IF(A152="","",IFERROR(ROUND(AVERAGEIFS(ASSESSMENTS!H:H,ASSESSMENTS!B:B,A152,ASSESSMENTS!E:E,"Mathematics"),1),""))</f>
        <v/>
      </c>
      <c r="G152" s="4" t="str">
        <f>IF(A152="","",IFERROR(ROUND(AVERAGEIFS(ASSESSMENTS!H:H,ASSESSMENTS!B:B,A152,ASSESSMENTS!E:E,"Mathematical Literacy"),1),""))</f>
        <v/>
      </c>
      <c r="H152" s="4" t="str">
        <f>IF(A152="","",IFERROR(ROUND(AVERAGEIFS(ASSESSMENTS!H:H,ASSESSMENTS!B:B,A152,ASSESSMENTS!E:E,"Physical Sciences"),1),""))</f>
        <v/>
      </c>
      <c r="I152" s="4" t="str">
        <f>IF(A152="","",IFERROR(ROUND(AVERAGEIFS(ASSESSMENTS!H:H,ASSESSMENTS!B:B,A152,ASSESSMENTS!E:E,"Geography"),1),""))</f>
        <v/>
      </c>
      <c r="J152" s="4" t="str">
        <f>IF(A152="","",IFERROR(ROUND(AVERAGEIFS(ASSESSMENTS!H:H,ASSESSMENTS!B:B,A152,ASSESSMENTS!E:E,"Accounting"),1),""))</f>
        <v/>
      </c>
      <c r="K152" s="4" t="str">
        <f>IF(A152="","",IFERROR(ROUND(AVERAGEIFS(ASSESSMENTS!H:H,ASSESSMENTS!B:B,A152,ASSESSMENTS!E:E,"English"),1),""))</f>
        <v/>
      </c>
      <c r="L152" s="5" t="str">
        <f>IF(A152="","",IFERROR(INDEX(ATTENDANCE_SUMMARY!G:G,MATCH(A152,ATTENDANCE_SUMMARY!A:A,0)),""))</f>
        <v/>
      </c>
      <c r="M152" s="4" t="str">
        <f t="shared" si="2"/>
        <v/>
      </c>
    </row>
    <row r="153" spans="1:13" x14ac:dyDescent="0.3">
      <c r="A153" t="str">
        <f>IF(MASTER_REGISTER!E153="","",MASTER_REGISTER!E153)</f>
        <v/>
      </c>
      <c r="B153" t="str">
        <f>IF(A153="","",MASTER_REGISTER!F153)</f>
        <v/>
      </c>
      <c r="C153" t="str">
        <f>IF(A153="","",MASTER_REGISTER!C153)</f>
        <v/>
      </c>
      <c r="D153" t="str">
        <f>IF(A153="","",COUNTIF(ASSESSMENTS!B:B,A153))</f>
        <v/>
      </c>
      <c r="E153" s="4" t="e">
        <f>IF(D153=0,"",ROUND(AVERAGEIF(ASSESSMENTS!B:B,A153,ASSESSMENTS!H:H),1))</f>
        <v>#DIV/0!</v>
      </c>
      <c r="F153" s="4" t="str">
        <f>IF(A153="","",IFERROR(ROUND(AVERAGEIFS(ASSESSMENTS!H:H,ASSESSMENTS!B:B,A153,ASSESSMENTS!E:E,"Mathematics"),1),""))</f>
        <v/>
      </c>
      <c r="G153" s="4" t="str">
        <f>IF(A153="","",IFERROR(ROUND(AVERAGEIFS(ASSESSMENTS!H:H,ASSESSMENTS!B:B,A153,ASSESSMENTS!E:E,"Mathematical Literacy"),1),""))</f>
        <v/>
      </c>
      <c r="H153" s="4" t="str">
        <f>IF(A153="","",IFERROR(ROUND(AVERAGEIFS(ASSESSMENTS!H:H,ASSESSMENTS!B:B,A153,ASSESSMENTS!E:E,"Physical Sciences"),1),""))</f>
        <v/>
      </c>
      <c r="I153" s="4" t="str">
        <f>IF(A153="","",IFERROR(ROUND(AVERAGEIFS(ASSESSMENTS!H:H,ASSESSMENTS!B:B,A153,ASSESSMENTS!E:E,"Geography"),1),""))</f>
        <v/>
      </c>
      <c r="J153" s="4" t="str">
        <f>IF(A153="","",IFERROR(ROUND(AVERAGEIFS(ASSESSMENTS!H:H,ASSESSMENTS!B:B,A153,ASSESSMENTS!E:E,"Accounting"),1),""))</f>
        <v/>
      </c>
      <c r="K153" s="4" t="str">
        <f>IF(A153="","",IFERROR(ROUND(AVERAGEIFS(ASSESSMENTS!H:H,ASSESSMENTS!B:B,A153,ASSESSMENTS!E:E,"English"),1),""))</f>
        <v/>
      </c>
      <c r="L153" s="5" t="str">
        <f>IF(A153="","",IFERROR(INDEX(ATTENDANCE_SUMMARY!G:G,MATCH(A153,ATTENDANCE_SUMMARY!A:A,0)),""))</f>
        <v/>
      </c>
      <c r="M153" s="4" t="str">
        <f t="shared" si="2"/>
        <v/>
      </c>
    </row>
    <row r="154" spans="1:13" x14ac:dyDescent="0.3">
      <c r="A154" t="str">
        <f>IF(MASTER_REGISTER!E154="","",MASTER_REGISTER!E154)</f>
        <v/>
      </c>
      <c r="B154" t="str">
        <f>IF(A154="","",MASTER_REGISTER!F154)</f>
        <v/>
      </c>
      <c r="C154" t="str">
        <f>IF(A154="","",MASTER_REGISTER!C154)</f>
        <v/>
      </c>
      <c r="D154" t="str">
        <f>IF(A154="","",COUNTIF(ASSESSMENTS!B:B,A154))</f>
        <v/>
      </c>
      <c r="E154" s="4" t="e">
        <f>IF(D154=0,"",ROUND(AVERAGEIF(ASSESSMENTS!B:B,A154,ASSESSMENTS!H:H),1))</f>
        <v>#DIV/0!</v>
      </c>
      <c r="F154" s="4" t="str">
        <f>IF(A154="","",IFERROR(ROUND(AVERAGEIFS(ASSESSMENTS!H:H,ASSESSMENTS!B:B,A154,ASSESSMENTS!E:E,"Mathematics"),1),""))</f>
        <v/>
      </c>
      <c r="G154" s="4" t="str">
        <f>IF(A154="","",IFERROR(ROUND(AVERAGEIFS(ASSESSMENTS!H:H,ASSESSMENTS!B:B,A154,ASSESSMENTS!E:E,"Mathematical Literacy"),1),""))</f>
        <v/>
      </c>
      <c r="H154" s="4" t="str">
        <f>IF(A154="","",IFERROR(ROUND(AVERAGEIFS(ASSESSMENTS!H:H,ASSESSMENTS!B:B,A154,ASSESSMENTS!E:E,"Physical Sciences"),1),""))</f>
        <v/>
      </c>
      <c r="I154" s="4" t="str">
        <f>IF(A154="","",IFERROR(ROUND(AVERAGEIFS(ASSESSMENTS!H:H,ASSESSMENTS!B:B,A154,ASSESSMENTS!E:E,"Geography"),1),""))</f>
        <v/>
      </c>
      <c r="J154" s="4" t="str">
        <f>IF(A154="","",IFERROR(ROUND(AVERAGEIFS(ASSESSMENTS!H:H,ASSESSMENTS!B:B,A154,ASSESSMENTS!E:E,"Accounting"),1),""))</f>
        <v/>
      </c>
      <c r="K154" s="4" t="str">
        <f>IF(A154="","",IFERROR(ROUND(AVERAGEIFS(ASSESSMENTS!H:H,ASSESSMENTS!B:B,A154,ASSESSMENTS!E:E,"English"),1),""))</f>
        <v/>
      </c>
      <c r="L154" s="5" t="str">
        <f>IF(A154="","",IFERROR(INDEX(ATTENDANCE_SUMMARY!G:G,MATCH(A154,ATTENDANCE_SUMMARY!A:A,0)),""))</f>
        <v/>
      </c>
      <c r="M154" s="4" t="str">
        <f t="shared" si="2"/>
        <v/>
      </c>
    </row>
    <row r="155" spans="1:13" x14ac:dyDescent="0.3">
      <c r="A155" t="str">
        <f>IF(MASTER_REGISTER!E155="","",MASTER_REGISTER!E155)</f>
        <v/>
      </c>
      <c r="B155" t="str">
        <f>IF(A155="","",MASTER_REGISTER!F155)</f>
        <v/>
      </c>
      <c r="C155" t="str">
        <f>IF(A155="","",MASTER_REGISTER!C155)</f>
        <v/>
      </c>
      <c r="D155" t="str">
        <f>IF(A155="","",COUNTIF(ASSESSMENTS!B:B,A155))</f>
        <v/>
      </c>
      <c r="E155" s="4" t="e">
        <f>IF(D155=0,"",ROUND(AVERAGEIF(ASSESSMENTS!B:B,A155,ASSESSMENTS!H:H),1))</f>
        <v>#DIV/0!</v>
      </c>
      <c r="F155" s="4" t="str">
        <f>IF(A155="","",IFERROR(ROUND(AVERAGEIFS(ASSESSMENTS!H:H,ASSESSMENTS!B:B,A155,ASSESSMENTS!E:E,"Mathematics"),1),""))</f>
        <v/>
      </c>
      <c r="G155" s="4" t="str">
        <f>IF(A155="","",IFERROR(ROUND(AVERAGEIFS(ASSESSMENTS!H:H,ASSESSMENTS!B:B,A155,ASSESSMENTS!E:E,"Mathematical Literacy"),1),""))</f>
        <v/>
      </c>
      <c r="H155" s="4" t="str">
        <f>IF(A155="","",IFERROR(ROUND(AVERAGEIFS(ASSESSMENTS!H:H,ASSESSMENTS!B:B,A155,ASSESSMENTS!E:E,"Physical Sciences"),1),""))</f>
        <v/>
      </c>
      <c r="I155" s="4" t="str">
        <f>IF(A155="","",IFERROR(ROUND(AVERAGEIFS(ASSESSMENTS!H:H,ASSESSMENTS!B:B,A155,ASSESSMENTS!E:E,"Geography"),1),""))</f>
        <v/>
      </c>
      <c r="J155" s="4" t="str">
        <f>IF(A155="","",IFERROR(ROUND(AVERAGEIFS(ASSESSMENTS!H:H,ASSESSMENTS!B:B,A155,ASSESSMENTS!E:E,"Accounting"),1),""))</f>
        <v/>
      </c>
      <c r="K155" s="4" t="str">
        <f>IF(A155="","",IFERROR(ROUND(AVERAGEIFS(ASSESSMENTS!H:H,ASSESSMENTS!B:B,A155,ASSESSMENTS!E:E,"English"),1),""))</f>
        <v/>
      </c>
      <c r="L155" s="5" t="str">
        <f>IF(A155="","",IFERROR(INDEX(ATTENDANCE_SUMMARY!G:G,MATCH(A155,ATTENDANCE_SUMMARY!A:A,0)),""))</f>
        <v/>
      </c>
      <c r="M155" s="4" t="str">
        <f t="shared" si="2"/>
        <v/>
      </c>
    </row>
    <row r="156" spans="1:13" x14ac:dyDescent="0.3">
      <c r="A156" t="str">
        <f>IF(MASTER_REGISTER!E156="","",MASTER_REGISTER!E156)</f>
        <v/>
      </c>
      <c r="B156" t="str">
        <f>IF(A156="","",MASTER_REGISTER!F156)</f>
        <v/>
      </c>
      <c r="C156" t="str">
        <f>IF(A156="","",MASTER_REGISTER!C156)</f>
        <v/>
      </c>
      <c r="D156" t="str">
        <f>IF(A156="","",COUNTIF(ASSESSMENTS!B:B,A156))</f>
        <v/>
      </c>
      <c r="E156" s="4" t="e">
        <f>IF(D156=0,"",ROUND(AVERAGEIF(ASSESSMENTS!B:B,A156,ASSESSMENTS!H:H),1))</f>
        <v>#DIV/0!</v>
      </c>
      <c r="F156" s="4" t="str">
        <f>IF(A156="","",IFERROR(ROUND(AVERAGEIFS(ASSESSMENTS!H:H,ASSESSMENTS!B:B,A156,ASSESSMENTS!E:E,"Mathematics"),1),""))</f>
        <v/>
      </c>
      <c r="G156" s="4" t="str">
        <f>IF(A156="","",IFERROR(ROUND(AVERAGEIFS(ASSESSMENTS!H:H,ASSESSMENTS!B:B,A156,ASSESSMENTS!E:E,"Mathematical Literacy"),1),""))</f>
        <v/>
      </c>
      <c r="H156" s="4" t="str">
        <f>IF(A156="","",IFERROR(ROUND(AVERAGEIFS(ASSESSMENTS!H:H,ASSESSMENTS!B:B,A156,ASSESSMENTS!E:E,"Physical Sciences"),1),""))</f>
        <v/>
      </c>
      <c r="I156" s="4" t="str">
        <f>IF(A156="","",IFERROR(ROUND(AVERAGEIFS(ASSESSMENTS!H:H,ASSESSMENTS!B:B,A156,ASSESSMENTS!E:E,"Geography"),1),""))</f>
        <v/>
      </c>
      <c r="J156" s="4" t="str">
        <f>IF(A156="","",IFERROR(ROUND(AVERAGEIFS(ASSESSMENTS!H:H,ASSESSMENTS!B:B,A156,ASSESSMENTS!E:E,"Accounting"),1),""))</f>
        <v/>
      </c>
      <c r="K156" s="4" t="str">
        <f>IF(A156="","",IFERROR(ROUND(AVERAGEIFS(ASSESSMENTS!H:H,ASSESSMENTS!B:B,A156,ASSESSMENTS!E:E,"English"),1),""))</f>
        <v/>
      </c>
      <c r="L156" s="5" t="str">
        <f>IF(A156="","",IFERROR(INDEX(ATTENDANCE_SUMMARY!G:G,MATCH(A156,ATTENDANCE_SUMMARY!A:A,0)),""))</f>
        <v/>
      </c>
      <c r="M156" s="4" t="str">
        <f t="shared" si="2"/>
        <v/>
      </c>
    </row>
    <row r="157" spans="1:13" x14ac:dyDescent="0.3">
      <c r="A157" t="str">
        <f>IF(MASTER_REGISTER!E157="","",MASTER_REGISTER!E157)</f>
        <v/>
      </c>
      <c r="B157" t="str">
        <f>IF(A157="","",MASTER_REGISTER!F157)</f>
        <v/>
      </c>
      <c r="C157" t="str">
        <f>IF(A157="","",MASTER_REGISTER!C157)</f>
        <v/>
      </c>
      <c r="D157" t="str">
        <f>IF(A157="","",COUNTIF(ASSESSMENTS!B:B,A157))</f>
        <v/>
      </c>
      <c r="E157" s="4" t="e">
        <f>IF(D157=0,"",ROUND(AVERAGEIF(ASSESSMENTS!B:B,A157,ASSESSMENTS!H:H),1))</f>
        <v>#DIV/0!</v>
      </c>
      <c r="F157" s="4" t="str">
        <f>IF(A157="","",IFERROR(ROUND(AVERAGEIFS(ASSESSMENTS!H:H,ASSESSMENTS!B:B,A157,ASSESSMENTS!E:E,"Mathematics"),1),""))</f>
        <v/>
      </c>
      <c r="G157" s="4" t="str">
        <f>IF(A157="","",IFERROR(ROUND(AVERAGEIFS(ASSESSMENTS!H:H,ASSESSMENTS!B:B,A157,ASSESSMENTS!E:E,"Mathematical Literacy"),1),""))</f>
        <v/>
      </c>
      <c r="H157" s="4" t="str">
        <f>IF(A157="","",IFERROR(ROUND(AVERAGEIFS(ASSESSMENTS!H:H,ASSESSMENTS!B:B,A157,ASSESSMENTS!E:E,"Physical Sciences"),1),""))</f>
        <v/>
      </c>
      <c r="I157" s="4" t="str">
        <f>IF(A157="","",IFERROR(ROUND(AVERAGEIFS(ASSESSMENTS!H:H,ASSESSMENTS!B:B,A157,ASSESSMENTS!E:E,"Geography"),1),""))</f>
        <v/>
      </c>
      <c r="J157" s="4" t="str">
        <f>IF(A157="","",IFERROR(ROUND(AVERAGEIFS(ASSESSMENTS!H:H,ASSESSMENTS!B:B,A157,ASSESSMENTS!E:E,"Accounting"),1),""))</f>
        <v/>
      </c>
      <c r="K157" s="4" t="str">
        <f>IF(A157="","",IFERROR(ROUND(AVERAGEIFS(ASSESSMENTS!H:H,ASSESSMENTS!B:B,A157,ASSESSMENTS!E:E,"English"),1),""))</f>
        <v/>
      </c>
      <c r="L157" s="5" t="str">
        <f>IF(A157="","",IFERROR(INDEX(ATTENDANCE_SUMMARY!G:G,MATCH(A157,ATTENDANCE_SUMMARY!A:A,0)),""))</f>
        <v/>
      </c>
      <c r="M157" s="4" t="str">
        <f t="shared" si="2"/>
        <v/>
      </c>
    </row>
    <row r="158" spans="1:13" x14ac:dyDescent="0.3">
      <c r="A158" t="str">
        <f>IF(MASTER_REGISTER!E158="","",MASTER_REGISTER!E158)</f>
        <v/>
      </c>
      <c r="B158" t="str">
        <f>IF(A158="","",MASTER_REGISTER!F158)</f>
        <v/>
      </c>
      <c r="C158" t="str">
        <f>IF(A158="","",MASTER_REGISTER!C158)</f>
        <v/>
      </c>
      <c r="D158" t="str">
        <f>IF(A158="","",COUNTIF(ASSESSMENTS!B:B,A158))</f>
        <v/>
      </c>
      <c r="E158" s="4" t="e">
        <f>IF(D158=0,"",ROUND(AVERAGEIF(ASSESSMENTS!B:B,A158,ASSESSMENTS!H:H),1))</f>
        <v>#DIV/0!</v>
      </c>
      <c r="F158" s="4" t="str">
        <f>IF(A158="","",IFERROR(ROUND(AVERAGEIFS(ASSESSMENTS!H:H,ASSESSMENTS!B:B,A158,ASSESSMENTS!E:E,"Mathematics"),1),""))</f>
        <v/>
      </c>
      <c r="G158" s="4" t="str">
        <f>IF(A158="","",IFERROR(ROUND(AVERAGEIFS(ASSESSMENTS!H:H,ASSESSMENTS!B:B,A158,ASSESSMENTS!E:E,"Mathematical Literacy"),1),""))</f>
        <v/>
      </c>
      <c r="H158" s="4" t="str">
        <f>IF(A158="","",IFERROR(ROUND(AVERAGEIFS(ASSESSMENTS!H:H,ASSESSMENTS!B:B,A158,ASSESSMENTS!E:E,"Physical Sciences"),1),""))</f>
        <v/>
      </c>
      <c r="I158" s="4" t="str">
        <f>IF(A158="","",IFERROR(ROUND(AVERAGEIFS(ASSESSMENTS!H:H,ASSESSMENTS!B:B,A158,ASSESSMENTS!E:E,"Geography"),1),""))</f>
        <v/>
      </c>
      <c r="J158" s="4" t="str">
        <f>IF(A158="","",IFERROR(ROUND(AVERAGEIFS(ASSESSMENTS!H:H,ASSESSMENTS!B:B,A158,ASSESSMENTS!E:E,"Accounting"),1),""))</f>
        <v/>
      </c>
      <c r="K158" s="4" t="str">
        <f>IF(A158="","",IFERROR(ROUND(AVERAGEIFS(ASSESSMENTS!H:H,ASSESSMENTS!B:B,A158,ASSESSMENTS!E:E,"English"),1),""))</f>
        <v/>
      </c>
      <c r="L158" s="5" t="str">
        <f>IF(A158="","",IFERROR(INDEX(ATTENDANCE_SUMMARY!G:G,MATCH(A158,ATTENDANCE_SUMMARY!A:A,0)),""))</f>
        <v/>
      </c>
      <c r="M158" s="4" t="str">
        <f t="shared" si="2"/>
        <v/>
      </c>
    </row>
    <row r="159" spans="1:13" x14ac:dyDescent="0.3">
      <c r="A159" t="str">
        <f>IF(MASTER_REGISTER!E159="","",MASTER_REGISTER!E159)</f>
        <v/>
      </c>
      <c r="B159" t="str">
        <f>IF(A159="","",MASTER_REGISTER!F159)</f>
        <v/>
      </c>
      <c r="C159" t="str">
        <f>IF(A159="","",MASTER_REGISTER!C159)</f>
        <v/>
      </c>
      <c r="D159" t="str">
        <f>IF(A159="","",COUNTIF(ASSESSMENTS!B:B,A159))</f>
        <v/>
      </c>
      <c r="E159" s="4" t="e">
        <f>IF(D159=0,"",ROUND(AVERAGEIF(ASSESSMENTS!B:B,A159,ASSESSMENTS!H:H),1))</f>
        <v>#DIV/0!</v>
      </c>
      <c r="F159" s="4" t="str">
        <f>IF(A159="","",IFERROR(ROUND(AVERAGEIFS(ASSESSMENTS!H:H,ASSESSMENTS!B:B,A159,ASSESSMENTS!E:E,"Mathematics"),1),""))</f>
        <v/>
      </c>
      <c r="G159" s="4" t="str">
        <f>IF(A159="","",IFERROR(ROUND(AVERAGEIFS(ASSESSMENTS!H:H,ASSESSMENTS!B:B,A159,ASSESSMENTS!E:E,"Mathematical Literacy"),1),""))</f>
        <v/>
      </c>
      <c r="H159" s="4" t="str">
        <f>IF(A159="","",IFERROR(ROUND(AVERAGEIFS(ASSESSMENTS!H:H,ASSESSMENTS!B:B,A159,ASSESSMENTS!E:E,"Physical Sciences"),1),""))</f>
        <v/>
      </c>
      <c r="I159" s="4" t="str">
        <f>IF(A159="","",IFERROR(ROUND(AVERAGEIFS(ASSESSMENTS!H:H,ASSESSMENTS!B:B,A159,ASSESSMENTS!E:E,"Geography"),1),""))</f>
        <v/>
      </c>
      <c r="J159" s="4" t="str">
        <f>IF(A159="","",IFERROR(ROUND(AVERAGEIFS(ASSESSMENTS!H:H,ASSESSMENTS!B:B,A159,ASSESSMENTS!E:E,"Accounting"),1),""))</f>
        <v/>
      </c>
      <c r="K159" s="4" t="str">
        <f>IF(A159="","",IFERROR(ROUND(AVERAGEIFS(ASSESSMENTS!H:H,ASSESSMENTS!B:B,A159,ASSESSMENTS!E:E,"English"),1),""))</f>
        <v/>
      </c>
      <c r="L159" s="5" t="str">
        <f>IF(A159="","",IFERROR(INDEX(ATTENDANCE_SUMMARY!G:G,MATCH(A159,ATTENDANCE_SUMMARY!A:A,0)),""))</f>
        <v/>
      </c>
      <c r="M159" s="4" t="str">
        <f t="shared" si="2"/>
        <v/>
      </c>
    </row>
    <row r="160" spans="1:13" x14ac:dyDescent="0.3">
      <c r="A160" t="str">
        <f>IF(MASTER_REGISTER!E160="","",MASTER_REGISTER!E160)</f>
        <v/>
      </c>
      <c r="B160" t="str">
        <f>IF(A160="","",MASTER_REGISTER!F160)</f>
        <v/>
      </c>
      <c r="C160" t="str">
        <f>IF(A160="","",MASTER_REGISTER!C160)</f>
        <v/>
      </c>
      <c r="D160" t="str">
        <f>IF(A160="","",COUNTIF(ASSESSMENTS!B:B,A160))</f>
        <v/>
      </c>
      <c r="E160" s="4" t="e">
        <f>IF(D160=0,"",ROUND(AVERAGEIF(ASSESSMENTS!B:B,A160,ASSESSMENTS!H:H),1))</f>
        <v>#DIV/0!</v>
      </c>
      <c r="F160" s="4" t="str">
        <f>IF(A160="","",IFERROR(ROUND(AVERAGEIFS(ASSESSMENTS!H:H,ASSESSMENTS!B:B,A160,ASSESSMENTS!E:E,"Mathematics"),1),""))</f>
        <v/>
      </c>
      <c r="G160" s="4" t="str">
        <f>IF(A160="","",IFERROR(ROUND(AVERAGEIFS(ASSESSMENTS!H:H,ASSESSMENTS!B:B,A160,ASSESSMENTS!E:E,"Mathematical Literacy"),1),""))</f>
        <v/>
      </c>
      <c r="H160" s="4" t="str">
        <f>IF(A160="","",IFERROR(ROUND(AVERAGEIFS(ASSESSMENTS!H:H,ASSESSMENTS!B:B,A160,ASSESSMENTS!E:E,"Physical Sciences"),1),""))</f>
        <v/>
      </c>
      <c r="I160" s="4" t="str">
        <f>IF(A160="","",IFERROR(ROUND(AVERAGEIFS(ASSESSMENTS!H:H,ASSESSMENTS!B:B,A160,ASSESSMENTS!E:E,"Geography"),1),""))</f>
        <v/>
      </c>
      <c r="J160" s="4" t="str">
        <f>IF(A160="","",IFERROR(ROUND(AVERAGEIFS(ASSESSMENTS!H:H,ASSESSMENTS!B:B,A160,ASSESSMENTS!E:E,"Accounting"),1),""))</f>
        <v/>
      </c>
      <c r="K160" s="4" t="str">
        <f>IF(A160="","",IFERROR(ROUND(AVERAGEIFS(ASSESSMENTS!H:H,ASSESSMENTS!B:B,A160,ASSESSMENTS!E:E,"English"),1),""))</f>
        <v/>
      </c>
      <c r="L160" s="5" t="str">
        <f>IF(A160="","",IFERROR(INDEX(ATTENDANCE_SUMMARY!G:G,MATCH(A160,ATTENDANCE_SUMMARY!A:A,0)),""))</f>
        <v/>
      </c>
      <c r="M160" s="4" t="str">
        <f t="shared" si="2"/>
        <v/>
      </c>
    </row>
    <row r="161" spans="1:13" x14ac:dyDescent="0.3">
      <c r="A161" t="str">
        <f>IF(MASTER_REGISTER!E161="","",MASTER_REGISTER!E161)</f>
        <v/>
      </c>
      <c r="B161" t="str">
        <f>IF(A161="","",MASTER_REGISTER!F161)</f>
        <v/>
      </c>
      <c r="C161" t="str">
        <f>IF(A161="","",MASTER_REGISTER!C161)</f>
        <v/>
      </c>
      <c r="D161" t="str">
        <f>IF(A161="","",COUNTIF(ASSESSMENTS!B:B,A161))</f>
        <v/>
      </c>
      <c r="E161" s="4" t="e">
        <f>IF(D161=0,"",ROUND(AVERAGEIF(ASSESSMENTS!B:B,A161,ASSESSMENTS!H:H),1))</f>
        <v>#DIV/0!</v>
      </c>
      <c r="F161" s="4" t="str">
        <f>IF(A161="","",IFERROR(ROUND(AVERAGEIFS(ASSESSMENTS!H:H,ASSESSMENTS!B:B,A161,ASSESSMENTS!E:E,"Mathematics"),1),""))</f>
        <v/>
      </c>
      <c r="G161" s="4" t="str">
        <f>IF(A161="","",IFERROR(ROUND(AVERAGEIFS(ASSESSMENTS!H:H,ASSESSMENTS!B:B,A161,ASSESSMENTS!E:E,"Mathematical Literacy"),1),""))</f>
        <v/>
      </c>
      <c r="H161" s="4" t="str">
        <f>IF(A161="","",IFERROR(ROUND(AVERAGEIFS(ASSESSMENTS!H:H,ASSESSMENTS!B:B,A161,ASSESSMENTS!E:E,"Physical Sciences"),1),""))</f>
        <v/>
      </c>
      <c r="I161" s="4" t="str">
        <f>IF(A161="","",IFERROR(ROUND(AVERAGEIFS(ASSESSMENTS!H:H,ASSESSMENTS!B:B,A161,ASSESSMENTS!E:E,"Geography"),1),""))</f>
        <v/>
      </c>
      <c r="J161" s="4" t="str">
        <f>IF(A161="","",IFERROR(ROUND(AVERAGEIFS(ASSESSMENTS!H:H,ASSESSMENTS!B:B,A161,ASSESSMENTS!E:E,"Accounting"),1),""))</f>
        <v/>
      </c>
      <c r="K161" s="4" t="str">
        <f>IF(A161="","",IFERROR(ROUND(AVERAGEIFS(ASSESSMENTS!H:H,ASSESSMENTS!B:B,A161,ASSESSMENTS!E:E,"English"),1),""))</f>
        <v/>
      </c>
      <c r="L161" s="5" t="str">
        <f>IF(A161="","",IFERROR(INDEX(ATTENDANCE_SUMMARY!G:G,MATCH(A161,ATTENDANCE_SUMMARY!A:A,0)),""))</f>
        <v/>
      </c>
      <c r="M161" s="4" t="str">
        <f t="shared" si="2"/>
        <v/>
      </c>
    </row>
    <row r="162" spans="1:13" x14ac:dyDescent="0.3">
      <c r="A162" t="str">
        <f>IF(MASTER_REGISTER!E162="","",MASTER_REGISTER!E162)</f>
        <v/>
      </c>
      <c r="B162" t="str">
        <f>IF(A162="","",MASTER_REGISTER!F162)</f>
        <v/>
      </c>
      <c r="C162" t="str">
        <f>IF(A162="","",MASTER_REGISTER!C162)</f>
        <v/>
      </c>
      <c r="D162" t="str">
        <f>IF(A162="","",COUNTIF(ASSESSMENTS!B:B,A162))</f>
        <v/>
      </c>
      <c r="E162" s="4" t="e">
        <f>IF(D162=0,"",ROUND(AVERAGEIF(ASSESSMENTS!B:B,A162,ASSESSMENTS!H:H),1))</f>
        <v>#DIV/0!</v>
      </c>
      <c r="F162" s="4" t="str">
        <f>IF(A162="","",IFERROR(ROUND(AVERAGEIFS(ASSESSMENTS!H:H,ASSESSMENTS!B:B,A162,ASSESSMENTS!E:E,"Mathematics"),1),""))</f>
        <v/>
      </c>
      <c r="G162" s="4" t="str">
        <f>IF(A162="","",IFERROR(ROUND(AVERAGEIFS(ASSESSMENTS!H:H,ASSESSMENTS!B:B,A162,ASSESSMENTS!E:E,"Mathematical Literacy"),1),""))</f>
        <v/>
      </c>
      <c r="H162" s="4" t="str">
        <f>IF(A162="","",IFERROR(ROUND(AVERAGEIFS(ASSESSMENTS!H:H,ASSESSMENTS!B:B,A162,ASSESSMENTS!E:E,"Physical Sciences"),1),""))</f>
        <v/>
      </c>
      <c r="I162" s="4" t="str">
        <f>IF(A162="","",IFERROR(ROUND(AVERAGEIFS(ASSESSMENTS!H:H,ASSESSMENTS!B:B,A162,ASSESSMENTS!E:E,"Geography"),1),""))</f>
        <v/>
      </c>
      <c r="J162" s="4" t="str">
        <f>IF(A162="","",IFERROR(ROUND(AVERAGEIFS(ASSESSMENTS!H:H,ASSESSMENTS!B:B,A162,ASSESSMENTS!E:E,"Accounting"),1),""))</f>
        <v/>
      </c>
      <c r="K162" s="4" t="str">
        <f>IF(A162="","",IFERROR(ROUND(AVERAGEIFS(ASSESSMENTS!H:H,ASSESSMENTS!B:B,A162,ASSESSMENTS!E:E,"English"),1),""))</f>
        <v/>
      </c>
      <c r="L162" s="5" t="str">
        <f>IF(A162="","",IFERROR(INDEX(ATTENDANCE_SUMMARY!G:G,MATCH(A162,ATTENDANCE_SUMMARY!A:A,0)),""))</f>
        <v/>
      </c>
      <c r="M162" s="4" t="str">
        <f t="shared" si="2"/>
        <v/>
      </c>
    </row>
    <row r="163" spans="1:13" x14ac:dyDescent="0.3">
      <c r="A163" t="str">
        <f>IF(MASTER_REGISTER!E163="","",MASTER_REGISTER!E163)</f>
        <v/>
      </c>
      <c r="B163" t="str">
        <f>IF(A163="","",MASTER_REGISTER!F163)</f>
        <v/>
      </c>
      <c r="C163" t="str">
        <f>IF(A163="","",MASTER_REGISTER!C163)</f>
        <v/>
      </c>
      <c r="D163" t="str">
        <f>IF(A163="","",COUNTIF(ASSESSMENTS!B:B,A163))</f>
        <v/>
      </c>
      <c r="E163" s="4" t="e">
        <f>IF(D163=0,"",ROUND(AVERAGEIF(ASSESSMENTS!B:B,A163,ASSESSMENTS!H:H),1))</f>
        <v>#DIV/0!</v>
      </c>
      <c r="F163" s="4" t="str">
        <f>IF(A163="","",IFERROR(ROUND(AVERAGEIFS(ASSESSMENTS!H:H,ASSESSMENTS!B:B,A163,ASSESSMENTS!E:E,"Mathematics"),1),""))</f>
        <v/>
      </c>
      <c r="G163" s="4" t="str">
        <f>IF(A163="","",IFERROR(ROUND(AVERAGEIFS(ASSESSMENTS!H:H,ASSESSMENTS!B:B,A163,ASSESSMENTS!E:E,"Mathematical Literacy"),1),""))</f>
        <v/>
      </c>
      <c r="H163" s="4" t="str">
        <f>IF(A163="","",IFERROR(ROUND(AVERAGEIFS(ASSESSMENTS!H:H,ASSESSMENTS!B:B,A163,ASSESSMENTS!E:E,"Physical Sciences"),1),""))</f>
        <v/>
      </c>
      <c r="I163" s="4" t="str">
        <f>IF(A163="","",IFERROR(ROUND(AVERAGEIFS(ASSESSMENTS!H:H,ASSESSMENTS!B:B,A163,ASSESSMENTS!E:E,"Geography"),1),""))</f>
        <v/>
      </c>
      <c r="J163" s="4" t="str">
        <f>IF(A163="","",IFERROR(ROUND(AVERAGEIFS(ASSESSMENTS!H:H,ASSESSMENTS!B:B,A163,ASSESSMENTS!E:E,"Accounting"),1),""))</f>
        <v/>
      </c>
      <c r="K163" s="4" t="str">
        <f>IF(A163="","",IFERROR(ROUND(AVERAGEIFS(ASSESSMENTS!H:H,ASSESSMENTS!B:B,A163,ASSESSMENTS!E:E,"English"),1),""))</f>
        <v/>
      </c>
      <c r="L163" s="5" t="str">
        <f>IF(A163="","",IFERROR(INDEX(ATTENDANCE_SUMMARY!G:G,MATCH(A163,ATTENDANCE_SUMMARY!A:A,0)),""))</f>
        <v/>
      </c>
      <c r="M163" s="4" t="str">
        <f t="shared" si="2"/>
        <v/>
      </c>
    </row>
    <row r="164" spans="1:13" x14ac:dyDescent="0.3">
      <c r="A164" t="str">
        <f>IF(MASTER_REGISTER!E164="","",MASTER_REGISTER!E164)</f>
        <v/>
      </c>
      <c r="B164" t="str">
        <f>IF(A164="","",MASTER_REGISTER!F164)</f>
        <v/>
      </c>
      <c r="C164" t="str">
        <f>IF(A164="","",MASTER_REGISTER!C164)</f>
        <v/>
      </c>
      <c r="D164" t="str">
        <f>IF(A164="","",COUNTIF(ASSESSMENTS!B:B,A164))</f>
        <v/>
      </c>
      <c r="E164" s="4" t="e">
        <f>IF(D164=0,"",ROUND(AVERAGEIF(ASSESSMENTS!B:B,A164,ASSESSMENTS!H:H),1))</f>
        <v>#DIV/0!</v>
      </c>
      <c r="F164" s="4" t="str">
        <f>IF(A164="","",IFERROR(ROUND(AVERAGEIFS(ASSESSMENTS!H:H,ASSESSMENTS!B:B,A164,ASSESSMENTS!E:E,"Mathematics"),1),""))</f>
        <v/>
      </c>
      <c r="G164" s="4" t="str">
        <f>IF(A164="","",IFERROR(ROUND(AVERAGEIFS(ASSESSMENTS!H:H,ASSESSMENTS!B:B,A164,ASSESSMENTS!E:E,"Mathematical Literacy"),1),""))</f>
        <v/>
      </c>
      <c r="H164" s="4" t="str">
        <f>IF(A164="","",IFERROR(ROUND(AVERAGEIFS(ASSESSMENTS!H:H,ASSESSMENTS!B:B,A164,ASSESSMENTS!E:E,"Physical Sciences"),1),""))</f>
        <v/>
      </c>
      <c r="I164" s="4" t="str">
        <f>IF(A164="","",IFERROR(ROUND(AVERAGEIFS(ASSESSMENTS!H:H,ASSESSMENTS!B:B,A164,ASSESSMENTS!E:E,"Geography"),1),""))</f>
        <v/>
      </c>
      <c r="J164" s="4" t="str">
        <f>IF(A164="","",IFERROR(ROUND(AVERAGEIFS(ASSESSMENTS!H:H,ASSESSMENTS!B:B,A164,ASSESSMENTS!E:E,"Accounting"),1),""))</f>
        <v/>
      </c>
      <c r="K164" s="4" t="str">
        <f>IF(A164="","",IFERROR(ROUND(AVERAGEIFS(ASSESSMENTS!H:H,ASSESSMENTS!B:B,A164,ASSESSMENTS!E:E,"English"),1),""))</f>
        <v/>
      </c>
      <c r="L164" s="5" t="str">
        <f>IF(A164="","",IFERROR(INDEX(ATTENDANCE_SUMMARY!G:G,MATCH(A164,ATTENDANCE_SUMMARY!A:A,0)),""))</f>
        <v/>
      </c>
      <c r="M164" s="4" t="str">
        <f t="shared" si="2"/>
        <v/>
      </c>
    </row>
    <row r="165" spans="1:13" x14ac:dyDescent="0.3">
      <c r="A165" t="str">
        <f>IF(MASTER_REGISTER!E165="","",MASTER_REGISTER!E165)</f>
        <v/>
      </c>
      <c r="B165" t="str">
        <f>IF(A165="","",MASTER_REGISTER!F165)</f>
        <v/>
      </c>
      <c r="C165" t="str">
        <f>IF(A165="","",MASTER_REGISTER!C165)</f>
        <v/>
      </c>
      <c r="D165" t="str">
        <f>IF(A165="","",COUNTIF(ASSESSMENTS!B:B,A165))</f>
        <v/>
      </c>
      <c r="E165" s="4" t="e">
        <f>IF(D165=0,"",ROUND(AVERAGEIF(ASSESSMENTS!B:B,A165,ASSESSMENTS!H:H),1))</f>
        <v>#DIV/0!</v>
      </c>
      <c r="F165" s="4" t="str">
        <f>IF(A165="","",IFERROR(ROUND(AVERAGEIFS(ASSESSMENTS!H:H,ASSESSMENTS!B:B,A165,ASSESSMENTS!E:E,"Mathematics"),1),""))</f>
        <v/>
      </c>
      <c r="G165" s="4" t="str">
        <f>IF(A165="","",IFERROR(ROUND(AVERAGEIFS(ASSESSMENTS!H:H,ASSESSMENTS!B:B,A165,ASSESSMENTS!E:E,"Mathematical Literacy"),1),""))</f>
        <v/>
      </c>
      <c r="H165" s="4" t="str">
        <f>IF(A165="","",IFERROR(ROUND(AVERAGEIFS(ASSESSMENTS!H:H,ASSESSMENTS!B:B,A165,ASSESSMENTS!E:E,"Physical Sciences"),1),""))</f>
        <v/>
      </c>
      <c r="I165" s="4" t="str">
        <f>IF(A165="","",IFERROR(ROUND(AVERAGEIFS(ASSESSMENTS!H:H,ASSESSMENTS!B:B,A165,ASSESSMENTS!E:E,"Geography"),1),""))</f>
        <v/>
      </c>
      <c r="J165" s="4" t="str">
        <f>IF(A165="","",IFERROR(ROUND(AVERAGEIFS(ASSESSMENTS!H:H,ASSESSMENTS!B:B,A165,ASSESSMENTS!E:E,"Accounting"),1),""))</f>
        <v/>
      </c>
      <c r="K165" s="4" t="str">
        <f>IF(A165="","",IFERROR(ROUND(AVERAGEIFS(ASSESSMENTS!H:H,ASSESSMENTS!B:B,A165,ASSESSMENTS!E:E,"English"),1),""))</f>
        <v/>
      </c>
      <c r="L165" s="5" t="str">
        <f>IF(A165="","",IFERROR(INDEX(ATTENDANCE_SUMMARY!G:G,MATCH(A165,ATTENDANCE_SUMMARY!A:A,0)),""))</f>
        <v/>
      </c>
      <c r="M165" s="4" t="str">
        <f t="shared" si="2"/>
        <v/>
      </c>
    </row>
    <row r="166" spans="1:13" x14ac:dyDescent="0.3">
      <c r="A166" t="str">
        <f>IF(MASTER_REGISTER!E166="","",MASTER_REGISTER!E166)</f>
        <v/>
      </c>
      <c r="B166" t="str">
        <f>IF(A166="","",MASTER_REGISTER!F166)</f>
        <v/>
      </c>
      <c r="C166" t="str">
        <f>IF(A166="","",MASTER_REGISTER!C166)</f>
        <v/>
      </c>
      <c r="D166" t="str">
        <f>IF(A166="","",COUNTIF(ASSESSMENTS!B:B,A166))</f>
        <v/>
      </c>
      <c r="E166" s="4" t="e">
        <f>IF(D166=0,"",ROUND(AVERAGEIF(ASSESSMENTS!B:B,A166,ASSESSMENTS!H:H),1))</f>
        <v>#DIV/0!</v>
      </c>
      <c r="F166" s="4" t="str">
        <f>IF(A166="","",IFERROR(ROUND(AVERAGEIFS(ASSESSMENTS!H:H,ASSESSMENTS!B:B,A166,ASSESSMENTS!E:E,"Mathematics"),1),""))</f>
        <v/>
      </c>
      <c r="G166" s="4" t="str">
        <f>IF(A166="","",IFERROR(ROUND(AVERAGEIFS(ASSESSMENTS!H:H,ASSESSMENTS!B:B,A166,ASSESSMENTS!E:E,"Mathematical Literacy"),1),""))</f>
        <v/>
      </c>
      <c r="H166" s="4" t="str">
        <f>IF(A166="","",IFERROR(ROUND(AVERAGEIFS(ASSESSMENTS!H:H,ASSESSMENTS!B:B,A166,ASSESSMENTS!E:E,"Physical Sciences"),1),""))</f>
        <v/>
      </c>
      <c r="I166" s="4" t="str">
        <f>IF(A166="","",IFERROR(ROUND(AVERAGEIFS(ASSESSMENTS!H:H,ASSESSMENTS!B:B,A166,ASSESSMENTS!E:E,"Geography"),1),""))</f>
        <v/>
      </c>
      <c r="J166" s="4" t="str">
        <f>IF(A166="","",IFERROR(ROUND(AVERAGEIFS(ASSESSMENTS!H:H,ASSESSMENTS!B:B,A166,ASSESSMENTS!E:E,"Accounting"),1),""))</f>
        <v/>
      </c>
      <c r="K166" s="4" t="str">
        <f>IF(A166="","",IFERROR(ROUND(AVERAGEIFS(ASSESSMENTS!H:H,ASSESSMENTS!B:B,A166,ASSESSMENTS!E:E,"English"),1),""))</f>
        <v/>
      </c>
      <c r="L166" s="5" t="str">
        <f>IF(A166="","",IFERROR(INDEX(ATTENDANCE_SUMMARY!G:G,MATCH(A166,ATTENDANCE_SUMMARY!A:A,0)),""))</f>
        <v/>
      </c>
      <c r="M166" s="4" t="str">
        <f t="shared" si="2"/>
        <v/>
      </c>
    </row>
    <row r="167" spans="1:13" x14ac:dyDescent="0.3">
      <c r="A167" t="str">
        <f>IF(MASTER_REGISTER!E167="","",MASTER_REGISTER!E167)</f>
        <v/>
      </c>
      <c r="B167" t="str">
        <f>IF(A167="","",MASTER_REGISTER!F167)</f>
        <v/>
      </c>
      <c r="C167" t="str">
        <f>IF(A167="","",MASTER_REGISTER!C167)</f>
        <v/>
      </c>
      <c r="D167" t="str">
        <f>IF(A167="","",COUNTIF(ASSESSMENTS!B:B,A167))</f>
        <v/>
      </c>
      <c r="E167" s="4" t="e">
        <f>IF(D167=0,"",ROUND(AVERAGEIF(ASSESSMENTS!B:B,A167,ASSESSMENTS!H:H),1))</f>
        <v>#DIV/0!</v>
      </c>
      <c r="F167" s="4" t="str">
        <f>IF(A167="","",IFERROR(ROUND(AVERAGEIFS(ASSESSMENTS!H:H,ASSESSMENTS!B:B,A167,ASSESSMENTS!E:E,"Mathematics"),1),""))</f>
        <v/>
      </c>
      <c r="G167" s="4" t="str">
        <f>IF(A167="","",IFERROR(ROUND(AVERAGEIFS(ASSESSMENTS!H:H,ASSESSMENTS!B:B,A167,ASSESSMENTS!E:E,"Mathematical Literacy"),1),""))</f>
        <v/>
      </c>
      <c r="H167" s="4" t="str">
        <f>IF(A167="","",IFERROR(ROUND(AVERAGEIFS(ASSESSMENTS!H:H,ASSESSMENTS!B:B,A167,ASSESSMENTS!E:E,"Physical Sciences"),1),""))</f>
        <v/>
      </c>
      <c r="I167" s="4" t="str">
        <f>IF(A167="","",IFERROR(ROUND(AVERAGEIFS(ASSESSMENTS!H:H,ASSESSMENTS!B:B,A167,ASSESSMENTS!E:E,"Geography"),1),""))</f>
        <v/>
      </c>
      <c r="J167" s="4" t="str">
        <f>IF(A167="","",IFERROR(ROUND(AVERAGEIFS(ASSESSMENTS!H:H,ASSESSMENTS!B:B,A167,ASSESSMENTS!E:E,"Accounting"),1),""))</f>
        <v/>
      </c>
      <c r="K167" s="4" t="str">
        <f>IF(A167="","",IFERROR(ROUND(AVERAGEIFS(ASSESSMENTS!H:H,ASSESSMENTS!B:B,A167,ASSESSMENTS!E:E,"English"),1),""))</f>
        <v/>
      </c>
      <c r="L167" s="5" t="str">
        <f>IF(A167="","",IFERROR(INDEX(ATTENDANCE_SUMMARY!G:G,MATCH(A167,ATTENDANCE_SUMMARY!A:A,0)),""))</f>
        <v/>
      </c>
      <c r="M167" s="4" t="str">
        <f t="shared" si="2"/>
        <v/>
      </c>
    </row>
    <row r="168" spans="1:13" x14ac:dyDescent="0.3">
      <c r="A168" t="str">
        <f>IF(MASTER_REGISTER!E168="","",MASTER_REGISTER!E168)</f>
        <v/>
      </c>
      <c r="B168" t="str">
        <f>IF(A168="","",MASTER_REGISTER!F168)</f>
        <v/>
      </c>
      <c r="C168" t="str">
        <f>IF(A168="","",MASTER_REGISTER!C168)</f>
        <v/>
      </c>
      <c r="D168" t="str">
        <f>IF(A168="","",COUNTIF(ASSESSMENTS!B:B,A168))</f>
        <v/>
      </c>
      <c r="E168" s="4" t="e">
        <f>IF(D168=0,"",ROUND(AVERAGEIF(ASSESSMENTS!B:B,A168,ASSESSMENTS!H:H),1))</f>
        <v>#DIV/0!</v>
      </c>
      <c r="F168" s="4" t="str">
        <f>IF(A168="","",IFERROR(ROUND(AVERAGEIFS(ASSESSMENTS!H:H,ASSESSMENTS!B:B,A168,ASSESSMENTS!E:E,"Mathematics"),1),""))</f>
        <v/>
      </c>
      <c r="G168" s="4" t="str">
        <f>IF(A168="","",IFERROR(ROUND(AVERAGEIFS(ASSESSMENTS!H:H,ASSESSMENTS!B:B,A168,ASSESSMENTS!E:E,"Mathematical Literacy"),1),""))</f>
        <v/>
      </c>
      <c r="H168" s="4" t="str">
        <f>IF(A168="","",IFERROR(ROUND(AVERAGEIFS(ASSESSMENTS!H:H,ASSESSMENTS!B:B,A168,ASSESSMENTS!E:E,"Physical Sciences"),1),""))</f>
        <v/>
      </c>
      <c r="I168" s="4" t="str">
        <f>IF(A168="","",IFERROR(ROUND(AVERAGEIFS(ASSESSMENTS!H:H,ASSESSMENTS!B:B,A168,ASSESSMENTS!E:E,"Geography"),1),""))</f>
        <v/>
      </c>
      <c r="J168" s="4" t="str">
        <f>IF(A168="","",IFERROR(ROUND(AVERAGEIFS(ASSESSMENTS!H:H,ASSESSMENTS!B:B,A168,ASSESSMENTS!E:E,"Accounting"),1),""))</f>
        <v/>
      </c>
      <c r="K168" s="4" t="str">
        <f>IF(A168="","",IFERROR(ROUND(AVERAGEIFS(ASSESSMENTS!H:H,ASSESSMENTS!B:B,A168,ASSESSMENTS!E:E,"English"),1),""))</f>
        <v/>
      </c>
      <c r="L168" s="5" t="str">
        <f>IF(A168="","",IFERROR(INDEX(ATTENDANCE_SUMMARY!G:G,MATCH(A168,ATTENDANCE_SUMMARY!A:A,0)),""))</f>
        <v/>
      </c>
      <c r="M168" s="4" t="str">
        <f t="shared" si="2"/>
        <v/>
      </c>
    </row>
    <row r="169" spans="1:13" x14ac:dyDescent="0.3">
      <c r="A169" t="str">
        <f>IF(MASTER_REGISTER!E169="","",MASTER_REGISTER!E169)</f>
        <v/>
      </c>
      <c r="B169" t="str">
        <f>IF(A169="","",MASTER_REGISTER!F169)</f>
        <v/>
      </c>
      <c r="C169" t="str">
        <f>IF(A169="","",MASTER_REGISTER!C169)</f>
        <v/>
      </c>
      <c r="D169" t="str">
        <f>IF(A169="","",COUNTIF(ASSESSMENTS!B:B,A169))</f>
        <v/>
      </c>
      <c r="E169" s="4" t="e">
        <f>IF(D169=0,"",ROUND(AVERAGEIF(ASSESSMENTS!B:B,A169,ASSESSMENTS!H:H),1))</f>
        <v>#DIV/0!</v>
      </c>
      <c r="F169" s="4" t="str">
        <f>IF(A169="","",IFERROR(ROUND(AVERAGEIFS(ASSESSMENTS!H:H,ASSESSMENTS!B:B,A169,ASSESSMENTS!E:E,"Mathematics"),1),""))</f>
        <v/>
      </c>
      <c r="G169" s="4" t="str">
        <f>IF(A169="","",IFERROR(ROUND(AVERAGEIFS(ASSESSMENTS!H:H,ASSESSMENTS!B:B,A169,ASSESSMENTS!E:E,"Mathematical Literacy"),1),""))</f>
        <v/>
      </c>
      <c r="H169" s="4" t="str">
        <f>IF(A169="","",IFERROR(ROUND(AVERAGEIFS(ASSESSMENTS!H:H,ASSESSMENTS!B:B,A169,ASSESSMENTS!E:E,"Physical Sciences"),1),""))</f>
        <v/>
      </c>
      <c r="I169" s="4" t="str">
        <f>IF(A169="","",IFERROR(ROUND(AVERAGEIFS(ASSESSMENTS!H:H,ASSESSMENTS!B:B,A169,ASSESSMENTS!E:E,"Geography"),1),""))</f>
        <v/>
      </c>
      <c r="J169" s="4" t="str">
        <f>IF(A169="","",IFERROR(ROUND(AVERAGEIFS(ASSESSMENTS!H:H,ASSESSMENTS!B:B,A169,ASSESSMENTS!E:E,"Accounting"),1),""))</f>
        <v/>
      </c>
      <c r="K169" s="4" t="str">
        <f>IF(A169="","",IFERROR(ROUND(AVERAGEIFS(ASSESSMENTS!H:H,ASSESSMENTS!B:B,A169,ASSESSMENTS!E:E,"English"),1),""))</f>
        <v/>
      </c>
      <c r="L169" s="5" t="str">
        <f>IF(A169="","",IFERROR(INDEX(ATTENDANCE_SUMMARY!G:G,MATCH(A169,ATTENDANCE_SUMMARY!A:A,0)),""))</f>
        <v/>
      </c>
      <c r="M169" s="4" t="str">
        <f t="shared" si="2"/>
        <v/>
      </c>
    </row>
    <row r="170" spans="1:13" x14ac:dyDescent="0.3">
      <c r="A170" t="str">
        <f>IF(MASTER_REGISTER!E170="","",MASTER_REGISTER!E170)</f>
        <v/>
      </c>
      <c r="B170" t="str">
        <f>IF(A170="","",MASTER_REGISTER!F170)</f>
        <v/>
      </c>
      <c r="C170" t="str">
        <f>IF(A170="","",MASTER_REGISTER!C170)</f>
        <v/>
      </c>
      <c r="D170" t="str">
        <f>IF(A170="","",COUNTIF(ASSESSMENTS!B:B,A170))</f>
        <v/>
      </c>
      <c r="E170" s="4" t="e">
        <f>IF(D170=0,"",ROUND(AVERAGEIF(ASSESSMENTS!B:B,A170,ASSESSMENTS!H:H),1))</f>
        <v>#DIV/0!</v>
      </c>
      <c r="F170" s="4" t="str">
        <f>IF(A170="","",IFERROR(ROUND(AVERAGEIFS(ASSESSMENTS!H:H,ASSESSMENTS!B:B,A170,ASSESSMENTS!E:E,"Mathematics"),1),""))</f>
        <v/>
      </c>
      <c r="G170" s="4" t="str">
        <f>IF(A170="","",IFERROR(ROUND(AVERAGEIFS(ASSESSMENTS!H:H,ASSESSMENTS!B:B,A170,ASSESSMENTS!E:E,"Mathematical Literacy"),1),""))</f>
        <v/>
      </c>
      <c r="H170" s="4" t="str">
        <f>IF(A170="","",IFERROR(ROUND(AVERAGEIFS(ASSESSMENTS!H:H,ASSESSMENTS!B:B,A170,ASSESSMENTS!E:E,"Physical Sciences"),1),""))</f>
        <v/>
      </c>
      <c r="I170" s="4" t="str">
        <f>IF(A170="","",IFERROR(ROUND(AVERAGEIFS(ASSESSMENTS!H:H,ASSESSMENTS!B:B,A170,ASSESSMENTS!E:E,"Geography"),1),""))</f>
        <v/>
      </c>
      <c r="J170" s="4" t="str">
        <f>IF(A170="","",IFERROR(ROUND(AVERAGEIFS(ASSESSMENTS!H:H,ASSESSMENTS!B:B,A170,ASSESSMENTS!E:E,"Accounting"),1),""))</f>
        <v/>
      </c>
      <c r="K170" s="4" t="str">
        <f>IF(A170="","",IFERROR(ROUND(AVERAGEIFS(ASSESSMENTS!H:H,ASSESSMENTS!B:B,A170,ASSESSMENTS!E:E,"English"),1),""))</f>
        <v/>
      </c>
      <c r="L170" s="5" t="str">
        <f>IF(A170="","",IFERROR(INDEX(ATTENDANCE_SUMMARY!G:G,MATCH(A170,ATTENDANCE_SUMMARY!A:A,0)),""))</f>
        <v/>
      </c>
      <c r="M170" s="4" t="str">
        <f t="shared" si="2"/>
        <v/>
      </c>
    </row>
    <row r="171" spans="1:13" x14ac:dyDescent="0.3">
      <c r="A171" t="str">
        <f>IF(MASTER_REGISTER!E171="","",MASTER_REGISTER!E171)</f>
        <v/>
      </c>
      <c r="B171" t="str">
        <f>IF(A171="","",MASTER_REGISTER!F171)</f>
        <v/>
      </c>
      <c r="C171" t="str">
        <f>IF(A171="","",MASTER_REGISTER!C171)</f>
        <v/>
      </c>
      <c r="D171" t="str">
        <f>IF(A171="","",COUNTIF(ASSESSMENTS!B:B,A171))</f>
        <v/>
      </c>
      <c r="E171" s="4" t="e">
        <f>IF(D171=0,"",ROUND(AVERAGEIF(ASSESSMENTS!B:B,A171,ASSESSMENTS!H:H),1))</f>
        <v>#DIV/0!</v>
      </c>
      <c r="F171" s="4" t="str">
        <f>IF(A171="","",IFERROR(ROUND(AVERAGEIFS(ASSESSMENTS!H:H,ASSESSMENTS!B:B,A171,ASSESSMENTS!E:E,"Mathematics"),1),""))</f>
        <v/>
      </c>
      <c r="G171" s="4" t="str">
        <f>IF(A171="","",IFERROR(ROUND(AVERAGEIFS(ASSESSMENTS!H:H,ASSESSMENTS!B:B,A171,ASSESSMENTS!E:E,"Mathematical Literacy"),1),""))</f>
        <v/>
      </c>
      <c r="H171" s="4" t="str">
        <f>IF(A171="","",IFERROR(ROUND(AVERAGEIFS(ASSESSMENTS!H:H,ASSESSMENTS!B:B,A171,ASSESSMENTS!E:E,"Physical Sciences"),1),""))</f>
        <v/>
      </c>
      <c r="I171" s="4" t="str">
        <f>IF(A171="","",IFERROR(ROUND(AVERAGEIFS(ASSESSMENTS!H:H,ASSESSMENTS!B:B,A171,ASSESSMENTS!E:E,"Geography"),1),""))</f>
        <v/>
      </c>
      <c r="J171" s="4" t="str">
        <f>IF(A171="","",IFERROR(ROUND(AVERAGEIFS(ASSESSMENTS!H:H,ASSESSMENTS!B:B,A171,ASSESSMENTS!E:E,"Accounting"),1),""))</f>
        <v/>
      </c>
      <c r="K171" s="4" t="str">
        <f>IF(A171="","",IFERROR(ROUND(AVERAGEIFS(ASSESSMENTS!H:H,ASSESSMENTS!B:B,A171,ASSESSMENTS!E:E,"English"),1),""))</f>
        <v/>
      </c>
      <c r="L171" s="5" t="str">
        <f>IF(A171="","",IFERROR(INDEX(ATTENDANCE_SUMMARY!G:G,MATCH(A171,ATTENDANCE_SUMMARY!A:A,0)),""))</f>
        <v/>
      </c>
      <c r="M171" s="4" t="str">
        <f t="shared" si="2"/>
        <v/>
      </c>
    </row>
    <row r="172" spans="1:13" x14ac:dyDescent="0.3">
      <c r="A172" t="str">
        <f>IF(MASTER_REGISTER!E172="","",MASTER_REGISTER!E172)</f>
        <v/>
      </c>
      <c r="B172" t="str">
        <f>IF(A172="","",MASTER_REGISTER!F172)</f>
        <v/>
      </c>
      <c r="C172" t="str">
        <f>IF(A172="","",MASTER_REGISTER!C172)</f>
        <v/>
      </c>
      <c r="D172" t="str">
        <f>IF(A172="","",COUNTIF(ASSESSMENTS!B:B,A172))</f>
        <v/>
      </c>
      <c r="E172" s="4" t="e">
        <f>IF(D172=0,"",ROUND(AVERAGEIF(ASSESSMENTS!B:B,A172,ASSESSMENTS!H:H),1))</f>
        <v>#DIV/0!</v>
      </c>
      <c r="F172" s="4" t="str">
        <f>IF(A172="","",IFERROR(ROUND(AVERAGEIFS(ASSESSMENTS!H:H,ASSESSMENTS!B:B,A172,ASSESSMENTS!E:E,"Mathematics"),1),""))</f>
        <v/>
      </c>
      <c r="G172" s="4" t="str">
        <f>IF(A172="","",IFERROR(ROUND(AVERAGEIFS(ASSESSMENTS!H:H,ASSESSMENTS!B:B,A172,ASSESSMENTS!E:E,"Mathematical Literacy"),1),""))</f>
        <v/>
      </c>
      <c r="H172" s="4" t="str">
        <f>IF(A172="","",IFERROR(ROUND(AVERAGEIFS(ASSESSMENTS!H:H,ASSESSMENTS!B:B,A172,ASSESSMENTS!E:E,"Physical Sciences"),1),""))</f>
        <v/>
      </c>
      <c r="I172" s="4" t="str">
        <f>IF(A172="","",IFERROR(ROUND(AVERAGEIFS(ASSESSMENTS!H:H,ASSESSMENTS!B:B,A172,ASSESSMENTS!E:E,"Geography"),1),""))</f>
        <v/>
      </c>
      <c r="J172" s="4" t="str">
        <f>IF(A172="","",IFERROR(ROUND(AVERAGEIFS(ASSESSMENTS!H:H,ASSESSMENTS!B:B,A172,ASSESSMENTS!E:E,"Accounting"),1),""))</f>
        <v/>
      </c>
      <c r="K172" s="4" t="str">
        <f>IF(A172="","",IFERROR(ROUND(AVERAGEIFS(ASSESSMENTS!H:H,ASSESSMENTS!B:B,A172,ASSESSMENTS!E:E,"English"),1),""))</f>
        <v/>
      </c>
      <c r="L172" s="5" t="str">
        <f>IF(A172="","",IFERROR(INDEX(ATTENDANCE_SUMMARY!G:G,MATCH(A172,ATTENDANCE_SUMMARY!A:A,0)),""))</f>
        <v/>
      </c>
      <c r="M172" s="4" t="str">
        <f t="shared" si="2"/>
        <v/>
      </c>
    </row>
    <row r="173" spans="1:13" x14ac:dyDescent="0.3">
      <c r="A173" t="str">
        <f>IF(MASTER_REGISTER!E173="","",MASTER_REGISTER!E173)</f>
        <v/>
      </c>
      <c r="B173" t="str">
        <f>IF(A173="","",MASTER_REGISTER!F173)</f>
        <v/>
      </c>
      <c r="C173" t="str">
        <f>IF(A173="","",MASTER_REGISTER!C173)</f>
        <v/>
      </c>
      <c r="D173" t="str">
        <f>IF(A173="","",COUNTIF(ASSESSMENTS!B:B,A173))</f>
        <v/>
      </c>
      <c r="E173" s="4" t="e">
        <f>IF(D173=0,"",ROUND(AVERAGEIF(ASSESSMENTS!B:B,A173,ASSESSMENTS!H:H),1))</f>
        <v>#DIV/0!</v>
      </c>
      <c r="F173" s="4" t="str">
        <f>IF(A173="","",IFERROR(ROUND(AVERAGEIFS(ASSESSMENTS!H:H,ASSESSMENTS!B:B,A173,ASSESSMENTS!E:E,"Mathematics"),1),""))</f>
        <v/>
      </c>
      <c r="G173" s="4" t="str">
        <f>IF(A173="","",IFERROR(ROUND(AVERAGEIFS(ASSESSMENTS!H:H,ASSESSMENTS!B:B,A173,ASSESSMENTS!E:E,"Mathematical Literacy"),1),""))</f>
        <v/>
      </c>
      <c r="H173" s="4" t="str">
        <f>IF(A173="","",IFERROR(ROUND(AVERAGEIFS(ASSESSMENTS!H:H,ASSESSMENTS!B:B,A173,ASSESSMENTS!E:E,"Physical Sciences"),1),""))</f>
        <v/>
      </c>
      <c r="I173" s="4" t="str">
        <f>IF(A173="","",IFERROR(ROUND(AVERAGEIFS(ASSESSMENTS!H:H,ASSESSMENTS!B:B,A173,ASSESSMENTS!E:E,"Geography"),1),""))</f>
        <v/>
      </c>
      <c r="J173" s="4" t="str">
        <f>IF(A173="","",IFERROR(ROUND(AVERAGEIFS(ASSESSMENTS!H:H,ASSESSMENTS!B:B,A173,ASSESSMENTS!E:E,"Accounting"),1),""))</f>
        <v/>
      </c>
      <c r="K173" s="4" t="str">
        <f>IF(A173="","",IFERROR(ROUND(AVERAGEIFS(ASSESSMENTS!H:H,ASSESSMENTS!B:B,A173,ASSESSMENTS!E:E,"English"),1),""))</f>
        <v/>
      </c>
      <c r="L173" s="5" t="str">
        <f>IF(A173="","",IFERROR(INDEX(ATTENDANCE_SUMMARY!G:G,MATCH(A173,ATTENDANCE_SUMMARY!A:A,0)),""))</f>
        <v/>
      </c>
      <c r="M173" s="4" t="str">
        <f t="shared" si="2"/>
        <v/>
      </c>
    </row>
    <row r="174" spans="1:13" x14ac:dyDescent="0.3">
      <c r="A174" t="str">
        <f>IF(MASTER_REGISTER!E174="","",MASTER_REGISTER!E174)</f>
        <v/>
      </c>
      <c r="B174" t="str">
        <f>IF(A174="","",MASTER_REGISTER!F174)</f>
        <v/>
      </c>
      <c r="C174" t="str">
        <f>IF(A174="","",MASTER_REGISTER!C174)</f>
        <v/>
      </c>
      <c r="D174" t="str">
        <f>IF(A174="","",COUNTIF(ASSESSMENTS!B:B,A174))</f>
        <v/>
      </c>
      <c r="E174" s="4" t="e">
        <f>IF(D174=0,"",ROUND(AVERAGEIF(ASSESSMENTS!B:B,A174,ASSESSMENTS!H:H),1))</f>
        <v>#DIV/0!</v>
      </c>
      <c r="F174" s="4" t="str">
        <f>IF(A174="","",IFERROR(ROUND(AVERAGEIFS(ASSESSMENTS!H:H,ASSESSMENTS!B:B,A174,ASSESSMENTS!E:E,"Mathematics"),1),""))</f>
        <v/>
      </c>
      <c r="G174" s="4" t="str">
        <f>IF(A174="","",IFERROR(ROUND(AVERAGEIFS(ASSESSMENTS!H:H,ASSESSMENTS!B:B,A174,ASSESSMENTS!E:E,"Mathematical Literacy"),1),""))</f>
        <v/>
      </c>
      <c r="H174" s="4" t="str">
        <f>IF(A174="","",IFERROR(ROUND(AVERAGEIFS(ASSESSMENTS!H:H,ASSESSMENTS!B:B,A174,ASSESSMENTS!E:E,"Physical Sciences"),1),""))</f>
        <v/>
      </c>
      <c r="I174" s="4" t="str">
        <f>IF(A174="","",IFERROR(ROUND(AVERAGEIFS(ASSESSMENTS!H:H,ASSESSMENTS!B:B,A174,ASSESSMENTS!E:E,"Geography"),1),""))</f>
        <v/>
      </c>
      <c r="J174" s="4" t="str">
        <f>IF(A174="","",IFERROR(ROUND(AVERAGEIFS(ASSESSMENTS!H:H,ASSESSMENTS!B:B,A174,ASSESSMENTS!E:E,"Accounting"),1),""))</f>
        <v/>
      </c>
      <c r="K174" s="4" t="str">
        <f>IF(A174="","",IFERROR(ROUND(AVERAGEIFS(ASSESSMENTS!H:H,ASSESSMENTS!B:B,A174,ASSESSMENTS!E:E,"English"),1),""))</f>
        <v/>
      </c>
      <c r="L174" s="5" t="str">
        <f>IF(A174="","",IFERROR(INDEX(ATTENDANCE_SUMMARY!G:G,MATCH(A174,ATTENDANCE_SUMMARY!A:A,0)),""))</f>
        <v/>
      </c>
      <c r="M174" s="4" t="str">
        <f t="shared" si="2"/>
        <v/>
      </c>
    </row>
    <row r="175" spans="1:13" x14ac:dyDescent="0.3">
      <c r="A175" t="str">
        <f>IF(MASTER_REGISTER!E175="","",MASTER_REGISTER!E175)</f>
        <v/>
      </c>
      <c r="B175" t="str">
        <f>IF(A175="","",MASTER_REGISTER!F175)</f>
        <v/>
      </c>
      <c r="C175" t="str">
        <f>IF(A175="","",MASTER_REGISTER!C175)</f>
        <v/>
      </c>
      <c r="D175" t="str">
        <f>IF(A175="","",COUNTIF(ASSESSMENTS!B:B,A175))</f>
        <v/>
      </c>
      <c r="E175" s="4" t="e">
        <f>IF(D175=0,"",ROUND(AVERAGEIF(ASSESSMENTS!B:B,A175,ASSESSMENTS!H:H),1))</f>
        <v>#DIV/0!</v>
      </c>
      <c r="F175" s="4" t="str">
        <f>IF(A175="","",IFERROR(ROUND(AVERAGEIFS(ASSESSMENTS!H:H,ASSESSMENTS!B:B,A175,ASSESSMENTS!E:E,"Mathematics"),1),""))</f>
        <v/>
      </c>
      <c r="G175" s="4" t="str">
        <f>IF(A175="","",IFERROR(ROUND(AVERAGEIFS(ASSESSMENTS!H:H,ASSESSMENTS!B:B,A175,ASSESSMENTS!E:E,"Mathematical Literacy"),1),""))</f>
        <v/>
      </c>
      <c r="H175" s="4" t="str">
        <f>IF(A175="","",IFERROR(ROUND(AVERAGEIFS(ASSESSMENTS!H:H,ASSESSMENTS!B:B,A175,ASSESSMENTS!E:E,"Physical Sciences"),1),""))</f>
        <v/>
      </c>
      <c r="I175" s="4" t="str">
        <f>IF(A175="","",IFERROR(ROUND(AVERAGEIFS(ASSESSMENTS!H:H,ASSESSMENTS!B:B,A175,ASSESSMENTS!E:E,"Geography"),1),""))</f>
        <v/>
      </c>
      <c r="J175" s="4" t="str">
        <f>IF(A175="","",IFERROR(ROUND(AVERAGEIFS(ASSESSMENTS!H:H,ASSESSMENTS!B:B,A175,ASSESSMENTS!E:E,"Accounting"),1),""))</f>
        <v/>
      </c>
      <c r="K175" s="4" t="str">
        <f>IF(A175="","",IFERROR(ROUND(AVERAGEIFS(ASSESSMENTS!H:H,ASSESSMENTS!B:B,A175,ASSESSMENTS!E:E,"English"),1),""))</f>
        <v/>
      </c>
      <c r="L175" s="5" t="str">
        <f>IF(A175="","",IFERROR(INDEX(ATTENDANCE_SUMMARY!G:G,MATCH(A175,ATTENDANCE_SUMMARY!A:A,0)),""))</f>
        <v/>
      </c>
      <c r="M175" s="4" t="str">
        <f t="shared" si="2"/>
        <v/>
      </c>
    </row>
    <row r="176" spans="1:13" x14ac:dyDescent="0.3">
      <c r="A176" t="str">
        <f>IF(MASTER_REGISTER!E176="","",MASTER_REGISTER!E176)</f>
        <v/>
      </c>
      <c r="B176" t="str">
        <f>IF(A176="","",MASTER_REGISTER!F176)</f>
        <v/>
      </c>
      <c r="C176" t="str">
        <f>IF(A176="","",MASTER_REGISTER!C176)</f>
        <v/>
      </c>
      <c r="D176" t="str">
        <f>IF(A176="","",COUNTIF(ASSESSMENTS!B:B,A176))</f>
        <v/>
      </c>
      <c r="E176" s="4" t="e">
        <f>IF(D176=0,"",ROUND(AVERAGEIF(ASSESSMENTS!B:B,A176,ASSESSMENTS!H:H),1))</f>
        <v>#DIV/0!</v>
      </c>
      <c r="F176" s="4" t="str">
        <f>IF(A176="","",IFERROR(ROUND(AVERAGEIFS(ASSESSMENTS!H:H,ASSESSMENTS!B:B,A176,ASSESSMENTS!E:E,"Mathematics"),1),""))</f>
        <v/>
      </c>
      <c r="G176" s="4" t="str">
        <f>IF(A176="","",IFERROR(ROUND(AVERAGEIFS(ASSESSMENTS!H:H,ASSESSMENTS!B:B,A176,ASSESSMENTS!E:E,"Mathematical Literacy"),1),""))</f>
        <v/>
      </c>
      <c r="H176" s="4" t="str">
        <f>IF(A176="","",IFERROR(ROUND(AVERAGEIFS(ASSESSMENTS!H:H,ASSESSMENTS!B:B,A176,ASSESSMENTS!E:E,"Physical Sciences"),1),""))</f>
        <v/>
      </c>
      <c r="I176" s="4" t="str">
        <f>IF(A176="","",IFERROR(ROUND(AVERAGEIFS(ASSESSMENTS!H:H,ASSESSMENTS!B:B,A176,ASSESSMENTS!E:E,"Geography"),1),""))</f>
        <v/>
      </c>
      <c r="J176" s="4" t="str">
        <f>IF(A176="","",IFERROR(ROUND(AVERAGEIFS(ASSESSMENTS!H:H,ASSESSMENTS!B:B,A176,ASSESSMENTS!E:E,"Accounting"),1),""))</f>
        <v/>
      </c>
      <c r="K176" s="4" t="str">
        <f>IF(A176="","",IFERROR(ROUND(AVERAGEIFS(ASSESSMENTS!H:H,ASSESSMENTS!B:B,A176,ASSESSMENTS!E:E,"English"),1),""))</f>
        <v/>
      </c>
      <c r="L176" s="5" t="str">
        <f>IF(A176="","",IFERROR(INDEX(ATTENDANCE_SUMMARY!G:G,MATCH(A176,ATTENDANCE_SUMMARY!A:A,0)),""))</f>
        <v/>
      </c>
      <c r="M176" s="4" t="str">
        <f t="shared" si="2"/>
        <v/>
      </c>
    </row>
    <row r="177" spans="1:13" x14ac:dyDescent="0.3">
      <c r="A177" t="str">
        <f>IF(MASTER_REGISTER!E177="","",MASTER_REGISTER!E177)</f>
        <v/>
      </c>
      <c r="B177" t="str">
        <f>IF(A177="","",MASTER_REGISTER!F177)</f>
        <v/>
      </c>
      <c r="C177" t="str">
        <f>IF(A177="","",MASTER_REGISTER!C177)</f>
        <v/>
      </c>
      <c r="D177" t="str">
        <f>IF(A177="","",COUNTIF(ASSESSMENTS!B:B,A177))</f>
        <v/>
      </c>
      <c r="E177" s="4" t="e">
        <f>IF(D177=0,"",ROUND(AVERAGEIF(ASSESSMENTS!B:B,A177,ASSESSMENTS!H:H),1))</f>
        <v>#DIV/0!</v>
      </c>
      <c r="F177" s="4" t="str">
        <f>IF(A177="","",IFERROR(ROUND(AVERAGEIFS(ASSESSMENTS!H:H,ASSESSMENTS!B:B,A177,ASSESSMENTS!E:E,"Mathematics"),1),""))</f>
        <v/>
      </c>
      <c r="G177" s="4" t="str">
        <f>IF(A177="","",IFERROR(ROUND(AVERAGEIFS(ASSESSMENTS!H:H,ASSESSMENTS!B:B,A177,ASSESSMENTS!E:E,"Mathematical Literacy"),1),""))</f>
        <v/>
      </c>
      <c r="H177" s="4" t="str">
        <f>IF(A177="","",IFERROR(ROUND(AVERAGEIFS(ASSESSMENTS!H:H,ASSESSMENTS!B:B,A177,ASSESSMENTS!E:E,"Physical Sciences"),1),""))</f>
        <v/>
      </c>
      <c r="I177" s="4" t="str">
        <f>IF(A177="","",IFERROR(ROUND(AVERAGEIFS(ASSESSMENTS!H:H,ASSESSMENTS!B:B,A177,ASSESSMENTS!E:E,"Geography"),1),""))</f>
        <v/>
      </c>
      <c r="J177" s="4" t="str">
        <f>IF(A177="","",IFERROR(ROUND(AVERAGEIFS(ASSESSMENTS!H:H,ASSESSMENTS!B:B,A177,ASSESSMENTS!E:E,"Accounting"),1),""))</f>
        <v/>
      </c>
      <c r="K177" s="4" t="str">
        <f>IF(A177="","",IFERROR(ROUND(AVERAGEIFS(ASSESSMENTS!H:H,ASSESSMENTS!B:B,A177,ASSESSMENTS!E:E,"English"),1),""))</f>
        <v/>
      </c>
      <c r="L177" s="5" t="str">
        <f>IF(A177="","",IFERROR(INDEX(ATTENDANCE_SUMMARY!G:G,MATCH(A177,ATTENDANCE_SUMMARY!A:A,0)),""))</f>
        <v/>
      </c>
      <c r="M177" s="4" t="str">
        <f t="shared" si="2"/>
        <v/>
      </c>
    </row>
    <row r="178" spans="1:13" x14ac:dyDescent="0.3">
      <c r="A178" t="str">
        <f>IF(MASTER_REGISTER!E178="","",MASTER_REGISTER!E178)</f>
        <v/>
      </c>
      <c r="B178" t="str">
        <f>IF(A178="","",MASTER_REGISTER!F178)</f>
        <v/>
      </c>
      <c r="C178" t="str">
        <f>IF(A178="","",MASTER_REGISTER!C178)</f>
        <v/>
      </c>
      <c r="D178" t="str">
        <f>IF(A178="","",COUNTIF(ASSESSMENTS!B:B,A178))</f>
        <v/>
      </c>
      <c r="E178" s="4" t="e">
        <f>IF(D178=0,"",ROUND(AVERAGEIF(ASSESSMENTS!B:B,A178,ASSESSMENTS!H:H),1))</f>
        <v>#DIV/0!</v>
      </c>
      <c r="F178" s="4" t="str">
        <f>IF(A178="","",IFERROR(ROUND(AVERAGEIFS(ASSESSMENTS!H:H,ASSESSMENTS!B:B,A178,ASSESSMENTS!E:E,"Mathematics"),1),""))</f>
        <v/>
      </c>
      <c r="G178" s="4" t="str">
        <f>IF(A178="","",IFERROR(ROUND(AVERAGEIFS(ASSESSMENTS!H:H,ASSESSMENTS!B:B,A178,ASSESSMENTS!E:E,"Mathematical Literacy"),1),""))</f>
        <v/>
      </c>
      <c r="H178" s="4" t="str">
        <f>IF(A178="","",IFERROR(ROUND(AVERAGEIFS(ASSESSMENTS!H:H,ASSESSMENTS!B:B,A178,ASSESSMENTS!E:E,"Physical Sciences"),1),""))</f>
        <v/>
      </c>
      <c r="I178" s="4" t="str">
        <f>IF(A178="","",IFERROR(ROUND(AVERAGEIFS(ASSESSMENTS!H:H,ASSESSMENTS!B:B,A178,ASSESSMENTS!E:E,"Geography"),1),""))</f>
        <v/>
      </c>
      <c r="J178" s="4" t="str">
        <f>IF(A178="","",IFERROR(ROUND(AVERAGEIFS(ASSESSMENTS!H:H,ASSESSMENTS!B:B,A178,ASSESSMENTS!E:E,"Accounting"),1),""))</f>
        <v/>
      </c>
      <c r="K178" s="4" t="str">
        <f>IF(A178="","",IFERROR(ROUND(AVERAGEIFS(ASSESSMENTS!H:H,ASSESSMENTS!B:B,A178,ASSESSMENTS!E:E,"English"),1),""))</f>
        <v/>
      </c>
      <c r="L178" s="5" t="str">
        <f>IF(A178="","",IFERROR(INDEX(ATTENDANCE_SUMMARY!G:G,MATCH(A178,ATTENDANCE_SUMMARY!A:A,0)),""))</f>
        <v/>
      </c>
      <c r="M178" s="4" t="str">
        <f t="shared" si="2"/>
        <v/>
      </c>
    </row>
    <row r="179" spans="1:13" x14ac:dyDescent="0.3">
      <c r="A179" t="str">
        <f>IF(MASTER_REGISTER!E179="","",MASTER_REGISTER!E179)</f>
        <v/>
      </c>
      <c r="B179" t="str">
        <f>IF(A179="","",MASTER_REGISTER!F179)</f>
        <v/>
      </c>
      <c r="C179" t="str">
        <f>IF(A179="","",MASTER_REGISTER!C179)</f>
        <v/>
      </c>
      <c r="D179" t="str">
        <f>IF(A179="","",COUNTIF(ASSESSMENTS!B:B,A179))</f>
        <v/>
      </c>
      <c r="E179" s="4" t="e">
        <f>IF(D179=0,"",ROUND(AVERAGEIF(ASSESSMENTS!B:B,A179,ASSESSMENTS!H:H),1))</f>
        <v>#DIV/0!</v>
      </c>
      <c r="F179" s="4" t="str">
        <f>IF(A179="","",IFERROR(ROUND(AVERAGEIFS(ASSESSMENTS!H:H,ASSESSMENTS!B:B,A179,ASSESSMENTS!E:E,"Mathematics"),1),""))</f>
        <v/>
      </c>
      <c r="G179" s="4" t="str">
        <f>IF(A179="","",IFERROR(ROUND(AVERAGEIFS(ASSESSMENTS!H:H,ASSESSMENTS!B:B,A179,ASSESSMENTS!E:E,"Mathematical Literacy"),1),""))</f>
        <v/>
      </c>
      <c r="H179" s="4" t="str">
        <f>IF(A179="","",IFERROR(ROUND(AVERAGEIFS(ASSESSMENTS!H:H,ASSESSMENTS!B:B,A179,ASSESSMENTS!E:E,"Physical Sciences"),1),""))</f>
        <v/>
      </c>
      <c r="I179" s="4" t="str">
        <f>IF(A179="","",IFERROR(ROUND(AVERAGEIFS(ASSESSMENTS!H:H,ASSESSMENTS!B:B,A179,ASSESSMENTS!E:E,"Geography"),1),""))</f>
        <v/>
      </c>
      <c r="J179" s="4" t="str">
        <f>IF(A179="","",IFERROR(ROUND(AVERAGEIFS(ASSESSMENTS!H:H,ASSESSMENTS!B:B,A179,ASSESSMENTS!E:E,"Accounting"),1),""))</f>
        <v/>
      </c>
      <c r="K179" s="4" t="str">
        <f>IF(A179="","",IFERROR(ROUND(AVERAGEIFS(ASSESSMENTS!H:H,ASSESSMENTS!B:B,A179,ASSESSMENTS!E:E,"English"),1),""))</f>
        <v/>
      </c>
      <c r="L179" s="5" t="str">
        <f>IF(A179="","",IFERROR(INDEX(ATTENDANCE_SUMMARY!G:G,MATCH(A179,ATTENDANCE_SUMMARY!A:A,0)),""))</f>
        <v/>
      </c>
      <c r="M179" s="4" t="str">
        <f t="shared" si="2"/>
        <v/>
      </c>
    </row>
    <row r="180" spans="1:13" x14ac:dyDescent="0.3">
      <c r="A180" t="str">
        <f>IF(MASTER_REGISTER!E180="","",MASTER_REGISTER!E180)</f>
        <v/>
      </c>
      <c r="B180" t="str">
        <f>IF(A180="","",MASTER_REGISTER!F180)</f>
        <v/>
      </c>
      <c r="C180" t="str">
        <f>IF(A180="","",MASTER_REGISTER!C180)</f>
        <v/>
      </c>
      <c r="D180" t="str">
        <f>IF(A180="","",COUNTIF(ASSESSMENTS!B:B,A180))</f>
        <v/>
      </c>
      <c r="E180" s="4" t="e">
        <f>IF(D180=0,"",ROUND(AVERAGEIF(ASSESSMENTS!B:B,A180,ASSESSMENTS!H:H),1))</f>
        <v>#DIV/0!</v>
      </c>
      <c r="F180" s="4" t="str">
        <f>IF(A180="","",IFERROR(ROUND(AVERAGEIFS(ASSESSMENTS!H:H,ASSESSMENTS!B:B,A180,ASSESSMENTS!E:E,"Mathematics"),1),""))</f>
        <v/>
      </c>
      <c r="G180" s="4" t="str">
        <f>IF(A180="","",IFERROR(ROUND(AVERAGEIFS(ASSESSMENTS!H:H,ASSESSMENTS!B:B,A180,ASSESSMENTS!E:E,"Mathematical Literacy"),1),""))</f>
        <v/>
      </c>
      <c r="H180" s="4" t="str">
        <f>IF(A180="","",IFERROR(ROUND(AVERAGEIFS(ASSESSMENTS!H:H,ASSESSMENTS!B:B,A180,ASSESSMENTS!E:E,"Physical Sciences"),1),""))</f>
        <v/>
      </c>
      <c r="I180" s="4" t="str">
        <f>IF(A180="","",IFERROR(ROUND(AVERAGEIFS(ASSESSMENTS!H:H,ASSESSMENTS!B:B,A180,ASSESSMENTS!E:E,"Geography"),1),""))</f>
        <v/>
      </c>
      <c r="J180" s="4" t="str">
        <f>IF(A180="","",IFERROR(ROUND(AVERAGEIFS(ASSESSMENTS!H:H,ASSESSMENTS!B:B,A180,ASSESSMENTS!E:E,"Accounting"),1),""))</f>
        <v/>
      </c>
      <c r="K180" s="4" t="str">
        <f>IF(A180="","",IFERROR(ROUND(AVERAGEIFS(ASSESSMENTS!H:H,ASSESSMENTS!B:B,A180,ASSESSMENTS!E:E,"English"),1),""))</f>
        <v/>
      </c>
      <c r="L180" s="5" t="str">
        <f>IF(A180="","",IFERROR(INDEX(ATTENDANCE_SUMMARY!G:G,MATCH(A180,ATTENDANCE_SUMMARY!A:A,0)),""))</f>
        <v/>
      </c>
      <c r="M180" s="4" t="str">
        <f t="shared" si="2"/>
        <v/>
      </c>
    </row>
    <row r="181" spans="1:13" x14ac:dyDescent="0.3">
      <c r="A181" t="str">
        <f>IF(MASTER_REGISTER!E181="","",MASTER_REGISTER!E181)</f>
        <v/>
      </c>
      <c r="B181" t="str">
        <f>IF(A181="","",MASTER_REGISTER!F181)</f>
        <v/>
      </c>
      <c r="C181" t="str">
        <f>IF(A181="","",MASTER_REGISTER!C181)</f>
        <v/>
      </c>
      <c r="D181" t="str">
        <f>IF(A181="","",COUNTIF(ASSESSMENTS!B:B,A181))</f>
        <v/>
      </c>
      <c r="E181" s="4" t="e">
        <f>IF(D181=0,"",ROUND(AVERAGEIF(ASSESSMENTS!B:B,A181,ASSESSMENTS!H:H),1))</f>
        <v>#DIV/0!</v>
      </c>
      <c r="F181" s="4" t="str">
        <f>IF(A181="","",IFERROR(ROUND(AVERAGEIFS(ASSESSMENTS!H:H,ASSESSMENTS!B:B,A181,ASSESSMENTS!E:E,"Mathematics"),1),""))</f>
        <v/>
      </c>
      <c r="G181" s="4" t="str">
        <f>IF(A181="","",IFERROR(ROUND(AVERAGEIFS(ASSESSMENTS!H:H,ASSESSMENTS!B:B,A181,ASSESSMENTS!E:E,"Mathematical Literacy"),1),""))</f>
        <v/>
      </c>
      <c r="H181" s="4" t="str">
        <f>IF(A181="","",IFERROR(ROUND(AVERAGEIFS(ASSESSMENTS!H:H,ASSESSMENTS!B:B,A181,ASSESSMENTS!E:E,"Physical Sciences"),1),""))</f>
        <v/>
      </c>
      <c r="I181" s="4" t="str">
        <f>IF(A181="","",IFERROR(ROUND(AVERAGEIFS(ASSESSMENTS!H:H,ASSESSMENTS!B:B,A181,ASSESSMENTS!E:E,"Geography"),1),""))</f>
        <v/>
      </c>
      <c r="J181" s="4" t="str">
        <f>IF(A181="","",IFERROR(ROUND(AVERAGEIFS(ASSESSMENTS!H:H,ASSESSMENTS!B:B,A181,ASSESSMENTS!E:E,"Accounting"),1),""))</f>
        <v/>
      </c>
      <c r="K181" s="4" t="str">
        <f>IF(A181="","",IFERROR(ROUND(AVERAGEIFS(ASSESSMENTS!H:H,ASSESSMENTS!B:B,A181,ASSESSMENTS!E:E,"English"),1),""))</f>
        <v/>
      </c>
      <c r="L181" s="5" t="str">
        <f>IF(A181="","",IFERROR(INDEX(ATTENDANCE_SUMMARY!G:G,MATCH(A181,ATTENDANCE_SUMMARY!A:A,0)),""))</f>
        <v/>
      </c>
      <c r="M181" s="4" t="str">
        <f t="shared" si="2"/>
        <v/>
      </c>
    </row>
    <row r="182" spans="1:13" x14ac:dyDescent="0.3">
      <c r="A182" t="str">
        <f>IF(MASTER_REGISTER!E182="","",MASTER_REGISTER!E182)</f>
        <v/>
      </c>
      <c r="B182" t="str">
        <f>IF(A182="","",MASTER_REGISTER!F182)</f>
        <v/>
      </c>
      <c r="C182" t="str">
        <f>IF(A182="","",MASTER_REGISTER!C182)</f>
        <v/>
      </c>
      <c r="D182" t="str">
        <f>IF(A182="","",COUNTIF(ASSESSMENTS!B:B,A182))</f>
        <v/>
      </c>
      <c r="E182" s="4" t="e">
        <f>IF(D182=0,"",ROUND(AVERAGEIF(ASSESSMENTS!B:B,A182,ASSESSMENTS!H:H),1))</f>
        <v>#DIV/0!</v>
      </c>
      <c r="F182" s="4" t="str">
        <f>IF(A182="","",IFERROR(ROUND(AVERAGEIFS(ASSESSMENTS!H:H,ASSESSMENTS!B:B,A182,ASSESSMENTS!E:E,"Mathematics"),1),""))</f>
        <v/>
      </c>
      <c r="G182" s="4" t="str">
        <f>IF(A182="","",IFERROR(ROUND(AVERAGEIFS(ASSESSMENTS!H:H,ASSESSMENTS!B:B,A182,ASSESSMENTS!E:E,"Mathematical Literacy"),1),""))</f>
        <v/>
      </c>
      <c r="H182" s="4" t="str">
        <f>IF(A182="","",IFERROR(ROUND(AVERAGEIFS(ASSESSMENTS!H:H,ASSESSMENTS!B:B,A182,ASSESSMENTS!E:E,"Physical Sciences"),1),""))</f>
        <v/>
      </c>
      <c r="I182" s="4" t="str">
        <f>IF(A182="","",IFERROR(ROUND(AVERAGEIFS(ASSESSMENTS!H:H,ASSESSMENTS!B:B,A182,ASSESSMENTS!E:E,"Geography"),1),""))</f>
        <v/>
      </c>
      <c r="J182" s="4" t="str">
        <f>IF(A182="","",IFERROR(ROUND(AVERAGEIFS(ASSESSMENTS!H:H,ASSESSMENTS!B:B,A182,ASSESSMENTS!E:E,"Accounting"),1),""))</f>
        <v/>
      </c>
      <c r="K182" s="4" t="str">
        <f>IF(A182="","",IFERROR(ROUND(AVERAGEIFS(ASSESSMENTS!H:H,ASSESSMENTS!B:B,A182,ASSESSMENTS!E:E,"English"),1),""))</f>
        <v/>
      </c>
      <c r="L182" s="5" t="str">
        <f>IF(A182="","",IFERROR(INDEX(ATTENDANCE_SUMMARY!G:G,MATCH(A182,ATTENDANCE_SUMMARY!A:A,0)),""))</f>
        <v/>
      </c>
      <c r="M182" s="4" t="str">
        <f t="shared" si="2"/>
        <v/>
      </c>
    </row>
    <row r="183" spans="1:13" x14ac:dyDescent="0.3">
      <c r="A183" t="str">
        <f>IF(MASTER_REGISTER!E183="","",MASTER_REGISTER!E183)</f>
        <v/>
      </c>
      <c r="B183" t="str">
        <f>IF(A183="","",MASTER_REGISTER!F183)</f>
        <v/>
      </c>
      <c r="C183" t="str">
        <f>IF(A183="","",MASTER_REGISTER!C183)</f>
        <v/>
      </c>
      <c r="D183" t="str">
        <f>IF(A183="","",COUNTIF(ASSESSMENTS!B:B,A183))</f>
        <v/>
      </c>
      <c r="E183" s="4" t="e">
        <f>IF(D183=0,"",ROUND(AVERAGEIF(ASSESSMENTS!B:B,A183,ASSESSMENTS!H:H),1))</f>
        <v>#DIV/0!</v>
      </c>
      <c r="F183" s="4" t="str">
        <f>IF(A183="","",IFERROR(ROUND(AVERAGEIFS(ASSESSMENTS!H:H,ASSESSMENTS!B:B,A183,ASSESSMENTS!E:E,"Mathematics"),1),""))</f>
        <v/>
      </c>
      <c r="G183" s="4" t="str">
        <f>IF(A183="","",IFERROR(ROUND(AVERAGEIFS(ASSESSMENTS!H:H,ASSESSMENTS!B:B,A183,ASSESSMENTS!E:E,"Mathematical Literacy"),1),""))</f>
        <v/>
      </c>
      <c r="H183" s="4" t="str">
        <f>IF(A183="","",IFERROR(ROUND(AVERAGEIFS(ASSESSMENTS!H:H,ASSESSMENTS!B:B,A183,ASSESSMENTS!E:E,"Physical Sciences"),1),""))</f>
        <v/>
      </c>
      <c r="I183" s="4" t="str">
        <f>IF(A183="","",IFERROR(ROUND(AVERAGEIFS(ASSESSMENTS!H:H,ASSESSMENTS!B:B,A183,ASSESSMENTS!E:E,"Geography"),1),""))</f>
        <v/>
      </c>
      <c r="J183" s="4" t="str">
        <f>IF(A183="","",IFERROR(ROUND(AVERAGEIFS(ASSESSMENTS!H:H,ASSESSMENTS!B:B,A183,ASSESSMENTS!E:E,"Accounting"),1),""))</f>
        <v/>
      </c>
      <c r="K183" s="4" t="str">
        <f>IF(A183="","",IFERROR(ROUND(AVERAGEIFS(ASSESSMENTS!H:H,ASSESSMENTS!B:B,A183,ASSESSMENTS!E:E,"English"),1),""))</f>
        <v/>
      </c>
      <c r="L183" s="5" t="str">
        <f>IF(A183="","",IFERROR(INDEX(ATTENDANCE_SUMMARY!G:G,MATCH(A183,ATTENDANCE_SUMMARY!A:A,0)),""))</f>
        <v/>
      </c>
      <c r="M183" s="4" t="str">
        <f t="shared" si="2"/>
        <v/>
      </c>
    </row>
    <row r="184" spans="1:13" x14ac:dyDescent="0.3">
      <c r="A184" t="str">
        <f>IF(MASTER_REGISTER!E184="","",MASTER_REGISTER!E184)</f>
        <v/>
      </c>
      <c r="B184" t="str">
        <f>IF(A184="","",MASTER_REGISTER!F184)</f>
        <v/>
      </c>
      <c r="C184" t="str">
        <f>IF(A184="","",MASTER_REGISTER!C184)</f>
        <v/>
      </c>
      <c r="D184" t="str">
        <f>IF(A184="","",COUNTIF(ASSESSMENTS!B:B,A184))</f>
        <v/>
      </c>
      <c r="E184" s="4" t="e">
        <f>IF(D184=0,"",ROUND(AVERAGEIF(ASSESSMENTS!B:B,A184,ASSESSMENTS!H:H),1))</f>
        <v>#DIV/0!</v>
      </c>
      <c r="F184" s="4" t="str">
        <f>IF(A184="","",IFERROR(ROUND(AVERAGEIFS(ASSESSMENTS!H:H,ASSESSMENTS!B:B,A184,ASSESSMENTS!E:E,"Mathematics"),1),""))</f>
        <v/>
      </c>
      <c r="G184" s="4" t="str">
        <f>IF(A184="","",IFERROR(ROUND(AVERAGEIFS(ASSESSMENTS!H:H,ASSESSMENTS!B:B,A184,ASSESSMENTS!E:E,"Mathematical Literacy"),1),""))</f>
        <v/>
      </c>
      <c r="H184" s="4" t="str">
        <f>IF(A184="","",IFERROR(ROUND(AVERAGEIFS(ASSESSMENTS!H:H,ASSESSMENTS!B:B,A184,ASSESSMENTS!E:E,"Physical Sciences"),1),""))</f>
        <v/>
      </c>
      <c r="I184" s="4" t="str">
        <f>IF(A184="","",IFERROR(ROUND(AVERAGEIFS(ASSESSMENTS!H:H,ASSESSMENTS!B:B,A184,ASSESSMENTS!E:E,"Geography"),1),""))</f>
        <v/>
      </c>
      <c r="J184" s="4" t="str">
        <f>IF(A184="","",IFERROR(ROUND(AVERAGEIFS(ASSESSMENTS!H:H,ASSESSMENTS!B:B,A184,ASSESSMENTS!E:E,"Accounting"),1),""))</f>
        <v/>
      </c>
      <c r="K184" s="4" t="str">
        <f>IF(A184="","",IFERROR(ROUND(AVERAGEIFS(ASSESSMENTS!H:H,ASSESSMENTS!B:B,A184,ASSESSMENTS!E:E,"English"),1),""))</f>
        <v/>
      </c>
      <c r="L184" s="5" t="str">
        <f>IF(A184="","",IFERROR(INDEX(ATTENDANCE_SUMMARY!G:G,MATCH(A184,ATTENDANCE_SUMMARY!A:A,0)),""))</f>
        <v/>
      </c>
      <c r="M184" s="4" t="str">
        <f t="shared" si="2"/>
        <v/>
      </c>
    </row>
    <row r="185" spans="1:13" x14ac:dyDescent="0.3">
      <c r="A185" t="str">
        <f>IF(MASTER_REGISTER!E185="","",MASTER_REGISTER!E185)</f>
        <v/>
      </c>
      <c r="B185" t="str">
        <f>IF(A185="","",MASTER_REGISTER!F185)</f>
        <v/>
      </c>
      <c r="C185" t="str">
        <f>IF(A185="","",MASTER_REGISTER!C185)</f>
        <v/>
      </c>
      <c r="D185" t="str">
        <f>IF(A185="","",COUNTIF(ASSESSMENTS!B:B,A185))</f>
        <v/>
      </c>
      <c r="E185" s="4" t="e">
        <f>IF(D185=0,"",ROUND(AVERAGEIF(ASSESSMENTS!B:B,A185,ASSESSMENTS!H:H),1))</f>
        <v>#DIV/0!</v>
      </c>
      <c r="F185" s="4" t="str">
        <f>IF(A185="","",IFERROR(ROUND(AVERAGEIFS(ASSESSMENTS!H:H,ASSESSMENTS!B:B,A185,ASSESSMENTS!E:E,"Mathematics"),1),""))</f>
        <v/>
      </c>
      <c r="G185" s="4" t="str">
        <f>IF(A185="","",IFERROR(ROUND(AVERAGEIFS(ASSESSMENTS!H:H,ASSESSMENTS!B:B,A185,ASSESSMENTS!E:E,"Mathematical Literacy"),1),""))</f>
        <v/>
      </c>
      <c r="H185" s="4" t="str">
        <f>IF(A185="","",IFERROR(ROUND(AVERAGEIFS(ASSESSMENTS!H:H,ASSESSMENTS!B:B,A185,ASSESSMENTS!E:E,"Physical Sciences"),1),""))</f>
        <v/>
      </c>
      <c r="I185" s="4" t="str">
        <f>IF(A185="","",IFERROR(ROUND(AVERAGEIFS(ASSESSMENTS!H:H,ASSESSMENTS!B:B,A185,ASSESSMENTS!E:E,"Geography"),1),""))</f>
        <v/>
      </c>
      <c r="J185" s="4" t="str">
        <f>IF(A185="","",IFERROR(ROUND(AVERAGEIFS(ASSESSMENTS!H:H,ASSESSMENTS!B:B,A185,ASSESSMENTS!E:E,"Accounting"),1),""))</f>
        <v/>
      </c>
      <c r="K185" s="4" t="str">
        <f>IF(A185="","",IFERROR(ROUND(AVERAGEIFS(ASSESSMENTS!H:H,ASSESSMENTS!B:B,A185,ASSESSMENTS!E:E,"English"),1),""))</f>
        <v/>
      </c>
      <c r="L185" s="5" t="str">
        <f>IF(A185="","",IFERROR(INDEX(ATTENDANCE_SUMMARY!G:G,MATCH(A185,ATTENDANCE_SUMMARY!A:A,0)),""))</f>
        <v/>
      </c>
      <c r="M185" s="4" t="str">
        <f t="shared" si="2"/>
        <v/>
      </c>
    </row>
    <row r="186" spans="1:13" x14ac:dyDescent="0.3">
      <c r="A186" t="str">
        <f>IF(MASTER_REGISTER!E186="","",MASTER_REGISTER!E186)</f>
        <v/>
      </c>
      <c r="B186" t="str">
        <f>IF(A186="","",MASTER_REGISTER!F186)</f>
        <v/>
      </c>
      <c r="C186" t="str">
        <f>IF(A186="","",MASTER_REGISTER!C186)</f>
        <v/>
      </c>
      <c r="D186" t="str">
        <f>IF(A186="","",COUNTIF(ASSESSMENTS!B:B,A186))</f>
        <v/>
      </c>
      <c r="E186" s="4" t="e">
        <f>IF(D186=0,"",ROUND(AVERAGEIF(ASSESSMENTS!B:B,A186,ASSESSMENTS!H:H),1))</f>
        <v>#DIV/0!</v>
      </c>
      <c r="F186" s="4" t="str">
        <f>IF(A186="","",IFERROR(ROUND(AVERAGEIFS(ASSESSMENTS!H:H,ASSESSMENTS!B:B,A186,ASSESSMENTS!E:E,"Mathematics"),1),""))</f>
        <v/>
      </c>
      <c r="G186" s="4" t="str">
        <f>IF(A186="","",IFERROR(ROUND(AVERAGEIFS(ASSESSMENTS!H:H,ASSESSMENTS!B:B,A186,ASSESSMENTS!E:E,"Mathematical Literacy"),1),""))</f>
        <v/>
      </c>
      <c r="H186" s="4" t="str">
        <f>IF(A186="","",IFERROR(ROUND(AVERAGEIFS(ASSESSMENTS!H:H,ASSESSMENTS!B:B,A186,ASSESSMENTS!E:E,"Physical Sciences"),1),""))</f>
        <v/>
      </c>
      <c r="I186" s="4" t="str">
        <f>IF(A186="","",IFERROR(ROUND(AVERAGEIFS(ASSESSMENTS!H:H,ASSESSMENTS!B:B,A186,ASSESSMENTS!E:E,"Geography"),1),""))</f>
        <v/>
      </c>
      <c r="J186" s="4" t="str">
        <f>IF(A186="","",IFERROR(ROUND(AVERAGEIFS(ASSESSMENTS!H:H,ASSESSMENTS!B:B,A186,ASSESSMENTS!E:E,"Accounting"),1),""))</f>
        <v/>
      </c>
      <c r="K186" s="4" t="str">
        <f>IF(A186="","",IFERROR(ROUND(AVERAGEIFS(ASSESSMENTS!H:H,ASSESSMENTS!B:B,A186,ASSESSMENTS!E:E,"English"),1),""))</f>
        <v/>
      </c>
      <c r="L186" s="5" t="str">
        <f>IF(A186="","",IFERROR(INDEX(ATTENDANCE_SUMMARY!G:G,MATCH(A186,ATTENDANCE_SUMMARY!A:A,0)),""))</f>
        <v/>
      </c>
      <c r="M186" s="4" t="str">
        <f t="shared" si="2"/>
        <v/>
      </c>
    </row>
    <row r="187" spans="1:13" x14ac:dyDescent="0.3">
      <c r="A187" t="str">
        <f>IF(MASTER_REGISTER!E187="","",MASTER_REGISTER!E187)</f>
        <v/>
      </c>
      <c r="B187" t="str">
        <f>IF(A187="","",MASTER_REGISTER!F187)</f>
        <v/>
      </c>
      <c r="C187" t="str">
        <f>IF(A187="","",MASTER_REGISTER!C187)</f>
        <v/>
      </c>
      <c r="D187" t="str">
        <f>IF(A187="","",COUNTIF(ASSESSMENTS!B:B,A187))</f>
        <v/>
      </c>
      <c r="E187" s="4" t="e">
        <f>IF(D187=0,"",ROUND(AVERAGEIF(ASSESSMENTS!B:B,A187,ASSESSMENTS!H:H),1))</f>
        <v>#DIV/0!</v>
      </c>
      <c r="F187" s="4" t="str">
        <f>IF(A187="","",IFERROR(ROUND(AVERAGEIFS(ASSESSMENTS!H:H,ASSESSMENTS!B:B,A187,ASSESSMENTS!E:E,"Mathematics"),1),""))</f>
        <v/>
      </c>
      <c r="G187" s="4" t="str">
        <f>IF(A187="","",IFERROR(ROUND(AVERAGEIFS(ASSESSMENTS!H:H,ASSESSMENTS!B:B,A187,ASSESSMENTS!E:E,"Mathematical Literacy"),1),""))</f>
        <v/>
      </c>
      <c r="H187" s="4" t="str">
        <f>IF(A187="","",IFERROR(ROUND(AVERAGEIFS(ASSESSMENTS!H:H,ASSESSMENTS!B:B,A187,ASSESSMENTS!E:E,"Physical Sciences"),1),""))</f>
        <v/>
      </c>
      <c r="I187" s="4" t="str">
        <f>IF(A187="","",IFERROR(ROUND(AVERAGEIFS(ASSESSMENTS!H:H,ASSESSMENTS!B:B,A187,ASSESSMENTS!E:E,"Geography"),1),""))</f>
        <v/>
      </c>
      <c r="J187" s="4" t="str">
        <f>IF(A187="","",IFERROR(ROUND(AVERAGEIFS(ASSESSMENTS!H:H,ASSESSMENTS!B:B,A187,ASSESSMENTS!E:E,"Accounting"),1),""))</f>
        <v/>
      </c>
      <c r="K187" s="4" t="str">
        <f>IF(A187="","",IFERROR(ROUND(AVERAGEIFS(ASSESSMENTS!H:H,ASSESSMENTS!B:B,A187,ASSESSMENTS!E:E,"English"),1),""))</f>
        <v/>
      </c>
      <c r="L187" s="5" t="str">
        <f>IF(A187="","",IFERROR(INDEX(ATTENDANCE_SUMMARY!G:G,MATCH(A187,ATTENDANCE_SUMMARY!A:A,0)),""))</f>
        <v/>
      </c>
      <c r="M187" s="4" t="str">
        <f t="shared" si="2"/>
        <v/>
      </c>
    </row>
    <row r="188" spans="1:13" x14ac:dyDescent="0.3">
      <c r="A188" t="str">
        <f>IF(MASTER_REGISTER!E188="","",MASTER_REGISTER!E188)</f>
        <v/>
      </c>
      <c r="B188" t="str">
        <f>IF(A188="","",MASTER_REGISTER!F188)</f>
        <v/>
      </c>
      <c r="C188" t="str">
        <f>IF(A188="","",MASTER_REGISTER!C188)</f>
        <v/>
      </c>
      <c r="D188" t="str">
        <f>IF(A188="","",COUNTIF(ASSESSMENTS!B:B,A188))</f>
        <v/>
      </c>
      <c r="E188" s="4" t="e">
        <f>IF(D188=0,"",ROUND(AVERAGEIF(ASSESSMENTS!B:B,A188,ASSESSMENTS!H:H),1))</f>
        <v>#DIV/0!</v>
      </c>
      <c r="F188" s="4" t="str">
        <f>IF(A188="","",IFERROR(ROUND(AVERAGEIFS(ASSESSMENTS!H:H,ASSESSMENTS!B:B,A188,ASSESSMENTS!E:E,"Mathematics"),1),""))</f>
        <v/>
      </c>
      <c r="G188" s="4" t="str">
        <f>IF(A188="","",IFERROR(ROUND(AVERAGEIFS(ASSESSMENTS!H:H,ASSESSMENTS!B:B,A188,ASSESSMENTS!E:E,"Mathematical Literacy"),1),""))</f>
        <v/>
      </c>
      <c r="H188" s="4" t="str">
        <f>IF(A188="","",IFERROR(ROUND(AVERAGEIFS(ASSESSMENTS!H:H,ASSESSMENTS!B:B,A188,ASSESSMENTS!E:E,"Physical Sciences"),1),""))</f>
        <v/>
      </c>
      <c r="I188" s="4" t="str">
        <f>IF(A188="","",IFERROR(ROUND(AVERAGEIFS(ASSESSMENTS!H:H,ASSESSMENTS!B:B,A188,ASSESSMENTS!E:E,"Geography"),1),""))</f>
        <v/>
      </c>
      <c r="J188" s="4" t="str">
        <f>IF(A188="","",IFERROR(ROUND(AVERAGEIFS(ASSESSMENTS!H:H,ASSESSMENTS!B:B,A188,ASSESSMENTS!E:E,"Accounting"),1),""))</f>
        <v/>
      </c>
      <c r="K188" s="4" t="str">
        <f>IF(A188="","",IFERROR(ROUND(AVERAGEIFS(ASSESSMENTS!H:H,ASSESSMENTS!B:B,A188,ASSESSMENTS!E:E,"English"),1),""))</f>
        <v/>
      </c>
      <c r="L188" s="5" t="str">
        <f>IF(A188="","",IFERROR(INDEX(ATTENDANCE_SUMMARY!G:G,MATCH(A188,ATTENDANCE_SUMMARY!A:A,0)),""))</f>
        <v/>
      </c>
      <c r="M188" s="4" t="str">
        <f t="shared" si="2"/>
        <v/>
      </c>
    </row>
    <row r="189" spans="1:13" x14ac:dyDescent="0.3">
      <c r="A189" t="str">
        <f>IF(MASTER_REGISTER!E189="","",MASTER_REGISTER!E189)</f>
        <v/>
      </c>
      <c r="B189" t="str">
        <f>IF(A189="","",MASTER_REGISTER!F189)</f>
        <v/>
      </c>
      <c r="C189" t="str">
        <f>IF(A189="","",MASTER_REGISTER!C189)</f>
        <v/>
      </c>
      <c r="D189" t="str">
        <f>IF(A189="","",COUNTIF(ASSESSMENTS!B:B,A189))</f>
        <v/>
      </c>
      <c r="E189" s="4" t="e">
        <f>IF(D189=0,"",ROUND(AVERAGEIF(ASSESSMENTS!B:B,A189,ASSESSMENTS!H:H),1))</f>
        <v>#DIV/0!</v>
      </c>
      <c r="F189" s="4" t="str">
        <f>IF(A189="","",IFERROR(ROUND(AVERAGEIFS(ASSESSMENTS!H:H,ASSESSMENTS!B:B,A189,ASSESSMENTS!E:E,"Mathematics"),1),""))</f>
        <v/>
      </c>
      <c r="G189" s="4" t="str">
        <f>IF(A189="","",IFERROR(ROUND(AVERAGEIFS(ASSESSMENTS!H:H,ASSESSMENTS!B:B,A189,ASSESSMENTS!E:E,"Mathematical Literacy"),1),""))</f>
        <v/>
      </c>
      <c r="H189" s="4" t="str">
        <f>IF(A189="","",IFERROR(ROUND(AVERAGEIFS(ASSESSMENTS!H:H,ASSESSMENTS!B:B,A189,ASSESSMENTS!E:E,"Physical Sciences"),1),""))</f>
        <v/>
      </c>
      <c r="I189" s="4" t="str">
        <f>IF(A189="","",IFERROR(ROUND(AVERAGEIFS(ASSESSMENTS!H:H,ASSESSMENTS!B:B,A189,ASSESSMENTS!E:E,"Geography"),1),""))</f>
        <v/>
      </c>
      <c r="J189" s="4" t="str">
        <f>IF(A189="","",IFERROR(ROUND(AVERAGEIFS(ASSESSMENTS!H:H,ASSESSMENTS!B:B,A189,ASSESSMENTS!E:E,"Accounting"),1),""))</f>
        <v/>
      </c>
      <c r="K189" s="4" t="str">
        <f>IF(A189="","",IFERROR(ROUND(AVERAGEIFS(ASSESSMENTS!H:H,ASSESSMENTS!B:B,A189,ASSESSMENTS!E:E,"English"),1),""))</f>
        <v/>
      </c>
      <c r="L189" s="5" t="str">
        <f>IF(A189="","",IFERROR(INDEX(ATTENDANCE_SUMMARY!G:G,MATCH(A189,ATTENDANCE_SUMMARY!A:A,0)),""))</f>
        <v/>
      </c>
      <c r="M189" s="4" t="str">
        <f t="shared" si="2"/>
        <v/>
      </c>
    </row>
    <row r="190" spans="1:13" x14ac:dyDescent="0.3">
      <c r="A190" t="str">
        <f>IF(MASTER_REGISTER!E190="","",MASTER_REGISTER!E190)</f>
        <v/>
      </c>
      <c r="B190" t="str">
        <f>IF(A190="","",MASTER_REGISTER!F190)</f>
        <v/>
      </c>
      <c r="C190" t="str">
        <f>IF(A190="","",MASTER_REGISTER!C190)</f>
        <v/>
      </c>
      <c r="D190" t="str">
        <f>IF(A190="","",COUNTIF(ASSESSMENTS!B:B,A190))</f>
        <v/>
      </c>
      <c r="E190" s="4" t="e">
        <f>IF(D190=0,"",ROUND(AVERAGEIF(ASSESSMENTS!B:B,A190,ASSESSMENTS!H:H),1))</f>
        <v>#DIV/0!</v>
      </c>
      <c r="F190" s="4" t="str">
        <f>IF(A190="","",IFERROR(ROUND(AVERAGEIFS(ASSESSMENTS!H:H,ASSESSMENTS!B:B,A190,ASSESSMENTS!E:E,"Mathematics"),1),""))</f>
        <v/>
      </c>
      <c r="G190" s="4" t="str">
        <f>IF(A190="","",IFERROR(ROUND(AVERAGEIFS(ASSESSMENTS!H:H,ASSESSMENTS!B:B,A190,ASSESSMENTS!E:E,"Mathematical Literacy"),1),""))</f>
        <v/>
      </c>
      <c r="H190" s="4" t="str">
        <f>IF(A190="","",IFERROR(ROUND(AVERAGEIFS(ASSESSMENTS!H:H,ASSESSMENTS!B:B,A190,ASSESSMENTS!E:E,"Physical Sciences"),1),""))</f>
        <v/>
      </c>
      <c r="I190" s="4" t="str">
        <f>IF(A190="","",IFERROR(ROUND(AVERAGEIFS(ASSESSMENTS!H:H,ASSESSMENTS!B:B,A190,ASSESSMENTS!E:E,"Geography"),1),""))</f>
        <v/>
      </c>
      <c r="J190" s="4" t="str">
        <f>IF(A190="","",IFERROR(ROUND(AVERAGEIFS(ASSESSMENTS!H:H,ASSESSMENTS!B:B,A190,ASSESSMENTS!E:E,"Accounting"),1),""))</f>
        <v/>
      </c>
      <c r="K190" s="4" t="str">
        <f>IF(A190="","",IFERROR(ROUND(AVERAGEIFS(ASSESSMENTS!H:H,ASSESSMENTS!B:B,A190,ASSESSMENTS!E:E,"English"),1),""))</f>
        <v/>
      </c>
      <c r="L190" s="5" t="str">
        <f>IF(A190="","",IFERROR(INDEX(ATTENDANCE_SUMMARY!G:G,MATCH(A190,ATTENDANCE_SUMMARY!A:A,0)),""))</f>
        <v/>
      </c>
      <c r="M190" s="4" t="str">
        <f t="shared" si="2"/>
        <v/>
      </c>
    </row>
    <row r="191" spans="1:13" x14ac:dyDescent="0.3">
      <c r="A191" t="str">
        <f>IF(MASTER_REGISTER!E191="","",MASTER_REGISTER!E191)</f>
        <v/>
      </c>
      <c r="B191" t="str">
        <f>IF(A191="","",MASTER_REGISTER!F191)</f>
        <v/>
      </c>
      <c r="C191" t="str">
        <f>IF(A191="","",MASTER_REGISTER!C191)</f>
        <v/>
      </c>
      <c r="D191" t="str">
        <f>IF(A191="","",COUNTIF(ASSESSMENTS!B:B,A191))</f>
        <v/>
      </c>
      <c r="E191" s="4" t="e">
        <f>IF(D191=0,"",ROUND(AVERAGEIF(ASSESSMENTS!B:B,A191,ASSESSMENTS!H:H),1))</f>
        <v>#DIV/0!</v>
      </c>
      <c r="F191" s="4" t="str">
        <f>IF(A191="","",IFERROR(ROUND(AVERAGEIFS(ASSESSMENTS!H:H,ASSESSMENTS!B:B,A191,ASSESSMENTS!E:E,"Mathematics"),1),""))</f>
        <v/>
      </c>
      <c r="G191" s="4" t="str">
        <f>IF(A191="","",IFERROR(ROUND(AVERAGEIFS(ASSESSMENTS!H:H,ASSESSMENTS!B:B,A191,ASSESSMENTS!E:E,"Mathematical Literacy"),1),""))</f>
        <v/>
      </c>
      <c r="H191" s="4" t="str">
        <f>IF(A191="","",IFERROR(ROUND(AVERAGEIFS(ASSESSMENTS!H:H,ASSESSMENTS!B:B,A191,ASSESSMENTS!E:E,"Physical Sciences"),1),""))</f>
        <v/>
      </c>
      <c r="I191" s="4" t="str">
        <f>IF(A191="","",IFERROR(ROUND(AVERAGEIFS(ASSESSMENTS!H:H,ASSESSMENTS!B:B,A191,ASSESSMENTS!E:E,"Geography"),1),""))</f>
        <v/>
      </c>
      <c r="J191" s="4" t="str">
        <f>IF(A191="","",IFERROR(ROUND(AVERAGEIFS(ASSESSMENTS!H:H,ASSESSMENTS!B:B,A191,ASSESSMENTS!E:E,"Accounting"),1),""))</f>
        <v/>
      </c>
      <c r="K191" s="4" t="str">
        <f>IF(A191="","",IFERROR(ROUND(AVERAGEIFS(ASSESSMENTS!H:H,ASSESSMENTS!B:B,A191,ASSESSMENTS!E:E,"English"),1),""))</f>
        <v/>
      </c>
      <c r="L191" s="5" t="str">
        <f>IF(A191="","",IFERROR(INDEX(ATTENDANCE_SUMMARY!G:G,MATCH(A191,ATTENDANCE_SUMMARY!A:A,0)),""))</f>
        <v/>
      </c>
      <c r="M191" s="4" t="str">
        <f t="shared" si="2"/>
        <v/>
      </c>
    </row>
    <row r="192" spans="1:13" x14ac:dyDescent="0.3">
      <c r="A192" t="str">
        <f>IF(MASTER_REGISTER!E192="","",MASTER_REGISTER!E192)</f>
        <v/>
      </c>
      <c r="B192" t="str">
        <f>IF(A192="","",MASTER_REGISTER!F192)</f>
        <v/>
      </c>
      <c r="C192" t="str">
        <f>IF(A192="","",MASTER_REGISTER!C192)</f>
        <v/>
      </c>
      <c r="D192" t="str">
        <f>IF(A192="","",COUNTIF(ASSESSMENTS!B:B,A192))</f>
        <v/>
      </c>
      <c r="E192" s="4" t="e">
        <f>IF(D192=0,"",ROUND(AVERAGEIF(ASSESSMENTS!B:B,A192,ASSESSMENTS!H:H),1))</f>
        <v>#DIV/0!</v>
      </c>
      <c r="F192" s="4" t="str">
        <f>IF(A192="","",IFERROR(ROUND(AVERAGEIFS(ASSESSMENTS!H:H,ASSESSMENTS!B:B,A192,ASSESSMENTS!E:E,"Mathematics"),1),""))</f>
        <v/>
      </c>
      <c r="G192" s="4" t="str">
        <f>IF(A192="","",IFERROR(ROUND(AVERAGEIFS(ASSESSMENTS!H:H,ASSESSMENTS!B:B,A192,ASSESSMENTS!E:E,"Mathematical Literacy"),1),""))</f>
        <v/>
      </c>
      <c r="H192" s="4" t="str">
        <f>IF(A192="","",IFERROR(ROUND(AVERAGEIFS(ASSESSMENTS!H:H,ASSESSMENTS!B:B,A192,ASSESSMENTS!E:E,"Physical Sciences"),1),""))</f>
        <v/>
      </c>
      <c r="I192" s="4" t="str">
        <f>IF(A192="","",IFERROR(ROUND(AVERAGEIFS(ASSESSMENTS!H:H,ASSESSMENTS!B:B,A192,ASSESSMENTS!E:E,"Geography"),1),""))</f>
        <v/>
      </c>
      <c r="J192" s="4" t="str">
        <f>IF(A192="","",IFERROR(ROUND(AVERAGEIFS(ASSESSMENTS!H:H,ASSESSMENTS!B:B,A192,ASSESSMENTS!E:E,"Accounting"),1),""))</f>
        <v/>
      </c>
      <c r="K192" s="4" t="str">
        <f>IF(A192="","",IFERROR(ROUND(AVERAGEIFS(ASSESSMENTS!H:H,ASSESSMENTS!B:B,A192,ASSESSMENTS!E:E,"English"),1),""))</f>
        <v/>
      </c>
      <c r="L192" s="5" t="str">
        <f>IF(A192="","",IFERROR(INDEX(ATTENDANCE_SUMMARY!G:G,MATCH(A192,ATTENDANCE_SUMMARY!A:A,0)),""))</f>
        <v/>
      </c>
      <c r="M192" s="4" t="str">
        <f t="shared" si="2"/>
        <v/>
      </c>
    </row>
    <row r="193" spans="1:13" x14ac:dyDescent="0.3">
      <c r="A193" t="str">
        <f>IF(MASTER_REGISTER!E193="","",MASTER_REGISTER!E193)</f>
        <v/>
      </c>
      <c r="B193" t="str">
        <f>IF(A193="","",MASTER_REGISTER!F193)</f>
        <v/>
      </c>
      <c r="C193" t="str">
        <f>IF(A193="","",MASTER_REGISTER!C193)</f>
        <v/>
      </c>
      <c r="D193" t="str">
        <f>IF(A193="","",COUNTIF(ASSESSMENTS!B:B,A193))</f>
        <v/>
      </c>
      <c r="E193" s="4" t="e">
        <f>IF(D193=0,"",ROUND(AVERAGEIF(ASSESSMENTS!B:B,A193,ASSESSMENTS!H:H),1))</f>
        <v>#DIV/0!</v>
      </c>
      <c r="F193" s="4" t="str">
        <f>IF(A193="","",IFERROR(ROUND(AVERAGEIFS(ASSESSMENTS!H:H,ASSESSMENTS!B:B,A193,ASSESSMENTS!E:E,"Mathematics"),1),""))</f>
        <v/>
      </c>
      <c r="G193" s="4" t="str">
        <f>IF(A193="","",IFERROR(ROUND(AVERAGEIFS(ASSESSMENTS!H:H,ASSESSMENTS!B:B,A193,ASSESSMENTS!E:E,"Mathematical Literacy"),1),""))</f>
        <v/>
      </c>
      <c r="H193" s="4" t="str">
        <f>IF(A193="","",IFERROR(ROUND(AVERAGEIFS(ASSESSMENTS!H:H,ASSESSMENTS!B:B,A193,ASSESSMENTS!E:E,"Physical Sciences"),1),""))</f>
        <v/>
      </c>
      <c r="I193" s="4" t="str">
        <f>IF(A193="","",IFERROR(ROUND(AVERAGEIFS(ASSESSMENTS!H:H,ASSESSMENTS!B:B,A193,ASSESSMENTS!E:E,"Geography"),1),""))</f>
        <v/>
      </c>
      <c r="J193" s="4" t="str">
        <f>IF(A193="","",IFERROR(ROUND(AVERAGEIFS(ASSESSMENTS!H:H,ASSESSMENTS!B:B,A193,ASSESSMENTS!E:E,"Accounting"),1),""))</f>
        <v/>
      </c>
      <c r="K193" s="4" t="str">
        <f>IF(A193="","",IFERROR(ROUND(AVERAGEIFS(ASSESSMENTS!H:H,ASSESSMENTS!B:B,A193,ASSESSMENTS!E:E,"English"),1),""))</f>
        <v/>
      </c>
      <c r="L193" s="5" t="str">
        <f>IF(A193="","",IFERROR(INDEX(ATTENDANCE_SUMMARY!G:G,MATCH(A193,ATTENDANCE_SUMMARY!A:A,0)),""))</f>
        <v/>
      </c>
      <c r="M193" s="4" t="str">
        <f t="shared" si="2"/>
        <v/>
      </c>
    </row>
    <row r="194" spans="1:13" x14ac:dyDescent="0.3">
      <c r="A194" t="str">
        <f>IF(MASTER_REGISTER!E194="","",MASTER_REGISTER!E194)</f>
        <v/>
      </c>
      <c r="B194" t="str">
        <f>IF(A194="","",MASTER_REGISTER!F194)</f>
        <v/>
      </c>
      <c r="C194" t="str">
        <f>IF(A194="","",MASTER_REGISTER!C194)</f>
        <v/>
      </c>
      <c r="D194" t="str">
        <f>IF(A194="","",COUNTIF(ASSESSMENTS!B:B,A194))</f>
        <v/>
      </c>
      <c r="E194" s="4" t="e">
        <f>IF(D194=0,"",ROUND(AVERAGEIF(ASSESSMENTS!B:B,A194,ASSESSMENTS!H:H),1))</f>
        <v>#DIV/0!</v>
      </c>
      <c r="F194" s="4" t="str">
        <f>IF(A194="","",IFERROR(ROUND(AVERAGEIFS(ASSESSMENTS!H:H,ASSESSMENTS!B:B,A194,ASSESSMENTS!E:E,"Mathematics"),1),""))</f>
        <v/>
      </c>
      <c r="G194" s="4" t="str">
        <f>IF(A194="","",IFERROR(ROUND(AVERAGEIFS(ASSESSMENTS!H:H,ASSESSMENTS!B:B,A194,ASSESSMENTS!E:E,"Mathematical Literacy"),1),""))</f>
        <v/>
      </c>
      <c r="H194" s="4" t="str">
        <f>IF(A194="","",IFERROR(ROUND(AVERAGEIFS(ASSESSMENTS!H:H,ASSESSMENTS!B:B,A194,ASSESSMENTS!E:E,"Physical Sciences"),1),""))</f>
        <v/>
      </c>
      <c r="I194" s="4" t="str">
        <f>IF(A194="","",IFERROR(ROUND(AVERAGEIFS(ASSESSMENTS!H:H,ASSESSMENTS!B:B,A194,ASSESSMENTS!E:E,"Geography"),1),""))</f>
        <v/>
      </c>
      <c r="J194" s="4" t="str">
        <f>IF(A194="","",IFERROR(ROUND(AVERAGEIFS(ASSESSMENTS!H:H,ASSESSMENTS!B:B,A194,ASSESSMENTS!E:E,"Accounting"),1),""))</f>
        <v/>
      </c>
      <c r="K194" s="4" t="str">
        <f>IF(A194="","",IFERROR(ROUND(AVERAGEIFS(ASSESSMENTS!H:H,ASSESSMENTS!B:B,A194,ASSESSMENTS!E:E,"English"),1),""))</f>
        <v/>
      </c>
      <c r="L194" s="5" t="str">
        <f>IF(A194="","",IFERROR(INDEX(ATTENDANCE_SUMMARY!G:G,MATCH(A194,ATTENDANCE_SUMMARY!A:A,0)),""))</f>
        <v/>
      </c>
      <c r="M194" s="4" t="str">
        <f t="shared" ref="M194:M257" si="3">IF(A194="","",IF(OR(E194&lt;50,AND(L194&lt;0.75,L194&lt;&gt;"" )),"At Risk","On Track"))</f>
        <v/>
      </c>
    </row>
    <row r="195" spans="1:13" x14ac:dyDescent="0.3">
      <c r="A195" t="str">
        <f>IF(MASTER_REGISTER!E195="","",MASTER_REGISTER!E195)</f>
        <v/>
      </c>
      <c r="B195" t="str">
        <f>IF(A195="","",MASTER_REGISTER!F195)</f>
        <v/>
      </c>
      <c r="C195" t="str">
        <f>IF(A195="","",MASTER_REGISTER!C195)</f>
        <v/>
      </c>
      <c r="D195" t="str">
        <f>IF(A195="","",COUNTIF(ASSESSMENTS!B:B,A195))</f>
        <v/>
      </c>
      <c r="E195" s="4" t="e">
        <f>IF(D195=0,"",ROUND(AVERAGEIF(ASSESSMENTS!B:B,A195,ASSESSMENTS!H:H),1))</f>
        <v>#DIV/0!</v>
      </c>
      <c r="F195" s="4" t="str">
        <f>IF(A195="","",IFERROR(ROUND(AVERAGEIFS(ASSESSMENTS!H:H,ASSESSMENTS!B:B,A195,ASSESSMENTS!E:E,"Mathematics"),1),""))</f>
        <v/>
      </c>
      <c r="G195" s="4" t="str">
        <f>IF(A195="","",IFERROR(ROUND(AVERAGEIFS(ASSESSMENTS!H:H,ASSESSMENTS!B:B,A195,ASSESSMENTS!E:E,"Mathematical Literacy"),1),""))</f>
        <v/>
      </c>
      <c r="H195" s="4" t="str">
        <f>IF(A195="","",IFERROR(ROUND(AVERAGEIFS(ASSESSMENTS!H:H,ASSESSMENTS!B:B,A195,ASSESSMENTS!E:E,"Physical Sciences"),1),""))</f>
        <v/>
      </c>
      <c r="I195" s="4" t="str">
        <f>IF(A195="","",IFERROR(ROUND(AVERAGEIFS(ASSESSMENTS!H:H,ASSESSMENTS!B:B,A195,ASSESSMENTS!E:E,"Geography"),1),""))</f>
        <v/>
      </c>
      <c r="J195" s="4" t="str">
        <f>IF(A195="","",IFERROR(ROUND(AVERAGEIFS(ASSESSMENTS!H:H,ASSESSMENTS!B:B,A195,ASSESSMENTS!E:E,"Accounting"),1),""))</f>
        <v/>
      </c>
      <c r="K195" s="4" t="str">
        <f>IF(A195="","",IFERROR(ROUND(AVERAGEIFS(ASSESSMENTS!H:H,ASSESSMENTS!B:B,A195,ASSESSMENTS!E:E,"English"),1),""))</f>
        <v/>
      </c>
      <c r="L195" s="5" t="str">
        <f>IF(A195="","",IFERROR(INDEX(ATTENDANCE_SUMMARY!G:G,MATCH(A195,ATTENDANCE_SUMMARY!A:A,0)),""))</f>
        <v/>
      </c>
      <c r="M195" s="4" t="str">
        <f t="shared" si="3"/>
        <v/>
      </c>
    </row>
    <row r="196" spans="1:13" x14ac:dyDescent="0.3">
      <c r="A196" t="str">
        <f>IF(MASTER_REGISTER!E196="","",MASTER_REGISTER!E196)</f>
        <v/>
      </c>
      <c r="B196" t="str">
        <f>IF(A196="","",MASTER_REGISTER!F196)</f>
        <v/>
      </c>
      <c r="C196" t="str">
        <f>IF(A196="","",MASTER_REGISTER!C196)</f>
        <v/>
      </c>
      <c r="D196" t="str">
        <f>IF(A196="","",COUNTIF(ASSESSMENTS!B:B,A196))</f>
        <v/>
      </c>
      <c r="E196" s="4" t="e">
        <f>IF(D196=0,"",ROUND(AVERAGEIF(ASSESSMENTS!B:B,A196,ASSESSMENTS!H:H),1))</f>
        <v>#DIV/0!</v>
      </c>
      <c r="F196" s="4" t="str">
        <f>IF(A196="","",IFERROR(ROUND(AVERAGEIFS(ASSESSMENTS!H:H,ASSESSMENTS!B:B,A196,ASSESSMENTS!E:E,"Mathematics"),1),""))</f>
        <v/>
      </c>
      <c r="G196" s="4" t="str">
        <f>IF(A196="","",IFERROR(ROUND(AVERAGEIFS(ASSESSMENTS!H:H,ASSESSMENTS!B:B,A196,ASSESSMENTS!E:E,"Mathematical Literacy"),1),""))</f>
        <v/>
      </c>
      <c r="H196" s="4" t="str">
        <f>IF(A196="","",IFERROR(ROUND(AVERAGEIFS(ASSESSMENTS!H:H,ASSESSMENTS!B:B,A196,ASSESSMENTS!E:E,"Physical Sciences"),1),""))</f>
        <v/>
      </c>
      <c r="I196" s="4" t="str">
        <f>IF(A196="","",IFERROR(ROUND(AVERAGEIFS(ASSESSMENTS!H:H,ASSESSMENTS!B:B,A196,ASSESSMENTS!E:E,"Geography"),1),""))</f>
        <v/>
      </c>
      <c r="J196" s="4" t="str">
        <f>IF(A196="","",IFERROR(ROUND(AVERAGEIFS(ASSESSMENTS!H:H,ASSESSMENTS!B:B,A196,ASSESSMENTS!E:E,"Accounting"),1),""))</f>
        <v/>
      </c>
      <c r="K196" s="4" t="str">
        <f>IF(A196="","",IFERROR(ROUND(AVERAGEIFS(ASSESSMENTS!H:H,ASSESSMENTS!B:B,A196,ASSESSMENTS!E:E,"English"),1),""))</f>
        <v/>
      </c>
      <c r="L196" s="5" t="str">
        <f>IF(A196="","",IFERROR(INDEX(ATTENDANCE_SUMMARY!G:G,MATCH(A196,ATTENDANCE_SUMMARY!A:A,0)),""))</f>
        <v/>
      </c>
      <c r="M196" s="4" t="str">
        <f t="shared" si="3"/>
        <v/>
      </c>
    </row>
    <row r="197" spans="1:13" x14ac:dyDescent="0.3">
      <c r="A197" t="str">
        <f>IF(MASTER_REGISTER!E197="","",MASTER_REGISTER!E197)</f>
        <v/>
      </c>
      <c r="B197" t="str">
        <f>IF(A197="","",MASTER_REGISTER!F197)</f>
        <v/>
      </c>
      <c r="C197" t="str">
        <f>IF(A197="","",MASTER_REGISTER!C197)</f>
        <v/>
      </c>
      <c r="D197" t="str">
        <f>IF(A197="","",COUNTIF(ASSESSMENTS!B:B,A197))</f>
        <v/>
      </c>
      <c r="E197" s="4" t="e">
        <f>IF(D197=0,"",ROUND(AVERAGEIF(ASSESSMENTS!B:B,A197,ASSESSMENTS!H:H),1))</f>
        <v>#DIV/0!</v>
      </c>
      <c r="F197" s="4" t="str">
        <f>IF(A197="","",IFERROR(ROUND(AVERAGEIFS(ASSESSMENTS!H:H,ASSESSMENTS!B:B,A197,ASSESSMENTS!E:E,"Mathematics"),1),""))</f>
        <v/>
      </c>
      <c r="G197" s="4" t="str">
        <f>IF(A197="","",IFERROR(ROUND(AVERAGEIFS(ASSESSMENTS!H:H,ASSESSMENTS!B:B,A197,ASSESSMENTS!E:E,"Mathematical Literacy"),1),""))</f>
        <v/>
      </c>
      <c r="H197" s="4" t="str">
        <f>IF(A197="","",IFERROR(ROUND(AVERAGEIFS(ASSESSMENTS!H:H,ASSESSMENTS!B:B,A197,ASSESSMENTS!E:E,"Physical Sciences"),1),""))</f>
        <v/>
      </c>
      <c r="I197" s="4" t="str">
        <f>IF(A197="","",IFERROR(ROUND(AVERAGEIFS(ASSESSMENTS!H:H,ASSESSMENTS!B:B,A197,ASSESSMENTS!E:E,"Geography"),1),""))</f>
        <v/>
      </c>
      <c r="J197" s="4" t="str">
        <f>IF(A197="","",IFERROR(ROUND(AVERAGEIFS(ASSESSMENTS!H:H,ASSESSMENTS!B:B,A197,ASSESSMENTS!E:E,"Accounting"),1),""))</f>
        <v/>
      </c>
      <c r="K197" s="4" t="str">
        <f>IF(A197="","",IFERROR(ROUND(AVERAGEIFS(ASSESSMENTS!H:H,ASSESSMENTS!B:B,A197,ASSESSMENTS!E:E,"English"),1),""))</f>
        <v/>
      </c>
      <c r="L197" s="5" t="str">
        <f>IF(A197="","",IFERROR(INDEX(ATTENDANCE_SUMMARY!G:G,MATCH(A197,ATTENDANCE_SUMMARY!A:A,0)),""))</f>
        <v/>
      </c>
      <c r="M197" s="4" t="str">
        <f t="shared" si="3"/>
        <v/>
      </c>
    </row>
    <row r="198" spans="1:13" x14ac:dyDescent="0.3">
      <c r="A198" t="str">
        <f>IF(MASTER_REGISTER!E198="","",MASTER_REGISTER!E198)</f>
        <v/>
      </c>
      <c r="B198" t="str">
        <f>IF(A198="","",MASTER_REGISTER!F198)</f>
        <v/>
      </c>
      <c r="C198" t="str">
        <f>IF(A198="","",MASTER_REGISTER!C198)</f>
        <v/>
      </c>
      <c r="D198" t="str">
        <f>IF(A198="","",COUNTIF(ASSESSMENTS!B:B,A198))</f>
        <v/>
      </c>
      <c r="E198" s="4" t="e">
        <f>IF(D198=0,"",ROUND(AVERAGEIF(ASSESSMENTS!B:B,A198,ASSESSMENTS!H:H),1))</f>
        <v>#DIV/0!</v>
      </c>
      <c r="F198" s="4" t="str">
        <f>IF(A198="","",IFERROR(ROUND(AVERAGEIFS(ASSESSMENTS!H:H,ASSESSMENTS!B:B,A198,ASSESSMENTS!E:E,"Mathematics"),1),""))</f>
        <v/>
      </c>
      <c r="G198" s="4" t="str">
        <f>IF(A198="","",IFERROR(ROUND(AVERAGEIFS(ASSESSMENTS!H:H,ASSESSMENTS!B:B,A198,ASSESSMENTS!E:E,"Mathematical Literacy"),1),""))</f>
        <v/>
      </c>
      <c r="H198" s="4" t="str">
        <f>IF(A198="","",IFERROR(ROUND(AVERAGEIFS(ASSESSMENTS!H:H,ASSESSMENTS!B:B,A198,ASSESSMENTS!E:E,"Physical Sciences"),1),""))</f>
        <v/>
      </c>
      <c r="I198" s="4" t="str">
        <f>IF(A198="","",IFERROR(ROUND(AVERAGEIFS(ASSESSMENTS!H:H,ASSESSMENTS!B:B,A198,ASSESSMENTS!E:E,"Geography"),1),""))</f>
        <v/>
      </c>
      <c r="J198" s="4" t="str">
        <f>IF(A198="","",IFERROR(ROUND(AVERAGEIFS(ASSESSMENTS!H:H,ASSESSMENTS!B:B,A198,ASSESSMENTS!E:E,"Accounting"),1),""))</f>
        <v/>
      </c>
      <c r="K198" s="4" t="str">
        <f>IF(A198="","",IFERROR(ROUND(AVERAGEIFS(ASSESSMENTS!H:H,ASSESSMENTS!B:B,A198,ASSESSMENTS!E:E,"English"),1),""))</f>
        <v/>
      </c>
      <c r="L198" s="5" t="str">
        <f>IF(A198="","",IFERROR(INDEX(ATTENDANCE_SUMMARY!G:G,MATCH(A198,ATTENDANCE_SUMMARY!A:A,0)),""))</f>
        <v/>
      </c>
      <c r="M198" s="4" t="str">
        <f t="shared" si="3"/>
        <v/>
      </c>
    </row>
    <row r="199" spans="1:13" x14ac:dyDescent="0.3">
      <c r="A199" t="str">
        <f>IF(MASTER_REGISTER!E199="","",MASTER_REGISTER!E199)</f>
        <v/>
      </c>
      <c r="B199" t="str">
        <f>IF(A199="","",MASTER_REGISTER!F199)</f>
        <v/>
      </c>
      <c r="C199" t="str">
        <f>IF(A199="","",MASTER_REGISTER!C199)</f>
        <v/>
      </c>
      <c r="D199" t="str">
        <f>IF(A199="","",COUNTIF(ASSESSMENTS!B:B,A199))</f>
        <v/>
      </c>
      <c r="E199" s="4" t="e">
        <f>IF(D199=0,"",ROUND(AVERAGEIF(ASSESSMENTS!B:B,A199,ASSESSMENTS!H:H),1))</f>
        <v>#DIV/0!</v>
      </c>
      <c r="F199" s="4" t="str">
        <f>IF(A199="","",IFERROR(ROUND(AVERAGEIFS(ASSESSMENTS!H:H,ASSESSMENTS!B:B,A199,ASSESSMENTS!E:E,"Mathematics"),1),""))</f>
        <v/>
      </c>
      <c r="G199" s="4" t="str">
        <f>IF(A199="","",IFERROR(ROUND(AVERAGEIFS(ASSESSMENTS!H:H,ASSESSMENTS!B:B,A199,ASSESSMENTS!E:E,"Mathematical Literacy"),1),""))</f>
        <v/>
      </c>
      <c r="H199" s="4" t="str">
        <f>IF(A199="","",IFERROR(ROUND(AVERAGEIFS(ASSESSMENTS!H:H,ASSESSMENTS!B:B,A199,ASSESSMENTS!E:E,"Physical Sciences"),1),""))</f>
        <v/>
      </c>
      <c r="I199" s="4" t="str">
        <f>IF(A199="","",IFERROR(ROUND(AVERAGEIFS(ASSESSMENTS!H:H,ASSESSMENTS!B:B,A199,ASSESSMENTS!E:E,"Geography"),1),""))</f>
        <v/>
      </c>
      <c r="J199" s="4" t="str">
        <f>IF(A199="","",IFERROR(ROUND(AVERAGEIFS(ASSESSMENTS!H:H,ASSESSMENTS!B:B,A199,ASSESSMENTS!E:E,"Accounting"),1),""))</f>
        <v/>
      </c>
      <c r="K199" s="4" t="str">
        <f>IF(A199="","",IFERROR(ROUND(AVERAGEIFS(ASSESSMENTS!H:H,ASSESSMENTS!B:B,A199,ASSESSMENTS!E:E,"English"),1),""))</f>
        <v/>
      </c>
      <c r="L199" s="5" t="str">
        <f>IF(A199="","",IFERROR(INDEX(ATTENDANCE_SUMMARY!G:G,MATCH(A199,ATTENDANCE_SUMMARY!A:A,0)),""))</f>
        <v/>
      </c>
      <c r="M199" s="4" t="str">
        <f t="shared" si="3"/>
        <v/>
      </c>
    </row>
    <row r="200" spans="1:13" x14ac:dyDescent="0.3">
      <c r="A200" t="str">
        <f>IF(MASTER_REGISTER!E200="","",MASTER_REGISTER!E200)</f>
        <v/>
      </c>
      <c r="B200" t="str">
        <f>IF(A200="","",MASTER_REGISTER!F200)</f>
        <v/>
      </c>
      <c r="C200" t="str">
        <f>IF(A200="","",MASTER_REGISTER!C200)</f>
        <v/>
      </c>
      <c r="D200" t="str">
        <f>IF(A200="","",COUNTIF(ASSESSMENTS!B:B,A200))</f>
        <v/>
      </c>
      <c r="E200" s="4" t="e">
        <f>IF(D200=0,"",ROUND(AVERAGEIF(ASSESSMENTS!B:B,A200,ASSESSMENTS!H:H),1))</f>
        <v>#DIV/0!</v>
      </c>
      <c r="F200" s="4" t="str">
        <f>IF(A200="","",IFERROR(ROUND(AVERAGEIFS(ASSESSMENTS!H:H,ASSESSMENTS!B:B,A200,ASSESSMENTS!E:E,"Mathematics"),1),""))</f>
        <v/>
      </c>
      <c r="G200" s="4" t="str">
        <f>IF(A200="","",IFERROR(ROUND(AVERAGEIFS(ASSESSMENTS!H:H,ASSESSMENTS!B:B,A200,ASSESSMENTS!E:E,"Mathematical Literacy"),1),""))</f>
        <v/>
      </c>
      <c r="H200" s="4" t="str">
        <f>IF(A200="","",IFERROR(ROUND(AVERAGEIFS(ASSESSMENTS!H:H,ASSESSMENTS!B:B,A200,ASSESSMENTS!E:E,"Physical Sciences"),1),""))</f>
        <v/>
      </c>
      <c r="I200" s="4" t="str">
        <f>IF(A200="","",IFERROR(ROUND(AVERAGEIFS(ASSESSMENTS!H:H,ASSESSMENTS!B:B,A200,ASSESSMENTS!E:E,"Geography"),1),""))</f>
        <v/>
      </c>
      <c r="J200" s="4" t="str">
        <f>IF(A200="","",IFERROR(ROUND(AVERAGEIFS(ASSESSMENTS!H:H,ASSESSMENTS!B:B,A200,ASSESSMENTS!E:E,"Accounting"),1),""))</f>
        <v/>
      </c>
      <c r="K200" s="4" t="str">
        <f>IF(A200="","",IFERROR(ROUND(AVERAGEIFS(ASSESSMENTS!H:H,ASSESSMENTS!B:B,A200,ASSESSMENTS!E:E,"English"),1),""))</f>
        <v/>
      </c>
      <c r="L200" s="5" t="str">
        <f>IF(A200="","",IFERROR(INDEX(ATTENDANCE_SUMMARY!G:G,MATCH(A200,ATTENDANCE_SUMMARY!A:A,0)),""))</f>
        <v/>
      </c>
      <c r="M200" s="4" t="str">
        <f t="shared" si="3"/>
        <v/>
      </c>
    </row>
    <row r="201" spans="1:13" x14ac:dyDescent="0.3">
      <c r="A201" t="str">
        <f>IF(MASTER_REGISTER!E201="","",MASTER_REGISTER!E201)</f>
        <v/>
      </c>
      <c r="B201" t="str">
        <f>IF(A201="","",MASTER_REGISTER!F201)</f>
        <v/>
      </c>
      <c r="C201" t="str">
        <f>IF(A201="","",MASTER_REGISTER!C201)</f>
        <v/>
      </c>
      <c r="D201" t="str">
        <f>IF(A201="","",COUNTIF(ASSESSMENTS!B:B,A201))</f>
        <v/>
      </c>
      <c r="E201" s="4" t="e">
        <f>IF(D201=0,"",ROUND(AVERAGEIF(ASSESSMENTS!B:B,A201,ASSESSMENTS!H:H),1))</f>
        <v>#DIV/0!</v>
      </c>
      <c r="F201" s="4" t="str">
        <f>IF(A201="","",IFERROR(ROUND(AVERAGEIFS(ASSESSMENTS!H:H,ASSESSMENTS!B:B,A201,ASSESSMENTS!E:E,"Mathematics"),1),""))</f>
        <v/>
      </c>
      <c r="G201" s="4" t="str">
        <f>IF(A201="","",IFERROR(ROUND(AVERAGEIFS(ASSESSMENTS!H:H,ASSESSMENTS!B:B,A201,ASSESSMENTS!E:E,"Mathematical Literacy"),1),""))</f>
        <v/>
      </c>
      <c r="H201" s="4" t="str">
        <f>IF(A201="","",IFERROR(ROUND(AVERAGEIFS(ASSESSMENTS!H:H,ASSESSMENTS!B:B,A201,ASSESSMENTS!E:E,"Physical Sciences"),1),""))</f>
        <v/>
      </c>
      <c r="I201" s="4" t="str">
        <f>IF(A201="","",IFERROR(ROUND(AVERAGEIFS(ASSESSMENTS!H:H,ASSESSMENTS!B:B,A201,ASSESSMENTS!E:E,"Geography"),1),""))</f>
        <v/>
      </c>
      <c r="J201" s="4" t="str">
        <f>IF(A201="","",IFERROR(ROUND(AVERAGEIFS(ASSESSMENTS!H:H,ASSESSMENTS!B:B,A201,ASSESSMENTS!E:E,"Accounting"),1),""))</f>
        <v/>
      </c>
      <c r="K201" s="4" t="str">
        <f>IF(A201="","",IFERROR(ROUND(AVERAGEIFS(ASSESSMENTS!H:H,ASSESSMENTS!B:B,A201,ASSESSMENTS!E:E,"English"),1),""))</f>
        <v/>
      </c>
      <c r="L201" s="5" t="str">
        <f>IF(A201="","",IFERROR(INDEX(ATTENDANCE_SUMMARY!G:G,MATCH(A201,ATTENDANCE_SUMMARY!A:A,0)),""))</f>
        <v/>
      </c>
      <c r="M201" s="4" t="str">
        <f t="shared" si="3"/>
        <v/>
      </c>
    </row>
    <row r="202" spans="1:13" x14ac:dyDescent="0.3">
      <c r="A202" t="str">
        <f>IF(MASTER_REGISTER!E202="","",MASTER_REGISTER!E202)</f>
        <v/>
      </c>
      <c r="B202" t="str">
        <f>IF(A202="","",MASTER_REGISTER!F202)</f>
        <v/>
      </c>
      <c r="C202" t="str">
        <f>IF(A202="","",MASTER_REGISTER!C202)</f>
        <v/>
      </c>
      <c r="D202" t="str">
        <f>IF(A202="","",COUNTIF(ASSESSMENTS!B:B,A202))</f>
        <v/>
      </c>
      <c r="E202" s="4" t="e">
        <f>IF(D202=0,"",ROUND(AVERAGEIF(ASSESSMENTS!B:B,A202,ASSESSMENTS!H:H),1))</f>
        <v>#DIV/0!</v>
      </c>
      <c r="F202" s="4" t="str">
        <f>IF(A202="","",IFERROR(ROUND(AVERAGEIFS(ASSESSMENTS!H:H,ASSESSMENTS!B:B,A202,ASSESSMENTS!E:E,"Mathematics"),1),""))</f>
        <v/>
      </c>
      <c r="G202" s="4" t="str">
        <f>IF(A202="","",IFERROR(ROUND(AVERAGEIFS(ASSESSMENTS!H:H,ASSESSMENTS!B:B,A202,ASSESSMENTS!E:E,"Mathematical Literacy"),1),""))</f>
        <v/>
      </c>
      <c r="H202" s="4" t="str">
        <f>IF(A202="","",IFERROR(ROUND(AVERAGEIFS(ASSESSMENTS!H:H,ASSESSMENTS!B:B,A202,ASSESSMENTS!E:E,"Physical Sciences"),1),""))</f>
        <v/>
      </c>
      <c r="I202" s="4" t="str">
        <f>IF(A202="","",IFERROR(ROUND(AVERAGEIFS(ASSESSMENTS!H:H,ASSESSMENTS!B:B,A202,ASSESSMENTS!E:E,"Geography"),1),""))</f>
        <v/>
      </c>
      <c r="J202" s="4" t="str">
        <f>IF(A202="","",IFERROR(ROUND(AVERAGEIFS(ASSESSMENTS!H:H,ASSESSMENTS!B:B,A202,ASSESSMENTS!E:E,"Accounting"),1),""))</f>
        <v/>
      </c>
      <c r="K202" s="4" t="str">
        <f>IF(A202="","",IFERROR(ROUND(AVERAGEIFS(ASSESSMENTS!H:H,ASSESSMENTS!B:B,A202,ASSESSMENTS!E:E,"English"),1),""))</f>
        <v/>
      </c>
      <c r="L202" s="5" t="str">
        <f>IF(A202="","",IFERROR(INDEX(ATTENDANCE_SUMMARY!G:G,MATCH(A202,ATTENDANCE_SUMMARY!A:A,0)),""))</f>
        <v/>
      </c>
      <c r="M202" s="4" t="str">
        <f t="shared" si="3"/>
        <v/>
      </c>
    </row>
    <row r="203" spans="1:13" x14ac:dyDescent="0.3">
      <c r="A203" t="str">
        <f>IF(MASTER_REGISTER!E203="","",MASTER_REGISTER!E203)</f>
        <v/>
      </c>
      <c r="B203" t="str">
        <f>IF(A203="","",MASTER_REGISTER!F203)</f>
        <v/>
      </c>
      <c r="C203" t="str">
        <f>IF(A203="","",MASTER_REGISTER!C203)</f>
        <v/>
      </c>
      <c r="D203" t="str">
        <f>IF(A203="","",COUNTIF(ASSESSMENTS!B:B,A203))</f>
        <v/>
      </c>
      <c r="E203" s="4" t="e">
        <f>IF(D203=0,"",ROUND(AVERAGEIF(ASSESSMENTS!B:B,A203,ASSESSMENTS!H:H),1))</f>
        <v>#DIV/0!</v>
      </c>
      <c r="F203" s="4" t="str">
        <f>IF(A203="","",IFERROR(ROUND(AVERAGEIFS(ASSESSMENTS!H:H,ASSESSMENTS!B:B,A203,ASSESSMENTS!E:E,"Mathematics"),1),""))</f>
        <v/>
      </c>
      <c r="G203" s="4" t="str">
        <f>IF(A203="","",IFERROR(ROUND(AVERAGEIFS(ASSESSMENTS!H:H,ASSESSMENTS!B:B,A203,ASSESSMENTS!E:E,"Mathematical Literacy"),1),""))</f>
        <v/>
      </c>
      <c r="H203" s="4" t="str">
        <f>IF(A203="","",IFERROR(ROUND(AVERAGEIFS(ASSESSMENTS!H:H,ASSESSMENTS!B:B,A203,ASSESSMENTS!E:E,"Physical Sciences"),1),""))</f>
        <v/>
      </c>
      <c r="I203" s="4" t="str">
        <f>IF(A203="","",IFERROR(ROUND(AVERAGEIFS(ASSESSMENTS!H:H,ASSESSMENTS!B:B,A203,ASSESSMENTS!E:E,"Geography"),1),""))</f>
        <v/>
      </c>
      <c r="J203" s="4" t="str">
        <f>IF(A203="","",IFERROR(ROUND(AVERAGEIFS(ASSESSMENTS!H:H,ASSESSMENTS!B:B,A203,ASSESSMENTS!E:E,"Accounting"),1),""))</f>
        <v/>
      </c>
      <c r="K203" s="4" t="str">
        <f>IF(A203="","",IFERROR(ROUND(AVERAGEIFS(ASSESSMENTS!H:H,ASSESSMENTS!B:B,A203,ASSESSMENTS!E:E,"English"),1),""))</f>
        <v/>
      </c>
      <c r="L203" s="5" t="str">
        <f>IF(A203="","",IFERROR(INDEX(ATTENDANCE_SUMMARY!G:G,MATCH(A203,ATTENDANCE_SUMMARY!A:A,0)),""))</f>
        <v/>
      </c>
      <c r="M203" s="4" t="str">
        <f t="shared" si="3"/>
        <v/>
      </c>
    </row>
    <row r="204" spans="1:13" x14ac:dyDescent="0.3">
      <c r="A204" t="str">
        <f>IF(MASTER_REGISTER!E204="","",MASTER_REGISTER!E204)</f>
        <v/>
      </c>
      <c r="B204" t="str">
        <f>IF(A204="","",MASTER_REGISTER!F204)</f>
        <v/>
      </c>
      <c r="C204" t="str">
        <f>IF(A204="","",MASTER_REGISTER!C204)</f>
        <v/>
      </c>
      <c r="D204" t="str">
        <f>IF(A204="","",COUNTIF(ASSESSMENTS!B:B,A204))</f>
        <v/>
      </c>
      <c r="E204" s="4" t="e">
        <f>IF(D204=0,"",ROUND(AVERAGEIF(ASSESSMENTS!B:B,A204,ASSESSMENTS!H:H),1))</f>
        <v>#DIV/0!</v>
      </c>
      <c r="F204" s="4" t="str">
        <f>IF(A204="","",IFERROR(ROUND(AVERAGEIFS(ASSESSMENTS!H:H,ASSESSMENTS!B:B,A204,ASSESSMENTS!E:E,"Mathematics"),1),""))</f>
        <v/>
      </c>
      <c r="G204" s="4" t="str">
        <f>IF(A204="","",IFERROR(ROUND(AVERAGEIFS(ASSESSMENTS!H:H,ASSESSMENTS!B:B,A204,ASSESSMENTS!E:E,"Mathematical Literacy"),1),""))</f>
        <v/>
      </c>
      <c r="H204" s="4" t="str">
        <f>IF(A204="","",IFERROR(ROUND(AVERAGEIFS(ASSESSMENTS!H:H,ASSESSMENTS!B:B,A204,ASSESSMENTS!E:E,"Physical Sciences"),1),""))</f>
        <v/>
      </c>
      <c r="I204" s="4" t="str">
        <f>IF(A204="","",IFERROR(ROUND(AVERAGEIFS(ASSESSMENTS!H:H,ASSESSMENTS!B:B,A204,ASSESSMENTS!E:E,"Geography"),1),""))</f>
        <v/>
      </c>
      <c r="J204" s="4" t="str">
        <f>IF(A204="","",IFERROR(ROUND(AVERAGEIFS(ASSESSMENTS!H:H,ASSESSMENTS!B:B,A204,ASSESSMENTS!E:E,"Accounting"),1),""))</f>
        <v/>
      </c>
      <c r="K204" s="4" t="str">
        <f>IF(A204="","",IFERROR(ROUND(AVERAGEIFS(ASSESSMENTS!H:H,ASSESSMENTS!B:B,A204,ASSESSMENTS!E:E,"English"),1),""))</f>
        <v/>
      </c>
      <c r="L204" s="5" t="str">
        <f>IF(A204="","",IFERROR(INDEX(ATTENDANCE_SUMMARY!G:G,MATCH(A204,ATTENDANCE_SUMMARY!A:A,0)),""))</f>
        <v/>
      </c>
      <c r="M204" s="4" t="str">
        <f t="shared" si="3"/>
        <v/>
      </c>
    </row>
    <row r="205" spans="1:13" x14ac:dyDescent="0.3">
      <c r="A205" t="str">
        <f>IF(MASTER_REGISTER!E205="","",MASTER_REGISTER!E205)</f>
        <v/>
      </c>
      <c r="B205" t="str">
        <f>IF(A205="","",MASTER_REGISTER!F205)</f>
        <v/>
      </c>
      <c r="C205" t="str">
        <f>IF(A205="","",MASTER_REGISTER!C205)</f>
        <v/>
      </c>
      <c r="D205" t="str">
        <f>IF(A205="","",COUNTIF(ASSESSMENTS!B:B,A205))</f>
        <v/>
      </c>
      <c r="E205" s="4" t="e">
        <f>IF(D205=0,"",ROUND(AVERAGEIF(ASSESSMENTS!B:B,A205,ASSESSMENTS!H:H),1))</f>
        <v>#DIV/0!</v>
      </c>
      <c r="F205" s="4" t="str">
        <f>IF(A205="","",IFERROR(ROUND(AVERAGEIFS(ASSESSMENTS!H:H,ASSESSMENTS!B:B,A205,ASSESSMENTS!E:E,"Mathematics"),1),""))</f>
        <v/>
      </c>
      <c r="G205" s="4" t="str">
        <f>IF(A205="","",IFERROR(ROUND(AVERAGEIFS(ASSESSMENTS!H:H,ASSESSMENTS!B:B,A205,ASSESSMENTS!E:E,"Mathematical Literacy"),1),""))</f>
        <v/>
      </c>
      <c r="H205" s="4" t="str">
        <f>IF(A205="","",IFERROR(ROUND(AVERAGEIFS(ASSESSMENTS!H:H,ASSESSMENTS!B:B,A205,ASSESSMENTS!E:E,"Physical Sciences"),1),""))</f>
        <v/>
      </c>
      <c r="I205" s="4" t="str">
        <f>IF(A205="","",IFERROR(ROUND(AVERAGEIFS(ASSESSMENTS!H:H,ASSESSMENTS!B:B,A205,ASSESSMENTS!E:E,"Geography"),1),""))</f>
        <v/>
      </c>
      <c r="J205" s="4" t="str">
        <f>IF(A205="","",IFERROR(ROUND(AVERAGEIFS(ASSESSMENTS!H:H,ASSESSMENTS!B:B,A205,ASSESSMENTS!E:E,"Accounting"),1),""))</f>
        <v/>
      </c>
      <c r="K205" s="4" t="str">
        <f>IF(A205="","",IFERROR(ROUND(AVERAGEIFS(ASSESSMENTS!H:H,ASSESSMENTS!B:B,A205,ASSESSMENTS!E:E,"English"),1),""))</f>
        <v/>
      </c>
      <c r="L205" s="5" t="str">
        <f>IF(A205="","",IFERROR(INDEX(ATTENDANCE_SUMMARY!G:G,MATCH(A205,ATTENDANCE_SUMMARY!A:A,0)),""))</f>
        <v/>
      </c>
      <c r="M205" s="4" t="str">
        <f t="shared" si="3"/>
        <v/>
      </c>
    </row>
    <row r="206" spans="1:13" x14ac:dyDescent="0.3">
      <c r="A206" t="str">
        <f>IF(MASTER_REGISTER!E206="","",MASTER_REGISTER!E206)</f>
        <v/>
      </c>
      <c r="B206" t="str">
        <f>IF(A206="","",MASTER_REGISTER!F206)</f>
        <v/>
      </c>
      <c r="C206" t="str">
        <f>IF(A206="","",MASTER_REGISTER!C206)</f>
        <v/>
      </c>
      <c r="D206" t="str">
        <f>IF(A206="","",COUNTIF(ASSESSMENTS!B:B,A206))</f>
        <v/>
      </c>
      <c r="E206" s="4" t="e">
        <f>IF(D206=0,"",ROUND(AVERAGEIF(ASSESSMENTS!B:B,A206,ASSESSMENTS!H:H),1))</f>
        <v>#DIV/0!</v>
      </c>
      <c r="F206" s="4" t="str">
        <f>IF(A206="","",IFERROR(ROUND(AVERAGEIFS(ASSESSMENTS!H:H,ASSESSMENTS!B:B,A206,ASSESSMENTS!E:E,"Mathematics"),1),""))</f>
        <v/>
      </c>
      <c r="G206" s="4" t="str">
        <f>IF(A206="","",IFERROR(ROUND(AVERAGEIFS(ASSESSMENTS!H:H,ASSESSMENTS!B:B,A206,ASSESSMENTS!E:E,"Mathematical Literacy"),1),""))</f>
        <v/>
      </c>
      <c r="H206" s="4" t="str">
        <f>IF(A206="","",IFERROR(ROUND(AVERAGEIFS(ASSESSMENTS!H:H,ASSESSMENTS!B:B,A206,ASSESSMENTS!E:E,"Physical Sciences"),1),""))</f>
        <v/>
      </c>
      <c r="I206" s="4" t="str">
        <f>IF(A206="","",IFERROR(ROUND(AVERAGEIFS(ASSESSMENTS!H:H,ASSESSMENTS!B:B,A206,ASSESSMENTS!E:E,"Geography"),1),""))</f>
        <v/>
      </c>
      <c r="J206" s="4" t="str">
        <f>IF(A206="","",IFERROR(ROUND(AVERAGEIFS(ASSESSMENTS!H:H,ASSESSMENTS!B:B,A206,ASSESSMENTS!E:E,"Accounting"),1),""))</f>
        <v/>
      </c>
      <c r="K206" s="4" t="str">
        <f>IF(A206="","",IFERROR(ROUND(AVERAGEIFS(ASSESSMENTS!H:H,ASSESSMENTS!B:B,A206,ASSESSMENTS!E:E,"English"),1),""))</f>
        <v/>
      </c>
      <c r="L206" s="5" t="str">
        <f>IF(A206="","",IFERROR(INDEX(ATTENDANCE_SUMMARY!G:G,MATCH(A206,ATTENDANCE_SUMMARY!A:A,0)),""))</f>
        <v/>
      </c>
      <c r="M206" s="4" t="str">
        <f t="shared" si="3"/>
        <v/>
      </c>
    </row>
    <row r="207" spans="1:13" x14ac:dyDescent="0.3">
      <c r="A207" t="str">
        <f>IF(MASTER_REGISTER!E207="","",MASTER_REGISTER!E207)</f>
        <v/>
      </c>
      <c r="B207" t="str">
        <f>IF(A207="","",MASTER_REGISTER!F207)</f>
        <v/>
      </c>
      <c r="C207" t="str">
        <f>IF(A207="","",MASTER_REGISTER!C207)</f>
        <v/>
      </c>
      <c r="D207" t="str">
        <f>IF(A207="","",COUNTIF(ASSESSMENTS!B:B,A207))</f>
        <v/>
      </c>
      <c r="E207" s="4" t="e">
        <f>IF(D207=0,"",ROUND(AVERAGEIF(ASSESSMENTS!B:B,A207,ASSESSMENTS!H:H),1))</f>
        <v>#DIV/0!</v>
      </c>
      <c r="F207" s="4" t="str">
        <f>IF(A207="","",IFERROR(ROUND(AVERAGEIFS(ASSESSMENTS!H:H,ASSESSMENTS!B:B,A207,ASSESSMENTS!E:E,"Mathematics"),1),""))</f>
        <v/>
      </c>
      <c r="G207" s="4" t="str">
        <f>IF(A207="","",IFERROR(ROUND(AVERAGEIFS(ASSESSMENTS!H:H,ASSESSMENTS!B:B,A207,ASSESSMENTS!E:E,"Mathematical Literacy"),1),""))</f>
        <v/>
      </c>
      <c r="H207" s="4" t="str">
        <f>IF(A207="","",IFERROR(ROUND(AVERAGEIFS(ASSESSMENTS!H:H,ASSESSMENTS!B:B,A207,ASSESSMENTS!E:E,"Physical Sciences"),1),""))</f>
        <v/>
      </c>
      <c r="I207" s="4" t="str">
        <f>IF(A207="","",IFERROR(ROUND(AVERAGEIFS(ASSESSMENTS!H:H,ASSESSMENTS!B:B,A207,ASSESSMENTS!E:E,"Geography"),1),""))</f>
        <v/>
      </c>
      <c r="J207" s="4" t="str">
        <f>IF(A207="","",IFERROR(ROUND(AVERAGEIFS(ASSESSMENTS!H:H,ASSESSMENTS!B:B,A207,ASSESSMENTS!E:E,"Accounting"),1),""))</f>
        <v/>
      </c>
      <c r="K207" s="4" t="str">
        <f>IF(A207="","",IFERROR(ROUND(AVERAGEIFS(ASSESSMENTS!H:H,ASSESSMENTS!B:B,A207,ASSESSMENTS!E:E,"English"),1),""))</f>
        <v/>
      </c>
      <c r="L207" s="5" t="str">
        <f>IF(A207="","",IFERROR(INDEX(ATTENDANCE_SUMMARY!G:G,MATCH(A207,ATTENDANCE_SUMMARY!A:A,0)),""))</f>
        <v/>
      </c>
      <c r="M207" s="4" t="str">
        <f t="shared" si="3"/>
        <v/>
      </c>
    </row>
    <row r="208" spans="1:13" x14ac:dyDescent="0.3">
      <c r="A208" t="str">
        <f>IF(MASTER_REGISTER!E208="","",MASTER_REGISTER!E208)</f>
        <v/>
      </c>
      <c r="B208" t="str">
        <f>IF(A208="","",MASTER_REGISTER!F208)</f>
        <v/>
      </c>
      <c r="C208" t="str">
        <f>IF(A208="","",MASTER_REGISTER!C208)</f>
        <v/>
      </c>
      <c r="D208" t="str">
        <f>IF(A208="","",COUNTIF(ASSESSMENTS!B:B,A208))</f>
        <v/>
      </c>
      <c r="E208" s="4" t="e">
        <f>IF(D208=0,"",ROUND(AVERAGEIF(ASSESSMENTS!B:B,A208,ASSESSMENTS!H:H),1))</f>
        <v>#DIV/0!</v>
      </c>
      <c r="F208" s="4" t="str">
        <f>IF(A208="","",IFERROR(ROUND(AVERAGEIFS(ASSESSMENTS!H:H,ASSESSMENTS!B:B,A208,ASSESSMENTS!E:E,"Mathematics"),1),""))</f>
        <v/>
      </c>
      <c r="G208" s="4" t="str">
        <f>IF(A208="","",IFERROR(ROUND(AVERAGEIFS(ASSESSMENTS!H:H,ASSESSMENTS!B:B,A208,ASSESSMENTS!E:E,"Mathematical Literacy"),1),""))</f>
        <v/>
      </c>
      <c r="H208" s="4" t="str">
        <f>IF(A208="","",IFERROR(ROUND(AVERAGEIFS(ASSESSMENTS!H:H,ASSESSMENTS!B:B,A208,ASSESSMENTS!E:E,"Physical Sciences"),1),""))</f>
        <v/>
      </c>
      <c r="I208" s="4" t="str">
        <f>IF(A208="","",IFERROR(ROUND(AVERAGEIFS(ASSESSMENTS!H:H,ASSESSMENTS!B:B,A208,ASSESSMENTS!E:E,"Geography"),1),""))</f>
        <v/>
      </c>
      <c r="J208" s="4" t="str">
        <f>IF(A208="","",IFERROR(ROUND(AVERAGEIFS(ASSESSMENTS!H:H,ASSESSMENTS!B:B,A208,ASSESSMENTS!E:E,"Accounting"),1),""))</f>
        <v/>
      </c>
      <c r="K208" s="4" t="str">
        <f>IF(A208="","",IFERROR(ROUND(AVERAGEIFS(ASSESSMENTS!H:H,ASSESSMENTS!B:B,A208,ASSESSMENTS!E:E,"English"),1),""))</f>
        <v/>
      </c>
      <c r="L208" s="5" t="str">
        <f>IF(A208="","",IFERROR(INDEX(ATTENDANCE_SUMMARY!G:G,MATCH(A208,ATTENDANCE_SUMMARY!A:A,0)),""))</f>
        <v/>
      </c>
      <c r="M208" s="4" t="str">
        <f t="shared" si="3"/>
        <v/>
      </c>
    </row>
    <row r="209" spans="1:13" x14ac:dyDescent="0.3">
      <c r="A209" t="str">
        <f>IF(MASTER_REGISTER!E209="","",MASTER_REGISTER!E209)</f>
        <v/>
      </c>
      <c r="B209" t="str">
        <f>IF(A209="","",MASTER_REGISTER!F209)</f>
        <v/>
      </c>
      <c r="C209" t="str">
        <f>IF(A209="","",MASTER_REGISTER!C209)</f>
        <v/>
      </c>
      <c r="D209" t="str">
        <f>IF(A209="","",COUNTIF(ASSESSMENTS!B:B,A209))</f>
        <v/>
      </c>
      <c r="E209" s="4" t="e">
        <f>IF(D209=0,"",ROUND(AVERAGEIF(ASSESSMENTS!B:B,A209,ASSESSMENTS!H:H),1))</f>
        <v>#DIV/0!</v>
      </c>
      <c r="F209" s="4" t="str">
        <f>IF(A209="","",IFERROR(ROUND(AVERAGEIFS(ASSESSMENTS!H:H,ASSESSMENTS!B:B,A209,ASSESSMENTS!E:E,"Mathematics"),1),""))</f>
        <v/>
      </c>
      <c r="G209" s="4" t="str">
        <f>IF(A209="","",IFERROR(ROUND(AVERAGEIFS(ASSESSMENTS!H:H,ASSESSMENTS!B:B,A209,ASSESSMENTS!E:E,"Mathematical Literacy"),1),""))</f>
        <v/>
      </c>
      <c r="H209" s="4" t="str">
        <f>IF(A209="","",IFERROR(ROUND(AVERAGEIFS(ASSESSMENTS!H:H,ASSESSMENTS!B:B,A209,ASSESSMENTS!E:E,"Physical Sciences"),1),""))</f>
        <v/>
      </c>
      <c r="I209" s="4" t="str">
        <f>IF(A209="","",IFERROR(ROUND(AVERAGEIFS(ASSESSMENTS!H:H,ASSESSMENTS!B:B,A209,ASSESSMENTS!E:E,"Geography"),1),""))</f>
        <v/>
      </c>
      <c r="J209" s="4" t="str">
        <f>IF(A209="","",IFERROR(ROUND(AVERAGEIFS(ASSESSMENTS!H:H,ASSESSMENTS!B:B,A209,ASSESSMENTS!E:E,"Accounting"),1),""))</f>
        <v/>
      </c>
      <c r="K209" s="4" t="str">
        <f>IF(A209="","",IFERROR(ROUND(AVERAGEIFS(ASSESSMENTS!H:H,ASSESSMENTS!B:B,A209,ASSESSMENTS!E:E,"English"),1),""))</f>
        <v/>
      </c>
      <c r="L209" s="5" t="str">
        <f>IF(A209="","",IFERROR(INDEX(ATTENDANCE_SUMMARY!G:G,MATCH(A209,ATTENDANCE_SUMMARY!A:A,0)),""))</f>
        <v/>
      </c>
      <c r="M209" s="4" t="str">
        <f t="shared" si="3"/>
        <v/>
      </c>
    </row>
    <row r="210" spans="1:13" x14ac:dyDescent="0.3">
      <c r="A210" t="str">
        <f>IF(MASTER_REGISTER!E210="","",MASTER_REGISTER!E210)</f>
        <v/>
      </c>
      <c r="B210" t="str">
        <f>IF(A210="","",MASTER_REGISTER!F210)</f>
        <v/>
      </c>
      <c r="C210" t="str">
        <f>IF(A210="","",MASTER_REGISTER!C210)</f>
        <v/>
      </c>
      <c r="D210" t="str">
        <f>IF(A210="","",COUNTIF(ASSESSMENTS!B:B,A210))</f>
        <v/>
      </c>
      <c r="E210" s="4" t="e">
        <f>IF(D210=0,"",ROUND(AVERAGEIF(ASSESSMENTS!B:B,A210,ASSESSMENTS!H:H),1))</f>
        <v>#DIV/0!</v>
      </c>
      <c r="F210" s="4" t="str">
        <f>IF(A210="","",IFERROR(ROUND(AVERAGEIFS(ASSESSMENTS!H:H,ASSESSMENTS!B:B,A210,ASSESSMENTS!E:E,"Mathematics"),1),""))</f>
        <v/>
      </c>
      <c r="G210" s="4" t="str">
        <f>IF(A210="","",IFERROR(ROUND(AVERAGEIFS(ASSESSMENTS!H:H,ASSESSMENTS!B:B,A210,ASSESSMENTS!E:E,"Mathematical Literacy"),1),""))</f>
        <v/>
      </c>
      <c r="H210" s="4" t="str">
        <f>IF(A210="","",IFERROR(ROUND(AVERAGEIFS(ASSESSMENTS!H:H,ASSESSMENTS!B:B,A210,ASSESSMENTS!E:E,"Physical Sciences"),1),""))</f>
        <v/>
      </c>
      <c r="I210" s="4" t="str">
        <f>IF(A210="","",IFERROR(ROUND(AVERAGEIFS(ASSESSMENTS!H:H,ASSESSMENTS!B:B,A210,ASSESSMENTS!E:E,"Geography"),1),""))</f>
        <v/>
      </c>
      <c r="J210" s="4" t="str">
        <f>IF(A210="","",IFERROR(ROUND(AVERAGEIFS(ASSESSMENTS!H:H,ASSESSMENTS!B:B,A210,ASSESSMENTS!E:E,"Accounting"),1),""))</f>
        <v/>
      </c>
      <c r="K210" s="4" t="str">
        <f>IF(A210="","",IFERROR(ROUND(AVERAGEIFS(ASSESSMENTS!H:H,ASSESSMENTS!B:B,A210,ASSESSMENTS!E:E,"English"),1),""))</f>
        <v/>
      </c>
      <c r="L210" s="5" t="str">
        <f>IF(A210="","",IFERROR(INDEX(ATTENDANCE_SUMMARY!G:G,MATCH(A210,ATTENDANCE_SUMMARY!A:A,0)),""))</f>
        <v/>
      </c>
      <c r="M210" s="4" t="str">
        <f t="shared" si="3"/>
        <v/>
      </c>
    </row>
    <row r="211" spans="1:13" x14ac:dyDescent="0.3">
      <c r="A211" t="str">
        <f>IF(MASTER_REGISTER!E211="","",MASTER_REGISTER!E211)</f>
        <v/>
      </c>
      <c r="B211" t="str">
        <f>IF(A211="","",MASTER_REGISTER!F211)</f>
        <v/>
      </c>
      <c r="C211" t="str">
        <f>IF(A211="","",MASTER_REGISTER!C211)</f>
        <v/>
      </c>
      <c r="D211" t="str">
        <f>IF(A211="","",COUNTIF(ASSESSMENTS!B:B,A211))</f>
        <v/>
      </c>
      <c r="E211" s="4" t="e">
        <f>IF(D211=0,"",ROUND(AVERAGEIF(ASSESSMENTS!B:B,A211,ASSESSMENTS!H:H),1))</f>
        <v>#DIV/0!</v>
      </c>
      <c r="F211" s="4" t="str">
        <f>IF(A211="","",IFERROR(ROUND(AVERAGEIFS(ASSESSMENTS!H:H,ASSESSMENTS!B:B,A211,ASSESSMENTS!E:E,"Mathematics"),1),""))</f>
        <v/>
      </c>
      <c r="G211" s="4" t="str">
        <f>IF(A211="","",IFERROR(ROUND(AVERAGEIFS(ASSESSMENTS!H:H,ASSESSMENTS!B:B,A211,ASSESSMENTS!E:E,"Mathematical Literacy"),1),""))</f>
        <v/>
      </c>
      <c r="H211" s="4" t="str">
        <f>IF(A211="","",IFERROR(ROUND(AVERAGEIFS(ASSESSMENTS!H:H,ASSESSMENTS!B:B,A211,ASSESSMENTS!E:E,"Physical Sciences"),1),""))</f>
        <v/>
      </c>
      <c r="I211" s="4" t="str">
        <f>IF(A211="","",IFERROR(ROUND(AVERAGEIFS(ASSESSMENTS!H:H,ASSESSMENTS!B:B,A211,ASSESSMENTS!E:E,"Geography"),1),""))</f>
        <v/>
      </c>
      <c r="J211" s="4" t="str">
        <f>IF(A211="","",IFERROR(ROUND(AVERAGEIFS(ASSESSMENTS!H:H,ASSESSMENTS!B:B,A211,ASSESSMENTS!E:E,"Accounting"),1),""))</f>
        <v/>
      </c>
      <c r="K211" s="4" t="str">
        <f>IF(A211="","",IFERROR(ROUND(AVERAGEIFS(ASSESSMENTS!H:H,ASSESSMENTS!B:B,A211,ASSESSMENTS!E:E,"English"),1),""))</f>
        <v/>
      </c>
      <c r="L211" s="5" t="str">
        <f>IF(A211="","",IFERROR(INDEX(ATTENDANCE_SUMMARY!G:G,MATCH(A211,ATTENDANCE_SUMMARY!A:A,0)),""))</f>
        <v/>
      </c>
      <c r="M211" s="4" t="str">
        <f t="shared" si="3"/>
        <v/>
      </c>
    </row>
    <row r="212" spans="1:13" x14ac:dyDescent="0.3">
      <c r="A212" t="str">
        <f>IF(MASTER_REGISTER!E212="","",MASTER_REGISTER!E212)</f>
        <v/>
      </c>
      <c r="B212" t="str">
        <f>IF(A212="","",MASTER_REGISTER!F212)</f>
        <v/>
      </c>
      <c r="C212" t="str">
        <f>IF(A212="","",MASTER_REGISTER!C212)</f>
        <v/>
      </c>
      <c r="D212" t="str">
        <f>IF(A212="","",COUNTIF(ASSESSMENTS!B:B,A212))</f>
        <v/>
      </c>
      <c r="E212" s="4" t="e">
        <f>IF(D212=0,"",ROUND(AVERAGEIF(ASSESSMENTS!B:B,A212,ASSESSMENTS!H:H),1))</f>
        <v>#DIV/0!</v>
      </c>
      <c r="F212" s="4" t="str">
        <f>IF(A212="","",IFERROR(ROUND(AVERAGEIFS(ASSESSMENTS!H:H,ASSESSMENTS!B:B,A212,ASSESSMENTS!E:E,"Mathematics"),1),""))</f>
        <v/>
      </c>
      <c r="G212" s="4" t="str">
        <f>IF(A212="","",IFERROR(ROUND(AVERAGEIFS(ASSESSMENTS!H:H,ASSESSMENTS!B:B,A212,ASSESSMENTS!E:E,"Mathematical Literacy"),1),""))</f>
        <v/>
      </c>
      <c r="H212" s="4" t="str">
        <f>IF(A212="","",IFERROR(ROUND(AVERAGEIFS(ASSESSMENTS!H:H,ASSESSMENTS!B:B,A212,ASSESSMENTS!E:E,"Physical Sciences"),1),""))</f>
        <v/>
      </c>
      <c r="I212" s="4" t="str">
        <f>IF(A212="","",IFERROR(ROUND(AVERAGEIFS(ASSESSMENTS!H:H,ASSESSMENTS!B:B,A212,ASSESSMENTS!E:E,"Geography"),1),""))</f>
        <v/>
      </c>
      <c r="J212" s="4" t="str">
        <f>IF(A212="","",IFERROR(ROUND(AVERAGEIFS(ASSESSMENTS!H:H,ASSESSMENTS!B:B,A212,ASSESSMENTS!E:E,"Accounting"),1),""))</f>
        <v/>
      </c>
      <c r="K212" s="4" t="str">
        <f>IF(A212="","",IFERROR(ROUND(AVERAGEIFS(ASSESSMENTS!H:H,ASSESSMENTS!B:B,A212,ASSESSMENTS!E:E,"English"),1),""))</f>
        <v/>
      </c>
      <c r="L212" s="5" t="str">
        <f>IF(A212="","",IFERROR(INDEX(ATTENDANCE_SUMMARY!G:G,MATCH(A212,ATTENDANCE_SUMMARY!A:A,0)),""))</f>
        <v/>
      </c>
      <c r="M212" s="4" t="str">
        <f t="shared" si="3"/>
        <v/>
      </c>
    </row>
    <row r="213" spans="1:13" x14ac:dyDescent="0.3">
      <c r="A213" t="str">
        <f>IF(MASTER_REGISTER!E213="","",MASTER_REGISTER!E213)</f>
        <v/>
      </c>
      <c r="B213" t="str">
        <f>IF(A213="","",MASTER_REGISTER!F213)</f>
        <v/>
      </c>
      <c r="C213" t="str">
        <f>IF(A213="","",MASTER_REGISTER!C213)</f>
        <v/>
      </c>
      <c r="D213" t="str">
        <f>IF(A213="","",COUNTIF(ASSESSMENTS!B:B,A213))</f>
        <v/>
      </c>
      <c r="E213" s="4" t="e">
        <f>IF(D213=0,"",ROUND(AVERAGEIF(ASSESSMENTS!B:B,A213,ASSESSMENTS!H:H),1))</f>
        <v>#DIV/0!</v>
      </c>
      <c r="F213" s="4" t="str">
        <f>IF(A213="","",IFERROR(ROUND(AVERAGEIFS(ASSESSMENTS!H:H,ASSESSMENTS!B:B,A213,ASSESSMENTS!E:E,"Mathematics"),1),""))</f>
        <v/>
      </c>
      <c r="G213" s="4" t="str">
        <f>IF(A213="","",IFERROR(ROUND(AVERAGEIFS(ASSESSMENTS!H:H,ASSESSMENTS!B:B,A213,ASSESSMENTS!E:E,"Mathematical Literacy"),1),""))</f>
        <v/>
      </c>
      <c r="H213" s="4" t="str">
        <f>IF(A213="","",IFERROR(ROUND(AVERAGEIFS(ASSESSMENTS!H:H,ASSESSMENTS!B:B,A213,ASSESSMENTS!E:E,"Physical Sciences"),1),""))</f>
        <v/>
      </c>
      <c r="I213" s="4" t="str">
        <f>IF(A213="","",IFERROR(ROUND(AVERAGEIFS(ASSESSMENTS!H:H,ASSESSMENTS!B:B,A213,ASSESSMENTS!E:E,"Geography"),1),""))</f>
        <v/>
      </c>
      <c r="J213" s="4" t="str">
        <f>IF(A213="","",IFERROR(ROUND(AVERAGEIFS(ASSESSMENTS!H:H,ASSESSMENTS!B:B,A213,ASSESSMENTS!E:E,"Accounting"),1),""))</f>
        <v/>
      </c>
      <c r="K213" s="4" t="str">
        <f>IF(A213="","",IFERROR(ROUND(AVERAGEIFS(ASSESSMENTS!H:H,ASSESSMENTS!B:B,A213,ASSESSMENTS!E:E,"English"),1),""))</f>
        <v/>
      </c>
      <c r="L213" s="5" t="str">
        <f>IF(A213="","",IFERROR(INDEX(ATTENDANCE_SUMMARY!G:G,MATCH(A213,ATTENDANCE_SUMMARY!A:A,0)),""))</f>
        <v/>
      </c>
      <c r="M213" s="4" t="str">
        <f t="shared" si="3"/>
        <v/>
      </c>
    </row>
    <row r="214" spans="1:13" x14ac:dyDescent="0.3">
      <c r="A214" t="str">
        <f>IF(MASTER_REGISTER!E214="","",MASTER_REGISTER!E214)</f>
        <v/>
      </c>
      <c r="B214" t="str">
        <f>IF(A214="","",MASTER_REGISTER!F214)</f>
        <v/>
      </c>
      <c r="C214" t="str">
        <f>IF(A214="","",MASTER_REGISTER!C214)</f>
        <v/>
      </c>
      <c r="D214" t="str">
        <f>IF(A214="","",COUNTIF(ASSESSMENTS!B:B,A214))</f>
        <v/>
      </c>
      <c r="E214" s="4" t="e">
        <f>IF(D214=0,"",ROUND(AVERAGEIF(ASSESSMENTS!B:B,A214,ASSESSMENTS!H:H),1))</f>
        <v>#DIV/0!</v>
      </c>
      <c r="F214" s="4" t="str">
        <f>IF(A214="","",IFERROR(ROUND(AVERAGEIFS(ASSESSMENTS!H:H,ASSESSMENTS!B:B,A214,ASSESSMENTS!E:E,"Mathematics"),1),""))</f>
        <v/>
      </c>
      <c r="G214" s="4" t="str">
        <f>IF(A214="","",IFERROR(ROUND(AVERAGEIFS(ASSESSMENTS!H:H,ASSESSMENTS!B:B,A214,ASSESSMENTS!E:E,"Mathematical Literacy"),1),""))</f>
        <v/>
      </c>
      <c r="H214" s="4" t="str">
        <f>IF(A214="","",IFERROR(ROUND(AVERAGEIFS(ASSESSMENTS!H:H,ASSESSMENTS!B:B,A214,ASSESSMENTS!E:E,"Physical Sciences"),1),""))</f>
        <v/>
      </c>
      <c r="I214" s="4" t="str">
        <f>IF(A214="","",IFERROR(ROUND(AVERAGEIFS(ASSESSMENTS!H:H,ASSESSMENTS!B:B,A214,ASSESSMENTS!E:E,"Geography"),1),""))</f>
        <v/>
      </c>
      <c r="J214" s="4" t="str">
        <f>IF(A214="","",IFERROR(ROUND(AVERAGEIFS(ASSESSMENTS!H:H,ASSESSMENTS!B:B,A214,ASSESSMENTS!E:E,"Accounting"),1),""))</f>
        <v/>
      </c>
      <c r="K214" s="4" t="str">
        <f>IF(A214="","",IFERROR(ROUND(AVERAGEIFS(ASSESSMENTS!H:H,ASSESSMENTS!B:B,A214,ASSESSMENTS!E:E,"English"),1),""))</f>
        <v/>
      </c>
      <c r="L214" s="5" t="str">
        <f>IF(A214="","",IFERROR(INDEX(ATTENDANCE_SUMMARY!G:G,MATCH(A214,ATTENDANCE_SUMMARY!A:A,0)),""))</f>
        <v/>
      </c>
      <c r="M214" s="4" t="str">
        <f t="shared" si="3"/>
        <v/>
      </c>
    </row>
    <row r="215" spans="1:13" x14ac:dyDescent="0.3">
      <c r="A215" t="str">
        <f>IF(MASTER_REGISTER!E215="","",MASTER_REGISTER!E215)</f>
        <v/>
      </c>
      <c r="B215" t="str">
        <f>IF(A215="","",MASTER_REGISTER!F215)</f>
        <v/>
      </c>
      <c r="C215" t="str">
        <f>IF(A215="","",MASTER_REGISTER!C215)</f>
        <v/>
      </c>
      <c r="D215" t="str">
        <f>IF(A215="","",COUNTIF(ASSESSMENTS!B:B,A215))</f>
        <v/>
      </c>
      <c r="E215" s="4" t="e">
        <f>IF(D215=0,"",ROUND(AVERAGEIF(ASSESSMENTS!B:B,A215,ASSESSMENTS!H:H),1))</f>
        <v>#DIV/0!</v>
      </c>
      <c r="F215" s="4" t="str">
        <f>IF(A215="","",IFERROR(ROUND(AVERAGEIFS(ASSESSMENTS!H:H,ASSESSMENTS!B:B,A215,ASSESSMENTS!E:E,"Mathematics"),1),""))</f>
        <v/>
      </c>
      <c r="G215" s="4" t="str">
        <f>IF(A215="","",IFERROR(ROUND(AVERAGEIFS(ASSESSMENTS!H:H,ASSESSMENTS!B:B,A215,ASSESSMENTS!E:E,"Mathematical Literacy"),1),""))</f>
        <v/>
      </c>
      <c r="H215" s="4" t="str">
        <f>IF(A215="","",IFERROR(ROUND(AVERAGEIFS(ASSESSMENTS!H:H,ASSESSMENTS!B:B,A215,ASSESSMENTS!E:E,"Physical Sciences"),1),""))</f>
        <v/>
      </c>
      <c r="I215" s="4" t="str">
        <f>IF(A215="","",IFERROR(ROUND(AVERAGEIFS(ASSESSMENTS!H:H,ASSESSMENTS!B:B,A215,ASSESSMENTS!E:E,"Geography"),1),""))</f>
        <v/>
      </c>
      <c r="J215" s="4" t="str">
        <f>IF(A215="","",IFERROR(ROUND(AVERAGEIFS(ASSESSMENTS!H:H,ASSESSMENTS!B:B,A215,ASSESSMENTS!E:E,"Accounting"),1),""))</f>
        <v/>
      </c>
      <c r="K215" s="4" t="str">
        <f>IF(A215="","",IFERROR(ROUND(AVERAGEIFS(ASSESSMENTS!H:H,ASSESSMENTS!B:B,A215,ASSESSMENTS!E:E,"English"),1),""))</f>
        <v/>
      </c>
      <c r="L215" s="5" t="str">
        <f>IF(A215="","",IFERROR(INDEX(ATTENDANCE_SUMMARY!G:G,MATCH(A215,ATTENDANCE_SUMMARY!A:A,0)),""))</f>
        <v/>
      </c>
      <c r="M215" s="4" t="str">
        <f t="shared" si="3"/>
        <v/>
      </c>
    </row>
    <row r="216" spans="1:13" x14ac:dyDescent="0.3">
      <c r="A216" t="str">
        <f>IF(MASTER_REGISTER!E216="","",MASTER_REGISTER!E216)</f>
        <v/>
      </c>
      <c r="B216" t="str">
        <f>IF(A216="","",MASTER_REGISTER!F216)</f>
        <v/>
      </c>
      <c r="C216" t="str">
        <f>IF(A216="","",MASTER_REGISTER!C216)</f>
        <v/>
      </c>
      <c r="D216" t="str">
        <f>IF(A216="","",COUNTIF(ASSESSMENTS!B:B,A216))</f>
        <v/>
      </c>
      <c r="E216" s="4" t="e">
        <f>IF(D216=0,"",ROUND(AVERAGEIF(ASSESSMENTS!B:B,A216,ASSESSMENTS!H:H),1))</f>
        <v>#DIV/0!</v>
      </c>
      <c r="F216" s="4" t="str">
        <f>IF(A216="","",IFERROR(ROUND(AVERAGEIFS(ASSESSMENTS!H:H,ASSESSMENTS!B:B,A216,ASSESSMENTS!E:E,"Mathematics"),1),""))</f>
        <v/>
      </c>
      <c r="G216" s="4" t="str">
        <f>IF(A216="","",IFERROR(ROUND(AVERAGEIFS(ASSESSMENTS!H:H,ASSESSMENTS!B:B,A216,ASSESSMENTS!E:E,"Mathematical Literacy"),1),""))</f>
        <v/>
      </c>
      <c r="H216" s="4" t="str">
        <f>IF(A216="","",IFERROR(ROUND(AVERAGEIFS(ASSESSMENTS!H:H,ASSESSMENTS!B:B,A216,ASSESSMENTS!E:E,"Physical Sciences"),1),""))</f>
        <v/>
      </c>
      <c r="I216" s="4" t="str">
        <f>IF(A216="","",IFERROR(ROUND(AVERAGEIFS(ASSESSMENTS!H:H,ASSESSMENTS!B:B,A216,ASSESSMENTS!E:E,"Geography"),1),""))</f>
        <v/>
      </c>
      <c r="J216" s="4" t="str">
        <f>IF(A216="","",IFERROR(ROUND(AVERAGEIFS(ASSESSMENTS!H:H,ASSESSMENTS!B:B,A216,ASSESSMENTS!E:E,"Accounting"),1),""))</f>
        <v/>
      </c>
      <c r="K216" s="4" t="str">
        <f>IF(A216="","",IFERROR(ROUND(AVERAGEIFS(ASSESSMENTS!H:H,ASSESSMENTS!B:B,A216,ASSESSMENTS!E:E,"English"),1),""))</f>
        <v/>
      </c>
      <c r="L216" s="5" t="str">
        <f>IF(A216="","",IFERROR(INDEX(ATTENDANCE_SUMMARY!G:G,MATCH(A216,ATTENDANCE_SUMMARY!A:A,0)),""))</f>
        <v/>
      </c>
      <c r="M216" s="4" t="str">
        <f t="shared" si="3"/>
        <v/>
      </c>
    </row>
    <row r="217" spans="1:13" x14ac:dyDescent="0.3">
      <c r="A217" t="str">
        <f>IF(MASTER_REGISTER!E217="","",MASTER_REGISTER!E217)</f>
        <v/>
      </c>
      <c r="B217" t="str">
        <f>IF(A217="","",MASTER_REGISTER!F217)</f>
        <v/>
      </c>
      <c r="C217" t="str">
        <f>IF(A217="","",MASTER_REGISTER!C217)</f>
        <v/>
      </c>
      <c r="D217" t="str">
        <f>IF(A217="","",COUNTIF(ASSESSMENTS!B:B,A217))</f>
        <v/>
      </c>
      <c r="E217" s="4" t="e">
        <f>IF(D217=0,"",ROUND(AVERAGEIF(ASSESSMENTS!B:B,A217,ASSESSMENTS!H:H),1))</f>
        <v>#DIV/0!</v>
      </c>
      <c r="F217" s="4" t="str">
        <f>IF(A217="","",IFERROR(ROUND(AVERAGEIFS(ASSESSMENTS!H:H,ASSESSMENTS!B:B,A217,ASSESSMENTS!E:E,"Mathematics"),1),""))</f>
        <v/>
      </c>
      <c r="G217" s="4" t="str">
        <f>IF(A217="","",IFERROR(ROUND(AVERAGEIFS(ASSESSMENTS!H:H,ASSESSMENTS!B:B,A217,ASSESSMENTS!E:E,"Mathematical Literacy"),1),""))</f>
        <v/>
      </c>
      <c r="H217" s="4" t="str">
        <f>IF(A217="","",IFERROR(ROUND(AVERAGEIFS(ASSESSMENTS!H:H,ASSESSMENTS!B:B,A217,ASSESSMENTS!E:E,"Physical Sciences"),1),""))</f>
        <v/>
      </c>
      <c r="I217" s="4" t="str">
        <f>IF(A217="","",IFERROR(ROUND(AVERAGEIFS(ASSESSMENTS!H:H,ASSESSMENTS!B:B,A217,ASSESSMENTS!E:E,"Geography"),1),""))</f>
        <v/>
      </c>
      <c r="J217" s="4" t="str">
        <f>IF(A217="","",IFERROR(ROUND(AVERAGEIFS(ASSESSMENTS!H:H,ASSESSMENTS!B:B,A217,ASSESSMENTS!E:E,"Accounting"),1),""))</f>
        <v/>
      </c>
      <c r="K217" s="4" t="str">
        <f>IF(A217="","",IFERROR(ROUND(AVERAGEIFS(ASSESSMENTS!H:H,ASSESSMENTS!B:B,A217,ASSESSMENTS!E:E,"English"),1),""))</f>
        <v/>
      </c>
      <c r="L217" s="5" t="str">
        <f>IF(A217="","",IFERROR(INDEX(ATTENDANCE_SUMMARY!G:G,MATCH(A217,ATTENDANCE_SUMMARY!A:A,0)),""))</f>
        <v/>
      </c>
      <c r="M217" s="4" t="str">
        <f t="shared" si="3"/>
        <v/>
      </c>
    </row>
    <row r="218" spans="1:13" x14ac:dyDescent="0.3">
      <c r="A218" t="str">
        <f>IF(MASTER_REGISTER!E218="","",MASTER_REGISTER!E218)</f>
        <v/>
      </c>
      <c r="B218" t="str">
        <f>IF(A218="","",MASTER_REGISTER!F218)</f>
        <v/>
      </c>
      <c r="C218" t="str">
        <f>IF(A218="","",MASTER_REGISTER!C218)</f>
        <v/>
      </c>
      <c r="D218" t="str">
        <f>IF(A218="","",COUNTIF(ASSESSMENTS!B:B,A218))</f>
        <v/>
      </c>
      <c r="E218" s="4" t="e">
        <f>IF(D218=0,"",ROUND(AVERAGEIF(ASSESSMENTS!B:B,A218,ASSESSMENTS!H:H),1))</f>
        <v>#DIV/0!</v>
      </c>
      <c r="F218" s="4" t="str">
        <f>IF(A218="","",IFERROR(ROUND(AVERAGEIFS(ASSESSMENTS!H:H,ASSESSMENTS!B:B,A218,ASSESSMENTS!E:E,"Mathematics"),1),""))</f>
        <v/>
      </c>
      <c r="G218" s="4" t="str">
        <f>IF(A218="","",IFERROR(ROUND(AVERAGEIFS(ASSESSMENTS!H:H,ASSESSMENTS!B:B,A218,ASSESSMENTS!E:E,"Mathematical Literacy"),1),""))</f>
        <v/>
      </c>
      <c r="H218" s="4" t="str">
        <f>IF(A218="","",IFERROR(ROUND(AVERAGEIFS(ASSESSMENTS!H:H,ASSESSMENTS!B:B,A218,ASSESSMENTS!E:E,"Physical Sciences"),1),""))</f>
        <v/>
      </c>
      <c r="I218" s="4" t="str">
        <f>IF(A218="","",IFERROR(ROUND(AVERAGEIFS(ASSESSMENTS!H:H,ASSESSMENTS!B:B,A218,ASSESSMENTS!E:E,"Geography"),1),""))</f>
        <v/>
      </c>
      <c r="J218" s="4" t="str">
        <f>IF(A218="","",IFERROR(ROUND(AVERAGEIFS(ASSESSMENTS!H:H,ASSESSMENTS!B:B,A218,ASSESSMENTS!E:E,"Accounting"),1),""))</f>
        <v/>
      </c>
      <c r="K218" s="4" t="str">
        <f>IF(A218="","",IFERROR(ROUND(AVERAGEIFS(ASSESSMENTS!H:H,ASSESSMENTS!B:B,A218,ASSESSMENTS!E:E,"English"),1),""))</f>
        <v/>
      </c>
      <c r="L218" s="5" t="str">
        <f>IF(A218="","",IFERROR(INDEX(ATTENDANCE_SUMMARY!G:G,MATCH(A218,ATTENDANCE_SUMMARY!A:A,0)),""))</f>
        <v/>
      </c>
      <c r="M218" s="4" t="str">
        <f t="shared" si="3"/>
        <v/>
      </c>
    </row>
    <row r="219" spans="1:13" x14ac:dyDescent="0.3">
      <c r="A219" t="str">
        <f>IF(MASTER_REGISTER!E219="","",MASTER_REGISTER!E219)</f>
        <v/>
      </c>
      <c r="B219" t="str">
        <f>IF(A219="","",MASTER_REGISTER!F219)</f>
        <v/>
      </c>
      <c r="C219" t="str">
        <f>IF(A219="","",MASTER_REGISTER!C219)</f>
        <v/>
      </c>
      <c r="D219" t="str">
        <f>IF(A219="","",COUNTIF(ASSESSMENTS!B:B,A219))</f>
        <v/>
      </c>
      <c r="E219" s="4" t="e">
        <f>IF(D219=0,"",ROUND(AVERAGEIF(ASSESSMENTS!B:B,A219,ASSESSMENTS!H:H),1))</f>
        <v>#DIV/0!</v>
      </c>
      <c r="F219" s="4" t="str">
        <f>IF(A219="","",IFERROR(ROUND(AVERAGEIFS(ASSESSMENTS!H:H,ASSESSMENTS!B:B,A219,ASSESSMENTS!E:E,"Mathematics"),1),""))</f>
        <v/>
      </c>
      <c r="G219" s="4" t="str">
        <f>IF(A219="","",IFERROR(ROUND(AVERAGEIFS(ASSESSMENTS!H:H,ASSESSMENTS!B:B,A219,ASSESSMENTS!E:E,"Mathematical Literacy"),1),""))</f>
        <v/>
      </c>
      <c r="H219" s="4" t="str">
        <f>IF(A219="","",IFERROR(ROUND(AVERAGEIFS(ASSESSMENTS!H:H,ASSESSMENTS!B:B,A219,ASSESSMENTS!E:E,"Physical Sciences"),1),""))</f>
        <v/>
      </c>
      <c r="I219" s="4" t="str">
        <f>IF(A219="","",IFERROR(ROUND(AVERAGEIFS(ASSESSMENTS!H:H,ASSESSMENTS!B:B,A219,ASSESSMENTS!E:E,"Geography"),1),""))</f>
        <v/>
      </c>
      <c r="J219" s="4" t="str">
        <f>IF(A219="","",IFERROR(ROUND(AVERAGEIFS(ASSESSMENTS!H:H,ASSESSMENTS!B:B,A219,ASSESSMENTS!E:E,"Accounting"),1),""))</f>
        <v/>
      </c>
      <c r="K219" s="4" t="str">
        <f>IF(A219="","",IFERROR(ROUND(AVERAGEIFS(ASSESSMENTS!H:H,ASSESSMENTS!B:B,A219,ASSESSMENTS!E:E,"English"),1),""))</f>
        <v/>
      </c>
      <c r="L219" s="5" t="str">
        <f>IF(A219="","",IFERROR(INDEX(ATTENDANCE_SUMMARY!G:G,MATCH(A219,ATTENDANCE_SUMMARY!A:A,0)),""))</f>
        <v/>
      </c>
      <c r="M219" s="4" t="str">
        <f t="shared" si="3"/>
        <v/>
      </c>
    </row>
    <row r="220" spans="1:13" x14ac:dyDescent="0.3">
      <c r="A220" t="str">
        <f>IF(MASTER_REGISTER!E220="","",MASTER_REGISTER!E220)</f>
        <v/>
      </c>
      <c r="B220" t="str">
        <f>IF(A220="","",MASTER_REGISTER!F220)</f>
        <v/>
      </c>
      <c r="C220" t="str">
        <f>IF(A220="","",MASTER_REGISTER!C220)</f>
        <v/>
      </c>
      <c r="D220" t="str">
        <f>IF(A220="","",COUNTIF(ASSESSMENTS!B:B,A220))</f>
        <v/>
      </c>
      <c r="E220" s="4" t="e">
        <f>IF(D220=0,"",ROUND(AVERAGEIF(ASSESSMENTS!B:B,A220,ASSESSMENTS!H:H),1))</f>
        <v>#DIV/0!</v>
      </c>
      <c r="F220" s="4" t="str">
        <f>IF(A220="","",IFERROR(ROUND(AVERAGEIFS(ASSESSMENTS!H:H,ASSESSMENTS!B:B,A220,ASSESSMENTS!E:E,"Mathematics"),1),""))</f>
        <v/>
      </c>
      <c r="G220" s="4" t="str">
        <f>IF(A220="","",IFERROR(ROUND(AVERAGEIFS(ASSESSMENTS!H:H,ASSESSMENTS!B:B,A220,ASSESSMENTS!E:E,"Mathematical Literacy"),1),""))</f>
        <v/>
      </c>
      <c r="H220" s="4" t="str">
        <f>IF(A220="","",IFERROR(ROUND(AVERAGEIFS(ASSESSMENTS!H:H,ASSESSMENTS!B:B,A220,ASSESSMENTS!E:E,"Physical Sciences"),1),""))</f>
        <v/>
      </c>
      <c r="I220" s="4" t="str">
        <f>IF(A220="","",IFERROR(ROUND(AVERAGEIFS(ASSESSMENTS!H:H,ASSESSMENTS!B:B,A220,ASSESSMENTS!E:E,"Geography"),1),""))</f>
        <v/>
      </c>
      <c r="J220" s="4" t="str">
        <f>IF(A220="","",IFERROR(ROUND(AVERAGEIFS(ASSESSMENTS!H:H,ASSESSMENTS!B:B,A220,ASSESSMENTS!E:E,"Accounting"),1),""))</f>
        <v/>
      </c>
      <c r="K220" s="4" t="str">
        <f>IF(A220="","",IFERROR(ROUND(AVERAGEIFS(ASSESSMENTS!H:H,ASSESSMENTS!B:B,A220,ASSESSMENTS!E:E,"English"),1),""))</f>
        <v/>
      </c>
      <c r="L220" s="5" t="str">
        <f>IF(A220="","",IFERROR(INDEX(ATTENDANCE_SUMMARY!G:G,MATCH(A220,ATTENDANCE_SUMMARY!A:A,0)),""))</f>
        <v/>
      </c>
      <c r="M220" s="4" t="str">
        <f t="shared" si="3"/>
        <v/>
      </c>
    </row>
    <row r="221" spans="1:13" x14ac:dyDescent="0.3">
      <c r="A221" t="str">
        <f>IF(MASTER_REGISTER!E221="","",MASTER_REGISTER!E221)</f>
        <v/>
      </c>
      <c r="B221" t="str">
        <f>IF(A221="","",MASTER_REGISTER!F221)</f>
        <v/>
      </c>
      <c r="C221" t="str">
        <f>IF(A221="","",MASTER_REGISTER!C221)</f>
        <v/>
      </c>
      <c r="D221" t="str">
        <f>IF(A221="","",COUNTIF(ASSESSMENTS!B:B,A221))</f>
        <v/>
      </c>
      <c r="E221" s="4" t="e">
        <f>IF(D221=0,"",ROUND(AVERAGEIF(ASSESSMENTS!B:B,A221,ASSESSMENTS!H:H),1))</f>
        <v>#DIV/0!</v>
      </c>
      <c r="F221" s="4" t="str">
        <f>IF(A221="","",IFERROR(ROUND(AVERAGEIFS(ASSESSMENTS!H:H,ASSESSMENTS!B:B,A221,ASSESSMENTS!E:E,"Mathematics"),1),""))</f>
        <v/>
      </c>
      <c r="G221" s="4" t="str">
        <f>IF(A221="","",IFERROR(ROUND(AVERAGEIFS(ASSESSMENTS!H:H,ASSESSMENTS!B:B,A221,ASSESSMENTS!E:E,"Mathematical Literacy"),1),""))</f>
        <v/>
      </c>
      <c r="H221" s="4" t="str">
        <f>IF(A221="","",IFERROR(ROUND(AVERAGEIFS(ASSESSMENTS!H:H,ASSESSMENTS!B:B,A221,ASSESSMENTS!E:E,"Physical Sciences"),1),""))</f>
        <v/>
      </c>
      <c r="I221" s="4" t="str">
        <f>IF(A221="","",IFERROR(ROUND(AVERAGEIFS(ASSESSMENTS!H:H,ASSESSMENTS!B:B,A221,ASSESSMENTS!E:E,"Geography"),1),""))</f>
        <v/>
      </c>
      <c r="J221" s="4" t="str">
        <f>IF(A221="","",IFERROR(ROUND(AVERAGEIFS(ASSESSMENTS!H:H,ASSESSMENTS!B:B,A221,ASSESSMENTS!E:E,"Accounting"),1),""))</f>
        <v/>
      </c>
      <c r="K221" s="4" t="str">
        <f>IF(A221="","",IFERROR(ROUND(AVERAGEIFS(ASSESSMENTS!H:H,ASSESSMENTS!B:B,A221,ASSESSMENTS!E:E,"English"),1),""))</f>
        <v/>
      </c>
      <c r="L221" s="5" t="str">
        <f>IF(A221="","",IFERROR(INDEX(ATTENDANCE_SUMMARY!G:G,MATCH(A221,ATTENDANCE_SUMMARY!A:A,0)),""))</f>
        <v/>
      </c>
      <c r="M221" s="4" t="str">
        <f t="shared" si="3"/>
        <v/>
      </c>
    </row>
    <row r="222" spans="1:13" x14ac:dyDescent="0.3">
      <c r="A222" t="str">
        <f>IF(MASTER_REGISTER!E222="","",MASTER_REGISTER!E222)</f>
        <v/>
      </c>
      <c r="B222" t="str">
        <f>IF(A222="","",MASTER_REGISTER!F222)</f>
        <v/>
      </c>
      <c r="C222" t="str">
        <f>IF(A222="","",MASTER_REGISTER!C222)</f>
        <v/>
      </c>
      <c r="D222" t="str">
        <f>IF(A222="","",COUNTIF(ASSESSMENTS!B:B,A222))</f>
        <v/>
      </c>
      <c r="E222" s="4" t="e">
        <f>IF(D222=0,"",ROUND(AVERAGEIF(ASSESSMENTS!B:B,A222,ASSESSMENTS!H:H),1))</f>
        <v>#DIV/0!</v>
      </c>
      <c r="F222" s="4" t="str">
        <f>IF(A222="","",IFERROR(ROUND(AVERAGEIFS(ASSESSMENTS!H:H,ASSESSMENTS!B:B,A222,ASSESSMENTS!E:E,"Mathematics"),1),""))</f>
        <v/>
      </c>
      <c r="G222" s="4" t="str">
        <f>IF(A222="","",IFERROR(ROUND(AVERAGEIFS(ASSESSMENTS!H:H,ASSESSMENTS!B:B,A222,ASSESSMENTS!E:E,"Mathematical Literacy"),1),""))</f>
        <v/>
      </c>
      <c r="H222" s="4" t="str">
        <f>IF(A222="","",IFERROR(ROUND(AVERAGEIFS(ASSESSMENTS!H:H,ASSESSMENTS!B:B,A222,ASSESSMENTS!E:E,"Physical Sciences"),1),""))</f>
        <v/>
      </c>
      <c r="I222" s="4" t="str">
        <f>IF(A222="","",IFERROR(ROUND(AVERAGEIFS(ASSESSMENTS!H:H,ASSESSMENTS!B:B,A222,ASSESSMENTS!E:E,"Geography"),1),""))</f>
        <v/>
      </c>
      <c r="J222" s="4" t="str">
        <f>IF(A222="","",IFERROR(ROUND(AVERAGEIFS(ASSESSMENTS!H:H,ASSESSMENTS!B:B,A222,ASSESSMENTS!E:E,"Accounting"),1),""))</f>
        <v/>
      </c>
      <c r="K222" s="4" t="str">
        <f>IF(A222="","",IFERROR(ROUND(AVERAGEIFS(ASSESSMENTS!H:H,ASSESSMENTS!B:B,A222,ASSESSMENTS!E:E,"English"),1),""))</f>
        <v/>
      </c>
      <c r="L222" s="5" t="str">
        <f>IF(A222="","",IFERROR(INDEX(ATTENDANCE_SUMMARY!G:G,MATCH(A222,ATTENDANCE_SUMMARY!A:A,0)),""))</f>
        <v/>
      </c>
      <c r="M222" s="4" t="str">
        <f t="shared" si="3"/>
        <v/>
      </c>
    </row>
    <row r="223" spans="1:13" x14ac:dyDescent="0.3">
      <c r="A223" t="str">
        <f>IF(MASTER_REGISTER!E223="","",MASTER_REGISTER!E223)</f>
        <v/>
      </c>
      <c r="B223" t="str">
        <f>IF(A223="","",MASTER_REGISTER!F223)</f>
        <v/>
      </c>
      <c r="C223" t="str">
        <f>IF(A223="","",MASTER_REGISTER!C223)</f>
        <v/>
      </c>
      <c r="D223" t="str">
        <f>IF(A223="","",COUNTIF(ASSESSMENTS!B:B,A223))</f>
        <v/>
      </c>
      <c r="E223" s="4" t="e">
        <f>IF(D223=0,"",ROUND(AVERAGEIF(ASSESSMENTS!B:B,A223,ASSESSMENTS!H:H),1))</f>
        <v>#DIV/0!</v>
      </c>
      <c r="F223" s="4" t="str">
        <f>IF(A223="","",IFERROR(ROUND(AVERAGEIFS(ASSESSMENTS!H:H,ASSESSMENTS!B:B,A223,ASSESSMENTS!E:E,"Mathematics"),1),""))</f>
        <v/>
      </c>
      <c r="G223" s="4" t="str">
        <f>IF(A223="","",IFERROR(ROUND(AVERAGEIFS(ASSESSMENTS!H:H,ASSESSMENTS!B:B,A223,ASSESSMENTS!E:E,"Mathematical Literacy"),1),""))</f>
        <v/>
      </c>
      <c r="H223" s="4" t="str">
        <f>IF(A223="","",IFERROR(ROUND(AVERAGEIFS(ASSESSMENTS!H:H,ASSESSMENTS!B:B,A223,ASSESSMENTS!E:E,"Physical Sciences"),1),""))</f>
        <v/>
      </c>
      <c r="I223" s="4" t="str">
        <f>IF(A223="","",IFERROR(ROUND(AVERAGEIFS(ASSESSMENTS!H:H,ASSESSMENTS!B:B,A223,ASSESSMENTS!E:E,"Geography"),1),""))</f>
        <v/>
      </c>
      <c r="J223" s="4" t="str">
        <f>IF(A223="","",IFERROR(ROUND(AVERAGEIFS(ASSESSMENTS!H:H,ASSESSMENTS!B:B,A223,ASSESSMENTS!E:E,"Accounting"),1),""))</f>
        <v/>
      </c>
      <c r="K223" s="4" t="str">
        <f>IF(A223="","",IFERROR(ROUND(AVERAGEIFS(ASSESSMENTS!H:H,ASSESSMENTS!B:B,A223,ASSESSMENTS!E:E,"English"),1),""))</f>
        <v/>
      </c>
      <c r="L223" s="5" t="str">
        <f>IF(A223="","",IFERROR(INDEX(ATTENDANCE_SUMMARY!G:G,MATCH(A223,ATTENDANCE_SUMMARY!A:A,0)),""))</f>
        <v/>
      </c>
      <c r="M223" s="4" t="str">
        <f t="shared" si="3"/>
        <v/>
      </c>
    </row>
    <row r="224" spans="1:13" x14ac:dyDescent="0.3">
      <c r="A224" t="str">
        <f>IF(MASTER_REGISTER!E224="","",MASTER_REGISTER!E224)</f>
        <v/>
      </c>
      <c r="B224" t="str">
        <f>IF(A224="","",MASTER_REGISTER!F224)</f>
        <v/>
      </c>
      <c r="C224" t="str">
        <f>IF(A224="","",MASTER_REGISTER!C224)</f>
        <v/>
      </c>
      <c r="D224" t="str">
        <f>IF(A224="","",COUNTIF(ASSESSMENTS!B:B,A224))</f>
        <v/>
      </c>
      <c r="E224" s="4" t="e">
        <f>IF(D224=0,"",ROUND(AVERAGEIF(ASSESSMENTS!B:B,A224,ASSESSMENTS!H:H),1))</f>
        <v>#DIV/0!</v>
      </c>
      <c r="F224" s="4" t="str">
        <f>IF(A224="","",IFERROR(ROUND(AVERAGEIFS(ASSESSMENTS!H:H,ASSESSMENTS!B:B,A224,ASSESSMENTS!E:E,"Mathematics"),1),""))</f>
        <v/>
      </c>
      <c r="G224" s="4" t="str">
        <f>IF(A224="","",IFERROR(ROUND(AVERAGEIFS(ASSESSMENTS!H:H,ASSESSMENTS!B:B,A224,ASSESSMENTS!E:E,"Mathematical Literacy"),1),""))</f>
        <v/>
      </c>
      <c r="H224" s="4" t="str">
        <f>IF(A224="","",IFERROR(ROUND(AVERAGEIFS(ASSESSMENTS!H:H,ASSESSMENTS!B:B,A224,ASSESSMENTS!E:E,"Physical Sciences"),1),""))</f>
        <v/>
      </c>
      <c r="I224" s="4" t="str">
        <f>IF(A224="","",IFERROR(ROUND(AVERAGEIFS(ASSESSMENTS!H:H,ASSESSMENTS!B:B,A224,ASSESSMENTS!E:E,"Geography"),1),""))</f>
        <v/>
      </c>
      <c r="J224" s="4" t="str">
        <f>IF(A224="","",IFERROR(ROUND(AVERAGEIFS(ASSESSMENTS!H:H,ASSESSMENTS!B:B,A224,ASSESSMENTS!E:E,"Accounting"),1),""))</f>
        <v/>
      </c>
      <c r="K224" s="4" t="str">
        <f>IF(A224="","",IFERROR(ROUND(AVERAGEIFS(ASSESSMENTS!H:H,ASSESSMENTS!B:B,A224,ASSESSMENTS!E:E,"English"),1),""))</f>
        <v/>
      </c>
      <c r="L224" s="5" t="str">
        <f>IF(A224="","",IFERROR(INDEX(ATTENDANCE_SUMMARY!G:G,MATCH(A224,ATTENDANCE_SUMMARY!A:A,0)),""))</f>
        <v/>
      </c>
      <c r="M224" s="4" t="str">
        <f t="shared" si="3"/>
        <v/>
      </c>
    </row>
    <row r="225" spans="1:13" x14ac:dyDescent="0.3">
      <c r="A225" t="str">
        <f>IF(MASTER_REGISTER!E225="","",MASTER_REGISTER!E225)</f>
        <v/>
      </c>
      <c r="B225" t="str">
        <f>IF(A225="","",MASTER_REGISTER!F225)</f>
        <v/>
      </c>
      <c r="C225" t="str">
        <f>IF(A225="","",MASTER_REGISTER!C225)</f>
        <v/>
      </c>
      <c r="D225" t="str">
        <f>IF(A225="","",COUNTIF(ASSESSMENTS!B:B,A225))</f>
        <v/>
      </c>
      <c r="E225" s="4" t="e">
        <f>IF(D225=0,"",ROUND(AVERAGEIF(ASSESSMENTS!B:B,A225,ASSESSMENTS!H:H),1))</f>
        <v>#DIV/0!</v>
      </c>
      <c r="F225" s="4" t="str">
        <f>IF(A225="","",IFERROR(ROUND(AVERAGEIFS(ASSESSMENTS!H:H,ASSESSMENTS!B:B,A225,ASSESSMENTS!E:E,"Mathematics"),1),""))</f>
        <v/>
      </c>
      <c r="G225" s="4" t="str">
        <f>IF(A225="","",IFERROR(ROUND(AVERAGEIFS(ASSESSMENTS!H:H,ASSESSMENTS!B:B,A225,ASSESSMENTS!E:E,"Mathematical Literacy"),1),""))</f>
        <v/>
      </c>
      <c r="H225" s="4" t="str">
        <f>IF(A225="","",IFERROR(ROUND(AVERAGEIFS(ASSESSMENTS!H:H,ASSESSMENTS!B:B,A225,ASSESSMENTS!E:E,"Physical Sciences"),1),""))</f>
        <v/>
      </c>
      <c r="I225" s="4" t="str">
        <f>IF(A225="","",IFERROR(ROUND(AVERAGEIFS(ASSESSMENTS!H:H,ASSESSMENTS!B:B,A225,ASSESSMENTS!E:E,"Geography"),1),""))</f>
        <v/>
      </c>
      <c r="J225" s="4" t="str">
        <f>IF(A225="","",IFERROR(ROUND(AVERAGEIFS(ASSESSMENTS!H:H,ASSESSMENTS!B:B,A225,ASSESSMENTS!E:E,"Accounting"),1),""))</f>
        <v/>
      </c>
      <c r="K225" s="4" t="str">
        <f>IF(A225="","",IFERROR(ROUND(AVERAGEIFS(ASSESSMENTS!H:H,ASSESSMENTS!B:B,A225,ASSESSMENTS!E:E,"English"),1),""))</f>
        <v/>
      </c>
      <c r="L225" s="5" t="str">
        <f>IF(A225="","",IFERROR(INDEX(ATTENDANCE_SUMMARY!G:G,MATCH(A225,ATTENDANCE_SUMMARY!A:A,0)),""))</f>
        <v/>
      </c>
      <c r="M225" s="4" t="str">
        <f t="shared" si="3"/>
        <v/>
      </c>
    </row>
    <row r="226" spans="1:13" x14ac:dyDescent="0.3">
      <c r="A226" t="str">
        <f>IF(MASTER_REGISTER!E226="","",MASTER_REGISTER!E226)</f>
        <v/>
      </c>
      <c r="B226" t="str">
        <f>IF(A226="","",MASTER_REGISTER!F226)</f>
        <v/>
      </c>
      <c r="C226" t="str">
        <f>IF(A226="","",MASTER_REGISTER!C226)</f>
        <v/>
      </c>
      <c r="D226" t="str">
        <f>IF(A226="","",COUNTIF(ASSESSMENTS!B:B,A226))</f>
        <v/>
      </c>
      <c r="E226" s="4" t="e">
        <f>IF(D226=0,"",ROUND(AVERAGEIF(ASSESSMENTS!B:B,A226,ASSESSMENTS!H:H),1))</f>
        <v>#DIV/0!</v>
      </c>
      <c r="F226" s="4" t="str">
        <f>IF(A226="","",IFERROR(ROUND(AVERAGEIFS(ASSESSMENTS!H:H,ASSESSMENTS!B:B,A226,ASSESSMENTS!E:E,"Mathematics"),1),""))</f>
        <v/>
      </c>
      <c r="G226" s="4" t="str">
        <f>IF(A226="","",IFERROR(ROUND(AVERAGEIFS(ASSESSMENTS!H:H,ASSESSMENTS!B:B,A226,ASSESSMENTS!E:E,"Mathematical Literacy"),1),""))</f>
        <v/>
      </c>
      <c r="H226" s="4" t="str">
        <f>IF(A226="","",IFERROR(ROUND(AVERAGEIFS(ASSESSMENTS!H:H,ASSESSMENTS!B:B,A226,ASSESSMENTS!E:E,"Physical Sciences"),1),""))</f>
        <v/>
      </c>
      <c r="I226" s="4" t="str">
        <f>IF(A226="","",IFERROR(ROUND(AVERAGEIFS(ASSESSMENTS!H:H,ASSESSMENTS!B:B,A226,ASSESSMENTS!E:E,"Geography"),1),""))</f>
        <v/>
      </c>
      <c r="J226" s="4" t="str">
        <f>IF(A226="","",IFERROR(ROUND(AVERAGEIFS(ASSESSMENTS!H:H,ASSESSMENTS!B:B,A226,ASSESSMENTS!E:E,"Accounting"),1),""))</f>
        <v/>
      </c>
      <c r="K226" s="4" t="str">
        <f>IF(A226="","",IFERROR(ROUND(AVERAGEIFS(ASSESSMENTS!H:H,ASSESSMENTS!B:B,A226,ASSESSMENTS!E:E,"English"),1),""))</f>
        <v/>
      </c>
      <c r="L226" s="5" t="str">
        <f>IF(A226="","",IFERROR(INDEX(ATTENDANCE_SUMMARY!G:G,MATCH(A226,ATTENDANCE_SUMMARY!A:A,0)),""))</f>
        <v/>
      </c>
      <c r="M226" s="4" t="str">
        <f t="shared" si="3"/>
        <v/>
      </c>
    </row>
    <row r="227" spans="1:13" x14ac:dyDescent="0.3">
      <c r="A227" t="str">
        <f>IF(MASTER_REGISTER!E227="","",MASTER_REGISTER!E227)</f>
        <v/>
      </c>
      <c r="B227" t="str">
        <f>IF(A227="","",MASTER_REGISTER!F227)</f>
        <v/>
      </c>
      <c r="C227" t="str">
        <f>IF(A227="","",MASTER_REGISTER!C227)</f>
        <v/>
      </c>
      <c r="D227" t="str">
        <f>IF(A227="","",COUNTIF(ASSESSMENTS!B:B,A227))</f>
        <v/>
      </c>
      <c r="E227" s="4" t="e">
        <f>IF(D227=0,"",ROUND(AVERAGEIF(ASSESSMENTS!B:B,A227,ASSESSMENTS!H:H),1))</f>
        <v>#DIV/0!</v>
      </c>
      <c r="F227" s="4" t="str">
        <f>IF(A227="","",IFERROR(ROUND(AVERAGEIFS(ASSESSMENTS!H:H,ASSESSMENTS!B:B,A227,ASSESSMENTS!E:E,"Mathematics"),1),""))</f>
        <v/>
      </c>
      <c r="G227" s="4" t="str">
        <f>IF(A227="","",IFERROR(ROUND(AVERAGEIFS(ASSESSMENTS!H:H,ASSESSMENTS!B:B,A227,ASSESSMENTS!E:E,"Mathematical Literacy"),1),""))</f>
        <v/>
      </c>
      <c r="H227" s="4" t="str">
        <f>IF(A227="","",IFERROR(ROUND(AVERAGEIFS(ASSESSMENTS!H:H,ASSESSMENTS!B:B,A227,ASSESSMENTS!E:E,"Physical Sciences"),1),""))</f>
        <v/>
      </c>
      <c r="I227" s="4" t="str">
        <f>IF(A227="","",IFERROR(ROUND(AVERAGEIFS(ASSESSMENTS!H:H,ASSESSMENTS!B:B,A227,ASSESSMENTS!E:E,"Geography"),1),""))</f>
        <v/>
      </c>
      <c r="J227" s="4" t="str">
        <f>IF(A227="","",IFERROR(ROUND(AVERAGEIFS(ASSESSMENTS!H:H,ASSESSMENTS!B:B,A227,ASSESSMENTS!E:E,"Accounting"),1),""))</f>
        <v/>
      </c>
      <c r="K227" s="4" t="str">
        <f>IF(A227="","",IFERROR(ROUND(AVERAGEIFS(ASSESSMENTS!H:H,ASSESSMENTS!B:B,A227,ASSESSMENTS!E:E,"English"),1),""))</f>
        <v/>
      </c>
      <c r="L227" s="5" t="str">
        <f>IF(A227="","",IFERROR(INDEX(ATTENDANCE_SUMMARY!G:G,MATCH(A227,ATTENDANCE_SUMMARY!A:A,0)),""))</f>
        <v/>
      </c>
      <c r="M227" s="4" t="str">
        <f t="shared" si="3"/>
        <v/>
      </c>
    </row>
    <row r="228" spans="1:13" x14ac:dyDescent="0.3">
      <c r="A228" t="str">
        <f>IF(MASTER_REGISTER!E228="","",MASTER_REGISTER!E228)</f>
        <v/>
      </c>
      <c r="B228" t="str">
        <f>IF(A228="","",MASTER_REGISTER!F228)</f>
        <v/>
      </c>
      <c r="C228" t="str">
        <f>IF(A228="","",MASTER_REGISTER!C228)</f>
        <v/>
      </c>
      <c r="D228" t="str">
        <f>IF(A228="","",COUNTIF(ASSESSMENTS!B:B,A228))</f>
        <v/>
      </c>
      <c r="E228" s="4" t="e">
        <f>IF(D228=0,"",ROUND(AVERAGEIF(ASSESSMENTS!B:B,A228,ASSESSMENTS!H:H),1))</f>
        <v>#DIV/0!</v>
      </c>
      <c r="F228" s="4" t="str">
        <f>IF(A228="","",IFERROR(ROUND(AVERAGEIFS(ASSESSMENTS!H:H,ASSESSMENTS!B:B,A228,ASSESSMENTS!E:E,"Mathematics"),1),""))</f>
        <v/>
      </c>
      <c r="G228" s="4" t="str">
        <f>IF(A228="","",IFERROR(ROUND(AVERAGEIFS(ASSESSMENTS!H:H,ASSESSMENTS!B:B,A228,ASSESSMENTS!E:E,"Mathematical Literacy"),1),""))</f>
        <v/>
      </c>
      <c r="H228" s="4" t="str">
        <f>IF(A228="","",IFERROR(ROUND(AVERAGEIFS(ASSESSMENTS!H:H,ASSESSMENTS!B:B,A228,ASSESSMENTS!E:E,"Physical Sciences"),1),""))</f>
        <v/>
      </c>
      <c r="I228" s="4" t="str">
        <f>IF(A228="","",IFERROR(ROUND(AVERAGEIFS(ASSESSMENTS!H:H,ASSESSMENTS!B:B,A228,ASSESSMENTS!E:E,"Geography"),1),""))</f>
        <v/>
      </c>
      <c r="J228" s="4" t="str">
        <f>IF(A228="","",IFERROR(ROUND(AVERAGEIFS(ASSESSMENTS!H:H,ASSESSMENTS!B:B,A228,ASSESSMENTS!E:E,"Accounting"),1),""))</f>
        <v/>
      </c>
      <c r="K228" s="4" t="str">
        <f>IF(A228="","",IFERROR(ROUND(AVERAGEIFS(ASSESSMENTS!H:H,ASSESSMENTS!B:B,A228,ASSESSMENTS!E:E,"English"),1),""))</f>
        <v/>
      </c>
      <c r="L228" s="5" t="str">
        <f>IF(A228="","",IFERROR(INDEX(ATTENDANCE_SUMMARY!G:G,MATCH(A228,ATTENDANCE_SUMMARY!A:A,0)),""))</f>
        <v/>
      </c>
      <c r="M228" s="4" t="str">
        <f t="shared" si="3"/>
        <v/>
      </c>
    </row>
    <row r="229" spans="1:13" x14ac:dyDescent="0.3">
      <c r="A229" t="str">
        <f>IF(MASTER_REGISTER!E229="","",MASTER_REGISTER!E229)</f>
        <v/>
      </c>
      <c r="B229" t="str">
        <f>IF(A229="","",MASTER_REGISTER!F229)</f>
        <v/>
      </c>
      <c r="C229" t="str">
        <f>IF(A229="","",MASTER_REGISTER!C229)</f>
        <v/>
      </c>
      <c r="D229" t="str">
        <f>IF(A229="","",COUNTIF(ASSESSMENTS!B:B,A229))</f>
        <v/>
      </c>
      <c r="E229" s="4" t="e">
        <f>IF(D229=0,"",ROUND(AVERAGEIF(ASSESSMENTS!B:B,A229,ASSESSMENTS!H:H),1))</f>
        <v>#DIV/0!</v>
      </c>
      <c r="F229" s="4" t="str">
        <f>IF(A229="","",IFERROR(ROUND(AVERAGEIFS(ASSESSMENTS!H:H,ASSESSMENTS!B:B,A229,ASSESSMENTS!E:E,"Mathematics"),1),""))</f>
        <v/>
      </c>
      <c r="G229" s="4" t="str">
        <f>IF(A229="","",IFERROR(ROUND(AVERAGEIFS(ASSESSMENTS!H:H,ASSESSMENTS!B:B,A229,ASSESSMENTS!E:E,"Mathematical Literacy"),1),""))</f>
        <v/>
      </c>
      <c r="H229" s="4" t="str">
        <f>IF(A229="","",IFERROR(ROUND(AVERAGEIFS(ASSESSMENTS!H:H,ASSESSMENTS!B:B,A229,ASSESSMENTS!E:E,"Physical Sciences"),1),""))</f>
        <v/>
      </c>
      <c r="I229" s="4" t="str">
        <f>IF(A229="","",IFERROR(ROUND(AVERAGEIFS(ASSESSMENTS!H:H,ASSESSMENTS!B:B,A229,ASSESSMENTS!E:E,"Geography"),1),""))</f>
        <v/>
      </c>
      <c r="J229" s="4" t="str">
        <f>IF(A229="","",IFERROR(ROUND(AVERAGEIFS(ASSESSMENTS!H:H,ASSESSMENTS!B:B,A229,ASSESSMENTS!E:E,"Accounting"),1),""))</f>
        <v/>
      </c>
      <c r="K229" s="4" t="str">
        <f>IF(A229="","",IFERROR(ROUND(AVERAGEIFS(ASSESSMENTS!H:H,ASSESSMENTS!B:B,A229,ASSESSMENTS!E:E,"English"),1),""))</f>
        <v/>
      </c>
      <c r="L229" s="5" t="str">
        <f>IF(A229="","",IFERROR(INDEX(ATTENDANCE_SUMMARY!G:G,MATCH(A229,ATTENDANCE_SUMMARY!A:A,0)),""))</f>
        <v/>
      </c>
      <c r="M229" s="4" t="str">
        <f t="shared" si="3"/>
        <v/>
      </c>
    </row>
    <row r="230" spans="1:13" x14ac:dyDescent="0.3">
      <c r="A230" t="str">
        <f>IF(MASTER_REGISTER!E230="","",MASTER_REGISTER!E230)</f>
        <v/>
      </c>
      <c r="B230" t="str">
        <f>IF(A230="","",MASTER_REGISTER!F230)</f>
        <v/>
      </c>
      <c r="C230" t="str">
        <f>IF(A230="","",MASTER_REGISTER!C230)</f>
        <v/>
      </c>
      <c r="D230" t="str">
        <f>IF(A230="","",COUNTIF(ASSESSMENTS!B:B,A230))</f>
        <v/>
      </c>
      <c r="E230" s="4" t="e">
        <f>IF(D230=0,"",ROUND(AVERAGEIF(ASSESSMENTS!B:B,A230,ASSESSMENTS!H:H),1))</f>
        <v>#DIV/0!</v>
      </c>
      <c r="F230" s="4" t="str">
        <f>IF(A230="","",IFERROR(ROUND(AVERAGEIFS(ASSESSMENTS!H:H,ASSESSMENTS!B:B,A230,ASSESSMENTS!E:E,"Mathematics"),1),""))</f>
        <v/>
      </c>
      <c r="G230" s="4" t="str">
        <f>IF(A230="","",IFERROR(ROUND(AVERAGEIFS(ASSESSMENTS!H:H,ASSESSMENTS!B:B,A230,ASSESSMENTS!E:E,"Mathematical Literacy"),1),""))</f>
        <v/>
      </c>
      <c r="H230" s="4" t="str">
        <f>IF(A230="","",IFERROR(ROUND(AVERAGEIFS(ASSESSMENTS!H:H,ASSESSMENTS!B:B,A230,ASSESSMENTS!E:E,"Physical Sciences"),1),""))</f>
        <v/>
      </c>
      <c r="I230" s="4" t="str">
        <f>IF(A230="","",IFERROR(ROUND(AVERAGEIFS(ASSESSMENTS!H:H,ASSESSMENTS!B:B,A230,ASSESSMENTS!E:E,"Geography"),1),""))</f>
        <v/>
      </c>
      <c r="J230" s="4" t="str">
        <f>IF(A230="","",IFERROR(ROUND(AVERAGEIFS(ASSESSMENTS!H:H,ASSESSMENTS!B:B,A230,ASSESSMENTS!E:E,"Accounting"),1),""))</f>
        <v/>
      </c>
      <c r="K230" s="4" t="str">
        <f>IF(A230="","",IFERROR(ROUND(AVERAGEIFS(ASSESSMENTS!H:H,ASSESSMENTS!B:B,A230,ASSESSMENTS!E:E,"English"),1),""))</f>
        <v/>
      </c>
      <c r="L230" s="5" t="str">
        <f>IF(A230="","",IFERROR(INDEX(ATTENDANCE_SUMMARY!G:G,MATCH(A230,ATTENDANCE_SUMMARY!A:A,0)),""))</f>
        <v/>
      </c>
      <c r="M230" s="4" t="str">
        <f t="shared" si="3"/>
        <v/>
      </c>
    </row>
    <row r="231" spans="1:13" x14ac:dyDescent="0.3">
      <c r="A231" t="str">
        <f>IF(MASTER_REGISTER!E231="","",MASTER_REGISTER!E231)</f>
        <v/>
      </c>
      <c r="B231" t="str">
        <f>IF(A231="","",MASTER_REGISTER!F231)</f>
        <v/>
      </c>
      <c r="C231" t="str">
        <f>IF(A231="","",MASTER_REGISTER!C231)</f>
        <v/>
      </c>
      <c r="D231" t="str">
        <f>IF(A231="","",COUNTIF(ASSESSMENTS!B:B,A231))</f>
        <v/>
      </c>
      <c r="E231" s="4" t="e">
        <f>IF(D231=0,"",ROUND(AVERAGEIF(ASSESSMENTS!B:B,A231,ASSESSMENTS!H:H),1))</f>
        <v>#DIV/0!</v>
      </c>
      <c r="F231" s="4" t="str">
        <f>IF(A231="","",IFERROR(ROUND(AVERAGEIFS(ASSESSMENTS!H:H,ASSESSMENTS!B:B,A231,ASSESSMENTS!E:E,"Mathematics"),1),""))</f>
        <v/>
      </c>
      <c r="G231" s="4" t="str">
        <f>IF(A231="","",IFERROR(ROUND(AVERAGEIFS(ASSESSMENTS!H:H,ASSESSMENTS!B:B,A231,ASSESSMENTS!E:E,"Mathematical Literacy"),1),""))</f>
        <v/>
      </c>
      <c r="H231" s="4" t="str">
        <f>IF(A231="","",IFERROR(ROUND(AVERAGEIFS(ASSESSMENTS!H:H,ASSESSMENTS!B:B,A231,ASSESSMENTS!E:E,"Physical Sciences"),1),""))</f>
        <v/>
      </c>
      <c r="I231" s="4" t="str">
        <f>IF(A231="","",IFERROR(ROUND(AVERAGEIFS(ASSESSMENTS!H:H,ASSESSMENTS!B:B,A231,ASSESSMENTS!E:E,"Geography"),1),""))</f>
        <v/>
      </c>
      <c r="J231" s="4" t="str">
        <f>IF(A231="","",IFERROR(ROUND(AVERAGEIFS(ASSESSMENTS!H:H,ASSESSMENTS!B:B,A231,ASSESSMENTS!E:E,"Accounting"),1),""))</f>
        <v/>
      </c>
      <c r="K231" s="4" t="str">
        <f>IF(A231="","",IFERROR(ROUND(AVERAGEIFS(ASSESSMENTS!H:H,ASSESSMENTS!B:B,A231,ASSESSMENTS!E:E,"English"),1),""))</f>
        <v/>
      </c>
      <c r="L231" s="5" t="str">
        <f>IF(A231="","",IFERROR(INDEX(ATTENDANCE_SUMMARY!G:G,MATCH(A231,ATTENDANCE_SUMMARY!A:A,0)),""))</f>
        <v/>
      </c>
      <c r="M231" s="4" t="str">
        <f t="shared" si="3"/>
        <v/>
      </c>
    </row>
    <row r="232" spans="1:13" x14ac:dyDescent="0.3">
      <c r="A232" t="str">
        <f>IF(MASTER_REGISTER!E232="","",MASTER_REGISTER!E232)</f>
        <v/>
      </c>
      <c r="B232" t="str">
        <f>IF(A232="","",MASTER_REGISTER!F232)</f>
        <v/>
      </c>
      <c r="C232" t="str">
        <f>IF(A232="","",MASTER_REGISTER!C232)</f>
        <v/>
      </c>
      <c r="D232" t="str">
        <f>IF(A232="","",COUNTIF(ASSESSMENTS!B:B,A232))</f>
        <v/>
      </c>
      <c r="E232" s="4" t="e">
        <f>IF(D232=0,"",ROUND(AVERAGEIF(ASSESSMENTS!B:B,A232,ASSESSMENTS!H:H),1))</f>
        <v>#DIV/0!</v>
      </c>
      <c r="F232" s="4" t="str">
        <f>IF(A232="","",IFERROR(ROUND(AVERAGEIFS(ASSESSMENTS!H:H,ASSESSMENTS!B:B,A232,ASSESSMENTS!E:E,"Mathematics"),1),""))</f>
        <v/>
      </c>
      <c r="G232" s="4" t="str">
        <f>IF(A232="","",IFERROR(ROUND(AVERAGEIFS(ASSESSMENTS!H:H,ASSESSMENTS!B:B,A232,ASSESSMENTS!E:E,"Mathematical Literacy"),1),""))</f>
        <v/>
      </c>
      <c r="H232" s="4" t="str">
        <f>IF(A232="","",IFERROR(ROUND(AVERAGEIFS(ASSESSMENTS!H:H,ASSESSMENTS!B:B,A232,ASSESSMENTS!E:E,"Physical Sciences"),1),""))</f>
        <v/>
      </c>
      <c r="I232" s="4" t="str">
        <f>IF(A232="","",IFERROR(ROUND(AVERAGEIFS(ASSESSMENTS!H:H,ASSESSMENTS!B:B,A232,ASSESSMENTS!E:E,"Geography"),1),""))</f>
        <v/>
      </c>
      <c r="J232" s="4" t="str">
        <f>IF(A232="","",IFERROR(ROUND(AVERAGEIFS(ASSESSMENTS!H:H,ASSESSMENTS!B:B,A232,ASSESSMENTS!E:E,"Accounting"),1),""))</f>
        <v/>
      </c>
      <c r="K232" s="4" t="str">
        <f>IF(A232="","",IFERROR(ROUND(AVERAGEIFS(ASSESSMENTS!H:H,ASSESSMENTS!B:B,A232,ASSESSMENTS!E:E,"English"),1),""))</f>
        <v/>
      </c>
      <c r="L232" s="5" t="str">
        <f>IF(A232="","",IFERROR(INDEX(ATTENDANCE_SUMMARY!G:G,MATCH(A232,ATTENDANCE_SUMMARY!A:A,0)),""))</f>
        <v/>
      </c>
      <c r="M232" s="4" t="str">
        <f t="shared" si="3"/>
        <v/>
      </c>
    </row>
    <row r="233" spans="1:13" x14ac:dyDescent="0.3">
      <c r="A233" t="str">
        <f>IF(MASTER_REGISTER!E233="","",MASTER_REGISTER!E233)</f>
        <v/>
      </c>
      <c r="B233" t="str">
        <f>IF(A233="","",MASTER_REGISTER!F233)</f>
        <v/>
      </c>
      <c r="C233" t="str">
        <f>IF(A233="","",MASTER_REGISTER!C233)</f>
        <v/>
      </c>
      <c r="D233" t="str">
        <f>IF(A233="","",COUNTIF(ASSESSMENTS!B:B,A233))</f>
        <v/>
      </c>
      <c r="E233" s="4" t="e">
        <f>IF(D233=0,"",ROUND(AVERAGEIF(ASSESSMENTS!B:B,A233,ASSESSMENTS!H:H),1))</f>
        <v>#DIV/0!</v>
      </c>
      <c r="F233" s="4" t="str">
        <f>IF(A233="","",IFERROR(ROUND(AVERAGEIFS(ASSESSMENTS!H:H,ASSESSMENTS!B:B,A233,ASSESSMENTS!E:E,"Mathematics"),1),""))</f>
        <v/>
      </c>
      <c r="G233" s="4" t="str">
        <f>IF(A233="","",IFERROR(ROUND(AVERAGEIFS(ASSESSMENTS!H:H,ASSESSMENTS!B:B,A233,ASSESSMENTS!E:E,"Mathematical Literacy"),1),""))</f>
        <v/>
      </c>
      <c r="H233" s="4" t="str">
        <f>IF(A233="","",IFERROR(ROUND(AVERAGEIFS(ASSESSMENTS!H:H,ASSESSMENTS!B:B,A233,ASSESSMENTS!E:E,"Physical Sciences"),1),""))</f>
        <v/>
      </c>
      <c r="I233" s="4" t="str">
        <f>IF(A233="","",IFERROR(ROUND(AVERAGEIFS(ASSESSMENTS!H:H,ASSESSMENTS!B:B,A233,ASSESSMENTS!E:E,"Geography"),1),""))</f>
        <v/>
      </c>
      <c r="J233" s="4" t="str">
        <f>IF(A233="","",IFERROR(ROUND(AVERAGEIFS(ASSESSMENTS!H:H,ASSESSMENTS!B:B,A233,ASSESSMENTS!E:E,"Accounting"),1),""))</f>
        <v/>
      </c>
      <c r="K233" s="4" t="str">
        <f>IF(A233="","",IFERROR(ROUND(AVERAGEIFS(ASSESSMENTS!H:H,ASSESSMENTS!B:B,A233,ASSESSMENTS!E:E,"English"),1),""))</f>
        <v/>
      </c>
      <c r="L233" s="5" t="str">
        <f>IF(A233="","",IFERROR(INDEX(ATTENDANCE_SUMMARY!G:G,MATCH(A233,ATTENDANCE_SUMMARY!A:A,0)),""))</f>
        <v/>
      </c>
      <c r="M233" s="4" t="str">
        <f t="shared" si="3"/>
        <v/>
      </c>
    </row>
    <row r="234" spans="1:13" x14ac:dyDescent="0.3">
      <c r="A234" t="str">
        <f>IF(MASTER_REGISTER!E234="","",MASTER_REGISTER!E234)</f>
        <v/>
      </c>
      <c r="B234" t="str">
        <f>IF(A234="","",MASTER_REGISTER!F234)</f>
        <v/>
      </c>
      <c r="C234" t="str">
        <f>IF(A234="","",MASTER_REGISTER!C234)</f>
        <v/>
      </c>
      <c r="D234" t="str">
        <f>IF(A234="","",COUNTIF(ASSESSMENTS!B:B,A234))</f>
        <v/>
      </c>
      <c r="E234" s="4" t="e">
        <f>IF(D234=0,"",ROUND(AVERAGEIF(ASSESSMENTS!B:B,A234,ASSESSMENTS!H:H),1))</f>
        <v>#DIV/0!</v>
      </c>
      <c r="F234" s="4" t="str">
        <f>IF(A234="","",IFERROR(ROUND(AVERAGEIFS(ASSESSMENTS!H:H,ASSESSMENTS!B:B,A234,ASSESSMENTS!E:E,"Mathematics"),1),""))</f>
        <v/>
      </c>
      <c r="G234" s="4" t="str">
        <f>IF(A234="","",IFERROR(ROUND(AVERAGEIFS(ASSESSMENTS!H:H,ASSESSMENTS!B:B,A234,ASSESSMENTS!E:E,"Mathematical Literacy"),1),""))</f>
        <v/>
      </c>
      <c r="H234" s="4" t="str">
        <f>IF(A234="","",IFERROR(ROUND(AVERAGEIFS(ASSESSMENTS!H:H,ASSESSMENTS!B:B,A234,ASSESSMENTS!E:E,"Physical Sciences"),1),""))</f>
        <v/>
      </c>
      <c r="I234" s="4" t="str">
        <f>IF(A234="","",IFERROR(ROUND(AVERAGEIFS(ASSESSMENTS!H:H,ASSESSMENTS!B:B,A234,ASSESSMENTS!E:E,"Geography"),1),""))</f>
        <v/>
      </c>
      <c r="J234" s="4" t="str">
        <f>IF(A234="","",IFERROR(ROUND(AVERAGEIFS(ASSESSMENTS!H:H,ASSESSMENTS!B:B,A234,ASSESSMENTS!E:E,"Accounting"),1),""))</f>
        <v/>
      </c>
      <c r="K234" s="4" t="str">
        <f>IF(A234="","",IFERROR(ROUND(AVERAGEIFS(ASSESSMENTS!H:H,ASSESSMENTS!B:B,A234,ASSESSMENTS!E:E,"English"),1),""))</f>
        <v/>
      </c>
      <c r="L234" s="5" t="str">
        <f>IF(A234="","",IFERROR(INDEX(ATTENDANCE_SUMMARY!G:G,MATCH(A234,ATTENDANCE_SUMMARY!A:A,0)),""))</f>
        <v/>
      </c>
      <c r="M234" s="4" t="str">
        <f t="shared" si="3"/>
        <v/>
      </c>
    </row>
    <row r="235" spans="1:13" x14ac:dyDescent="0.3">
      <c r="A235" t="str">
        <f>IF(MASTER_REGISTER!E235="","",MASTER_REGISTER!E235)</f>
        <v/>
      </c>
      <c r="B235" t="str">
        <f>IF(A235="","",MASTER_REGISTER!F235)</f>
        <v/>
      </c>
      <c r="C235" t="str">
        <f>IF(A235="","",MASTER_REGISTER!C235)</f>
        <v/>
      </c>
      <c r="D235" t="str">
        <f>IF(A235="","",COUNTIF(ASSESSMENTS!B:B,A235))</f>
        <v/>
      </c>
      <c r="E235" s="4" t="e">
        <f>IF(D235=0,"",ROUND(AVERAGEIF(ASSESSMENTS!B:B,A235,ASSESSMENTS!H:H),1))</f>
        <v>#DIV/0!</v>
      </c>
      <c r="F235" s="4" t="str">
        <f>IF(A235="","",IFERROR(ROUND(AVERAGEIFS(ASSESSMENTS!H:H,ASSESSMENTS!B:B,A235,ASSESSMENTS!E:E,"Mathematics"),1),""))</f>
        <v/>
      </c>
      <c r="G235" s="4" t="str">
        <f>IF(A235="","",IFERROR(ROUND(AVERAGEIFS(ASSESSMENTS!H:H,ASSESSMENTS!B:B,A235,ASSESSMENTS!E:E,"Mathematical Literacy"),1),""))</f>
        <v/>
      </c>
      <c r="H235" s="4" t="str">
        <f>IF(A235="","",IFERROR(ROUND(AVERAGEIFS(ASSESSMENTS!H:H,ASSESSMENTS!B:B,A235,ASSESSMENTS!E:E,"Physical Sciences"),1),""))</f>
        <v/>
      </c>
      <c r="I235" s="4" t="str">
        <f>IF(A235="","",IFERROR(ROUND(AVERAGEIFS(ASSESSMENTS!H:H,ASSESSMENTS!B:B,A235,ASSESSMENTS!E:E,"Geography"),1),""))</f>
        <v/>
      </c>
      <c r="J235" s="4" t="str">
        <f>IF(A235="","",IFERROR(ROUND(AVERAGEIFS(ASSESSMENTS!H:H,ASSESSMENTS!B:B,A235,ASSESSMENTS!E:E,"Accounting"),1),""))</f>
        <v/>
      </c>
      <c r="K235" s="4" t="str">
        <f>IF(A235="","",IFERROR(ROUND(AVERAGEIFS(ASSESSMENTS!H:H,ASSESSMENTS!B:B,A235,ASSESSMENTS!E:E,"English"),1),""))</f>
        <v/>
      </c>
      <c r="L235" s="5" t="str">
        <f>IF(A235="","",IFERROR(INDEX(ATTENDANCE_SUMMARY!G:G,MATCH(A235,ATTENDANCE_SUMMARY!A:A,0)),""))</f>
        <v/>
      </c>
      <c r="M235" s="4" t="str">
        <f t="shared" si="3"/>
        <v/>
      </c>
    </row>
    <row r="236" spans="1:13" x14ac:dyDescent="0.3">
      <c r="A236" t="str">
        <f>IF(MASTER_REGISTER!E236="","",MASTER_REGISTER!E236)</f>
        <v/>
      </c>
      <c r="B236" t="str">
        <f>IF(A236="","",MASTER_REGISTER!F236)</f>
        <v/>
      </c>
      <c r="C236" t="str">
        <f>IF(A236="","",MASTER_REGISTER!C236)</f>
        <v/>
      </c>
      <c r="D236" t="str">
        <f>IF(A236="","",COUNTIF(ASSESSMENTS!B:B,A236))</f>
        <v/>
      </c>
      <c r="E236" s="4" t="e">
        <f>IF(D236=0,"",ROUND(AVERAGEIF(ASSESSMENTS!B:B,A236,ASSESSMENTS!H:H),1))</f>
        <v>#DIV/0!</v>
      </c>
      <c r="F236" s="4" t="str">
        <f>IF(A236="","",IFERROR(ROUND(AVERAGEIFS(ASSESSMENTS!H:H,ASSESSMENTS!B:B,A236,ASSESSMENTS!E:E,"Mathematics"),1),""))</f>
        <v/>
      </c>
      <c r="G236" s="4" t="str">
        <f>IF(A236="","",IFERROR(ROUND(AVERAGEIFS(ASSESSMENTS!H:H,ASSESSMENTS!B:B,A236,ASSESSMENTS!E:E,"Mathematical Literacy"),1),""))</f>
        <v/>
      </c>
      <c r="H236" s="4" t="str">
        <f>IF(A236="","",IFERROR(ROUND(AVERAGEIFS(ASSESSMENTS!H:H,ASSESSMENTS!B:B,A236,ASSESSMENTS!E:E,"Physical Sciences"),1),""))</f>
        <v/>
      </c>
      <c r="I236" s="4" t="str">
        <f>IF(A236="","",IFERROR(ROUND(AVERAGEIFS(ASSESSMENTS!H:H,ASSESSMENTS!B:B,A236,ASSESSMENTS!E:E,"Geography"),1),""))</f>
        <v/>
      </c>
      <c r="J236" s="4" t="str">
        <f>IF(A236="","",IFERROR(ROUND(AVERAGEIFS(ASSESSMENTS!H:H,ASSESSMENTS!B:B,A236,ASSESSMENTS!E:E,"Accounting"),1),""))</f>
        <v/>
      </c>
      <c r="K236" s="4" t="str">
        <f>IF(A236="","",IFERROR(ROUND(AVERAGEIFS(ASSESSMENTS!H:H,ASSESSMENTS!B:B,A236,ASSESSMENTS!E:E,"English"),1),""))</f>
        <v/>
      </c>
      <c r="L236" s="5" t="str">
        <f>IF(A236="","",IFERROR(INDEX(ATTENDANCE_SUMMARY!G:G,MATCH(A236,ATTENDANCE_SUMMARY!A:A,0)),""))</f>
        <v/>
      </c>
      <c r="M236" s="4" t="str">
        <f t="shared" si="3"/>
        <v/>
      </c>
    </row>
    <row r="237" spans="1:13" x14ac:dyDescent="0.3">
      <c r="A237" t="str">
        <f>IF(MASTER_REGISTER!E237="","",MASTER_REGISTER!E237)</f>
        <v/>
      </c>
      <c r="B237" t="str">
        <f>IF(A237="","",MASTER_REGISTER!F237)</f>
        <v/>
      </c>
      <c r="C237" t="str">
        <f>IF(A237="","",MASTER_REGISTER!C237)</f>
        <v/>
      </c>
      <c r="D237" t="str">
        <f>IF(A237="","",COUNTIF(ASSESSMENTS!B:B,A237))</f>
        <v/>
      </c>
      <c r="E237" s="4" t="e">
        <f>IF(D237=0,"",ROUND(AVERAGEIF(ASSESSMENTS!B:B,A237,ASSESSMENTS!H:H),1))</f>
        <v>#DIV/0!</v>
      </c>
      <c r="F237" s="4" t="str">
        <f>IF(A237="","",IFERROR(ROUND(AVERAGEIFS(ASSESSMENTS!H:H,ASSESSMENTS!B:B,A237,ASSESSMENTS!E:E,"Mathematics"),1),""))</f>
        <v/>
      </c>
      <c r="G237" s="4" t="str">
        <f>IF(A237="","",IFERROR(ROUND(AVERAGEIFS(ASSESSMENTS!H:H,ASSESSMENTS!B:B,A237,ASSESSMENTS!E:E,"Mathematical Literacy"),1),""))</f>
        <v/>
      </c>
      <c r="H237" s="4" t="str">
        <f>IF(A237="","",IFERROR(ROUND(AVERAGEIFS(ASSESSMENTS!H:H,ASSESSMENTS!B:B,A237,ASSESSMENTS!E:E,"Physical Sciences"),1),""))</f>
        <v/>
      </c>
      <c r="I237" s="4" t="str">
        <f>IF(A237="","",IFERROR(ROUND(AVERAGEIFS(ASSESSMENTS!H:H,ASSESSMENTS!B:B,A237,ASSESSMENTS!E:E,"Geography"),1),""))</f>
        <v/>
      </c>
      <c r="J237" s="4" t="str">
        <f>IF(A237="","",IFERROR(ROUND(AVERAGEIFS(ASSESSMENTS!H:H,ASSESSMENTS!B:B,A237,ASSESSMENTS!E:E,"Accounting"),1),""))</f>
        <v/>
      </c>
      <c r="K237" s="4" t="str">
        <f>IF(A237="","",IFERROR(ROUND(AVERAGEIFS(ASSESSMENTS!H:H,ASSESSMENTS!B:B,A237,ASSESSMENTS!E:E,"English"),1),""))</f>
        <v/>
      </c>
      <c r="L237" s="5" t="str">
        <f>IF(A237="","",IFERROR(INDEX(ATTENDANCE_SUMMARY!G:G,MATCH(A237,ATTENDANCE_SUMMARY!A:A,0)),""))</f>
        <v/>
      </c>
      <c r="M237" s="4" t="str">
        <f t="shared" si="3"/>
        <v/>
      </c>
    </row>
    <row r="238" spans="1:13" x14ac:dyDescent="0.3">
      <c r="A238" t="str">
        <f>IF(MASTER_REGISTER!E238="","",MASTER_REGISTER!E238)</f>
        <v/>
      </c>
      <c r="B238" t="str">
        <f>IF(A238="","",MASTER_REGISTER!F238)</f>
        <v/>
      </c>
      <c r="C238" t="str">
        <f>IF(A238="","",MASTER_REGISTER!C238)</f>
        <v/>
      </c>
      <c r="D238" t="str">
        <f>IF(A238="","",COUNTIF(ASSESSMENTS!B:B,A238))</f>
        <v/>
      </c>
      <c r="E238" s="4" t="e">
        <f>IF(D238=0,"",ROUND(AVERAGEIF(ASSESSMENTS!B:B,A238,ASSESSMENTS!H:H),1))</f>
        <v>#DIV/0!</v>
      </c>
      <c r="F238" s="4" t="str">
        <f>IF(A238="","",IFERROR(ROUND(AVERAGEIFS(ASSESSMENTS!H:H,ASSESSMENTS!B:B,A238,ASSESSMENTS!E:E,"Mathematics"),1),""))</f>
        <v/>
      </c>
      <c r="G238" s="4" t="str">
        <f>IF(A238="","",IFERROR(ROUND(AVERAGEIFS(ASSESSMENTS!H:H,ASSESSMENTS!B:B,A238,ASSESSMENTS!E:E,"Mathematical Literacy"),1),""))</f>
        <v/>
      </c>
      <c r="H238" s="4" t="str">
        <f>IF(A238="","",IFERROR(ROUND(AVERAGEIFS(ASSESSMENTS!H:H,ASSESSMENTS!B:B,A238,ASSESSMENTS!E:E,"Physical Sciences"),1),""))</f>
        <v/>
      </c>
      <c r="I238" s="4" t="str">
        <f>IF(A238="","",IFERROR(ROUND(AVERAGEIFS(ASSESSMENTS!H:H,ASSESSMENTS!B:B,A238,ASSESSMENTS!E:E,"Geography"),1),""))</f>
        <v/>
      </c>
      <c r="J238" s="4" t="str">
        <f>IF(A238="","",IFERROR(ROUND(AVERAGEIFS(ASSESSMENTS!H:H,ASSESSMENTS!B:B,A238,ASSESSMENTS!E:E,"Accounting"),1),""))</f>
        <v/>
      </c>
      <c r="K238" s="4" t="str">
        <f>IF(A238="","",IFERROR(ROUND(AVERAGEIFS(ASSESSMENTS!H:H,ASSESSMENTS!B:B,A238,ASSESSMENTS!E:E,"English"),1),""))</f>
        <v/>
      </c>
      <c r="L238" s="5" t="str">
        <f>IF(A238="","",IFERROR(INDEX(ATTENDANCE_SUMMARY!G:G,MATCH(A238,ATTENDANCE_SUMMARY!A:A,0)),""))</f>
        <v/>
      </c>
      <c r="M238" s="4" t="str">
        <f t="shared" si="3"/>
        <v/>
      </c>
    </row>
    <row r="239" spans="1:13" x14ac:dyDescent="0.3">
      <c r="A239" t="str">
        <f>IF(MASTER_REGISTER!E239="","",MASTER_REGISTER!E239)</f>
        <v/>
      </c>
      <c r="B239" t="str">
        <f>IF(A239="","",MASTER_REGISTER!F239)</f>
        <v/>
      </c>
      <c r="C239" t="str">
        <f>IF(A239="","",MASTER_REGISTER!C239)</f>
        <v/>
      </c>
      <c r="D239" t="str">
        <f>IF(A239="","",COUNTIF(ASSESSMENTS!B:B,A239))</f>
        <v/>
      </c>
      <c r="E239" s="4" t="e">
        <f>IF(D239=0,"",ROUND(AVERAGEIF(ASSESSMENTS!B:B,A239,ASSESSMENTS!H:H),1))</f>
        <v>#DIV/0!</v>
      </c>
      <c r="F239" s="4" t="str">
        <f>IF(A239="","",IFERROR(ROUND(AVERAGEIFS(ASSESSMENTS!H:H,ASSESSMENTS!B:B,A239,ASSESSMENTS!E:E,"Mathematics"),1),""))</f>
        <v/>
      </c>
      <c r="G239" s="4" t="str">
        <f>IF(A239="","",IFERROR(ROUND(AVERAGEIFS(ASSESSMENTS!H:H,ASSESSMENTS!B:B,A239,ASSESSMENTS!E:E,"Mathematical Literacy"),1),""))</f>
        <v/>
      </c>
      <c r="H239" s="4" t="str">
        <f>IF(A239="","",IFERROR(ROUND(AVERAGEIFS(ASSESSMENTS!H:H,ASSESSMENTS!B:B,A239,ASSESSMENTS!E:E,"Physical Sciences"),1),""))</f>
        <v/>
      </c>
      <c r="I239" s="4" t="str">
        <f>IF(A239="","",IFERROR(ROUND(AVERAGEIFS(ASSESSMENTS!H:H,ASSESSMENTS!B:B,A239,ASSESSMENTS!E:E,"Geography"),1),""))</f>
        <v/>
      </c>
      <c r="J239" s="4" t="str">
        <f>IF(A239="","",IFERROR(ROUND(AVERAGEIFS(ASSESSMENTS!H:H,ASSESSMENTS!B:B,A239,ASSESSMENTS!E:E,"Accounting"),1),""))</f>
        <v/>
      </c>
      <c r="K239" s="4" t="str">
        <f>IF(A239="","",IFERROR(ROUND(AVERAGEIFS(ASSESSMENTS!H:H,ASSESSMENTS!B:B,A239,ASSESSMENTS!E:E,"English"),1),""))</f>
        <v/>
      </c>
      <c r="L239" s="5" t="str">
        <f>IF(A239="","",IFERROR(INDEX(ATTENDANCE_SUMMARY!G:G,MATCH(A239,ATTENDANCE_SUMMARY!A:A,0)),""))</f>
        <v/>
      </c>
      <c r="M239" s="4" t="str">
        <f t="shared" si="3"/>
        <v/>
      </c>
    </row>
    <row r="240" spans="1:13" x14ac:dyDescent="0.3">
      <c r="A240" t="str">
        <f>IF(MASTER_REGISTER!E240="","",MASTER_REGISTER!E240)</f>
        <v/>
      </c>
      <c r="B240" t="str">
        <f>IF(A240="","",MASTER_REGISTER!F240)</f>
        <v/>
      </c>
      <c r="C240" t="str">
        <f>IF(A240="","",MASTER_REGISTER!C240)</f>
        <v/>
      </c>
      <c r="D240" t="str">
        <f>IF(A240="","",COUNTIF(ASSESSMENTS!B:B,A240))</f>
        <v/>
      </c>
      <c r="E240" s="4" t="e">
        <f>IF(D240=0,"",ROUND(AVERAGEIF(ASSESSMENTS!B:B,A240,ASSESSMENTS!H:H),1))</f>
        <v>#DIV/0!</v>
      </c>
      <c r="F240" s="4" t="str">
        <f>IF(A240="","",IFERROR(ROUND(AVERAGEIFS(ASSESSMENTS!H:H,ASSESSMENTS!B:B,A240,ASSESSMENTS!E:E,"Mathematics"),1),""))</f>
        <v/>
      </c>
      <c r="G240" s="4" t="str">
        <f>IF(A240="","",IFERROR(ROUND(AVERAGEIFS(ASSESSMENTS!H:H,ASSESSMENTS!B:B,A240,ASSESSMENTS!E:E,"Mathematical Literacy"),1),""))</f>
        <v/>
      </c>
      <c r="H240" s="4" t="str">
        <f>IF(A240="","",IFERROR(ROUND(AVERAGEIFS(ASSESSMENTS!H:H,ASSESSMENTS!B:B,A240,ASSESSMENTS!E:E,"Physical Sciences"),1),""))</f>
        <v/>
      </c>
      <c r="I240" s="4" t="str">
        <f>IF(A240="","",IFERROR(ROUND(AVERAGEIFS(ASSESSMENTS!H:H,ASSESSMENTS!B:B,A240,ASSESSMENTS!E:E,"Geography"),1),""))</f>
        <v/>
      </c>
      <c r="J240" s="4" t="str">
        <f>IF(A240="","",IFERROR(ROUND(AVERAGEIFS(ASSESSMENTS!H:H,ASSESSMENTS!B:B,A240,ASSESSMENTS!E:E,"Accounting"),1),""))</f>
        <v/>
      </c>
      <c r="K240" s="4" t="str">
        <f>IF(A240="","",IFERROR(ROUND(AVERAGEIFS(ASSESSMENTS!H:H,ASSESSMENTS!B:B,A240,ASSESSMENTS!E:E,"English"),1),""))</f>
        <v/>
      </c>
      <c r="L240" s="5" t="str">
        <f>IF(A240="","",IFERROR(INDEX(ATTENDANCE_SUMMARY!G:G,MATCH(A240,ATTENDANCE_SUMMARY!A:A,0)),""))</f>
        <v/>
      </c>
      <c r="M240" s="4" t="str">
        <f t="shared" si="3"/>
        <v/>
      </c>
    </row>
    <row r="241" spans="1:13" x14ac:dyDescent="0.3">
      <c r="A241" t="str">
        <f>IF(MASTER_REGISTER!E241="","",MASTER_REGISTER!E241)</f>
        <v/>
      </c>
      <c r="B241" t="str">
        <f>IF(A241="","",MASTER_REGISTER!F241)</f>
        <v/>
      </c>
      <c r="C241" t="str">
        <f>IF(A241="","",MASTER_REGISTER!C241)</f>
        <v/>
      </c>
      <c r="D241" t="str">
        <f>IF(A241="","",COUNTIF(ASSESSMENTS!B:B,A241))</f>
        <v/>
      </c>
      <c r="E241" s="4" t="e">
        <f>IF(D241=0,"",ROUND(AVERAGEIF(ASSESSMENTS!B:B,A241,ASSESSMENTS!H:H),1))</f>
        <v>#DIV/0!</v>
      </c>
      <c r="F241" s="4" t="str">
        <f>IF(A241="","",IFERROR(ROUND(AVERAGEIFS(ASSESSMENTS!H:H,ASSESSMENTS!B:B,A241,ASSESSMENTS!E:E,"Mathematics"),1),""))</f>
        <v/>
      </c>
      <c r="G241" s="4" t="str">
        <f>IF(A241="","",IFERROR(ROUND(AVERAGEIFS(ASSESSMENTS!H:H,ASSESSMENTS!B:B,A241,ASSESSMENTS!E:E,"Mathematical Literacy"),1),""))</f>
        <v/>
      </c>
      <c r="H241" s="4" t="str">
        <f>IF(A241="","",IFERROR(ROUND(AVERAGEIFS(ASSESSMENTS!H:H,ASSESSMENTS!B:B,A241,ASSESSMENTS!E:E,"Physical Sciences"),1),""))</f>
        <v/>
      </c>
      <c r="I241" s="4" t="str">
        <f>IF(A241="","",IFERROR(ROUND(AVERAGEIFS(ASSESSMENTS!H:H,ASSESSMENTS!B:B,A241,ASSESSMENTS!E:E,"Geography"),1),""))</f>
        <v/>
      </c>
      <c r="J241" s="4" t="str">
        <f>IF(A241="","",IFERROR(ROUND(AVERAGEIFS(ASSESSMENTS!H:H,ASSESSMENTS!B:B,A241,ASSESSMENTS!E:E,"Accounting"),1),""))</f>
        <v/>
      </c>
      <c r="K241" s="4" t="str">
        <f>IF(A241="","",IFERROR(ROUND(AVERAGEIFS(ASSESSMENTS!H:H,ASSESSMENTS!B:B,A241,ASSESSMENTS!E:E,"English"),1),""))</f>
        <v/>
      </c>
      <c r="L241" s="5" t="str">
        <f>IF(A241="","",IFERROR(INDEX(ATTENDANCE_SUMMARY!G:G,MATCH(A241,ATTENDANCE_SUMMARY!A:A,0)),""))</f>
        <v/>
      </c>
      <c r="M241" s="4" t="str">
        <f t="shared" si="3"/>
        <v/>
      </c>
    </row>
    <row r="242" spans="1:13" x14ac:dyDescent="0.3">
      <c r="A242" t="str">
        <f>IF(MASTER_REGISTER!E242="","",MASTER_REGISTER!E242)</f>
        <v/>
      </c>
      <c r="B242" t="str">
        <f>IF(A242="","",MASTER_REGISTER!F242)</f>
        <v/>
      </c>
      <c r="C242" t="str">
        <f>IF(A242="","",MASTER_REGISTER!C242)</f>
        <v/>
      </c>
      <c r="D242" t="str">
        <f>IF(A242="","",COUNTIF(ASSESSMENTS!B:B,A242))</f>
        <v/>
      </c>
      <c r="E242" s="4" t="e">
        <f>IF(D242=0,"",ROUND(AVERAGEIF(ASSESSMENTS!B:B,A242,ASSESSMENTS!H:H),1))</f>
        <v>#DIV/0!</v>
      </c>
      <c r="F242" s="4" t="str">
        <f>IF(A242="","",IFERROR(ROUND(AVERAGEIFS(ASSESSMENTS!H:H,ASSESSMENTS!B:B,A242,ASSESSMENTS!E:E,"Mathematics"),1),""))</f>
        <v/>
      </c>
      <c r="G242" s="4" t="str">
        <f>IF(A242="","",IFERROR(ROUND(AVERAGEIFS(ASSESSMENTS!H:H,ASSESSMENTS!B:B,A242,ASSESSMENTS!E:E,"Mathematical Literacy"),1),""))</f>
        <v/>
      </c>
      <c r="H242" s="4" t="str">
        <f>IF(A242="","",IFERROR(ROUND(AVERAGEIFS(ASSESSMENTS!H:H,ASSESSMENTS!B:B,A242,ASSESSMENTS!E:E,"Physical Sciences"),1),""))</f>
        <v/>
      </c>
      <c r="I242" s="4" t="str">
        <f>IF(A242="","",IFERROR(ROUND(AVERAGEIFS(ASSESSMENTS!H:H,ASSESSMENTS!B:B,A242,ASSESSMENTS!E:E,"Geography"),1),""))</f>
        <v/>
      </c>
      <c r="J242" s="4" t="str">
        <f>IF(A242="","",IFERROR(ROUND(AVERAGEIFS(ASSESSMENTS!H:H,ASSESSMENTS!B:B,A242,ASSESSMENTS!E:E,"Accounting"),1),""))</f>
        <v/>
      </c>
      <c r="K242" s="4" t="str">
        <f>IF(A242="","",IFERROR(ROUND(AVERAGEIFS(ASSESSMENTS!H:H,ASSESSMENTS!B:B,A242,ASSESSMENTS!E:E,"English"),1),""))</f>
        <v/>
      </c>
      <c r="L242" s="5" t="str">
        <f>IF(A242="","",IFERROR(INDEX(ATTENDANCE_SUMMARY!G:G,MATCH(A242,ATTENDANCE_SUMMARY!A:A,0)),""))</f>
        <v/>
      </c>
      <c r="M242" s="4" t="str">
        <f t="shared" si="3"/>
        <v/>
      </c>
    </row>
    <row r="243" spans="1:13" x14ac:dyDescent="0.3">
      <c r="A243" t="str">
        <f>IF(MASTER_REGISTER!E243="","",MASTER_REGISTER!E243)</f>
        <v/>
      </c>
      <c r="B243" t="str">
        <f>IF(A243="","",MASTER_REGISTER!F243)</f>
        <v/>
      </c>
      <c r="C243" t="str">
        <f>IF(A243="","",MASTER_REGISTER!C243)</f>
        <v/>
      </c>
      <c r="D243" t="str">
        <f>IF(A243="","",COUNTIF(ASSESSMENTS!B:B,A243))</f>
        <v/>
      </c>
      <c r="E243" s="4" t="e">
        <f>IF(D243=0,"",ROUND(AVERAGEIF(ASSESSMENTS!B:B,A243,ASSESSMENTS!H:H),1))</f>
        <v>#DIV/0!</v>
      </c>
      <c r="F243" s="4" t="str">
        <f>IF(A243="","",IFERROR(ROUND(AVERAGEIFS(ASSESSMENTS!H:H,ASSESSMENTS!B:B,A243,ASSESSMENTS!E:E,"Mathematics"),1),""))</f>
        <v/>
      </c>
      <c r="G243" s="4" t="str">
        <f>IF(A243="","",IFERROR(ROUND(AVERAGEIFS(ASSESSMENTS!H:H,ASSESSMENTS!B:B,A243,ASSESSMENTS!E:E,"Mathematical Literacy"),1),""))</f>
        <v/>
      </c>
      <c r="H243" s="4" t="str">
        <f>IF(A243="","",IFERROR(ROUND(AVERAGEIFS(ASSESSMENTS!H:H,ASSESSMENTS!B:B,A243,ASSESSMENTS!E:E,"Physical Sciences"),1),""))</f>
        <v/>
      </c>
      <c r="I243" s="4" t="str">
        <f>IF(A243="","",IFERROR(ROUND(AVERAGEIFS(ASSESSMENTS!H:H,ASSESSMENTS!B:B,A243,ASSESSMENTS!E:E,"Geography"),1),""))</f>
        <v/>
      </c>
      <c r="J243" s="4" t="str">
        <f>IF(A243="","",IFERROR(ROUND(AVERAGEIFS(ASSESSMENTS!H:H,ASSESSMENTS!B:B,A243,ASSESSMENTS!E:E,"Accounting"),1),""))</f>
        <v/>
      </c>
      <c r="K243" s="4" t="str">
        <f>IF(A243="","",IFERROR(ROUND(AVERAGEIFS(ASSESSMENTS!H:H,ASSESSMENTS!B:B,A243,ASSESSMENTS!E:E,"English"),1),""))</f>
        <v/>
      </c>
      <c r="L243" s="5" t="str">
        <f>IF(A243="","",IFERROR(INDEX(ATTENDANCE_SUMMARY!G:G,MATCH(A243,ATTENDANCE_SUMMARY!A:A,0)),""))</f>
        <v/>
      </c>
      <c r="M243" s="4" t="str">
        <f t="shared" si="3"/>
        <v/>
      </c>
    </row>
    <row r="244" spans="1:13" x14ac:dyDescent="0.3">
      <c r="A244" t="str">
        <f>IF(MASTER_REGISTER!E244="","",MASTER_REGISTER!E244)</f>
        <v/>
      </c>
      <c r="B244" t="str">
        <f>IF(A244="","",MASTER_REGISTER!F244)</f>
        <v/>
      </c>
      <c r="C244" t="str">
        <f>IF(A244="","",MASTER_REGISTER!C244)</f>
        <v/>
      </c>
      <c r="D244" t="str">
        <f>IF(A244="","",COUNTIF(ASSESSMENTS!B:B,A244))</f>
        <v/>
      </c>
      <c r="E244" s="4" t="e">
        <f>IF(D244=0,"",ROUND(AVERAGEIF(ASSESSMENTS!B:B,A244,ASSESSMENTS!H:H),1))</f>
        <v>#DIV/0!</v>
      </c>
      <c r="F244" s="4" t="str">
        <f>IF(A244="","",IFERROR(ROUND(AVERAGEIFS(ASSESSMENTS!H:H,ASSESSMENTS!B:B,A244,ASSESSMENTS!E:E,"Mathematics"),1),""))</f>
        <v/>
      </c>
      <c r="G244" s="4" t="str">
        <f>IF(A244="","",IFERROR(ROUND(AVERAGEIFS(ASSESSMENTS!H:H,ASSESSMENTS!B:B,A244,ASSESSMENTS!E:E,"Mathematical Literacy"),1),""))</f>
        <v/>
      </c>
      <c r="H244" s="4" t="str">
        <f>IF(A244="","",IFERROR(ROUND(AVERAGEIFS(ASSESSMENTS!H:H,ASSESSMENTS!B:B,A244,ASSESSMENTS!E:E,"Physical Sciences"),1),""))</f>
        <v/>
      </c>
      <c r="I244" s="4" t="str">
        <f>IF(A244="","",IFERROR(ROUND(AVERAGEIFS(ASSESSMENTS!H:H,ASSESSMENTS!B:B,A244,ASSESSMENTS!E:E,"Geography"),1),""))</f>
        <v/>
      </c>
      <c r="J244" s="4" t="str">
        <f>IF(A244="","",IFERROR(ROUND(AVERAGEIFS(ASSESSMENTS!H:H,ASSESSMENTS!B:B,A244,ASSESSMENTS!E:E,"Accounting"),1),""))</f>
        <v/>
      </c>
      <c r="K244" s="4" t="str">
        <f>IF(A244="","",IFERROR(ROUND(AVERAGEIFS(ASSESSMENTS!H:H,ASSESSMENTS!B:B,A244,ASSESSMENTS!E:E,"English"),1),""))</f>
        <v/>
      </c>
      <c r="L244" s="5" t="str">
        <f>IF(A244="","",IFERROR(INDEX(ATTENDANCE_SUMMARY!G:G,MATCH(A244,ATTENDANCE_SUMMARY!A:A,0)),""))</f>
        <v/>
      </c>
      <c r="M244" s="4" t="str">
        <f t="shared" si="3"/>
        <v/>
      </c>
    </row>
    <row r="245" spans="1:13" x14ac:dyDescent="0.3">
      <c r="A245" t="str">
        <f>IF(MASTER_REGISTER!E245="","",MASTER_REGISTER!E245)</f>
        <v/>
      </c>
      <c r="B245" t="str">
        <f>IF(A245="","",MASTER_REGISTER!F245)</f>
        <v/>
      </c>
      <c r="C245" t="str">
        <f>IF(A245="","",MASTER_REGISTER!C245)</f>
        <v/>
      </c>
      <c r="D245" t="str">
        <f>IF(A245="","",COUNTIF(ASSESSMENTS!B:B,A245))</f>
        <v/>
      </c>
      <c r="E245" s="4" t="e">
        <f>IF(D245=0,"",ROUND(AVERAGEIF(ASSESSMENTS!B:B,A245,ASSESSMENTS!H:H),1))</f>
        <v>#DIV/0!</v>
      </c>
      <c r="F245" s="4" t="str">
        <f>IF(A245="","",IFERROR(ROUND(AVERAGEIFS(ASSESSMENTS!H:H,ASSESSMENTS!B:B,A245,ASSESSMENTS!E:E,"Mathematics"),1),""))</f>
        <v/>
      </c>
      <c r="G245" s="4" t="str">
        <f>IF(A245="","",IFERROR(ROUND(AVERAGEIFS(ASSESSMENTS!H:H,ASSESSMENTS!B:B,A245,ASSESSMENTS!E:E,"Mathematical Literacy"),1),""))</f>
        <v/>
      </c>
      <c r="H245" s="4" t="str">
        <f>IF(A245="","",IFERROR(ROUND(AVERAGEIFS(ASSESSMENTS!H:H,ASSESSMENTS!B:B,A245,ASSESSMENTS!E:E,"Physical Sciences"),1),""))</f>
        <v/>
      </c>
      <c r="I245" s="4" t="str">
        <f>IF(A245="","",IFERROR(ROUND(AVERAGEIFS(ASSESSMENTS!H:H,ASSESSMENTS!B:B,A245,ASSESSMENTS!E:E,"Geography"),1),""))</f>
        <v/>
      </c>
      <c r="J245" s="4" t="str">
        <f>IF(A245="","",IFERROR(ROUND(AVERAGEIFS(ASSESSMENTS!H:H,ASSESSMENTS!B:B,A245,ASSESSMENTS!E:E,"Accounting"),1),""))</f>
        <v/>
      </c>
      <c r="K245" s="4" t="str">
        <f>IF(A245="","",IFERROR(ROUND(AVERAGEIFS(ASSESSMENTS!H:H,ASSESSMENTS!B:B,A245,ASSESSMENTS!E:E,"English"),1),""))</f>
        <v/>
      </c>
      <c r="L245" s="5" t="str">
        <f>IF(A245="","",IFERROR(INDEX(ATTENDANCE_SUMMARY!G:G,MATCH(A245,ATTENDANCE_SUMMARY!A:A,0)),""))</f>
        <v/>
      </c>
      <c r="M245" s="4" t="str">
        <f t="shared" si="3"/>
        <v/>
      </c>
    </row>
    <row r="246" spans="1:13" x14ac:dyDescent="0.3">
      <c r="A246" t="str">
        <f>IF(MASTER_REGISTER!E246="","",MASTER_REGISTER!E246)</f>
        <v/>
      </c>
      <c r="B246" t="str">
        <f>IF(A246="","",MASTER_REGISTER!F246)</f>
        <v/>
      </c>
      <c r="C246" t="str">
        <f>IF(A246="","",MASTER_REGISTER!C246)</f>
        <v/>
      </c>
      <c r="D246" t="str">
        <f>IF(A246="","",COUNTIF(ASSESSMENTS!B:B,A246))</f>
        <v/>
      </c>
      <c r="E246" s="4" t="e">
        <f>IF(D246=0,"",ROUND(AVERAGEIF(ASSESSMENTS!B:B,A246,ASSESSMENTS!H:H),1))</f>
        <v>#DIV/0!</v>
      </c>
      <c r="F246" s="4" t="str">
        <f>IF(A246="","",IFERROR(ROUND(AVERAGEIFS(ASSESSMENTS!H:H,ASSESSMENTS!B:B,A246,ASSESSMENTS!E:E,"Mathematics"),1),""))</f>
        <v/>
      </c>
      <c r="G246" s="4" t="str">
        <f>IF(A246="","",IFERROR(ROUND(AVERAGEIFS(ASSESSMENTS!H:H,ASSESSMENTS!B:B,A246,ASSESSMENTS!E:E,"Mathematical Literacy"),1),""))</f>
        <v/>
      </c>
      <c r="H246" s="4" t="str">
        <f>IF(A246="","",IFERROR(ROUND(AVERAGEIFS(ASSESSMENTS!H:H,ASSESSMENTS!B:B,A246,ASSESSMENTS!E:E,"Physical Sciences"),1),""))</f>
        <v/>
      </c>
      <c r="I246" s="4" t="str">
        <f>IF(A246="","",IFERROR(ROUND(AVERAGEIFS(ASSESSMENTS!H:H,ASSESSMENTS!B:B,A246,ASSESSMENTS!E:E,"Geography"),1),""))</f>
        <v/>
      </c>
      <c r="J246" s="4" t="str">
        <f>IF(A246="","",IFERROR(ROUND(AVERAGEIFS(ASSESSMENTS!H:H,ASSESSMENTS!B:B,A246,ASSESSMENTS!E:E,"Accounting"),1),""))</f>
        <v/>
      </c>
      <c r="K246" s="4" t="str">
        <f>IF(A246="","",IFERROR(ROUND(AVERAGEIFS(ASSESSMENTS!H:H,ASSESSMENTS!B:B,A246,ASSESSMENTS!E:E,"English"),1),""))</f>
        <v/>
      </c>
      <c r="L246" s="5" t="str">
        <f>IF(A246="","",IFERROR(INDEX(ATTENDANCE_SUMMARY!G:G,MATCH(A246,ATTENDANCE_SUMMARY!A:A,0)),""))</f>
        <v/>
      </c>
      <c r="M246" s="4" t="str">
        <f t="shared" si="3"/>
        <v/>
      </c>
    </row>
    <row r="247" spans="1:13" x14ac:dyDescent="0.3">
      <c r="A247" t="str">
        <f>IF(MASTER_REGISTER!E247="","",MASTER_REGISTER!E247)</f>
        <v/>
      </c>
      <c r="B247" t="str">
        <f>IF(A247="","",MASTER_REGISTER!F247)</f>
        <v/>
      </c>
      <c r="C247" t="str">
        <f>IF(A247="","",MASTER_REGISTER!C247)</f>
        <v/>
      </c>
      <c r="D247" t="str">
        <f>IF(A247="","",COUNTIF(ASSESSMENTS!B:B,A247))</f>
        <v/>
      </c>
      <c r="E247" s="4" t="e">
        <f>IF(D247=0,"",ROUND(AVERAGEIF(ASSESSMENTS!B:B,A247,ASSESSMENTS!H:H),1))</f>
        <v>#DIV/0!</v>
      </c>
      <c r="F247" s="4" t="str">
        <f>IF(A247="","",IFERROR(ROUND(AVERAGEIFS(ASSESSMENTS!H:H,ASSESSMENTS!B:B,A247,ASSESSMENTS!E:E,"Mathematics"),1),""))</f>
        <v/>
      </c>
      <c r="G247" s="4" t="str">
        <f>IF(A247="","",IFERROR(ROUND(AVERAGEIFS(ASSESSMENTS!H:H,ASSESSMENTS!B:B,A247,ASSESSMENTS!E:E,"Mathematical Literacy"),1),""))</f>
        <v/>
      </c>
      <c r="H247" s="4" t="str">
        <f>IF(A247="","",IFERROR(ROUND(AVERAGEIFS(ASSESSMENTS!H:H,ASSESSMENTS!B:B,A247,ASSESSMENTS!E:E,"Physical Sciences"),1),""))</f>
        <v/>
      </c>
      <c r="I247" s="4" t="str">
        <f>IF(A247="","",IFERROR(ROUND(AVERAGEIFS(ASSESSMENTS!H:H,ASSESSMENTS!B:B,A247,ASSESSMENTS!E:E,"Geography"),1),""))</f>
        <v/>
      </c>
      <c r="J247" s="4" t="str">
        <f>IF(A247="","",IFERROR(ROUND(AVERAGEIFS(ASSESSMENTS!H:H,ASSESSMENTS!B:B,A247,ASSESSMENTS!E:E,"Accounting"),1),""))</f>
        <v/>
      </c>
      <c r="K247" s="4" t="str">
        <f>IF(A247="","",IFERROR(ROUND(AVERAGEIFS(ASSESSMENTS!H:H,ASSESSMENTS!B:B,A247,ASSESSMENTS!E:E,"English"),1),""))</f>
        <v/>
      </c>
      <c r="L247" s="5" t="str">
        <f>IF(A247="","",IFERROR(INDEX(ATTENDANCE_SUMMARY!G:G,MATCH(A247,ATTENDANCE_SUMMARY!A:A,0)),""))</f>
        <v/>
      </c>
      <c r="M247" s="4" t="str">
        <f t="shared" si="3"/>
        <v/>
      </c>
    </row>
    <row r="248" spans="1:13" x14ac:dyDescent="0.3">
      <c r="A248" t="str">
        <f>IF(MASTER_REGISTER!E248="","",MASTER_REGISTER!E248)</f>
        <v/>
      </c>
      <c r="B248" t="str">
        <f>IF(A248="","",MASTER_REGISTER!F248)</f>
        <v/>
      </c>
      <c r="C248" t="str">
        <f>IF(A248="","",MASTER_REGISTER!C248)</f>
        <v/>
      </c>
      <c r="D248" t="str">
        <f>IF(A248="","",COUNTIF(ASSESSMENTS!B:B,A248))</f>
        <v/>
      </c>
      <c r="E248" s="4" t="e">
        <f>IF(D248=0,"",ROUND(AVERAGEIF(ASSESSMENTS!B:B,A248,ASSESSMENTS!H:H),1))</f>
        <v>#DIV/0!</v>
      </c>
      <c r="F248" s="4" t="str">
        <f>IF(A248="","",IFERROR(ROUND(AVERAGEIFS(ASSESSMENTS!H:H,ASSESSMENTS!B:B,A248,ASSESSMENTS!E:E,"Mathematics"),1),""))</f>
        <v/>
      </c>
      <c r="G248" s="4" t="str">
        <f>IF(A248="","",IFERROR(ROUND(AVERAGEIFS(ASSESSMENTS!H:H,ASSESSMENTS!B:B,A248,ASSESSMENTS!E:E,"Mathematical Literacy"),1),""))</f>
        <v/>
      </c>
      <c r="H248" s="4" t="str">
        <f>IF(A248="","",IFERROR(ROUND(AVERAGEIFS(ASSESSMENTS!H:H,ASSESSMENTS!B:B,A248,ASSESSMENTS!E:E,"Physical Sciences"),1),""))</f>
        <v/>
      </c>
      <c r="I248" s="4" t="str">
        <f>IF(A248="","",IFERROR(ROUND(AVERAGEIFS(ASSESSMENTS!H:H,ASSESSMENTS!B:B,A248,ASSESSMENTS!E:E,"Geography"),1),""))</f>
        <v/>
      </c>
      <c r="J248" s="4" t="str">
        <f>IF(A248="","",IFERROR(ROUND(AVERAGEIFS(ASSESSMENTS!H:H,ASSESSMENTS!B:B,A248,ASSESSMENTS!E:E,"Accounting"),1),""))</f>
        <v/>
      </c>
      <c r="K248" s="4" t="str">
        <f>IF(A248="","",IFERROR(ROUND(AVERAGEIFS(ASSESSMENTS!H:H,ASSESSMENTS!B:B,A248,ASSESSMENTS!E:E,"English"),1),""))</f>
        <v/>
      </c>
      <c r="L248" s="5" t="str">
        <f>IF(A248="","",IFERROR(INDEX(ATTENDANCE_SUMMARY!G:G,MATCH(A248,ATTENDANCE_SUMMARY!A:A,0)),""))</f>
        <v/>
      </c>
      <c r="M248" s="4" t="str">
        <f t="shared" si="3"/>
        <v/>
      </c>
    </row>
    <row r="249" spans="1:13" x14ac:dyDescent="0.3">
      <c r="A249" t="str">
        <f>IF(MASTER_REGISTER!E249="","",MASTER_REGISTER!E249)</f>
        <v/>
      </c>
      <c r="B249" t="str">
        <f>IF(A249="","",MASTER_REGISTER!F249)</f>
        <v/>
      </c>
      <c r="C249" t="str">
        <f>IF(A249="","",MASTER_REGISTER!C249)</f>
        <v/>
      </c>
      <c r="D249" t="str">
        <f>IF(A249="","",COUNTIF(ASSESSMENTS!B:B,A249))</f>
        <v/>
      </c>
      <c r="E249" s="4" t="e">
        <f>IF(D249=0,"",ROUND(AVERAGEIF(ASSESSMENTS!B:B,A249,ASSESSMENTS!H:H),1))</f>
        <v>#DIV/0!</v>
      </c>
      <c r="F249" s="4" t="str">
        <f>IF(A249="","",IFERROR(ROUND(AVERAGEIFS(ASSESSMENTS!H:H,ASSESSMENTS!B:B,A249,ASSESSMENTS!E:E,"Mathematics"),1),""))</f>
        <v/>
      </c>
      <c r="G249" s="4" t="str">
        <f>IF(A249="","",IFERROR(ROUND(AVERAGEIFS(ASSESSMENTS!H:H,ASSESSMENTS!B:B,A249,ASSESSMENTS!E:E,"Mathematical Literacy"),1),""))</f>
        <v/>
      </c>
      <c r="H249" s="4" t="str">
        <f>IF(A249="","",IFERROR(ROUND(AVERAGEIFS(ASSESSMENTS!H:H,ASSESSMENTS!B:B,A249,ASSESSMENTS!E:E,"Physical Sciences"),1),""))</f>
        <v/>
      </c>
      <c r="I249" s="4" t="str">
        <f>IF(A249="","",IFERROR(ROUND(AVERAGEIFS(ASSESSMENTS!H:H,ASSESSMENTS!B:B,A249,ASSESSMENTS!E:E,"Geography"),1),""))</f>
        <v/>
      </c>
      <c r="J249" s="4" t="str">
        <f>IF(A249="","",IFERROR(ROUND(AVERAGEIFS(ASSESSMENTS!H:H,ASSESSMENTS!B:B,A249,ASSESSMENTS!E:E,"Accounting"),1),""))</f>
        <v/>
      </c>
      <c r="K249" s="4" t="str">
        <f>IF(A249="","",IFERROR(ROUND(AVERAGEIFS(ASSESSMENTS!H:H,ASSESSMENTS!B:B,A249,ASSESSMENTS!E:E,"English"),1),""))</f>
        <v/>
      </c>
      <c r="L249" s="5" t="str">
        <f>IF(A249="","",IFERROR(INDEX(ATTENDANCE_SUMMARY!G:G,MATCH(A249,ATTENDANCE_SUMMARY!A:A,0)),""))</f>
        <v/>
      </c>
      <c r="M249" s="4" t="str">
        <f t="shared" si="3"/>
        <v/>
      </c>
    </row>
    <row r="250" spans="1:13" x14ac:dyDescent="0.3">
      <c r="A250" t="str">
        <f>IF(MASTER_REGISTER!E250="","",MASTER_REGISTER!E250)</f>
        <v/>
      </c>
      <c r="B250" t="str">
        <f>IF(A250="","",MASTER_REGISTER!F250)</f>
        <v/>
      </c>
      <c r="C250" t="str">
        <f>IF(A250="","",MASTER_REGISTER!C250)</f>
        <v/>
      </c>
      <c r="D250" t="str">
        <f>IF(A250="","",COUNTIF(ASSESSMENTS!B:B,A250))</f>
        <v/>
      </c>
      <c r="E250" s="4" t="e">
        <f>IF(D250=0,"",ROUND(AVERAGEIF(ASSESSMENTS!B:B,A250,ASSESSMENTS!H:H),1))</f>
        <v>#DIV/0!</v>
      </c>
      <c r="F250" s="4" t="str">
        <f>IF(A250="","",IFERROR(ROUND(AVERAGEIFS(ASSESSMENTS!H:H,ASSESSMENTS!B:B,A250,ASSESSMENTS!E:E,"Mathematics"),1),""))</f>
        <v/>
      </c>
      <c r="G250" s="4" t="str">
        <f>IF(A250="","",IFERROR(ROUND(AVERAGEIFS(ASSESSMENTS!H:H,ASSESSMENTS!B:B,A250,ASSESSMENTS!E:E,"Mathematical Literacy"),1),""))</f>
        <v/>
      </c>
      <c r="H250" s="4" t="str">
        <f>IF(A250="","",IFERROR(ROUND(AVERAGEIFS(ASSESSMENTS!H:H,ASSESSMENTS!B:B,A250,ASSESSMENTS!E:E,"Physical Sciences"),1),""))</f>
        <v/>
      </c>
      <c r="I250" s="4" t="str">
        <f>IF(A250="","",IFERROR(ROUND(AVERAGEIFS(ASSESSMENTS!H:H,ASSESSMENTS!B:B,A250,ASSESSMENTS!E:E,"Geography"),1),""))</f>
        <v/>
      </c>
      <c r="J250" s="4" t="str">
        <f>IF(A250="","",IFERROR(ROUND(AVERAGEIFS(ASSESSMENTS!H:H,ASSESSMENTS!B:B,A250,ASSESSMENTS!E:E,"Accounting"),1),""))</f>
        <v/>
      </c>
      <c r="K250" s="4" t="str">
        <f>IF(A250="","",IFERROR(ROUND(AVERAGEIFS(ASSESSMENTS!H:H,ASSESSMENTS!B:B,A250,ASSESSMENTS!E:E,"English"),1),""))</f>
        <v/>
      </c>
      <c r="L250" s="5" t="str">
        <f>IF(A250="","",IFERROR(INDEX(ATTENDANCE_SUMMARY!G:G,MATCH(A250,ATTENDANCE_SUMMARY!A:A,0)),""))</f>
        <v/>
      </c>
      <c r="M250" s="4" t="str">
        <f t="shared" si="3"/>
        <v/>
      </c>
    </row>
    <row r="251" spans="1:13" x14ac:dyDescent="0.3">
      <c r="A251" t="str">
        <f>IF(MASTER_REGISTER!E251="","",MASTER_REGISTER!E251)</f>
        <v/>
      </c>
      <c r="B251" t="str">
        <f>IF(A251="","",MASTER_REGISTER!F251)</f>
        <v/>
      </c>
      <c r="C251" t="str">
        <f>IF(A251="","",MASTER_REGISTER!C251)</f>
        <v/>
      </c>
      <c r="D251" t="str">
        <f>IF(A251="","",COUNTIF(ASSESSMENTS!B:B,A251))</f>
        <v/>
      </c>
      <c r="E251" s="4" t="e">
        <f>IF(D251=0,"",ROUND(AVERAGEIF(ASSESSMENTS!B:B,A251,ASSESSMENTS!H:H),1))</f>
        <v>#DIV/0!</v>
      </c>
      <c r="F251" s="4" t="str">
        <f>IF(A251="","",IFERROR(ROUND(AVERAGEIFS(ASSESSMENTS!H:H,ASSESSMENTS!B:B,A251,ASSESSMENTS!E:E,"Mathematics"),1),""))</f>
        <v/>
      </c>
      <c r="G251" s="4" t="str">
        <f>IF(A251="","",IFERROR(ROUND(AVERAGEIFS(ASSESSMENTS!H:H,ASSESSMENTS!B:B,A251,ASSESSMENTS!E:E,"Mathematical Literacy"),1),""))</f>
        <v/>
      </c>
      <c r="H251" s="4" t="str">
        <f>IF(A251="","",IFERROR(ROUND(AVERAGEIFS(ASSESSMENTS!H:H,ASSESSMENTS!B:B,A251,ASSESSMENTS!E:E,"Physical Sciences"),1),""))</f>
        <v/>
      </c>
      <c r="I251" s="4" t="str">
        <f>IF(A251="","",IFERROR(ROUND(AVERAGEIFS(ASSESSMENTS!H:H,ASSESSMENTS!B:B,A251,ASSESSMENTS!E:E,"Geography"),1),""))</f>
        <v/>
      </c>
      <c r="J251" s="4" t="str">
        <f>IF(A251="","",IFERROR(ROUND(AVERAGEIFS(ASSESSMENTS!H:H,ASSESSMENTS!B:B,A251,ASSESSMENTS!E:E,"Accounting"),1),""))</f>
        <v/>
      </c>
      <c r="K251" s="4" t="str">
        <f>IF(A251="","",IFERROR(ROUND(AVERAGEIFS(ASSESSMENTS!H:H,ASSESSMENTS!B:B,A251,ASSESSMENTS!E:E,"English"),1),""))</f>
        <v/>
      </c>
      <c r="L251" s="5" t="str">
        <f>IF(A251="","",IFERROR(INDEX(ATTENDANCE_SUMMARY!G:G,MATCH(A251,ATTENDANCE_SUMMARY!A:A,0)),""))</f>
        <v/>
      </c>
      <c r="M251" s="4" t="str">
        <f t="shared" si="3"/>
        <v/>
      </c>
    </row>
    <row r="252" spans="1:13" x14ac:dyDescent="0.3">
      <c r="A252" t="str">
        <f>IF(MASTER_REGISTER!E252="","",MASTER_REGISTER!E252)</f>
        <v/>
      </c>
      <c r="B252" t="str">
        <f>IF(A252="","",MASTER_REGISTER!F252)</f>
        <v/>
      </c>
      <c r="C252" t="str">
        <f>IF(A252="","",MASTER_REGISTER!C252)</f>
        <v/>
      </c>
      <c r="D252" t="str">
        <f>IF(A252="","",COUNTIF(ASSESSMENTS!B:B,A252))</f>
        <v/>
      </c>
      <c r="E252" s="4" t="e">
        <f>IF(D252=0,"",ROUND(AVERAGEIF(ASSESSMENTS!B:B,A252,ASSESSMENTS!H:H),1))</f>
        <v>#DIV/0!</v>
      </c>
      <c r="F252" s="4" t="str">
        <f>IF(A252="","",IFERROR(ROUND(AVERAGEIFS(ASSESSMENTS!H:H,ASSESSMENTS!B:B,A252,ASSESSMENTS!E:E,"Mathematics"),1),""))</f>
        <v/>
      </c>
      <c r="G252" s="4" t="str">
        <f>IF(A252="","",IFERROR(ROUND(AVERAGEIFS(ASSESSMENTS!H:H,ASSESSMENTS!B:B,A252,ASSESSMENTS!E:E,"Mathematical Literacy"),1),""))</f>
        <v/>
      </c>
      <c r="H252" s="4" t="str">
        <f>IF(A252="","",IFERROR(ROUND(AVERAGEIFS(ASSESSMENTS!H:H,ASSESSMENTS!B:B,A252,ASSESSMENTS!E:E,"Physical Sciences"),1),""))</f>
        <v/>
      </c>
      <c r="I252" s="4" t="str">
        <f>IF(A252="","",IFERROR(ROUND(AVERAGEIFS(ASSESSMENTS!H:H,ASSESSMENTS!B:B,A252,ASSESSMENTS!E:E,"Geography"),1),""))</f>
        <v/>
      </c>
      <c r="J252" s="4" t="str">
        <f>IF(A252="","",IFERROR(ROUND(AVERAGEIFS(ASSESSMENTS!H:H,ASSESSMENTS!B:B,A252,ASSESSMENTS!E:E,"Accounting"),1),""))</f>
        <v/>
      </c>
      <c r="K252" s="4" t="str">
        <f>IF(A252="","",IFERROR(ROUND(AVERAGEIFS(ASSESSMENTS!H:H,ASSESSMENTS!B:B,A252,ASSESSMENTS!E:E,"English"),1),""))</f>
        <v/>
      </c>
      <c r="L252" s="5" t="str">
        <f>IF(A252="","",IFERROR(INDEX(ATTENDANCE_SUMMARY!G:G,MATCH(A252,ATTENDANCE_SUMMARY!A:A,0)),""))</f>
        <v/>
      </c>
      <c r="M252" s="4" t="str">
        <f t="shared" si="3"/>
        <v/>
      </c>
    </row>
    <row r="253" spans="1:13" x14ac:dyDescent="0.3">
      <c r="A253" t="str">
        <f>IF(MASTER_REGISTER!E253="","",MASTER_REGISTER!E253)</f>
        <v/>
      </c>
      <c r="B253" t="str">
        <f>IF(A253="","",MASTER_REGISTER!F253)</f>
        <v/>
      </c>
      <c r="C253" t="str">
        <f>IF(A253="","",MASTER_REGISTER!C253)</f>
        <v/>
      </c>
      <c r="D253" t="str">
        <f>IF(A253="","",COUNTIF(ASSESSMENTS!B:B,A253))</f>
        <v/>
      </c>
      <c r="E253" s="4" t="e">
        <f>IF(D253=0,"",ROUND(AVERAGEIF(ASSESSMENTS!B:B,A253,ASSESSMENTS!H:H),1))</f>
        <v>#DIV/0!</v>
      </c>
      <c r="F253" s="4" t="str">
        <f>IF(A253="","",IFERROR(ROUND(AVERAGEIFS(ASSESSMENTS!H:H,ASSESSMENTS!B:B,A253,ASSESSMENTS!E:E,"Mathematics"),1),""))</f>
        <v/>
      </c>
      <c r="G253" s="4" t="str">
        <f>IF(A253="","",IFERROR(ROUND(AVERAGEIFS(ASSESSMENTS!H:H,ASSESSMENTS!B:B,A253,ASSESSMENTS!E:E,"Mathematical Literacy"),1),""))</f>
        <v/>
      </c>
      <c r="H253" s="4" t="str">
        <f>IF(A253="","",IFERROR(ROUND(AVERAGEIFS(ASSESSMENTS!H:H,ASSESSMENTS!B:B,A253,ASSESSMENTS!E:E,"Physical Sciences"),1),""))</f>
        <v/>
      </c>
      <c r="I253" s="4" t="str">
        <f>IF(A253="","",IFERROR(ROUND(AVERAGEIFS(ASSESSMENTS!H:H,ASSESSMENTS!B:B,A253,ASSESSMENTS!E:E,"Geography"),1),""))</f>
        <v/>
      </c>
      <c r="J253" s="4" t="str">
        <f>IF(A253="","",IFERROR(ROUND(AVERAGEIFS(ASSESSMENTS!H:H,ASSESSMENTS!B:B,A253,ASSESSMENTS!E:E,"Accounting"),1),""))</f>
        <v/>
      </c>
      <c r="K253" s="4" t="str">
        <f>IF(A253="","",IFERROR(ROUND(AVERAGEIFS(ASSESSMENTS!H:H,ASSESSMENTS!B:B,A253,ASSESSMENTS!E:E,"English"),1),""))</f>
        <v/>
      </c>
      <c r="L253" s="5" t="str">
        <f>IF(A253="","",IFERROR(INDEX(ATTENDANCE_SUMMARY!G:G,MATCH(A253,ATTENDANCE_SUMMARY!A:A,0)),""))</f>
        <v/>
      </c>
      <c r="M253" s="4" t="str">
        <f t="shared" si="3"/>
        <v/>
      </c>
    </row>
    <row r="254" spans="1:13" x14ac:dyDescent="0.3">
      <c r="A254" t="str">
        <f>IF(MASTER_REGISTER!E254="","",MASTER_REGISTER!E254)</f>
        <v/>
      </c>
      <c r="B254" t="str">
        <f>IF(A254="","",MASTER_REGISTER!F254)</f>
        <v/>
      </c>
      <c r="C254" t="str">
        <f>IF(A254="","",MASTER_REGISTER!C254)</f>
        <v/>
      </c>
      <c r="D254" t="str">
        <f>IF(A254="","",COUNTIF(ASSESSMENTS!B:B,A254))</f>
        <v/>
      </c>
      <c r="E254" s="4" t="e">
        <f>IF(D254=0,"",ROUND(AVERAGEIF(ASSESSMENTS!B:B,A254,ASSESSMENTS!H:H),1))</f>
        <v>#DIV/0!</v>
      </c>
      <c r="F254" s="4" t="str">
        <f>IF(A254="","",IFERROR(ROUND(AVERAGEIFS(ASSESSMENTS!H:H,ASSESSMENTS!B:B,A254,ASSESSMENTS!E:E,"Mathematics"),1),""))</f>
        <v/>
      </c>
      <c r="G254" s="4" t="str">
        <f>IF(A254="","",IFERROR(ROUND(AVERAGEIFS(ASSESSMENTS!H:H,ASSESSMENTS!B:B,A254,ASSESSMENTS!E:E,"Mathematical Literacy"),1),""))</f>
        <v/>
      </c>
      <c r="H254" s="4" t="str">
        <f>IF(A254="","",IFERROR(ROUND(AVERAGEIFS(ASSESSMENTS!H:H,ASSESSMENTS!B:B,A254,ASSESSMENTS!E:E,"Physical Sciences"),1),""))</f>
        <v/>
      </c>
      <c r="I254" s="4" t="str">
        <f>IF(A254="","",IFERROR(ROUND(AVERAGEIFS(ASSESSMENTS!H:H,ASSESSMENTS!B:B,A254,ASSESSMENTS!E:E,"Geography"),1),""))</f>
        <v/>
      </c>
      <c r="J254" s="4" t="str">
        <f>IF(A254="","",IFERROR(ROUND(AVERAGEIFS(ASSESSMENTS!H:H,ASSESSMENTS!B:B,A254,ASSESSMENTS!E:E,"Accounting"),1),""))</f>
        <v/>
      </c>
      <c r="K254" s="4" t="str">
        <f>IF(A254="","",IFERROR(ROUND(AVERAGEIFS(ASSESSMENTS!H:H,ASSESSMENTS!B:B,A254,ASSESSMENTS!E:E,"English"),1),""))</f>
        <v/>
      </c>
      <c r="L254" s="5" t="str">
        <f>IF(A254="","",IFERROR(INDEX(ATTENDANCE_SUMMARY!G:G,MATCH(A254,ATTENDANCE_SUMMARY!A:A,0)),""))</f>
        <v/>
      </c>
      <c r="M254" s="4" t="str">
        <f t="shared" si="3"/>
        <v/>
      </c>
    </row>
    <row r="255" spans="1:13" x14ac:dyDescent="0.3">
      <c r="A255" t="str">
        <f>IF(MASTER_REGISTER!E255="","",MASTER_REGISTER!E255)</f>
        <v/>
      </c>
      <c r="B255" t="str">
        <f>IF(A255="","",MASTER_REGISTER!F255)</f>
        <v/>
      </c>
      <c r="C255" t="str">
        <f>IF(A255="","",MASTER_REGISTER!C255)</f>
        <v/>
      </c>
      <c r="D255" t="str">
        <f>IF(A255="","",COUNTIF(ASSESSMENTS!B:B,A255))</f>
        <v/>
      </c>
      <c r="E255" s="4" t="e">
        <f>IF(D255=0,"",ROUND(AVERAGEIF(ASSESSMENTS!B:B,A255,ASSESSMENTS!H:H),1))</f>
        <v>#DIV/0!</v>
      </c>
      <c r="F255" s="4" t="str">
        <f>IF(A255="","",IFERROR(ROUND(AVERAGEIFS(ASSESSMENTS!H:H,ASSESSMENTS!B:B,A255,ASSESSMENTS!E:E,"Mathematics"),1),""))</f>
        <v/>
      </c>
      <c r="G255" s="4" t="str">
        <f>IF(A255="","",IFERROR(ROUND(AVERAGEIFS(ASSESSMENTS!H:H,ASSESSMENTS!B:B,A255,ASSESSMENTS!E:E,"Mathematical Literacy"),1),""))</f>
        <v/>
      </c>
      <c r="H255" s="4" t="str">
        <f>IF(A255="","",IFERROR(ROUND(AVERAGEIFS(ASSESSMENTS!H:H,ASSESSMENTS!B:B,A255,ASSESSMENTS!E:E,"Physical Sciences"),1),""))</f>
        <v/>
      </c>
      <c r="I255" s="4" t="str">
        <f>IF(A255="","",IFERROR(ROUND(AVERAGEIFS(ASSESSMENTS!H:H,ASSESSMENTS!B:B,A255,ASSESSMENTS!E:E,"Geography"),1),""))</f>
        <v/>
      </c>
      <c r="J255" s="4" t="str">
        <f>IF(A255="","",IFERROR(ROUND(AVERAGEIFS(ASSESSMENTS!H:H,ASSESSMENTS!B:B,A255,ASSESSMENTS!E:E,"Accounting"),1),""))</f>
        <v/>
      </c>
      <c r="K255" s="4" t="str">
        <f>IF(A255="","",IFERROR(ROUND(AVERAGEIFS(ASSESSMENTS!H:H,ASSESSMENTS!B:B,A255,ASSESSMENTS!E:E,"English"),1),""))</f>
        <v/>
      </c>
      <c r="L255" s="5" t="str">
        <f>IF(A255="","",IFERROR(INDEX(ATTENDANCE_SUMMARY!G:G,MATCH(A255,ATTENDANCE_SUMMARY!A:A,0)),""))</f>
        <v/>
      </c>
      <c r="M255" s="4" t="str">
        <f t="shared" si="3"/>
        <v/>
      </c>
    </row>
    <row r="256" spans="1:13" x14ac:dyDescent="0.3">
      <c r="A256" t="str">
        <f>IF(MASTER_REGISTER!E256="","",MASTER_REGISTER!E256)</f>
        <v/>
      </c>
      <c r="B256" t="str">
        <f>IF(A256="","",MASTER_REGISTER!F256)</f>
        <v/>
      </c>
      <c r="C256" t="str">
        <f>IF(A256="","",MASTER_REGISTER!C256)</f>
        <v/>
      </c>
      <c r="D256" t="str">
        <f>IF(A256="","",COUNTIF(ASSESSMENTS!B:B,A256))</f>
        <v/>
      </c>
      <c r="E256" s="4" t="e">
        <f>IF(D256=0,"",ROUND(AVERAGEIF(ASSESSMENTS!B:B,A256,ASSESSMENTS!H:H),1))</f>
        <v>#DIV/0!</v>
      </c>
      <c r="F256" s="4" t="str">
        <f>IF(A256="","",IFERROR(ROUND(AVERAGEIFS(ASSESSMENTS!H:H,ASSESSMENTS!B:B,A256,ASSESSMENTS!E:E,"Mathematics"),1),""))</f>
        <v/>
      </c>
      <c r="G256" s="4" t="str">
        <f>IF(A256="","",IFERROR(ROUND(AVERAGEIFS(ASSESSMENTS!H:H,ASSESSMENTS!B:B,A256,ASSESSMENTS!E:E,"Mathematical Literacy"),1),""))</f>
        <v/>
      </c>
      <c r="H256" s="4" t="str">
        <f>IF(A256="","",IFERROR(ROUND(AVERAGEIFS(ASSESSMENTS!H:H,ASSESSMENTS!B:B,A256,ASSESSMENTS!E:E,"Physical Sciences"),1),""))</f>
        <v/>
      </c>
      <c r="I256" s="4" t="str">
        <f>IF(A256="","",IFERROR(ROUND(AVERAGEIFS(ASSESSMENTS!H:H,ASSESSMENTS!B:B,A256,ASSESSMENTS!E:E,"Geography"),1),""))</f>
        <v/>
      </c>
      <c r="J256" s="4" t="str">
        <f>IF(A256="","",IFERROR(ROUND(AVERAGEIFS(ASSESSMENTS!H:H,ASSESSMENTS!B:B,A256,ASSESSMENTS!E:E,"Accounting"),1),""))</f>
        <v/>
      </c>
      <c r="K256" s="4" t="str">
        <f>IF(A256="","",IFERROR(ROUND(AVERAGEIFS(ASSESSMENTS!H:H,ASSESSMENTS!B:B,A256,ASSESSMENTS!E:E,"English"),1),""))</f>
        <v/>
      </c>
      <c r="L256" s="5" t="str">
        <f>IF(A256="","",IFERROR(INDEX(ATTENDANCE_SUMMARY!G:G,MATCH(A256,ATTENDANCE_SUMMARY!A:A,0)),""))</f>
        <v/>
      </c>
      <c r="M256" s="4" t="str">
        <f t="shared" si="3"/>
        <v/>
      </c>
    </row>
    <row r="257" spans="1:13" x14ac:dyDescent="0.3">
      <c r="A257" t="str">
        <f>IF(MASTER_REGISTER!E257="","",MASTER_REGISTER!E257)</f>
        <v/>
      </c>
      <c r="B257" t="str">
        <f>IF(A257="","",MASTER_REGISTER!F257)</f>
        <v/>
      </c>
      <c r="C257" t="str">
        <f>IF(A257="","",MASTER_REGISTER!C257)</f>
        <v/>
      </c>
      <c r="D257" t="str">
        <f>IF(A257="","",COUNTIF(ASSESSMENTS!B:B,A257))</f>
        <v/>
      </c>
      <c r="E257" s="4" t="e">
        <f>IF(D257=0,"",ROUND(AVERAGEIF(ASSESSMENTS!B:B,A257,ASSESSMENTS!H:H),1))</f>
        <v>#DIV/0!</v>
      </c>
      <c r="F257" s="4" t="str">
        <f>IF(A257="","",IFERROR(ROUND(AVERAGEIFS(ASSESSMENTS!H:H,ASSESSMENTS!B:B,A257,ASSESSMENTS!E:E,"Mathematics"),1),""))</f>
        <v/>
      </c>
      <c r="G257" s="4" t="str">
        <f>IF(A257="","",IFERROR(ROUND(AVERAGEIFS(ASSESSMENTS!H:H,ASSESSMENTS!B:B,A257,ASSESSMENTS!E:E,"Mathematical Literacy"),1),""))</f>
        <v/>
      </c>
      <c r="H257" s="4" t="str">
        <f>IF(A257="","",IFERROR(ROUND(AVERAGEIFS(ASSESSMENTS!H:H,ASSESSMENTS!B:B,A257,ASSESSMENTS!E:E,"Physical Sciences"),1),""))</f>
        <v/>
      </c>
      <c r="I257" s="4" t="str">
        <f>IF(A257="","",IFERROR(ROUND(AVERAGEIFS(ASSESSMENTS!H:H,ASSESSMENTS!B:B,A257,ASSESSMENTS!E:E,"Geography"),1),""))</f>
        <v/>
      </c>
      <c r="J257" s="4" t="str">
        <f>IF(A257="","",IFERROR(ROUND(AVERAGEIFS(ASSESSMENTS!H:H,ASSESSMENTS!B:B,A257,ASSESSMENTS!E:E,"Accounting"),1),""))</f>
        <v/>
      </c>
      <c r="K257" s="4" t="str">
        <f>IF(A257="","",IFERROR(ROUND(AVERAGEIFS(ASSESSMENTS!H:H,ASSESSMENTS!B:B,A257,ASSESSMENTS!E:E,"English"),1),""))</f>
        <v/>
      </c>
      <c r="L257" s="5" t="str">
        <f>IF(A257="","",IFERROR(INDEX(ATTENDANCE_SUMMARY!G:G,MATCH(A257,ATTENDANCE_SUMMARY!A:A,0)),""))</f>
        <v/>
      </c>
      <c r="M257" s="4" t="str">
        <f t="shared" si="3"/>
        <v/>
      </c>
    </row>
    <row r="258" spans="1:13" x14ac:dyDescent="0.3">
      <c r="A258" t="str">
        <f>IF(MASTER_REGISTER!E258="","",MASTER_REGISTER!E258)</f>
        <v/>
      </c>
      <c r="B258" t="str">
        <f>IF(A258="","",MASTER_REGISTER!F258)</f>
        <v/>
      </c>
      <c r="C258" t="str">
        <f>IF(A258="","",MASTER_REGISTER!C258)</f>
        <v/>
      </c>
      <c r="D258" t="str">
        <f>IF(A258="","",COUNTIF(ASSESSMENTS!B:B,A258))</f>
        <v/>
      </c>
      <c r="E258" s="4" t="e">
        <f>IF(D258=0,"",ROUND(AVERAGEIF(ASSESSMENTS!B:B,A258,ASSESSMENTS!H:H),1))</f>
        <v>#DIV/0!</v>
      </c>
      <c r="F258" s="4" t="str">
        <f>IF(A258="","",IFERROR(ROUND(AVERAGEIFS(ASSESSMENTS!H:H,ASSESSMENTS!B:B,A258,ASSESSMENTS!E:E,"Mathematics"),1),""))</f>
        <v/>
      </c>
      <c r="G258" s="4" t="str">
        <f>IF(A258="","",IFERROR(ROUND(AVERAGEIFS(ASSESSMENTS!H:H,ASSESSMENTS!B:B,A258,ASSESSMENTS!E:E,"Mathematical Literacy"),1),""))</f>
        <v/>
      </c>
      <c r="H258" s="4" t="str">
        <f>IF(A258="","",IFERROR(ROUND(AVERAGEIFS(ASSESSMENTS!H:H,ASSESSMENTS!B:B,A258,ASSESSMENTS!E:E,"Physical Sciences"),1),""))</f>
        <v/>
      </c>
      <c r="I258" s="4" t="str">
        <f>IF(A258="","",IFERROR(ROUND(AVERAGEIFS(ASSESSMENTS!H:H,ASSESSMENTS!B:B,A258,ASSESSMENTS!E:E,"Geography"),1),""))</f>
        <v/>
      </c>
      <c r="J258" s="4" t="str">
        <f>IF(A258="","",IFERROR(ROUND(AVERAGEIFS(ASSESSMENTS!H:H,ASSESSMENTS!B:B,A258,ASSESSMENTS!E:E,"Accounting"),1),""))</f>
        <v/>
      </c>
      <c r="K258" s="4" t="str">
        <f>IF(A258="","",IFERROR(ROUND(AVERAGEIFS(ASSESSMENTS!H:H,ASSESSMENTS!B:B,A258,ASSESSMENTS!E:E,"English"),1),""))</f>
        <v/>
      </c>
      <c r="L258" s="5" t="str">
        <f>IF(A258="","",IFERROR(INDEX(ATTENDANCE_SUMMARY!G:G,MATCH(A258,ATTENDANCE_SUMMARY!A:A,0)),""))</f>
        <v/>
      </c>
      <c r="M258" s="4" t="str">
        <f t="shared" ref="M258:M321" si="4">IF(A258="","",IF(OR(E258&lt;50,AND(L258&lt;0.75,L258&lt;&gt;"" )),"At Risk","On Track"))</f>
        <v/>
      </c>
    </row>
    <row r="259" spans="1:13" x14ac:dyDescent="0.3">
      <c r="A259" t="str">
        <f>IF(MASTER_REGISTER!E259="","",MASTER_REGISTER!E259)</f>
        <v/>
      </c>
      <c r="B259" t="str">
        <f>IF(A259="","",MASTER_REGISTER!F259)</f>
        <v/>
      </c>
      <c r="C259" t="str">
        <f>IF(A259="","",MASTER_REGISTER!C259)</f>
        <v/>
      </c>
      <c r="D259" t="str">
        <f>IF(A259="","",COUNTIF(ASSESSMENTS!B:B,A259))</f>
        <v/>
      </c>
      <c r="E259" s="4" t="e">
        <f>IF(D259=0,"",ROUND(AVERAGEIF(ASSESSMENTS!B:B,A259,ASSESSMENTS!H:H),1))</f>
        <v>#DIV/0!</v>
      </c>
      <c r="F259" s="4" t="str">
        <f>IF(A259="","",IFERROR(ROUND(AVERAGEIFS(ASSESSMENTS!H:H,ASSESSMENTS!B:B,A259,ASSESSMENTS!E:E,"Mathematics"),1),""))</f>
        <v/>
      </c>
      <c r="G259" s="4" t="str">
        <f>IF(A259="","",IFERROR(ROUND(AVERAGEIFS(ASSESSMENTS!H:H,ASSESSMENTS!B:B,A259,ASSESSMENTS!E:E,"Mathematical Literacy"),1),""))</f>
        <v/>
      </c>
      <c r="H259" s="4" t="str">
        <f>IF(A259="","",IFERROR(ROUND(AVERAGEIFS(ASSESSMENTS!H:H,ASSESSMENTS!B:B,A259,ASSESSMENTS!E:E,"Physical Sciences"),1),""))</f>
        <v/>
      </c>
      <c r="I259" s="4" t="str">
        <f>IF(A259="","",IFERROR(ROUND(AVERAGEIFS(ASSESSMENTS!H:H,ASSESSMENTS!B:B,A259,ASSESSMENTS!E:E,"Geography"),1),""))</f>
        <v/>
      </c>
      <c r="J259" s="4" t="str">
        <f>IF(A259="","",IFERROR(ROUND(AVERAGEIFS(ASSESSMENTS!H:H,ASSESSMENTS!B:B,A259,ASSESSMENTS!E:E,"Accounting"),1),""))</f>
        <v/>
      </c>
      <c r="K259" s="4" t="str">
        <f>IF(A259="","",IFERROR(ROUND(AVERAGEIFS(ASSESSMENTS!H:H,ASSESSMENTS!B:B,A259,ASSESSMENTS!E:E,"English"),1),""))</f>
        <v/>
      </c>
      <c r="L259" s="5" t="str">
        <f>IF(A259="","",IFERROR(INDEX(ATTENDANCE_SUMMARY!G:G,MATCH(A259,ATTENDANCE_SUMMARY!A:A,0)),""))</f>
        <v/>
      </c>
      <c r="M259" s="4" t="str">
        <f t="shared" si="4"/>
        <v/>
      </c>
    </row>
    <row r="260" spans="1:13" x14ac:dyDescent="0.3">
      <c r="A260" t="str">
        <f>IF(MASTER_REGISTER!E260="","",MASTER_REGISTER!E260)</f>
        <v/>
      </c>
      <c r="B260" t="str">
        <f>IF(A260="","",MASTER_REGISTER!F260)</f>
        <v/>
      </c>
      <c r="C260" t="str">
        <f>IF(A260="","",MASTER_REGISTER!C260)</f>
        <v/>
      </c>
      <c r="D260" t="str">
        <f>IF(A260="","",COUNTIF(ASSESSMENTS!B:B,A260))</f>
        <v/>
      </c>
      <c r="E260" s="4" t="e">
        <f>IF(D260=0,"",ROUND(AVERAGEIF(ASSESSMENTS!B:B,A260,ASSESSMENTS!H:H),1))</f>
        <v>#DIV/0!</v>
      </c>
      <c r="F260" s="4" t="str">
        <f>IF(A260="","",IFERROR(ROUND(AVERAGEIFS(ASSESSMENTS!H:H,ASSESSMENTS!B:B,A260,ASSESSMENTS!E:E,"Mathematics"),1),""))</f>
        <v/>
      </c>
      <c r="G260" s="4" t="str">
        <f>IF(A260="","",IFERROR(ROUND(AVERAGEIFS(ASSESSMENTS!H:H,ASSESSMENTS!B:B,A260,ASSESSMENTS!E:E,"Mathematical Literacy"),1),""))</f>
        <v/>
      </c>
      <c r="H260" s="4" t="str">
        <f>IF(A260="","",IFERROR(ROUND(AVERAGEIFS(ASSESSMENTS!H:H,ASSESSMENTS!B:B,A260,ASSESSMENTS!E:E,"Physical Sciences"),1),""))</f>
        <v/>
      </c>
      <c r="I260" s="4" t="str">
        <f>IF(A260="","",IFERROR(ROUND(AVERAGEIFS(ASSESSMENTS!H:H,ASSESSMENTS!B:B,A260,ASSESSMENTS!E:E,"Geography"),1),""))</f>
        <v/>
      </c>
      <c r="J260" s="4" t="str">
        <f>IF(A260="","",IFERROR(ROUND(AVERAGEIFS(ASSESSMENTS!H:H,ASSESSMENTS!B:B,A260,ASSESSMENTS!E:E,"Accounting"),1),""))</f>
        <v/>
      </c>
      <c r="K260" s="4" t="str">
        <f>IF(A260="","",IFERROR(ROUND(AVERAGEIFS(ASSESSMENTS!H:H,ASSESSMENTS!B:B,A260,ASSESSMENTS!E:E,"English"),1),""))</f>
        <v/>
      </c>
      <c r="L260" s="5" t="str">
        <f>IF(A260="","",IFERROR(INDEX(ATTENDANCE_SUMMARY!G:G,MATCH(A260,ATTENDANCE_SUMMARY!A:A,0)),""))</f>
        <v/>
      </c>
      <c r="M260" s="4" t="str">
        <f t="shared" si="4"/>
        <v/>
      </c>
    </row>
    <row r="261" spans="1:13" x14ac:dyDescent="0.3">
      <c r="A261" t="str">
        <f>IF(MASTER_REGISTER!E261="","",MASTER_REGISTER!E261)</f>
        <v/>
      </c>
      <c r="B261" t="str">
        <f>IF(A261="","",MASTER_REGISTER!F261)</f>
        <v/>
      </c>
      <c r="C261" t="str">
        <f>IF(A261="","",MASTER_REGISTER!C261)</f>
        <v/>
      </c>
      <c r="D261" t="str">
        <f>IF(A261="","",COUNTIF(ASSESSMENTS!B:B,A261))</f>
        <v/>
      </c>
      <c r="E261" s="4" t="e">
        <f>IF(D261=0,"",ROUND(AVERAGEIF(ASSESSMENTS!B:B,A261,ASSESSMENTS!H:H),1))</f>
        <v>#DIV/0!</v>
      </c>
      <c r="F261" s="4" t="str">
        <f>IF(A261="","",IFERROR(ROUND(AVERAGEIFS(ASSESSMENTS!H:H,ASSESSMENTS!B:B,A261,ASSESSMENTS!E:E,"Mathematics"),1),""))</f>
        <v/>
      </c>
      <c r="G261" s="4" t="str">
        <f>IF(A261="","",IFERROR(ROUND(AVERAGEIFS(ASSESSMENTS!H:H,ASSESSMENTS!B:B,A261,ASSESSMENTS!E:E,"Mathematical Literacy"),1),""))</f>
        <v/>
      </c>
      <c r="H261" s="4" t="str">
        <f>IF(A261="","",IFERROR(ROUND(AVERAGEIFS(ASSESSMENTS!H:H,ASSESSMENTS!B:B,A261,ASSESSMENTS!E:E,"Physical Sciences"),1),""))</f>
        <v/>
      </c>
      <c r="I261" s="4" t="str">
        <f>IF(A261="","",IFERROR(ROUND(AVERAGEIFS(ASSESSMENTS!H:H,ASSESSMENTS!B:B,A261,ASSESSMENTS!E:E,"Geography"),1),""))</f>
        <v/>
      </c>
      <c r="J261" s="4" t="str">
        <f>IF(A261="","",IFERROR(ROUND(AVERAGEIFS(ASSESSMENTS!H:H,ASSESSMENTS!B:B,A261,ASSESSMENTS!E:E,"Accounting"),1),""))</f>
        <v/>
      </c>
      <c r="K261" s="4" t="str">
        <f>IF(A261="","",IFERROR(ROUND(AVERAGEIFS(ASSESSMENTS!H:H,ASSESSMENTS!B:B,A261,ASSESSMENTS!E:E,"English"),1),""))</f>
        <v/>
      </c>
      <c r="L261" s="5" t="str">
        <f>IF(A261="","",IFERROR(INDEX(ATTENDANCE_SUMMARY!G:G,MATCH(A261,ATTENDANCE_SUMMARY!A:A,0)),""))</f>
        <v/>
      </c>
      <c r="M261" s="4" t="str">
        <f t="shared" si="4"/>
        <v/>
      </c>
    </row>
    <row r="262" spans="1:13" x14ac:dyDescent="0.3">
      <c r="A262" t="str">
        <f>IF(MASTER_REGISTER!E262="","",MASTER_REGISTER!E262)</f>
        <v/>
      </c>
      <c r="B262" t="str">
        <f>IF(A262="","",MASTER_REGISTER!F262)</f>
        <v/>
      </c>
      <c r="C262" t="str">
        <f>IF(A262="","",MASTER_REGISTER!C262)</f>
        <v/>
      </c>
      <c r="D262" t="str">
        <f>IF(A262="","",COUNTIF(ASSESSMENTS!B:B,A262))</f>
        <v/>
      </c>
      <c r="E262" s="4" t="e">
        <f>IF(D262=0,"",ROUND(AVERAGEIF(ASSESSMENTS!B:B,A262,ASSESSMENTS!H:H),1))</f>
        <v>#DIV/0!</v>
      </c>
      <c r="F262" s="4" t="str">
        <f>IF(A262="","",IFERROR(ROUND(AVERAGEIFS(ASSESSMENTS!H:H,ASSESSMENTS!B:B,A262,ASSESSMENTS!E:E,"Mathematics"),1),""))</f>
        <v/>
      </c>
      <c r="G262" s="4" t="str">
        <f>IF(A262="","",IFERROR(ROUND(AVERAGEIFS(ASSESSMENTS!H:H,ASSESSMENTS!B:B,A262,ASSESSMENTS!E:E,"Mathematical Literacy"),1),""))</f>
        <v/>
      </c>
      <c r="H262" s="4" t="str">
        <f>IF(A262="","",IFERROR(ROUND(AVERAGEIFS(ASSESSMENTS!H:H,ASSESSMENTS!B:B,A262,ASSESSMENTS!E:E,"Physical Sciences"),1),""))</f>
        <v/>
      </c>
      <c r="I262" s="4" t="str">
        <f>IF(A262="","",IFERROR(ROUND(AVERAGEIFS(ASSESSMENTS!H:H,ASSESSMENTS!B:B,A262,ASSESSMENTS!E:E,"Geography"),1),""))</f>
        <v/>
      </c>
      <c r="J262" s="4" t="str">
        <f>IF(A262="","",IFERROR(ROUND(AVERAGEIFS(ASSESSMENTS!H:H,ASSESSMENTS!B:B,A262,ASSESSMENTS!E:E,"Accounting"),1),""))</f>
        <v/>
      </c>
      <c r="K262" s="4" t="str">
        <f>IF(A262="","",IFERROR(ROUND(AVERAGEIFS(ASSESSMENTS!H:H,ASSESSMENTS!B:B,A262,ASSESSMENTS!E:E,"English"),1),""))</f>
        <v/>
      </c>
      <c r="L262" s="5" t="str">
        <f>IF(A262="","",IFERROR(INDEX(ATTENDANCE_SUMMARY!G:G,MATCH(A262,ATTENDANCE_SUMMARY!A:A,0)),""))</f>
        <v/>
      </c>
      <c r="M262" s="4" t="str">
        <f t="shared" si="4"/>
        <v/>
      </c>
    </row>
    <row r="263" spans="1:13" x14ac:dyDescent="0.3">
      <c r="A263" t="str">
        <f>IF(MASTER_REGISTER!E263="","",MASTER_REGISTER!E263)</f>
        <v/>
      </c>
      <c r="B263" t="str">
        <f>IF(A263="","",MASTER_REGISTER!F263)</f>
        <v/>
      </c>
      <c r="C263" t="str">
        <f>IF(A263="","",MASTER_REGISTER!C263)</f>
        <v/>
      </c>
      <c r="D263" t="str">
        <f>IF(A263="","",COUNTIF(ASSESSMENTS!B:B,A263))</f>
        <v/>
      </c>
      <c r="E263" s="4" t="e">
        <f>IF(D263=0,"",ROUND(AVERAGEIF(ASSESSMENTS!B:B,A263,ASSESSMENTS!H:H),1))</f>
        <v>#DIV/0!</v>
      </c>
      <c r="F263" s="4" t="str">
        <f>IF(A263="","",IFERROR(ROUND(AVERAGEIFS(ASSESSMENTS!H:H,ASSESSMENTS!B:B,A263,ASSESSMENTS!E:E,"Mathematics"),1),""))</f>
        <v/>
      </c>
      <c r="G263" s="4" t="str">
        <f>IF(A263="","",IFERROR(ROUND(AVERAGEIFS(ASSESSMENTS!H:H,ASSESSMENTS!B:B,A263,ASSESSMENTS!E:E,"Mathematical Literacy"),1),""))</f>
        <v/>
      </c>
      <c r="H263" s="4" t="str">
        <f>IF(A263="","",IFERROR(ROUND(AVERAGEIFS(ASSESSMENTS!H:H,ASSESSMENTS!B:B,A263,ASSESSMENTS!E:E,"Physical Sciences"),1),""))</f>
        <v/>
      </c>
      <c r="I263" s="4" t="str">
        <f>IF(A263="","",IFERROR(ROUND(AVERAGEIFS(ASSESSMENTS!H:H,ASSESSMENTS!B:B,A263,ASSESSMENTS!E:E,"Geography"),1),""))</f>
        <v/>
      </c>
      <c r="J263" s="4" t="str">
        <f>IF(A263="","",IFERROR(ROUND(AVERAGEIFS(ASSESSMENTS!H:H,ASSESSMENTS!B:B,A263,ASSESSMENTS!E:E,"Accounting"),1),""))</f>
        <v/>
      </c>
      <c r="K263" s="4" t="str">
        <f>IF(A263="","",IFERROR(ROUND(AVERAGEIFS(ASSESSMENTS!H:H,ASSESSMENTS!B:B,A263,ASSESSMENTS!E:E,"English"),1),""))</f>
        <v/>
      </c>
      <c r="L263" s="5" t="str">
        <f>IF(A263="","",IFERROR(INDEX(ATTENDANCE_SUMMARY!G:G,MATCH(A263,ATTENDANCE_SUMMARY!A:A,0)),""))</f>
        <v/>
      </c>
      <c r="M263" s="4" t="str">
        <f t="shared" si="4"/>
        <v/>
      </c>
    </row>
    <row r="264" spans="1:13" x14ac:dyDescent="0.3">
      <c r="A264" t="str">
        <f>IF(MASTER_REGISTER!E264="","",MASTER_REGISTER!E264)</f>
        <v/>
      </c>
      <c r="B264" t="str">
        <f>IF(A264="","",MASTER_REGISTER!F264)</f>
        <v/>
      </c>
      <c r="C264" t="str">
        <f>IF(A264="","",MASTER_REGISTER!C264)</f>
        <v/>
      </c>
      <c r="D264" t="str">
        <f>IF(A264="","",COUNTIF(ASSESSMENTS!B:B,A264))</f>
        <v/>
      </c>
      <c r="E264" s="4" t="e">
        <f>IF(D264=0,"",ROUND(AVERAGEIF(ASSESSMENTS!B:B,A264,ASSESSMENTS!H:H),1))</f>
        <v>#DIV/0!</v>
      </c>
      <c r="F264" s="4" t="str">
        <f>IF(A264="","",IFERROR(ROUND(AVERAGEIFS(ASSESSMENTS!H:H,ASSESSMENTS!B:B,A264,ASSESSMENTS!E:E,"Mathematics"),1),""))</f>
        <v/>
      </c>
      <c r="G264" s="4" t="str">
        <f>IF(A264="","",IFERROR(ROUND(AVERAGEIFS(ASSESSMENTS!H:H,ASSESSMENTS!B:B,A264,ASSESSMENTS!E:E,"Mathematical Literacy"),1),""))</f>
        <v/>
      </c>
      <c r="H264" s="4" t="str">
        <f>IF(A264="","",IFERROR(ROUND(AVERAGEIFS(ASSESSMENTS!H:H,ASSESSMENTS!B:B,A264,ASSESSMENTS!E:E,"Physical Sciences"),1),""))</f>
        <v/>
      </c>
      <c r="I264" s="4" t="str">
        <f>IF(A264="","",IFERROR(ROUND(AVERAGEIFS(ASSESSMENTS!H:H,ASSESSMENTS!B:B,A264,ASSESSMENTS!E:E,"Geography"),1),""))</f>
        <v/>
      </c>
      <c r="J264" s="4" t="str">
        <f>IF(A264="","",IFERROR(ROUND(AVERAGEIFS(ASSESSMENTS!H:H,ASSESSMENTS!B:B,A264,ASSESSMENTS!E:E,"Accounting"),1),""))</f>
        <v/>
      </c>
      <c r="K264" s="4" t="str">
        <f>IF(A264="","",IFERROR(ROUND(AVERAGEIFS(ASSESSMENTS!H:H,ASSESSMENTS!B:B,A264,ASSESSMENTS!E:E,"English"),1),""))</f>
        <v/>
      </c>
      <c r="L264" s="5" t="str">
        <f>IF(A264="","",IFERROR(INDEX(ATTENDANCE_SUMMARY!G:G,MATCH(A264,ATTENDANCE_SUMMARY!A:A,0)),""))</f>
        <v/>
      </c>
      <c r="M264" s="4" t="str">
        <f t="shared" si="4"/>
        <v/>
      </c>
    </row>
    <row r="265" spans="1:13" x14ac:dyDescent="0.3">
      <c r="A265" t="str">
        <f>IF(MASTER_REGISTER!E265="","",MASTER_REGISTER!E265)</f>
        <v/>
      </c>
      <c r="B265" t="str">
        <f>IF(A265="","",MASTER_REGISTER!F265)</f>
        <v/>
      </c>
      <c r="C265" t="str">
        <f>IF(A265="","",MASTER_REGISTER!C265)</f>
        <v/>
      </c>
      <c r="D265" t="str">
        <f>IF(A265="","",COUNTIF(ASSESSMENTS!B:B,A265))</f>
        <v/>
      </c>
      <c r="E265" s="4" t="e">
        <f>IF(D265=0,"",ROUND(AVERAGEIF(ASSESSMENTS!B:B,A265,ASSESSMENTS!H:H),1))</f>
        <v>#DIV/0!</v>
      </c>
      <c r="F265" s="4" t="str">
        <f>IF(A265="","",IFERROR(ROUND(AVERAGEIFS(ASSESSMENTS!H:H,ASSESSMENTS!B:B,A265,ASSESSMENTS!E:E,"Mathematics"),1),""))</f>
        <v/>
      </c>
      <c r="G265" s="4" t="str">
        <f>IF(A265="","",IFERROR(ROUND(AVERAGEIFS(ASSESSMENTS!H:H,ASSESSMENTS!B:B,A265,ASSESSMENTS!E:E,"Mathematical Literacy"),1),""))</f>
        <v/>
      </c>
      <c r="H265" s="4" t="str">
        <f>IF(A265="","",IFERROR(ROUND(AVERAGEIFS(ASSESSMENTS!H:H,ASSESSMENTS!B:B,A265,ASSESSMENTS!E:E,"Physical Sciences"),1),""))</f>
        <v/>
      </c>
      <c r="I265" s="4" t="str">
        <f>IF(A265="","",IFERROR(ROUND(AVERAGEIFS(ASSESSMENTS!H:H,ASSESSMENTS!B:B,A265,ASSESSMENTS!E:E,"Geography"),1),""))</f>
        <v/>
      </c>
      <c r="J265" s="4" t="str">
        <f>IF(A265="","",IFERROR(ROUND(AVERAGEIFS(ASSESSMENTS!H:H,ASSESSMENTS!B:B,A265,ASSESSMENTS!E:E,"Accounting"),1),""))</f>
        <v/>
      </c>
      <c r="K265" s="4" t="str">
        <f>IF(A265="","",IFERROR(ROUND(AVERAGEIFS(ASSESSMENTS!H:H,ASSESSMENTS!B:B,A265,ASSESSMENTS!E:E,"English"),1),""))</f>
        <v/>
      </c>
      <c r="L265" s="5" t="str">
        <f>IF(A265="","",IFERROR(INDEX(ATTENDANCE_SUMMARY!G:G,MATCH(A265,ATTENDANCE_SUMMARY!A:A,0)),""))</f>
        <v/>
      </c>
      <c r="M265" s="4" t="str">
        <f t="shared" si="4"/>
        <v/>
      </c>
    </row>
    <row r="266" spans="1:13" x14ac:dyDescent="0.3">
      <c r="A266" t="str">
        <f>IF(MASTER_REGISTER!E266="","",MASTER_REGISTER!E266)</f>
        <v/>
      </c>
      <c r="B266" t="str">
        <f>IF(A266="","",MASTER_REGISTER!F266)</f>
        <v/>
      </c>
      <c r="C266" t="str">
        <f>IF(A266="","",MASTER_REGISTER!C266)</f>
        <v/>
      </c>
      <c r="D266" t="str">
        <f>IF(A266="","",COUNTIF(ASSESSMENTS!B:B,A266))</f>
        <v/>
      </c>
      <c r="E266" s="4" t="e">
        <f>IF(D266=0,"",ROUND(AVERAGEIF(ASSESSMENTS!B:B,A266,ASSESSMENTS!H:H),1))</f>
        <v>#DIV/0!</v>
      </c>
      <c r="F266" s="4" t="str">
        <f>IF(A266="","",IFERROR(ROUND(AVERAGEIFS(ASSESSMENTS!H:H,ASSESSMENTS!B:B,A266,ASSESSMENTS!E:E,"Mathematics"),1),""))</f>
        <v/>
      </c>
      <c r="G266" s="4" t="str">
        <f>IF(A266="","",IFERROR(ROUND(AVERAGEIFS(ASSESSMENTS!H:H,ASSESSMENTS!B:B,A266,ASSESSMENTS!E:E,"Mathematical Literacy"),1),""))</f>
        <v/>
      </c>
      <c r="H266" s="4" t="str">
        <f>IF(A266="","",IFERROR(ROUND(AVERAGEIFS(ASSESSMENTS!H:H,ASSESSMENTS!B:B,A266,ASSESSMENTS!E:E,"Physical Sciences"),1),""))</f>
        <v/>
      </c>
      <c r="I266" s="4" t="str">
        <f>IF(A266="","",IFERROR(ROUND(AVERAGEIFS(ASSESSMENTS!H:H,ASSESSMENTS!B:B,A266,ASSESSMENTS!E:E,"Geography"),1),""))</f>
        <v/>
      </c>
      <c r="J266" s="4" t="str">
        <f>IF(A266="","",IFERROR(ROUND(AVERAGEIFS(ASSESSMENTS!H:H,ASSESSMENTS!B:B,A266,ASSESSMENTS!E:E,"Accounting"),1),""))</f>
        <v/>
      </c>
      <c r="K266" s="4" t="str">
        <f>IF(A266="","",IFERROR(ROUND(AVERAGEIFS(ASSESSMENTS!H:H,ASSESSMENTS!B:B,A266,ASSESSMENTS!E:E,"English"),1),""))</f>
        <v/>
      </c>
      <c r="L266" s="5" t="str">
        <f>IF(A266="","",IFERROR(INDEX(ATTENDANCE_SUMMARY!G:G,MATCH(A266,ATTENDANCE_SUMMARY!A:A,0)),""))</f>
        <v/>
      </c>
      <c r="M266" s="4" t="str">
        <f t="shared" si="4"/>
        <v/>
      </c>
    </row>
    <row r="267" spans="1:13" x14ac:dyDescent="0.3">
      <c r="A267" t="str">
        <f>IF(MASTER_REGISTER!E267="","",MASTER_REGISTER!E267)</f>
        <v/>
      </c>
      <c r="B267" t="str">
        <f>IF(A267="","",MASTER_REGISTER!F267)</f>
        <v/>
      </c>
      <c r="C267" t="str">
        <f>IF(A267="","",MASTER_REGISTER!C267)</f>
        <v/>
      </c>
      <c r="D267" t="str">
        <f>IF(A267="","",COUNTIF(ASSESSMENTS!B:B,A267))</f>
        <v/>
      </c>
      <c r="E267" s="4" t="e">
        <f>IF(D267=0,"",ROUND(AVERAGEIF(ASSESSMENTS!B:B,A267,ASSESSMENTS!H:H),1))</f>
        <v>#DIV/0!</v>
      </c>
      <c r="F267" s="4" t="str">
        <f>IF(A267="","",IFERROR(ROUND(AVERAGEIFS(ASSESSMENTS!H:H,ASSESSMENTS!B:B,A267,ASSESSMENTS!E:E,"Mathematics"),1),""))</f>
        <v/>
      </c>
      <c r="G267" s="4" t="str">
        <f>IF(A267="","",IFERROR(ROUND(AVERAGEIFS(ASSESSMENTS!H:H,ASSESSMENTS!B:B,A267,ASSESSMENTS!E:E,"Mathematical Literacy"),1),""))</f>
        <v/>
      </c>
      <c r="H267" s="4" t="str">
        <f>IF(A267="","",IFERROR(ROUND(AVERAGEIFS(ASSESSMENTS!H:H,ASSESSMENTS!B:B,A267,ASSESSMENTS!E:E,"Physical Sciences"),1),""))</f>
        <v/>
      </c>
      <c r="I267" s="4" t="str">
        <f>IF(A267="","",IFERROR(ROUND(AVERAGEIFS(ASSESSMENTS!H:H,ASSESSMENTS!B:B,A267,ASSESSMENTS!E:E,"Geography"),1),""))</f>
        <v/>
      </c>
      <c r="J267" s="4" t="str">
        <f>IF(A267="","",IFERROR(ROUND(AVERAGEIFS(ASSESSMENTS!H:H,ASSESSMENTS!B:B,A267,ASSESSMENTS!E:E,"Accounting"),1),""))</f>
        <v/>
      </c>
      <c r="K267" s="4" t="str">
        <f>IF(A267="","",IFERROR(ROUND(AVERAGEIFS(ASSESSMENTS!H:H,ASSESSMENTS!B:B,A267,ASSESSMENTS!E:E,"English"),1),""))</f>
        <v/>
      </c>
      <c r="L267" s="5" t="str">
        <f>IF(A267="","",IFERROR(INDEX(ATTENDANCE_SUMMARY!G:G,MATCH(A267,ATTENDANCE_SUMMARY!A:A,0)),""))</f>
        <v/>
      </c>
      <c r="M267" s="4" t="str">
        <f t="shared" si="4"/>
        <v/>
      </c>
    </row>
    <row r="268" spans="1:13" x14ac:dyDescent="0.3">
      <c r="A268" t="str">
        <f>IF(MASTER_REGISTER!E268="","",MASTER_REGISTER!E268)</f>
        <v/>
      </c>
      <c r="B268" t="str">
        <f>IF(A268="","",MASTER_REGISTER!F268)</f>
        <v/>
      </c>
      <c r="C268" t="str">
        <f>IF(A268="","",MASTER_REGISTER!C268)</f>
        <v/>
      </c>
      <c r="D268" t="str">
        <f>IF(A268="","",COUNTIF(ASSESSMENTS!B:B,A268))</f>
        <v/>
      </c>
      <c r="E268" s="4" t="e">
        <f>IF(D268=0,"",ROUND(AVERAGEIF(ASSESSMENTS!B:B,A268,ASSESSMENTS!H:H),1))</f>
        <v>#DIV/0!</v>
      </c>
      <c r="F268" s="4" t="str">
        <f>IF(A268="","",IFERROR(ROUND(AVERAGEIFS(ASSESSMENTS!H:H,ASSESSMENTS!B:B,A268,ASSESSMENTS!E:E,"Mathematics"),1),""))</f>
        <v/>
      </c>
      <c r="G268" s="4" t="str">
        <f>IF(A268="","",IFERROR(ROUND(AVERAGEIFS(ASSESSMENTS!H:H,ASSESSMENTS!B:B,A268,ASSESSMENTS!E:E,"Mathematical Literacy"),1),""))</f>
        <v/>
      </c>
      <c r="H268" s="4" t="str">
        <f>IF(A268="","",IFERROR(ROUND(AVERAGEIFS(ASSESSMENTS!H:H,ASSESSMENTS!B:B,A268,ASSESSMENTS!E:E,"Physical Sciences"),1),""))</f>
        <v/>
      </c>
      <c r="I268" s="4" t="str">
        <f>IF(A268="","",IFERROR(ROUND(AVERAGEIFS(ASSESSMENTS!H:H,ASSESSMENTS!B:B,A268,ASSESSMENTS!E:E,"Geography"),1),""))</f>
        <v/>
      </c>
      <c r="J268" s="4" t="str">
        <f>IF(A268="","",IFERROR(ROUND(AVERAGEIFS(ASSESSMENTS!H:H,ASSESSMENTS!B:B,A268,ASSESSMENTS!E:E,"Accounting"),1),""))</f>
        <v/>
      </c>
      <c r="K268" s="4" t="str">
        <f>IF(A268="","",IFERROR(ROUND(AVERAGEIFS(ASSESSMENTS!H:H,ASSESSMENTS!B:B,A268,ASSESSMENTS!E:E,"English"),1),""))</f>
        <v/>
      </c>
      <c r="L268" s="5" t="str">
        <f>IF(A268="","",IFERROR(INDEX(ATTENDANCE_SUMMARY!G:G,MATCH(A268,ATTENDANCE_SUMMARY!A:A,0)),""))</f>
        <v/>
      </c>
      <c r="M268" s="4" t="str">
        <f t="shared" si="4"/>
        <v/>
      </c>
    </row>
    <row r="269" spans="1:13" x14ac:dyDescent="0.3">
      <c r="A269" t="str">
        <f>IF(MASTER_REGISTER!E269="","",MASTER_REGISTER!E269)</f>
        <v/>
      </c>
      <c r="B269" t="str">
        <f>IF(A269="","",MASTER_REGISTER!F269)</f>
        <v/>
      </c>
      <c r="C269" t="str">
        <f>IF(A269="","",MASTER_REGISTER!C269)</f>
        <v/>
      </c>
      <c r="D269" t="str">
        <f>IF(A269="","",COUNTIF(ASSESSMENTS!B:B,A269))</f>
        <v/>
      </c>
      <c r="E269" s="4" t="e">
        <f>IF(D269=0,"",ROUND(AVERAGEIF(ASSESSMENTS!B:B,A269,ASSESSMENTS!H:H),1))</f>
        <v>#DIV/0!</v>
      </c>
      <c r="F269" s="4" t="str">
        <f>IF(A269="","",IFERROR(ROUND(AVERAGEIFS(ASSESSMENTS!H:H,ASSESSMENTS!B:B,A269,ASSESSMENTS!E:E,"Mathematics"),1),""))</f>
        <v/>
      </c>
      <c r="G269" s="4" t="str">
        <f>IF(A269="","",IFERROR(ROUND(AVERAGEIFS(ASSESSMENTS!H:H,ASSESSMENTS!B:B,A269,ASSESSMENTS!E:E,"Mathematical Literacy"),1),""))</f>
        <v/>
      </c>
      <c r="H269" s="4" t="str">
        <f>IF(A269="","",IFERROR(ROUND(AVERAGEIFS(ASSESSMENTS!H:H,ASSESSMENTS!B:B,A269,ASSESSMENTS!E:E,"Physical Sciences"),1),""))</f>
        <v/>
      </c>
      <c r="I269" s="4" t="str">
        <f>IF(A269="","",IFERROR(ROUND(AVERAGEIFS(ASSESSMENTS!H:H,ASSESSMENTS!B:B,A269,ASSESSMENTS!E:E,"Geography"),1),""))</f>
        <v/>
      </c>
      <c r="J269" s="4" t="str">
        <f>IF(A269="","",IFERROR(ROUND(AVERAGEIFS(ASSESSMENTS!H:H,ASSESSMENTS!B:B,A269,ASSESSMENTS!E:E,"Accounting"),1),""))</f>
        <v/>
      </c>
      <c r="K269" s="4" t="str">
        <f>IF(A269="","",IFERROR(ROUND(AVERAGEIFS(ASSESSMENTS!H:H,ASSESSMENTS!B:B,A269,ASSESSMENTS!E:E,"English"),1),""))</f>
        <v/>
      </c>
      <c r="L269" s="5" t="str">
        <f>IF(A269="","",IFERROR(INDEX(ATTENDANCE_SUMMARY!G:G,MATCH(A269,ATTENDANCE_SUMMARY!A:A,0)),""))</f>
        <v/>
      </c>
      <c r="M269" s="4" t="str">
        <f t="shared" si="4"/>
        <v/>
      </c>
    </row>
    <row r="270" spans="1:13" x14ac:dyDescent="0.3">
      <c r="A270" t="str">
        <f>IF(MASTER_REGISTER!E270="","",MASTER_REGISTER!E270)</f>
        <v/>
      </c>
      <c r="B270" t="str">
        <f>IF(A270="","",MASTER_REGISTER!F270)</f>
        <v/>
      </c>
      <c r="C270" t="str">
        <f>IF(A270="","",MASTER_REGISTER!C270)</f>
        <v/>
      </c>
      <c r="D270" t="str">
        <f>IF(A270="","",COUNTIF(ASSESSMENTS!B:B,A270))</f>
        <v/>
      </c>
      <c r="E270" s="4" t="e">
        <f>IF(D270=0,"",ROUND(AVERAGEIF(ASSESSMENTS!B:B,A270,ASSESSMENTS!H:H),1))</f>
        <v>#DIV/0!</v>
      </c>
      <c r="F270" s="4" t="str">
        <f>IF(A270="","",IFERROR(ROUND(AVERAGEIFS(ASSESSMENTS!H:H,ASSESSMENTS!B:B,A270,ASSESSMENTS!E:E,"Mathematics"),1),""))</f>
        <v/>
      </c>
      <c r="G270" s="4" t="str">
        <f>IF(A270="","",IFERROR(ROUND(AVERAGEIFS(ASSESSMENTS!H:H,ASSESSMENTS!B:B,A270,ASSESSMENTS!E:E,"Mathematical Literacy"),1),""))</f>
        <v/>
      </c>
      <c r="H270" s="4" t="str">
        <f>IF(A270="","",IFERROR(ROUND(AVERAGEIFS(ASSESSMENTS!H:H,ASSESSMENTS!B:B,A270,ASSESSMENTS!E:E,"Physical Sciences"),1),""))</f>
        <v/>
      </c>
      <c r="I270" s="4" t="str">
        <f>IF(A270="","",IFERROR(ROUND(AVERAGEIFS(ASSESSMENTS!H:H,ASSESSMENTS!B:B,A270,ASSESSMENTS!E:E,"Geography"),1),""))</f>
        <v/>
      </c>
      <c r="J270" s="4" t="str">
        <f>IF(A270="","",IFERROR(ROUND(AVERAGEIFS(ASSESSMENTS!H:H,ASSESSMENTS!B:B,A270,ASSESSMENTS!E:E,"Accounting"),1),""))</f>
        <v/>
      </c>
      <c r="K270" s="4" t="str">
        <f>IF(A270="","",IFERROR(ROUND(AVERAGEIFS(ASSESSMENTS!H:H,ASSESSMENTS!B:B,A270,ASSESSMENTS!E:E,"English"),1),""))</f>
        <v/>
      </c>
      <c r="L270" s="5" t="str">
        <f>IF(A270="","",IFERROR(INDEX(ATTENDANCE_SUMMARY!G:G,MATCH(A270,ATTENDANCE_SUMMARY!A:A,0)),""))</f>
        <v/>
      </c>
      <c r="M270" s="4" t="str">
        <f t="shared" si="4"/>
        <v/>
      </c>
    </row>
    <row r="271" spans="1:13" x14ac:dyDescent="0.3">
      <c r="A271" t="str">
        <f>IF(MASTER_REGISTER!E271="","",MASTER_REGISTER!E271)</f>
        <v/>
      </c>
      <c r="B271" t="str">
        <f>IF(A271="","",MASTER_REGISTER!F271)</f>
        <v/>
      </c>
      <c r="C271" t="str">
        <f>IF(A271="","",MASTER_REGISTER!C271)</f>
        <v/>
      </c>
      <c r="D271" t="str">
        <f>IF(A271="","",COUNTIF(ASSESSMENTS!B:B,A271))</f>
        <v/>
      </c>
      <c r="E271" s="4" t="e">
        <f>IF(D271=0,"",ROUND(AVERAGEIF(ASSESSMENTS!B:B,A271,ASSESSMENTS!H:H),1))</f>
        <v>#DIV/0!</v>
      </c>
      <c r="F271" s="4" t="str">
        <f>IF(A271="","",IFERROR(ROUND(AVERAGEIFS(ASSESSMENTS!H:H,ASSESSMENTS!B:B,A271,ASSESSMENTS!E:E,"Mathematics"),1),""))</f>
        <v/>
      </c>
      <c r="G271" s="4" t="str">
        <f>IF(A271="","",IFERROR(ROUND(AVERAGEIFS(ASSESSMENTS!H:H,ASSESSMENTS!B:B,A271,ASSESSMENTS!E:E,"Mathematical Literacy"),1),""))</f>
        <v/>
      </c>
      <c r="H271" s="4" t="str">
        <f>IF(A271="","",IFERROR(ROUND(AVERAGEIFS(ASSESSMENTS!H:H,ASSESSMENTS!B:B,A271,ASSESSMENTS!E:E,"Physical Sciences"),1),""))</f>
        <v/>
      </c>
      <c r="I271" s="4" t="str">
        <f>IF(A271="","",IFERROR(ROUND(AVERAGEIFS(ASSESSMENTS!H:H,ASSESSMENTS!B:B,A271,ASSESSMENTS!E:E,"Geography"),1),""))</f>
        <v/>
      </c>
      <c r="J271" s="4" t="str">
        <f>IF(A271="","",IFERROR(ROUND(AVERAGEIFS(ASSESSMENTS!H:H,ASSESSMENTS!B:B,A271,ASSESSMENTS!E:E,"Accounting"),1),""))</f>
        <v/>
      </c>
      <c r="K271" s="4" t="str">
        <f>IF(A271="","",IFERROR(ROUND(AVERAGEIFS(ASSESSMENTS!H:H,ASSESSMENTS!B:B,A271,ASSESSMENTS!E:E,"English"),1),""))</f>
        <v/>
      </c>
      <c r="L271" s="5" t="str">
        <f>IF(A271="","",IFERROR(INDEX(ATTENDANCE_SUMMARY!G:G,MATCH(A271,ATTENDANCE_SUMMARY!A:A,0)),""))</f>
        <v/>
      </c>
      <c r="M271" s="4" t="str">
        <f t="shared" si="4"/>
        <v/>
      </c>
    </row>
    <row r="272" spans="1:13" x14ac:dyDescent="0.3">
      <c r="A272" t="str">
        <f>IF(MASTER_REGISTER!E272="","",MASTER_REGISTER!E272)</f>
        <v/>
      </c>
      <c r="B272" t="str">
        <f>IF(A272="","",MASTER_REGISTER!F272)</f>
        <v/>
      </c>
      <c r="C272" t="str">
        <f>IF(A272="","",MASTER_REGISTER!C272)</f>
        <v/>
      </c>
      <c r="D272" t="str">
        <f>IF(A272="","",COUNTIF(ASSESSMENTS!B:B,A272))</f>
        <v/>
      </c>
      <c r="E272" s="4" t="e">
        <f>IF(D272=0,"",ROUND(AVERAGEIF(ASSESSMENTS!B:B,A272,ASSESSMENTS!H:H),1))</f>
        <v>#DIV/0!</v>
      </c>
      <c r="F272" s="4" t="str">
        <f>IF(A272="","",IFERROR(ROUND(AVERAGEIFS(ASSESSMENTS!H:H,ASSESSMENTS!B:B,A272,ASSESSMENTS!E:E,"Mathematics"),1),""))</f>
        <v/>
      </c>
      <c r="G272" s="4" t="str">
        <f>IF(A272="","",IFERROR(ROUND(AVERAGEIFS(ASSESSMENTS!H:H,ASSESSMENTS!B:B,A272,ASSESSMENTS!E:E,"Mathematical Literacy"),1),""))</f>
        <v/>
      </c>
      <c r="H272" s="4" t="str">
        <f>IF(A272="","",IFERROR(ROUND(AVERAGEIFS(ASSESSMENTS!H:H,ASSESSMENTS!B:B,A272,ASSESSMENTS!E:E,"Physical Sciences"),1),""))</f>
        <v/>
      </c>
      <c r="I272" s="4" t="str">
        <f>IF(A272="","",IFERROR(ROUND(AVERAGEIFS(ASSESSMENTS!H:H,ASSESSMENTS!B:B,A272,ASSESSMENTS!E:E,"Geography"),1),""))</f>
        <v/>
      </c>
      <c r="J272" s="4" t="str">
        <f>IF(A272="","",IFERROR(ROUND(AVERAGEIFS(ASSESSMENTS!H:H,ASSESSMENTS!B:B,A272,ASSESSMENTS!E:E,"Accounting"),1),""))</f>
        <v/>
      </c>
      <c r="K272" s="4" t="str">
        <f>IF(A272="","",IFERROR(ROUND(AVERAGEIFS(ASSESSMENTS!H:H,ASSESSMENTS!B:B,A272,ASSESSMENTS!E:E,"English"),1),""))</f>
        <v/>
      </c>
      <c r="L272" s="5" t="str">
        <f>IF(A272="","",IFERROR(INDEX(ATTENDANCE_SUMMARY!G:G,MATCH(A272,ATTENDANCE_SUMMARY!A:A,0)),""))</f>
        <v/>
      </c>
      <c r="M272" s="4" t="str">
        <f t="shared" si="4"/>
        <v/>
      </c>
    </row>
    <row r="273" spans="1:13" x14ac:dyDescent="0.3">
      <c r="A273" t="str">
        <f>IF(MASTER_REGISTER!E273="","",MASTER_REGISTER!E273)</f>
        <v/>
      </c>
      <c r="B273" t="str">
        <f>IF(A273="","",MASTER_REGISTER!F273)</f>
        <v/>
      </c>
      <c r="C273" t="str">
        <f>IF(A273="","",MASTER_REGISTER!C273)</f>
        <v/>
      </c>
      <c r="D273" t="str">
        <f>IF(A273="","",COUNTIF(ASSESSMENTS!B:B,A273))</f>
        <v/>
      </c>
      <c r="E273" s="4" t="e">
        <f>IF(D273=0,"",ROUND(AVERAGEIF(ASSESSMENTS!B:B,A273,ASSESSMENTS!H:H),1))</f>
        <v>#DIV/0!</v>
      </c>
      <c r="F273" s="4" t="str">
        <f>IF(A273="","",IFERROR(ROUND(AVERAGEIFS(ASSESSMENTS!H:H,ASSESSMENTS!B:B,A273,ASSESSMENTS!E:E,"Mathematics"),1),""))</f>
        <v/>
      </c>
      <c r="G273" s="4" t="str">
        <f>IF(A273="","",IFERROR(ROUND(AVERAGEIFS(ASSESSMENTS!H:H,ASSESSMENTS!B:B,A273,ASSESSMENTS!E:E,"Mathematical Literacy"),1),""))</f>
        <v/>
      </c>
      <c r="H273" s="4" t="str">
        <f>IF(A273="","",IFERROR(ROUND(AVERAGEIFS(ASSESSMENTS!H:H,ASSESSMENTS!B:B,A273,ASSESSMENTS!E:E,"Physical Sciences"),1),""))</f>
        <v/>
      </c>
      <c r="I273" s="4" t="str">
        <f>IF(A273="","",IFERROR(ROUND(AVERAGEIFS(ASSESSMENTS!H:H,ASSESSMENTS!B:B,A273,ASSESSMENTS!E:E,"Geography"),1),""))</f>
        <v/>
      </c>
      <c r="J273" s="4" t="str">
        <f>IF(A273="","",IFERROR(ROUND(AVERAGEIFS(ASSESSMENTS!H:H,ASSESSMENTS!B:B,A273,ASSESSMENTS!E:E,"Accounting"),1),""))</f>
        <v/>
      </c>
      <c r="K273" s="4" t="str">
        <f>IF(A273="","",IFERROR(ROUND(AVERAGEIFS(ASSESSMENTS!H:H,ASSESSMENTS!B:B,A273,ASSESSMENTS!E:E,"English"),1),""))</f>
        <v/>
      </c>
      <c r="L273" s="5" t="str">
        <f>IF(A273="","",IFERROR(INDEX(ATTENDANCE_SUMMARY!G:G,MATCH(A273,ATTENDANCE_SUMMARY!A:A,0)),""))</f>
        <v/>
      </c>
      <c r="M273" s="4" t="str">
        <f t="shared" si="4"/>
        <v/>
      </c>
    </row>
    <row r="274" spans="1:13" x14ac:dyDescent="0.3">
      <c r="A274" t="str">
        <f>IF(MASTER_REGISTER!E274="","",MASTER_REGISTER!E274)</f>
        <v/>
      </c>
      <c r="B274" t="str">
        <f>IF(A274="","",MASTER_REGISTER!F274)</f>
        <v/>
      </c>
      <c r="C274" t="str">
        <f>IF(A274="","",MASTER_REGISTER!C274)</f>
        <v/>
      </c>
      <c r="D274" t="str">
        <f>IF(A274="","",COUNTIF(ASSESSMENTS!B:B,A274))</f>
        <v/>
      </c>
      <c r="E274" s="4" t="e">
        <f>IF(D274=0,"",ROUND(AVERAGEIF(ASSESSMENTS!B:B,A274,ASSESSMENTS!H:H),1))</f>
        <v>#DIV/0!</v>
      </c>
      <c r="F274" s="4" t="str">
        <f>IF(A274="","",IFERROR(ROUND(AVERAGEIFS(ASSESSMENTS!H:H,ASSESSMENTS!B:B,A274,ASSESSMENTS!E:E,"Mathematics"),1),""))</f>
        <v/>
      </c>
      <c r="G274" s="4" t="str">
        <f>IF(A274="","",IFERROR(ROUND(AVERAGEIFS(ASSESSMENTS!H:H,ASSESSMENTS!B:B,A274,ASSESSMENTS!E:E,"Mathematical Literacy"),1),""))</f>
        <v/>
      </c>
      <c r="H274" s="4" t="str">
        <f>IF(A274="","",IFERROR(ROUND(AVERAGEIFS(ASSESSMENTS!H:H,ASSESSMENTS!B:B,A274,ASSESSMENTS!E:E,"Physical Sciences"),1),""))</f>
        <v/>
      </c>
      <c r="I274" s="4" t="str">
        <f>IF(A274="","",IFERROR(ROUND(AVERAGEIFS(ASSESSMENTS!H:H,ASSESSMENTS!B:B,A274,ASSESSMENTS!E:E,"Geography"),1),""))</f>
        <v/>
      </c>
      <c r="J274" s="4" t="str">
        <f>IF(A274="","",IFERROR(ROUND(AVERAGEIFS(ASSESSMENTS!H:H,ASSESSMENTS!B:B,A274,ASSESSMENTS!E:E,"Accounting"),1),""))</f>
        <v/>
      </c>
      <c r="K274" s="4" t="str">
        <f>IF(A274="","",IFERROR(ROUND(AVERAGEIFS(ASSESSMENTS!H:H,ASSESSMENTS!B:B,A274,ASSESSMENTS!E:E,"English"),1),""))</f>
        <v/>
      </c>
      <c r="L274" s="5" t="str">
        <f>IF(A274="","",IFERROR(INDEX(ATTENDANCE_SUMMARY!G:G,MATCH(A274,ATTENDANCE_SUMMARY!A:A,0)),""))</f>
        <v/>
      </c>
      <c r="M274" s="4" t="str">
        <f t="shared" si="4"/>
        <v/>
      </c>
    </row>
    <row r="275" spans="1:13" x14ac:dyDescent="0.3">
      <c r="A275" t="str">
        <f>IF(MASTER_REGISTER!E275="","",MASTER_REGISTER!E275)</f>
        <v/>
      </c>
      <c r="B275" t="str">
        <f>IF(A275="","",MASTER_REGISTER!F275)</f>
        <v/>
      </c>
      <c r="C275" t="str">
        <f>IF(A275="","",MASTER_REGISTER!C275)</f>
        <v/>
      </c>
      <c r="D275" t="str">
        <f>IF(A275="","",COUNTIF(ASSESSMENTS!B:B,A275))</f>
        <v/>
      </c>
      <c r="E275" s="4" t="e">
        <f>IF(D275=0,"",ROUND(AVERAGEIF(ASSESSMENTS!B:B,A275,ASSESSMENTS!H:H),1))</f>
        <v>#DIV/0!</v>
      </c>
      <c r="F275" s="4" t="str">
        <f>IF(A275="","",IFERROR(ROUND(AVERAGEIFS(ASSESSMENTS!H:H,ASSESSMENTS!B:B,A275,ASSESSMENTS!E:E,"Mathematics"),1),""))</f>
        <v/>
      </c>
      <c r="G275" s="4" t="str">
        <f>IF(A275="","",IFERROR(ROUND(AVERAGEIFS(ASSESSMENTS!H:H,ASSESSMENTS!B:B,A275,ASSESSMENTS!E:E,"Mathematical Literacy"),1),""))</f>
        <v/>
      </c>
      <c r="H275" s="4" t="str">
        <f>IF(A275="","",IFERROR(ROUND(AVERAGEIFS(ASSESSMENTS!H:H,ASSESSMENTS!B:B,A275,ASSESSMENTS!E:E,"Physical Sciences"),1),""))</f>
        <v/>
      </c>
      <c r="I275" s="4" t="str">
        <f>IF(A275="","",IFERROR(ROUND(AVERAGEIFS(ASSESSMENTS!H:H,ASSESSMENTS!B:B,A275,ASSESSMENTS!E:E,"Geography"),1),""))</f>
        <v/>
      </c>
      <c r="J275" s="4" t="str">
        <f>IF(A275="","",IFERROR(ROUND(AVERAGEIFS(ASSESSMENTS!H:H,ASSESSMENTS!B:B,A275,ASSESSMENTS!E:E,"Accounting"),1),""))</f>
        <v/>
      </c>
      <c r="K275" s="4" t="str">
        <f>IF(A275="","",IFERROR(ROUND(AVERAGEIFS(ASSESSMENTS!H:H,ASSESSMENTS!B:B,A275,ASSESSMENTS!E:E,"English"),1),""))</f>
        <v/>
      </c>
      <c r="L275" s="5" t="str">
        <f>IF(A275="","",IFERROR(INDEX(ATTENDANCE_SUMMARY!G:G,MATCH(A275,ATTENDANCE_SUMMARY!A:A,0)),""))</f>
        <v/>
      </c>
      <c r="M275" s="4" t="str">
        <f t="shared" si="4"/>
        <v/>
      </c>
    </row>
    <row r="276" spans="1:13" x14ac:dyDescent="0.3">
      <c r="A276" t="str">
        <f>IF(MASTER_REGISTER!E276="","",MASTER_REGISTER!E276)</f>
        <v/>
      </c>
      <c r="B276" t="str">
        <f>IF(A276="","",MASTER_REGISTER!F276)</f>
        <v/>
      </c>
      <c r="C276" t="str">
        <f>IF(A276="","",MASTER_REGISTER!C276)</f>
        <v/>
      </c>
      <c r="D276" t="str">
        <f>IF(A276="","",COUNTIF(ASSESSMENTS!B:B,A276))</f>
        <v/>
      </c>
      <c r="E276" s="4" t="e">
        <f>IF(D276=0,"",ROUND(AVERAGEIF(ASSESSMENTS!B:B,A276,ASSESSMENTS!H:H),1))</f>
        <v>#DIV/0!</v>
      </c>
      <c r="F276" s="4" t="str">
        <f>IF(A276="","",IFERROR(ROUND(AVERAGEIFS(ASSESSMENTS!H:H,ASSESSMENTS!B:B,A276,ASSESSMENTS!E:E,"Mathematics"),1),""))</f>
        <v/>
      </c>
      <c r="G276" s="4" t="str">
        <f>IF(A276="","",IFERROR(ROUND(AVERAGEIFS(ASSESSMENTS!H:H,ASSESSMENTS!B:B,A276,ASSESSMENTS!E:E,"Mathematical Literacy"),1),""))</f>
        <v/>
      </c>
      <c r="H276" s="4" t="str">
        <f>IF(A276="","",IFERROR(ROUND(AVERAGEIFS(ASSESSMENTS!H:H,ASSESSMENTS!B:B,A276,ASSESSMENTS!E:E,"Physical Sciences"),1),""))</f>
        <v/>
      </c>
      <c r="I276" s="4" t="str">
        <f>IF(A276="","",IFERROR(ROUND(AVERAGEIFS(ASSESSMENTS!H:H,ASSESSMENTS!B:B,A276,ASSESSMENTS!E:E,"Geography"),1),""))</f>
        <v/>
      </c>
      <c r="J276" s="4" t="str">
        <f>IF(A276="","",IFERROR(ROUND(AVERAGEIFS(ASSESSMENTS!H:H,ASSESSMENTS!B:B,A276,ASSESSMENTS!E:E,"Accounting"),1),""))</f>
        <v/>
      </c>
      <c r="K276" s="4" t="str">
        <f>IF(A276="","",IFERROR(ROUND(AVERAGEIFS(ASSESSMENTS!H:H,ASSESSMENTS!B:B,A276,ASSESSMENTS!E:E,"English"),1),""))</f>
        <v/>
      </c>
      <c r="L276" s="5" t="str">
        <f>IF(A276="","",IFERROR(INDEX(ATTENDANCE_SUMMARY!G:G,MATCH(A276,ATTENDANCE_SUMMARY!A:A,0)),""))</f>
        <v/>
      </c>
      <c r="M276" s="4" t="str">
        <f t="shared" si="4"/>
        <v/>
      </c>
    </row>
    <row r="277" spans="1:13" x14ac:dyDescent="0.3">
      <c r="A277" t="str">
        <f>IF(MASTER_REGISTER!E277="","",MASTER_REGISTER!E277)</f>
        <v/>
      </c>
      <c r="B277" t="str">
        <f>IF(A277="","",MASTER_REGISTER!F277)</f>
        <v/>
      </c>
      <c r="C277" t="str">
        <f>IF(A277="","",MASTER_REGISTER!C277)</f>
        <v/>
      </c>
      <c r="D277" t="str">
        <f>IF(A277="","",COUNTIF(ASSESSMENTS!B:B,A277))</f>
        <v/>
      </c>
      <c r="E277" s="4" t="e">
        <f>IF(D277=0,"",ROUND(AVERAGEIF(ASSESSMENTS!B:B,A277,ASSESSMENTS!H:H),1))</f>
        <v>#DIV/0!</v>
      </c>
      <c r="F277" s="4" t="str">
        <f>IF(A277="","",IFERROR(ROUND(AVERAGEIFS(ASSESSMENTS!H:H,ASSESSMENTS!B:B,A277,ASSESSMENTS!E:E,"Mathematics"),1),""))</f>
        <v/>
      </c>
      <c r="G277" s="4" t="str">
        <f>IF(A277="","",IFERROR(ROUND(AVERAGEIFS(ASSESSMENTS!H:H,ASSESSMENTS!B:B,A277,ASSESSMENTS!E:E,"Mathematical Literacy"),1),""))</f>
        <v/>
      </c>
      <c r="H277" s="4" t="str">
        <f>IF(A277="","",IFERROR(ROUND(AVERAGEIFS(ASSESSMENTS!H:H,ASSESSMENTS!B:B,A277,ASSESSMENTS!E:E,"Physical Sciences"),1),""))</f>
        <v/>
      </c>
      <c r="I277" s="4" t="str">
        <f>IF(A277="","",IFERROR(ROUND(AVERAGEIFS(ASSESSMENTS!H:H,ASSESSMENTS!B:B,A277,ASSESSMENTS!E:E,"Geography"),1),""))</f>
        <v/>
      </c>
      <c r="J277" s="4" t="str">
        <f>IF(A277="","",IFERROR(ROUND(AVERAGEIFS(ASSESSMENTS!H:H,ASSESSMENTS!B:B,A277,ASSESSMENTS!E:E,"Accounting"),1),""))</f>
        <v/>
      </c>
      <c r="K277" s="4" t="str">
        <f>IF(A277="","",IFERROR(ROUND(AVERAGEIFS(ASSESSMENTS!H:H,ASSESSMENTS!B:B,A277,ASSESSMENTS!E:E,"English"),1),""))</f>
        <v/>
      </c>
      <c r="L277" s="5" t="str">
        <f>IF(A277="","",IFERROR(INDEX(ATTENDANCE_SUMMARY!G:G,MATCH(A277,ATTENDANCE_SUMMARY!A:A,0)),""))</f>
        <v/>
      </c>
      <c r="M277" s="4" t="str">
        <f t="shared" si="4"/>
        <v/>
      </c>
    </row>
    <row r="278" spans="1:13" x14ac:dyDescent="0.3">
      <c r="A278" t="str">
        <f>IF(MASTER_REGISTER!E278="","",MASTER_REGISTER!E278)</f>
        <v/>
      </c>
      <c r="B278" t="str">
        <f>IF(A278="","",MASTER_REGISTER!F278)</f>
        <v/>
      </c>
      <c r="C278" t="str">
        <f>IF(A278="","",MASTER_REGISTER!C278)</f>
        <v/>
      </c>
      <c r="D278" t="str">
        <f>IF(A278="","",COUNTIF(ASSESSMENTS!B:B,A278))</f>
        <v/>
      </c>
      <c r="E278" s="4" t="e">
        <f>IF(D278=0,"",ROUND(AVERAGEIF(ASSESSMENTS!B:B,A278,ASSESSMENTS!H:H),1))</f>
        <v>#DIV/0!</v>
      </c>
      <c r="F278" s="4" t="str">
        <f>IF(A278="","",IFERROR(ROUND(AVERAGEIFS(ASSESSMENTS!H:H,ASSESSMENTS!B:B,A278,ASSESSMENTS!E:E,"Mathematics"),1),""))</f>
        <v/>
      </c>
      <c r="G278" s="4" t="str">
        <f>IF(A278="","",IFERROR(ROUND(AVERAGEIFS(ASSESSMENTS!H:H,ASSESSMENTS!B:B,A278,ASSESSMENTS!E:E,"Mathematical Literacy"),1),""))</f>
        <v/>
      </c>
      <c r="H278" s="4" t="str">
        <f>IF(A278="","",IFERROR(ROUND(AVERAGEIFS(ASSESSMENTS!H:H,ASSESSMENTS!B:B,A278,ASSESSMENTS!E:E,"Physical Sciences"),1),""))</f>
        <v/>
      </c>
      <c r="I278" s="4" t="str">
        <f>IF(A278="","",IFERROR(ROUND(AVERAGEIFS(ASSESSMENTS!H:H,ASSESSMENTS!B:B,A278,ASSESSMENTS!E:E,"Geography"),1),""))</f>
        <v/>
      </c>
      <c r="J278" s="4" t="str">
        <f>IF(A278="","",IFERROR(ROUND(AVERAGEIFS(ASSESSMENTS!H:H,ASSESSMENTS!B:B,A278,ASSESSMENTS!E:E,"Accounting"),1),""))</f>
        <v/>
      </c>
      <c r="K278" s="4" t="str">
        <f>IF(A278="","",IFERROR(ROUND(AVERAGEIFS(ASSESSMENTS!H:H,ASSESSMENTS!B:B,A278,ASSESSMENTS!E:E,"English"),1),""))</f>
        <v/>
      </c>
      <c r="L278" s="5" t="str">
        <f>IF(A278="","",IFERROR(INDEX(ATTENDANCE_SUMMARY!G:G,MATCH(A278,ATTENDANCE_SUMMARY!A:A,0)),""))</f>
        <v/>
      </c>
      <c r="M278" s="4" t="str">
        <f t="shared" si="4"/>
        <v/>
      </c>
    </row>
    <row r="279" spans="1:13" x14ac:dyDescent="0.3">
      <c r="A279" t="str">
        <f>IF(MASTER_REGISTER!E279="","",MASTER_REGISTER!E279)</f>
        <v/>
      </c>
      <c r="B279" t="str">
        <f>IF(A279="","",MASTER_REGISTER!F279)</f>
        <v/>
      </c>
      <c r="C279" t="str">
        <f>IF(A279="","",MASTER_REGISTER!C279)</f>
        <v/>
      </c>
      <c r="D279" t="str">
        <f>IF(A279="","",COUNTIF(ASSESSMENTS!B:B,A279))</f>
        <v/>
      </c>
      <c r="E279" s="4" t="e">
        <f>IF(D279=0,"",ROUND(AVERAGEIF(ASSESSMENTS!B:B,A279,ASSESSMENTS!H:H),1))</f>
        <v>#DIV/0!</v>
      </c>
      <c r="F279" s="4" t="str">
        <f>IF(A279="","",IFERROR(ROUND(AVERAGEIFS(ASSESSMENTS!H:H,ASSESSMENTS!B:B,A279,ASSESSMENTS!E:E,"Mathematics"),1),""))</f>
        <v/>
      </c>
      <c r="G279" s="4" t="str">
        <f>IF(A279="","",IFERROR(ROUND(AVERAGEIFS(ASSESSMENTS!H:H,ASSESSMENTS!B:B,A279,ASSESSMENTS!E:E,"Mathematical Literacy"),1),""))</f>
        <v/>
      </c>
      <c r="H279" s="4" t="str">
        <f>IF(A279="","",IFERROR(ROUND(AVERAGEIFS(ASSESSMENTS!H:H,ASSESSMENTS!B:B,A279,ASSESSMENTS!E:E,"Physical Sciences"),1),""))</f>
        <v/>
      </c>
      <c r="I279" s="4" t="str">
        <f>IF(A279="","",IFERROR(ROUND(AVERAGEIFS(ASSESSMENTS!H:H,ASSESSMENTS!B:B,A279,ASSESSMENTS!E:E,"Geography"),1),""))</f>
        <v/>
      </c>
      <c r="J279" s="4" t="str">
        <f>IF(A279="","",IFERROR(ROUND(AVERAGEIFS(ASSESSMENTS!H:H,ASSESSMENTS!B:B,A279,ASSESSMENTS!E:E,"Accounting"),1),""))</f>
        <v/>
      </c>
      <c r="K279" s="4" t="str">
        <f>IF(A279="","",IFERROR(ROUND(AVERAGEIFS(ASSESSMENTS!H:H,ASSESSMENTS!B:B,A279,ASSESSMENTS!E:E,"English"),1),""))</f>
        <v/>
      </c>
      <c r="L279" s="5" t="str">
        <f>IF(A279="","",IFERROR(INDEX(ATTENDANCE_SUMMARY!G:G,MATCH(A279,ATTENDANCE_SUMMARY!A:A,0)),""))</f>
        <v/>
      </c>
      <c r="M279" s="4" t="str">
        <f t="shared" si="4"/>
        <v/>
      </c>
    </row>
    <row r="280" spans="1:13" x14ac:dyDescent="0.3">
      <c r="A280" t="str">
        <f>IF(MASTER_REGISTER!E280="","",MASTER_REGISTER!E280)</f>
        <v/>
      </c>
      <c r="B280" t="str">
        <f>IF(A280="","",MASTER_REGISTER!F280)</f>
        <v/>
      </c>
      <c r="C280" t="str">
        <f>IF(A280="","",MASTER_REGISTER!C280)</f>
        <v/>
      </c>
      <c r="D280" t="str">
        <f>IF(A280="","",COUNTIF(ASSESSMENTS!B:B,A280))</f>
        <v/>
      </c>
      <c r="E280" s="4" t="e">
        <f>IF(D280=0,"",ROUND(AVERAGEIF(ASSESSMENTS!B:B,A280,ASSESSMENTS!H:H),1))</f>
        <v>#DIV/0!</v>
      </c>
      <c r="F280" s="4" t="str">
        <f>IF(A280="","",IFERROR(ROUND(AVERAGEIFS(ASSESSMENTS!H:H,ASSESSMENTS!B:B,A280,ASSESSMENTS!E:E,"Mathematics"),1),""))</f>
        <v/>
      </c>
      <c r="G280" s="4" t="str">
        <f>IF(A280="","",IFERROR(ROUND(AVERAGEIFS(ASSESSMENTS!H:H,ASSESSMENTS!B:B,A280,ASSESSMENTS!E:E,"Mathematical Literacy"),1),""))</f>
        <v/>
      </c>
      <c r="H280" s="4" t="str">
        <f>IF(A280="","",IFERROR(ROUND(AVERAGEIFS(ASSESSMENTS!H:H,ASSESSMENTS!B:B,A280,ASSESSMENTS!E:E,"Physical Sciences"),1),""))</f>
        <v/>
      </c>
      <c r="I280" s="4" t="str">
        <f>IF(A280="","",IFERROR(ROUND(AVERAGEIFS(ASSESSMENTS!H:H,ASSESSMENTS!B:B,A280,ASSESSMENTS!E:E,"Geography"),1),""))</f>
        <v/>
      </c>
      <c r="J280" s="4" t="str">
        <f>IF(A280="","",IFERROR(ROUND(AVERAGEIFS(ASSESSMENTS!H:H,ASSESSMENTS!B:B,A280,ASSESSMENTS!E:E,"Accounting"),1),""))</f>
        <v/>
      </c>
      <c r="K280" s="4" t="str">
        <f>IF(A280="","",IFERROR(ROUND(AVERAGEIFS(ASSESSMENTS!H:H,ASSESSMENTS!B:B,A280,ASSESSMENTS!E:E,"English"),1),""))</f>
        <v/>
      </c>
      <c r="L280" s="5" t="str">
        <f>IF(A280="","",IFERROR(INDEX(ATTENDANCE_SUMMARY!G:G,MATCH(A280,ATTENDANCE_SUMMARY!A:A,0)),""))</f>
        <v/>
      </c>
      <c r="M280" s="4" t="str">
        <f t="shared" si="4"/>
        <v/>
      </c>
    </row>
    <row r="281" spans="1:13" x14ac:dyDescent="0.3">
      <c r="A281" t="str">
        <f>IF(MASTER_REGISTER!E281="","",MASTER_REGISTER!E281)</f>
        <v/>
      </c>
      <c r="B281" t="str">
        <f>IF(A281="","",MASTER_REGISTER!F281)</f>
        <v/>
      </c>
      <c r="C281" t="str">
        <f>IF(A281="","",MASTER_REGISTER!C281)</f>
        <v/>
      </c>
      <c r="D281" t="str">
        <f>IF(A281="","",COUNTIF(ASSESSMENTS!B:B,A281))</f>
        <v/>
      </c>
      <c r="E281" s="4" t="e">
        <f>IF(D281=0,"",ROUND(AVERAGEIF(ASSESSMENTS!B:B,A281,ASSESSMENTS!H:H),1))</f>
        <v>#DIV/0!</v>
      </c>
      <c r="F281" s="4" t="str">
        <f>IF(A281="","",IFERROR(ROUND(AVERAGEIFS(ASSESSMENTS!H:H,ASSESSMENTS!B:B,A281,ASSESSMENTS!E:E,"Mathematics"),1),""))</f>
        <v/>
      </c>
      <c r="G281" s="4" t="str">
        <f>IF(A281="","",IFERROR(ROUND(AVERAGEIFS(ASSESSMENTS!H:H,ASSESSMENTS!B:B,A281,ASSESSMENTS!E:E,"Mathematical Literacy"),1),""))</f>
        <v/>
      </c>
      <c r="H281" s="4" t="str">
        <f>IF(A281="","",IFERROR(ROUND(AVERAGEIFS(ASSESSMENTS!H:H,ASSESSMENTS!B:B,A281,ASSESSMENTS!E:E,"Physical Sciences"),1),""))</f>
        <v/>
      </c>
      <c r="I281" s="4" t="str">
        <f>IF(A281="","",IFERROR(ROUND(AVERAGEIFS(ASSESSMENTS!H:H,ASSESSMENTS!B:B,A281,ASSESSMENTS!E:E,"Geography"),1),""))</f>
        <v/>
      </c>
      <c r="J281" s="4" t="str">
        <f>IF(A281="","",IFERROR(ROUND(AVERAGEIFS(ASSESSMENTS!H:H,ASSESSMENTS!B:B,A281,ASSESSMENTS!E:E,"Accounting"),1),""))</f>
        <v/>
      </c>
      <c r="K281" s="4" t="str">
        <f>IF(A281="","",IFERROR(ROUND(AVERAGEIFS(ASSESSMENTS!H:H,ASSESSMENTS!B:B,A281,ASSESSMENTS!E:E,"English"),1),""))</f>
        <v/>
      </c>
      <c r="L281" s="5" t="str">
        <f>IF(A281="","",IFERROR(INDEX(ATTENDANCE_SUMMARY!G:G,MATCH(A281,ATTENDANCE_SUMMARY!A:A,0)),""))</f>
        <v/>
      </c>
      <c r="M281" s="4" t="str">
        <f t="shared" si="4"/>
        <v/>
      </c>
    </row>
    <row r="282" spans="1:13" x14ac:dyDescent="0.3">
      <c r="A282" t="str">
        <f>IF(MASTER_REGISTER!E282="","",MASTER_REGISTER!E282)</f>
        <v/>
      </c>
      <c r="B282" t="str">
        <f>IF(A282="","",MASTER_REGISTER!F282)</f>
        <v/>
      </c>
      <c r="C282" t="str">
        <f>IF(A282="","",MASTER_REGISTER!C282)</f>
        <v/>
      </c>
      <c r="D282" t="str">
        <f>IF(A282="","",COUNTIF(ASSESSMENTS!B:B,A282))</f>
        <v/>
      </c>
      <c r="E282" s="4" t="e">
        <f>IF(D282=0,"",ROUND(AVERAGEIF(ASSESSMENTS!B:B,A282,ASSESSMENTS!H:H),1))</f>
        <v>#DIV/0!</v>
      </c>
      <c r="F282" s="4" t="str">
        <f>IF(A282="","",IFERROR(ROUND(AVERAGEIFS(ASSESSMENTS!H:H,ASSESSMENTS!B:B,A282,ASSESSMENTS!E:E,"Mathematics"),1),""))</f>
        <v/>
      </c>
      <c r="G282" s="4" t="str">
        <f>IF(A282="","",IFERROR(ROUND(AVERAGEIFS(ASSESSMENTS!H:H,ASSESSMENTS!B:B,A282,ASSESSMENTS!E:E,"Mathematical Literacy"),1),""))</f>
        <v/>
      </c>
      <c r="H282" s="4" t="str">
        <f>IF(A282="","",IFERROR(ROUND(AVERAGEIFS(ASSESSMENTS!H:H,ASSESSMENTS!B:B,A282,ASSESSMENTS!E:E,"Physical Sciences"),1),""))</f>
        <v/>
      </c>
      <c r="I282" s="4" t="str">
        <f>IF(A282="","",IFERROR(ROUND(AVERAGEIFS(ASSESSMENTS!H:H,ASSESSMENTS!B:B,A282,ASSESSMENTS!E:E,"Geography"),1),""))</f>
        <v/>
      </c>
      <c r="J282" s="4" t="str">
        <f>IF(A282="","",IFERROR(ROUND(AVERAGEIFS(ASSESSMENTS!H:H,ASSESSMENTS!B:B,A282,ASSESSMENTS!E:E,"Accounting"),1),""))</f>
        <v/>
      </c>
      <c r="K282" s="4" t="str">
        <f>IF(A282="","",IFERROR(ROUND(AVERAGEIFS(ASSESSMENTS!H:H,ASSESSMENTS!B:B,A282,ASSESSMENTS!E:E,"English"),1),""))</f>
        <v/>
      </c>
      <c r="L282" s="5" t="str">
        <f>IF(A282="","",IFERROR(INDEX(ATTENDANCE_SUMMARY!G:G,MATCH(A282,ATTENDANCE_SUMMARY!A:A,0)),""))</f>
        <v/>
      </c>
      <c r="M282" s="4" t="str">
        <f t="shared" si="4"/>
        <v/>
      </c>
    </row>
    <row r="283" spans="1:13" x14ac:dyDescent="0.3">
      <c r="A283" t="str">
        <f>IF(MASTER_REGISTER!E283="","",MASTER_REGISTER!E283)</f>
        <v/>
      </c>
      <c r="B283" t="str">
        <f>IF(A283="","",MASTER_REGISTER!F283)</f>
        <v/>
      </c>
      <c r="C283" t="str">
        <f>IF(A283="","",MASTER_REGISTER!C283)</f>
        <v/>
      </c>
      <c r="D283" t="str">
        <f>IF(A283="","",COUNTIF(ASSESSMENTS!B:B,A283))</f>
        <v/>
      </c>
      <c r="E283" s="4" t="e">
        <f>IF(D283=0,"",ROUND(AVERAGEIF(ASSESSMENTS!B:B,A283,ASSESSMENTS!H:H),1))</f>
        <v>#DIV/0!</v>
      </c>
      <c r="F283" s="4" t="str">
        <f>IF(A283="","",IFERROR(ROUND(AVERAGEIFS(ASSESSMENTS!H:H,ASSESSMENTS!B:B,A283,ASSESSMENTS!E:E,"Mathematics"),1),""))</f>
        <v/>
      </c>
      <c r="G283" s="4" t="str">
        <f>IF(A283="","",IFERROR(ROUND(AVERAGEIFS(ASSESSMENTS!H:H,ASSESSMENTS!B:B,A283,ASSESSMENTS!E:E,"Mathematical Literacy"),1),""))</f>
        <v/>
      </c>
      <c r="H283" s="4" t="str">
        <f>IF(A283="","",IFERROR(ROUND(AVERAGEIFS(ASSESSMENTS!H:H,ASSESSMENTS!B:B,A283,ASSESSMENTS!E:E,"Physical Sciences"),1),""))</f>
        <v/>
      </c>
      <c r="I283" s="4" t="str">
        <f>IF(A283="","",IFERROR(ROUND(AVERAGEIFS(ASSESSMENTS!H:H,ASSESSMENTS!B:B,A283,ASSESSMENTS!E:E,"Geography"),1),""))</f>
        <v/>
      </c>
      <c r="J283" s="4" t="str">
        <f>IF(A283="","",IFERROR(ROUND(AVERAGEIFS(ASSESSMENTS!H:H,ASSESSMENTS!B:B,A283,ASSESSMENTS!E:E,"Accounting"),1),""))</f>
        <v/>
      </c>
      <c r="K283" s="4" t="str">
        <f>IF(A283="","",IFERROR(ROUND(AVERAGEIFS(ASSESSMENTS!H:H,ASSESSMENTS!B:B,A283,ASSESSMENTS!E:E,"English"),1),""))</f>
        <v/>
      </c>
      <c r="L283" s="5" t="str">
        <f>IF(A283="","",IFERROR(INDEX(ATTENDANCE_SUMMARY!G:G,MATCH(A283,ATTENDANCE_SUMMARY!A:A,0)),""))</f>
        <v/>
      </c>
      <c r="M283" s="4" t="str">
        <f t="shared" si="4"/>
        <v/>
      </c>
    </row>
    <row r="284" spans="1:13" x14ac:dyDescent="0.3">
      <c r="A284" t="str">
        <f>IF(MASTER_REGISTER!E284="","",MASTER_REGISTER!E284)</f>
        <v/>
      </c>
      <c r="B284" t="str">
        <f>IF(A284="","",MASTER_REGISTER!F284)</f>
        <v/>
      </c>
      <c r="C284" t="str">
        <f>IF(A284="","",MASTER_REGISTER!C284)</f>
        <v/>
      </c>
      <c r="D284" t="str">
        <f>IF(A284="","",COUNTIF(ASSESSMENTS!B:B,A284))</f>
        <v/>
      </c>
      <c r="E284" s="4" t="e">
        <f>IF(D284=0,"",ROUND(AVERAGEIF(ASSESSMENTS!B:B,A284,ASSESSMENTS!H:H),1))</f>
        <v>#DIV/0!</v>
      </c>
      <c r="F284" s="4" t="str">
        <f>IF(A284="","",IFERROR(ROUND(AVERAGEIFS(ASSESSMENTS!H:H,ASSESSMENTS!B:B,A284,ASSESSMENTS!E:E,"Mathematics"),1),""))</f>
        <v/>
      </c>
      <c r="G284" s="4" t="str">
        <f>IF(A284="","",IFERROR(ROUND(AVERAGEIFS(ASSESSMENTS!H:H,ASSESSMENTS!B:B,A284,ASSESSMENTS!E:E,"Mathematical Literacy"),1),""))</f>
        <v/>
      </c>
      <c r="H284" s="4" t="str">
        <f>IF(A284="","",IFERROR(ROUND(AVERAGEIFS(ASSESSMENTS!H:H,ASSESSMENTS!B:B,A284,ASSESSMENTS!E:E,"Physical Sciences"),1),""))</f>
        <v/>
      </c>
      <c r="I284" s="4" t="str">
        <f>IF(A284="","",IFERROR(ROUND(AVERAGEIFS(ASSESSMENTS!H:H,ASSESSMENTS!B:B,A284,ASSESSMENTS!E:E,"Geography"),1),""))</f>
        <v/>
      </c>
      <c r="J284" s="4" t="str">
        <f>IF(A284="","",IFERROR(ROUND(AVERAGEIFS(ASSESSMENTS!H:H,ASSESSMENTS!B:B,A284,ASSESSMENTS!E:E,"Accounting"),1),""))</f>
        <v/>
      </c>
      <c r="K284" s="4" t="str">
        <f>IF(A284="","",IFERROR(ROUND(AVERAGEIFS(ASSESSMENTS!H:H,ASSESSMENTS!B:B,A284,ASSESSMENTS!E:E,"English"),1),""))</f>
        <v/>
      </c>
      <c r="L284" s="5" t="str">
        <f>IF(A284="","",IFERROR(INDEX(ATTENDANCE_SUMMARY!G:G,MATCH(A284,ATTENDANCE_SUMMARY!A:A,0)),""))</f>
        <v/>
      </c>
      <c r="M284" s="4" t="str">
        <f t="shared" si="4"/>
        <v/>
      </c>
    </row>
    <row r="285" spans="1:13" x14ac:dyDescent="0.3">
      <c r="A285" t="str">
        <f>IF(MASTER_REGISTER!E285="","",MASTER_REGISTER!E285)</f>
        <v/>
      </c>
      <c r="B285" t="str">
        <f>IF(A285="","",MASTER_REGISTER!F285)</f>
        <v/>
      </c>
      <c r="C285" t="str">
        <f>IF(A285="","",MASTER_REGISTER!C285)</f>
        <v/>
      </c>
      <c r="D285" t="str">
        <f>IF(A285="","",COUNTIF(ASSESSMENTS!B:B,A285))</f>
        <v/>
      </c>
      <c r="E285" s="4" t="e">
        <f>IF(D285=0,"",ROUND(AVERAGEIF(ASSESSMENTS!B:B,A285,ASSESSMENTS!H:H),1))</f>
        <v>#DIV/0!</v>
      </c>
      <c r="F285" s="4" t="str">
        <f>IF(A285="","",IFERROR(ROUND(AVERAGEIFS(ASSESSMENTS!H:H,ASSESSMENTS!B:B,A285,ASSESSMENTS!E:E,"Mathematics"),1),""))</f>
        <v/>
      </c>
      <c r="G285" s="4" t="str">
        <f>IF(A285="","",IFERROR(ROUND(AVERAGEIFS(ASSESSMENTS!H:H,ASSESSMENTS!B:B,A285,ASSESSMENTS!E:E,"Mathematical Literacy"),1),""))</f>
        <v/>
      </c>
      <c r="H285" s="4" t="str">
        <f>IF(A285="","",IFERROR(ROUND(AVERAGEIFS(ASSESSMENTS!H:H,ASSESSMENTS!B:B,A285,ASSESSMENTS!E:E,"Physical Sciences"),1),""))</f>
        <v/>
      </c>
      <c r="I285" s="4" t="str">
        <f>IF(A285="","",IFERROR(ROUND(AVERAGEIFS(ASSESSMENTS!H:H,ASSESSMENTS!B:B,A285,ASSESSMENTS!E:E,"Geography"),1),""))</f>
        <v/>
      </c>
      <c r="J285" s="4" t="str">
        <f>IF(A285="","",IFERROR(ROUND(AVERAGEIFS(ASSESSMENTS!H:H,ASSESSMENTS!B:B,A285,ASSESSMENTS!E:E,"Accounting"),1),""))</f>
        <v/>
      </c>
      <c r="K285" s="4" t="str">
        <f>IF(A285="","",IFERROR(ROUND(AVERAGEIFS(ASSESSMENTS!H:H,ASSESSMENTS!B:B,A285,ASSESSMENTS!E:E,"English"),1),""))</f>
        <v/>
      </c>
      <c r="L285" s="5" t="str">
        <f>IF(A285="","",IFERROR(INDEX(ATTENDANCE_SUMMARY!G:G,MATCH(A285,ATTENDANCE_SUMMARY!A:A,0)),""))</f>
        <v/>
      </c>
      <c r="M285" s="4" t="str">
        <f t="shared" si="4"/>
        <v/>
      </c>
    </row>
    <row r="286" spans="1:13" x14ac:dyDescent="0.3">
      <c r="A286" t="str">
        <f>IF(MASTER_REGISTER!E286="","",MASTER_REGISTER!E286)</f>
        <v/>
      </c>
      <c r="B286" t="str">
        <f>IF(A286="","",MASTER_REGISTER!F286)</f>
        <v/>
      </c>
      <c r="C286" t="str">
        <f>IF(A286="","",MASTER_REGISTER!C286)</f>
        <v/>
      </c>
      <c r="D286" t="str">
        <f>IF(A286="","",COUNTIF(ASSESSMENTS!B:B,A286))</f>
        <v/>
      </c>
      <c r="E286" s="4" t="e">
        <f>IF(D286=0,"",ROUND(AVERAGEIF(ASSESSMENTS!B:B,A286,ASSESSMENTS!H:H),1))</f>
        <v>#DIV/0!</v>
      </c>
      <c r="F286" s="4" t="str">
        <f>IF(A286="","",IFERROR(ROUND(AVERAGEIFS(ASSESSMENTS!H:H,ASSESSMENTS!B:B,A286,ASSESSMENTS!E:E,"Mathematics"),1),""))</f>
        <v/>
      </c>
      <c r="G286" s="4" t="str">
        <f>IF(A286="","",IFERROR(ROUND(AVERAGEIFS(ASSESSMENTS!H:H,ASSESSMENTS!B:B,A286,ASSESSMENTS!E:E,"Mathematical Literacy"),1),""))</f>
        <v/>
      </c>
      <c r="H286" s="4" t="str">
        <f>IF(A286="","",IFERROR(ROUND(AVERAGEIFS(ASSESSMENTS!H:H,ASSESSMENTS!B:B,A286,ASSESSMENTS!E:E,"Physical Sciences"),1),""))</f>
        <v/>
      </c>
      <c r="I286" s="4" t="str">
        <f>IF(A286="","",IFERROR(ROUND(AVERAGEIFS(ASSESSMENTS!H:H,ASSESSMENTS!B:B,A286,ASSESSMENTS!E:E,"Geography"),1),""))</f>
        <v/>
      </c>
      <c r="J286" s="4" t="str">
        <f>IF(A286="","",IFERROR(ROUND(AVERAGEIFS(ASSESSMENTS!H:H,ASSESSMENTS!B:B,A286,ASSESSMENTS!E:E,"Accounting"),1),""))</f>
        <v/>
      </c>
      <c r="K286" s="4" t="str">
        <f>IF(A286="","",IFERROR(ROUND(AVERAGEIFS(ASSESSMENTS!H:H,ASSESSMENTS!B:B,A286,ASSESSMENTS!E:E,"English"),1),""))</f>
        <v/>
      </c>
      <c r="L286" s="5" t="str">
        <f>IF(A286="","",IFERROR(INDEX(ATTENDANCE_SUMMARY!G:G,MATCH(A286,ATTENDANCE_SUMMARY!A:A,0)),""))</f>
        <v/>
      </c>
      <c r="M286" s="4" t="str">
        <f t="shared" si="4"/>
        <v/>
      </c>
    </row>
    <row r="287" spans="1:13" x14ac:dyDescent="0.3">
      <c r="A287" t="str">
        <f>IF(MASTER_REGISTER!E287="","",MASTER_REGISTER!E287)</f>
        <v/>
      </c>
      <c r="B287" t="str">
        <f>IF(A287="","",MASTER_REGISTER!F287)</f>
        <v/>
      </c>
      <c r="C287" t="str">
        <f>IF(A287="","",MASTER_REGISTER!C287)</f>
        <v/>
      </c>
      <c r="D287" t="str">
        <f>IF(A287="","",COUNTIF(ASSESSMENTS!B:B,A287))</f>
        <v/>
      </c>
      <c r="E287" s="4" t="e">
        <f>IF(D287=0,"",ROUND(AVERAGEIF(ASSESSMENTS!B:B,A287,ASSESSMENTS!H:H),1))</f>
        <v>#DIV/0!</v>
      </c>
      <c r="F287" s="4" t="str">
        <f>IF(A287="","",IFERROR(ROUND(AVERAGEIFS(ASSESSMENTS!H:H,ASSESSMENTS!B:B,A287,ASSESSMENTS!E:E,"Mathematics"),1),""))</f>
        <v/>
      </c>
      <c r="G287" s="4" t="str">
        <f>IF(A287="","",IFERROR(ROUND(AVERAGEIFS(ASSESSMENTS!H:H,ASSESSMENTS!B:B,A287,ASSESSMENTS!E:E,"Mathematical Literacy"),1),""))</f>
        <v/>
      </c>
      <c r="H287" s="4" t="str">
        <f>IF(A287="","",IFERROR(ROUND(AVERAGEIFS(ASSESSMENTS!H:H,ASSESSMENTS!B:B,A287,ASSESSMENTS!E:E,"Physical Sciences"),1),""))</f>
        <v/>
      </c>
      <c r="I287" s="4" t="str">
        <f>IF(A287="","",IFERROR(ROUND(AVERAGEIFS(ASSESSMENTS!H:H,ASSESSMENTS!B:B,A287,ASSESSMENTS!E:E,"Geography"),1),""))</f>
        <v/>
      </c>
      <c r="J287" s="4" t="str">
        <f>IF(A287="","",IFERROR(ROUND(AVERAGEIFS(ASSESSMENTS!H:H,ASSESSMENTS!B:B,A287,ASSESSMENTS!E:E,"Accounting"),1),""))</f>
        <v/>
      </c>
      <c r="K287" s="4" t="str">
        <f>IF(A287="","",IFERROR(ROUND(AVERAGEIFS(ASSESSMENTS!H:H,ASSESSMENTS!B:B,A287,ASSESSMENTS!E:E,"English"),1),""))</f>
        <v/>
      </c>
      <c r="L287" s="5" t="str">
        <f>IF(A287="","",IFERROR(INDEX(ATTENDANCE_SUMMARY!G:G,MATCH(A287,ATTENDANCE_SUMMARY!A:A,0)),""))</f>
        <v/>
      </c>
      <c r="M287" s="4" t="str">
        <f t="shared" si="4"/>
        <v/>
      </c>
    </row>
    <row r="288" spans="1:13" x14ac:dyDescent="0.3">
      <c r="A288" t="str">
        <f>IF(MASTER_REGISTER!E288="","",MASTER_REGISTER!E288)</f>
        <v/>
      </c>
      <c r="B288" t="str">
        <f>IF(A288="","",MASTER_REGISTER!F288)</f>
        <v/>
      </c>
      <c r="C288" t="str">
        <f>IF(A288="","",MASTER_REGISTER!C288)</f>
        <v/>
      </c>
      <c r="D288" t="str">
        <f>IF(A288="","",COUNTIF(ASSESSMENTS!B:B,A288))</f>
        <v/>
      </c>
      <c r="E288" s="4" t="e">
        <f>IF(D288=0,"",ROUND(AVERAGEIF(ASSESSMENTS!B:B,A288,ASSESSMENTS!H:H),1))</f>
        <v>#DIV/0!</v>
      </c>
      <c r="F288" s="4" t="str">
        <f>IF(A288="","",IFERROR(ROUND(AVERAGEIFS(ASSESSMENTS!H:H,ASSESSMENTS!B:B,A288,ASSESSMENTS!E:E,"Mathematics"),1),""))</f>
        <v/>
      </c>
      <c r="G288" s="4" t="str">
        <f>IF(A288="","",IFERROR(ROUND(AVERAGEIFS(ASSESSMENTS!H:H,ASSESSMENTS!B:B,A288,ASSESSMENTS!E:E,"Mathematical Literacy"),1),""))</f>
        <v/>
      </c>
      <c r="H288" s="4" t="str">
        <f>IF(A288="","",IFERROR(ROUND(AVERAGEIFS(ASSESSMENTS!H:H,ASSESSMENTS!B:B,A288,ASSESSMENTS!E:E,"Physical Sciences"),1),""))</f>
        <v/>
      </c>
      <c r="I288" s="4" t="str">
        <f>IF(A288="","",IFERROR(ROUND(AVERAGEIFS(ASSESSMENTS!H:H,ASSESSMENTS!B:B,A288,ASSESSMENTS!E:E,"Geography"),1),""))</f>
        <v/>
      </c>
      <c r="J288" s="4" t="str">
        <f>IF(A288="","",IFERROR(ROUND(AVERAGEIFS(ASSESSMENTS!H:H,ASSESSMENTS!B:B,A288,ASSESSMENTS!E:E,"Accounting"),1),""))</f>
        <v/>
      </c>
      <c r="K288" s="4" t="str">
        <f>IF(A288="","",IFERROR(ROUND(AVERAGEIFS(ASSESSMENTS!H:H,ASSESSMENTS!B:B,A288,ASSESSMENTS!E:E,"English"),1),""))</f>
        <v/>
      </c>
      <c r="L288" s="5" t="str">
        <f>IF(A288="","",IFERROR(INDEX(ATTENDANCE_SUMMARY!G:G,MATCH(A288,ATTENDANCE_SUMMARY!A:A,0)),""))</f>
        <v/>
      </c>
      <c r="M288" s="4" t="str">
        <f t="shared" si="4"/>
        <v/>
      </c>
    </row>
    <row r="289" spans="1:13" x14ac:dyDescent="0.3">
      <c r="A289" t="str">
        <f>IF(MASTER_REGISTER!E289="","",MASTER_REGISTER!E289)</f>
        <v/>
      </c>
      <c r="B289" t="str">
        <f>IF(A289="","",MASTER_REGISTER!F289)</f>
        <v/>
      </c>
      <c r="C289" t="str">
        <f>IF(A289="","",MASTER_REGISTER!C289)</f>
        <v/>
      </c>
      <c r="D289" t="str">
        <f>IF(A289="","",COUNTIF(ASSESSMENTS!B:B,A289))</f>
        <v/>
      </c>
      <c r="E289" s="4" t="e">
        <f>IF(D289=0,"",ROUND(AVERAGEIF(ASSESSMENTS!B:B,A289,ASSESSMENTS!H:H),1))</f>
        <v>#DIV/0!</v>
      </c>
      <c r="F289" s="4" t="str">
        <f>IF(A289="","",IFERROR(ROUND(AVERAGEIFS(ASSESSMENTS!H:H,ASSESSMENTS!B:B,A289,ASSESSMENTS!E:E,"Mathematics"),1),""))</f>
        <v/>
      </c>
      <c r="G289" s="4" t="str">
        <f>IF(A289="","",IFERROR(ROUND(AVERAGEIFS(ASSESSMENTS!H:H,ASSESSMENTS!B:B,A289,ASSESSMENTS!E:E,"Mathematical Literacy"),1),""))</f>
        <v/>
      </c>
      <c r="H289" s="4" t="str">
        <f>IF(A289="","",IFERROR(ROUND(AVERAGEIFS(ASSESSMENTS!H:H,ASSESSMENTS!B:B,A289,ASSESSMENTS!E:E,"Physical Sciences"),1),""))</f>
        <v/>
      </c>
      <c r="I289" s="4" t="str">
        <f>IF(A289="","",IFERROR(ROUND(AVERAGEIFS(ASSESSMENTS!H:H,ASSESSMENTS!B:B,A289,ASSESSMENTS!E:E,"Geography"),1),""))</f>
        <v/>
      </c>
      <c r="J289" s="4" t="str">
        <f>IF(A289="","",IFERROR(ROUND(AVERAGEIFS(ASSESSMENTS!H:H,ASSESSMENTS!B:B,A289,ASSESSMENTS!E:E,"Accounting"),1),""))</f>
        <v/>
      </c>
      <c r="K289" s="4" t="str">
        <f>IF(A289="","",IFERROR(ROUND(AVERAGEIFS(ASSESSMENTS!H:H,ASSESSMENTS!B:B,A289,ASSESSMENTS!E:E,"English"),1),""))</f>
        <v/>
      </c>
      <c r="L289" s="5" t="str">
        <f>IF(A289="","",IFERROR(INDEX(ATTENDANCE_SUMMARY!G:G,MATCH(A289,ATTENDANCE_SUMMARY!A:A,0)),""))</f>
        <v/>
      </c>
      <c r="M289" s="4" t="str">
        <f t="shared" si="4"/>
        <v/>
      </c>
    </row>
    <row r="290" spans="1:13" x14ac:dyDescent="0.3">
      <c r="A290" t="str">
        <f>IF(MASTER_REGISTER!E290="","",MASTER_REGISTER!E290)</f>
        <v/>
      </c>
      <c r="B290" t="str">
        <f>IF(A290="","",MASTER_REGISTER!F290)</f>
        <v/>
      </c>
      <c r="C290" t="str">
        <f>IF(A290="","",MASTER_REGISTER!C290)</f>
        <v/>
      </c>
      <c r="D290" t="str">
        <f>IF(A290="","",COUNTIF(ASSESSMENTS!B:B,A290))</f>
        <v/>
      </c>
      <c r="E290" s="4" t="e">
        <f>IF(D290=0,"",ROUND(AVERAGEIF(ASSESSMENTS!B:B,A290,ASSESSMENTS!H:H),1))</f>
        <v>#DIV/0!</v>
      </c>
      <c r="F290" s="4" t="str">
        <f>IF(A290="","",IFERROR(ROUND(AVERAGEIFS(ASSESSMENTS!H:H,ASSESSMENTS!B:B,A290,ASSESSMENTS!E:E,"Mathematics"),1),""))</f>
        <v/>
      </c>
      <c r="G290" s="4" t="str">
        <f>IF(A290="","",IFERROR(ROUND(AVERAGEIFS(ASSESSMENTS!H:H,ASSESSMENTS!B:B,A290,ASSESSMENTS!E:E,"Mathematical Literacy"),1),""))</f>
        <v/>
      </c>
      <c r="H290" s="4" t="str">
        <f>IF(A290="","",IFERROR(ROUND(AVERAGEIFS(ASSESSMENTS!H:H,ASSESSMENTS!B:B,A290,ASSESSMENTS!E:E,"Physical Sciences"),1),""))</f>
        <v/>
      </c>
      <c r="I290" s="4" t="str">
        <f>IF(A290="","",IFERROR(ROUND(AVERAGEIFS(ASSESSMENTS!H:H,ASSESSMENTS!B:B,A290,ASSESSMENTS!E:E,"Geography"),1),""))</f>
        <v/>
      </c>
      <c r="J290" s="4" t="str">
        <f>IF(A290="","",IFERROR(ROUND(AVERAGEIFS(ASSESSMENTS!H:H,ASSESSMENTS!B:B,A290,ASSESSMENTS!E:E,"Accounting"),1),""))</f>
        <v/>
      </c>
      <c r="K290" s="4" t="str">
        <f>IF(A290="","",IFERROR(ROUND(AVERAGEIFS(ASSESSMENTS!H:H,ASSESSMENTS!B:B,A290,ASSESSMENTS!E:E,"English"),1),""))</f>
        <v/>
      </c>
      <c r="L290" s="5" t="str">
        <f>IF(A290="","",IFERROR(INDEX(ATTENDANCE_SUMMARY!G:G,MATCH(A290,ATTENDANCE_SUMMARY!A:A,0)),""))</f>
        <v/>
      </c>
      <c r="M290" s="4" t="str">
        <f t="shared" si="4"/>
        <v/>
      </c>
    </row>
    <row r="291" spans="1:13" x14ac:dyDescent="0.3">
      <c r="A291" t="str">
        <f>IF(MASTER_REGISTER!E291="","",MASTER_REGISTER!E291)</f>
        <v/>
      </c>
      <c r="B291" t="str">
        <f>IF(A291="","",MASTER_REGISTER!F291)</f>
        <v/>
      </c>
      <c r="C291" t="str">
        <f>IF(A291="","",MASTER_REGISTER!C291)</f>
        <v/>
      </c>
      <c r="D291" t="str">
        <f>IF(A291="","",COUNTIF(ASSESSMENTS!B:B,A291))</f>
        <v/>
      </c>
      <c r="E291" s="4" t="e">
        <f>IF(D291=0,"",ROUND(AVERAGEIF(ASSESSMENTS!B:B,A291,ASSESSMENTS!H:H),1))</f>
        <v>#DIV/0!</v>
      </c>
      <c r="F291" s="4" t="str">
        <f>IF(A291="","",IFERROR(ROUND(AVERAGEIFS(ASSESSMENTS!H:H,ASSESSMENTS!B:B,A291,ASSESSMENTS!E:E,"Mathematics"),1),""))</f>
        <v/>
      </c>
      <c r="G291" s="4" t="str">
        <f>IF(A291="","",IFERROR(ROUND(AVERAGEIFS(ASSESSMENTS!H:H,ASSESSMENTS!B:B,A291,ASSESSMENTS!E:E,"Mathematical Literacy"),1),""))</f>
        <v/>
      </c>
      <c r="H291" s="4" t="str">
        <f>IF(A291="","",IFERROR(ROUND(AVERAGEIFS(ASSESSMENTS!H:H,ASSESSMENTS!B:B,A291,ASSESSMENTS!E:E,"Physical Sciences"),1),""))</f>
        <v/>
      </c>
      <c r="I291" s="4" t="str">
        <f>IF(A291="","",IFERROR(ROUND(AVERAGEIFS(ASSESSMENTS!H:H,ASSESSMENTS!B:B,A291,ASSESSMENTS!E:E,"Geography"),1),""))</f>
        <v/>
      </c>
      <c r="J291" s="4" t="str">
        <f>IF(A291="","",IFERROR(ROUND(AVERAGEIFS(ASSESSMENTS!H:H,ASSESSMENTS!B:B,A291,ASSESSMENTS!E:E,"Accounting"),1),""))</f>
        <v/>
      </c>
      <c r="K291" s="4" t="str">
        <f>IF(A291="","",IFERROR(ROUND(AVERAGEIFS(ASSESSMENTS!H:H,ASSESSMENTS!B:B,A291,ASSESSMENTS!E:E,"English"),1),""))</f>
        <v/>
      </c>
      <c r="L291" s="5" t="str">
        <f>IF(A291="","",IFERROR(INDEX(ATTENDANCE_SUMMARY!G:G,MATCH(A291,ATTENDANCE_SUMMARY!A:A,0)),""))</f>
        <v/>
      </c>
      <c r="M291" s="4" t="str">
        <f t="shared" si="4"/>
        <v/>
      </c>
    </row>
    <row r="292" spans="1:13" x14ac:dyDescent="0.3">
      <c r="A292" t="str">
        <f>IF(MASTER_REGISTER!E292="","",MASTER_REGISTER!E292)</f>
        <v/>
      </c>
      <c r="B292" t="str">
        <f>IF(A292="","",MASTER_REGISTER!F292)</f>
        <v/>
      </c>
      <c r="C292" t="str">
        <f>IF(A292="","",MASTER_REGISTER!C292)</f>
        <v/>
      </c>
      <c r="D292" t="str">
        <f>IF(A292="","",COUNTIF(ASSESSMENTS!B:B,A292))</f>
        <v/>
      </c>
      <c r="E292" s="4" t="e">
        <f>IF(D292=0,"",ROUND(AVERAGEIF(ASSESSMENTS!B:B,A292,ASSESSMENTS!H:H),1))</f>
        <v>#DIV/0!</v>
      </c>
      <c r="F292" s="4" t="str">
        <f>IF(A292="","",IFERROR(ROUND(AVERAGEIFS(ASSESSMENTS!H:H,ASSESSMENTS!B:B,A292,ASSESSMENTS!E:E,"Mathematics"),1),""))</f>
        <v/>
      </c>
      <c r="G292" s="4" t="str">
        <f>IF(A292="","",IFERROR(ROUND(AVERAGEIFS(ASSESSMENTS!H:H,ASSESSMENTS!B:B,A292,ASSESSMENTS!E:E,"Mathematical Literacy"),1),""))</f>
        <v/>
      </c>
      <c r="H292" s="4" t="str">
        <f>IF(A292="","",IFERROR(ROUND(AVERAGEIFS(ASSESSMENTS!H:H,ASSESSMENTS!B:B,A292,ASSESSMENTS!E:E,"Physical Sciences"),1),""))</f>
        <v/>
      </c>
      <c r="I292" s="4" t="str">
        <f>IF(A292="","",IFERROR(ROUND(AVERAGEIFS(ASSESSMENTS!H:H,ASSESSMENTS!B:B,A292,ASSESSMENTS!E:E,"Geography"),1),""))</f>
        <v/>
      </c>
      <c r="J292" s="4" t="str">
        <f>IF(A292="","",IFERROR(ROUND(AVERAGEIFS(ASSESSMENTS!H:H,ASSESSMENTS!B:B,A292,ASSESSMENTS!E:E,"Accounting"),1),""))</f>
        <v/>
      </c>
      <c r="K292" s="4" t="str">
        <f>IF(A292="","",IFERROR(ROUND(AVERAGEIFS(ASSESSMENTS!H:H,ASSESSMENTS!B:B,A292,ASSESSMENTS!E:E,"English"),1),""))</f>
        <v/>
      </c>
      <c r="L292" s="5" t="str">
        <f>IF(A292="","",IFERROR(INDEX(ATTENDANCE_SUMMARY!G:G,MATCH(A292,ATTENDANCE_SUMMARY!A:A,0)),""))</f>
        <v/>
      </c>
      <c r="M292" s="4" t="str">
        <f t="shared" si="4"/>
        <v/>
      </c>
    </row>
    <row r="293" spans="1:13" x14ac:dyDescent="0.3">
      <c r="A293" t="str">
        <f>IF(MASTER_REGISTER!E293="","",MASTER_REGISTER!E293)</f>
        <v/>
      </c>
      <c r="B293" t="str">
        <f>IF(A293="","",MASTER_REGISTER!F293)</f>
        <v/>
      </c>
      <c r="C293" t="str">
        <f>IF(A293="","",MASTER_REGISTER!C293)</f>
        <v/>
      </c>
      <c r="D293" t="str">
        <f>IF(A293="","",COUNTIF(ASSESSMENTS!B:B,A293))</f>
        <v/>
      </c>
      <c r="E293" s="4" t="e">
        <f>IF(D293=0,"",ROUND(AVERAGEIF(ASSESSMENTS!B:B,A293,ASSESSMENTS!H:H),1))</f>
        <v>#DIV/0!</v>
      </c>
      <c r="F293" s="4" t="str">
        <f>IF(A293="","",IFERROR(ROUND(AVERAGEIFS(ASSESSMENTS!H:H,ASSESSMENTS!B:B,A293,ASSESSMENTS!E:E,"Mathematics"),1),""))</f>
        <v/>
      </c>
      <c r="G293" s="4" t="str">
        <f>IF(A293="","",IFERROR(ROUND(AVERAGEIFS(ASSESSMENTS!H:H,ASSESSMENTS!B:B,A293,ASSESSMENTS!E:E,"Mathematical Literacy"),1),""))</f>
        <v/>
      </c>
      <c r="H293" s="4" t="str">
        <f>IF(A293="","",IFERROR(ROUND(AVERAGEIFS(ASSESSMENTS!H:H,ASSESSMENTS!B:B,A293,ASSESSMENTS!E:E,"Physical Sciences"),1),""))</f>
        <v/>
      </c>
      <c r="I293" s="4" t="str">
        <f>IF(A293="","",IFERROR(ROUND(AVERAGEIFS(ASSESSMENTS!H:H,ASSESSMENTS!B:B,A293,ASSESSMENTS!E:E,"Geography"),1),""))</f>
        <v/>
      </c>
      <c r="J293" s="4" t="str">
        <f>IF(A293="","",IFERROR(ROUND(AVERAGEIFS(ASSESSMENTS!H:H,ASSESSMENTS!B:B,A293,ASSESSMENTS!E:E,"Accounting"),1),""))</f>
        <v/>
      </c>
      <c r="K293" s="4" t="str">
        <f>IF(A293="","",IFERROR(ROUND(AVERAGEIFS(ASSESSMENTS!H:H,ASSESSMENTS!B:B,A293,ASSESSMENTS!E:E,"English"),1),""))</f>
        <v/>
      </c>
      <c r="L293" s="5" t="str">
        <f>IF(A293="","",IFERROR(INDEX(ATTENDANCE_SUMMARY!G:G,MATCH(A293,ATTENDANCE_SUMMARY!A:A,0)),""))</f>
        <v/>
      </c>
      <c r="M293" s="4" t="str">
        <f t="shared" si="4"/>
        <v/>
      </c>
    </row>
    <row r="294" spans="1:13" x14ac:dyDescent="0.3">
      <c r="A294" t="str">
        <f>IF(MASTER_REGISTER!E294="","",MASTER_REGISTER!E294)</f>
        <v/>
      </c>
      <c r="B294" t="str">
        <f>IF(A294="","",MASTER_REGISTER!F294)</f>
        <v/>
      </c>
      <c r="C294" t="str">
        <f>IF(A294="","",MASTER_REGISTER!C294)</f>
        <v/>
      </c>
      <c r="D294" t="str">
        <f>IF(A294="","",COUNTIF(ASSESSMENTS!B:B,A294))</f>
        <v/>
      </c>
      <c r="E294" s="4" t="e">
        <f>IF(D294=0,"",ROUND(AVERAGEIF(ASSESSMENTS!B:B,A294,ASSESSMENTS!H:H),1))</f>
        <v>#DIV/0!</v>
      </c>
      <c r="F294" s="4" t="str">
        <f>IF(A294="","",IFERROR(ROUND(AVERAGEIFS(ASSESSMENTS!H:H,ASSESSMENTS!B:B,A294,ASSESSMENTS!E:E,"Mathematics"),1),""))</f>
        <v/>
      </c>
      <c r="G294" s="4" t="str">
        <f>IF(A294="","",IFERROR(ROUND(AVERAGEIFS(ASSESSMENTS!H:H,ASSESSMENTS!B:B,A294,ASSESSMENTS!E:E,"Mathematical Literacy"),1),""))</f>
        <v/>
      </c>
      <c r="H294" s="4" t="str">
        <f>IF(A294="","",IFERROR(ROUND(AVERAGEIFS(ASSESSMENTS!H:H,ASSESSMENTS!B:B,A294,ASSESSMENTS!E:E,"Physical Sciences"),1),""))</f>
        <v/>
      </c>
      <c r="I294" s="4" t="str">
        <f>IF(A294="","",IFERROR(ROUND(AVERAGEIFS(ASSESSMENTS!H:H,ASSESSMENTS!B:B,A294,ASSESSMENTS!E:E,"Geography"),1),""))</f>
        <v/>
      </c>
      <c r="J294" s="4" t="str">
        <f>IF(A294="","",IFERROR(ROUND(AVERAGEIFS(ASSESSMENTS!H:H,ASSESSMENTS!B:B,A294,ASSESSMENTS!E:E,"Accounting"),1),""))</f>
        <v/>
      </c>
      <c r="K294" s="4" t="str">
        <f>IF(A294="","",IFERROR(ROUND(AVERAGEIFS(ASSESSMENTS!H:H,ASSESSMENTS!B:B,A294,ASSESSMENTS!E:E,"English"),1),""))</f>
        <v/>
      </c>
      <c r="L294" s="5" t="str">
        <f>IF(A294="","",IFERROR(INDEX(ATTENDANCE_SUMMARY!G:G,MATCH(A294,ATTENDANCE_SUMMARY!A:A,0)),""))</f>
        <v/>
      </c>
      <c r="M294" s="4" t="str">
        <f t="shared" si="4"/>
        <v/>
      </c>
    </row>
    <row r="295" spans="1:13" x14ac:dyDescent="0.3">
      <c r="A295" t="str">
        <f>IF(MASTER_REGISTER!E295="","",MASTER_REGISTER!E295)</f>
        <v/>
      </c>
      <c r="B295" t="str">
        <f>IF(A295="","",MASTER_REGISTER!F295)</f>
        <v/>
      </c>
      <c r="C295" t="str">
        <f>IF(A295="","",MASTER_REGISTER!C295)</f>
        <v/>
      </c>
      <c r="D295" t="str">
        <f>IF(A295="","",COUNTIF(ASSESSMENTS!B:B,A295))</f>
        <v/>
      </c>
      <c r="E295" s="4" t="e">
        <f>IF(D295=0,"",ROUND(AVERAGEIF(ASSESSMENTS!B:B,A295,ASSESSMENTS!H:H),1))</f>
        <v>#DIV/0!</v>
      </c>
      <c r="F295" s="4" t="str">
        <f>IF(A295="","",IFERROR(ROUND(AVERAGEIFS(ASSESSMENTS!H:H,ASSESSMENTS!B:B,A295,ASSESSMENTS!E:E,"Mathematics"),1),""))</f>
        <v/>
      </c>
      <c r="G295" s="4" t="str">
        <f>IF(A295="","",IFERROR(ROUND(AVERAGEIFS(ASSESSMENTS!H:H,ASSESSMENTS!B:B,A295,ASSESSMENTS!E:E,"Mathematical Literacy"),1),""))</f>
        <v/>
      </c>
      <c r="H295" s="4" t="str">
        <f>IF(A295="","",IFERROR(ROUND(AVERAGEIFS(ASSESSMENTS!H:H,ASSESSMENTS!B:B,A295,ASSESSMENTS!E:E,"Physical Sciences"),1),""))</f>
        <v/>
      </c>
      <c r="I295" s="4" t="str">
        <f>IF(A295="","",IFERROR(ROUND(AVERAGEIFS(ASSESSMENTS!H:H,ASSESSMENTS!B:B,A295,ASSESSMENTS!E:E,"Geography"),1),""))</f>
        <v/>
      </c>
      <c r="J295" s="4" t="str">
        <f>IF(A295="","",IFERROR(ROUND(AVERAGEIFS(ASSESSMENTS!H:H,ASSESSMENTS!B:B,A295,ASSESSMENTS!E:E,"Accounting"),1),""))</f>
        <v/>
      </c>
      <c r="K295" s="4" t="str">
        <f>IF(A295="","",IFERROR(ROUND(AVERAGEIFS(ASSESSMENTS!H:H,ASSESSMENTS!B:B,A295,ASSESSMENTS!E:E,"English"),1),""))</f>
        <v/>
      </c>
      <c r="L295" s="5" t="str">
        <f>IF(A295="","",IFERROR(INDEX(ATTENDANCE_SUMMARY!G:G,MATCH(A295,ATTENDANCE_SUMMARY!A:A,0)),""))</f>
        <v/>
      </c>
      <c r="M295" s="4" t="str">
        <f t="shared" si="4"/>
        <v/>
      </c>
    </row>
    <row r="296" spans="1:13" x14ac:dyDescent="0.3">
      <c r="A296" t="str">
        <f>IF(MASTER_REGISTER!E296="","",MASTER_REGISTER!E296)</f>
        <v/>
      </c>
      <c r="B296" t="str">
        <f>IF(A296="","",MASTER_REGISTER!F296)</f>
        <v/>
      </c>
      <c r="C296" t="str">
        <f>IF(A296="","",MASTER_REGISTER!C296)</f>
        <v/>
      </c>
      <c r="D296" t="str">
        <f>IF(A296="","",COUNTIF(ASSESSMENTS!B:B,A296))</f>
        <v/>
      </c>
      <c r="E296" s="4" t="e">
        <f>IF(D296=0,"",ROUND(AVERAGEIF(ASSESSMENTS!B:B,A296,ASSESSMENTS!H:H),1))</f>
        <v>#DIV/0!</v>
      </c>
      <c r="F296" s="4" t="str">
        <f>IF(A296="","",IFERROR(ROUND(AVERAGEIFS(ASSESSMENTS!H:H,ASSESSMENTS!B:B,A296,ASSESSMENTS!E:E,"Mathematics"),1),""))</f>
        <v/>
      </c>
      <c r="G296" s="4" t="str">
        <f>IF(A296="","",IFERROR(ROUND(AVERAGEIFS(ASSESSMENTS!H:H,ASSESSMENTS!B:B,A296,ASSESSMENTS!E:E,"Mathematical Literacy"),1),""))</f>
        <v/>
      </c>
      <c r="H296" s="4" t="str">
        <f>IF(A296="","",IFERROR(ROUND(AVERAGEIFS(ASSESSMENTS!H:H,ASSESSMENTS!B:B,A296,ASSESSMENTS!E:E,"Physical Sciences"),1),""))</f>
        <v/>
      </c>
      <c r="I296" s="4" t="str">
        <f>IF(A296="","",IFERROR(ROUND(AVERAGEIFS(ASSESSMENTS!H:H,ASSESSMENTS!B:B,A296,ASSESSMENTS!E:E,"Geography"),1),""))</f>
        <v/>
      </c>
      <c r="J296" s="4" t="str">
        <f>IF(A296="","",IFERROR(ROUND(AVERAGEIFS(ASSESSMENTS!H:H,ASSESSMENTS!B:B,A296,ASSESSMENTS!E:E,"Accounting"),1),""))</f>
        <v/>
      </c>
      <c r="K296" s="4" t="str">
        <f>IF(A296="","",IFERROR(ROUND(AVERAGEIFS(ASSESSMENTS!H:H,ASSESSMENTS!B:B,A296,ASSESSMENTS!E:E,"English"),1),""))</f>
        <v/>
      </c>
      <c r="L296" s="5" t="str">
        <f>IF(A296="","",IFERROR(INDEX(ATTENDANCE_SUMMARY!G:G,MATCH(A296,ATTENDANCE_SUMMARY!A:A,0)),""))</f>
        <v/>
      </c>
      <c r="M296" s="4" t="str">
        <f t="shared" si="4"/>
        <v/>
      </c>
    </row>
    <row r="297" spans="1:13" x14ac:dyDescent="0.3">
      <c r="A297" t="str">
        <f>IF(MASTER_REGISTER!E297="","",MASTER_REGISTER!E297)</f>
        <v/>
      </c>
      <c r="B297" t="str">
        <f>IF(A297="","",MASTER_REGISTER!F297)</f>
        <v/>
      </c>
      <c r="C297" t="str">
        <f>IF(A297="","",MASTER_REGISTER!C297)</f>
        <v/>
      </c>
      <c r="D297" t="str">
        <f>IF(A297="","",COUNTIF(ASSESSMENTS!B:B,A297))</f>
        <v/>
      </c>
      <c r="E297" s="4" t="e">
        <f>IF(D297=0,"",ROUND(AVERAGEIF(ASSESSMENTS!B:B,A297,ASSESSMENTS!H:H),1))</f>
        <v>#DIV/0!</v>
      </c>
      <c r="F297" s="4" t="str">
        <f>IF(A297="","",IFERROR(ROUND(AVERAGEIFS(ASSESSMENTS!H:H,ASSESSMENTS!B:B,A297,ASSESSMENTS!E:E,"Mathematics"),1),""))</f>
        <v/>
      </c>
      <c r="G297" s="4" t="str">
        <f>IF(A297="","",IFERROR(ROUND(AVERAGEIFS(ASSESSMENTS!H:H,ASSESSMENTS!B:B,A297,ASSESSMENTS!E:E,"Mathematical Literacy"),1),""))</f>
        <v/>
      </c>
      <c r="H297" s="4" t="str">
        <f>IF(A297="","",IFERROR(ROUND(AVERAGEIFS(ASSESSMENTS!H:H,ASSESSMENTS!B:B,A297,ASSESSMENTS!E:E,"Physical Sciences"),1),""))</f>
        <v/>
      </c>
      <c r="I297" s="4" t="str">
        <f>IF(A297="","",IFERROR(ROUND(AVERAGEIFS(ASSESSMENTS!H:H,ASSESSMENTS!B:B,A297,ASSESSMENTS!E:E,"Geography"),1),""))</f>
        <v/>
      </c>
      <c r="J297" s="4" t="str">
        <f>IF(A297="","",IFERROR(ROUND(AVERAGEIFS(ASSESSMENTS!H:H,ASSESSMENTS!B:B,A297,ASSESSMENTS!E:E,"Accounting"),1),""))</f>
        <v/>
      </c>
      <c r="K297" s="4" t="str">
        <f>IF(A297="","",IFERROR(ROUND(AVERAGEIFS(ASSESSMENTS!H:H,ASSESSMENTS!B:B,A297,ASSESSMENTS!E:E,"English"),1),""))</f>
        <v/>
      </c>
      <c r="L297" s="5" t="str">
        <f>IF(A297="","",IFERROR(INDEX(ATTENDANCE_SUMMARY!G:G,MATCH(A297,ATTENDANCE_SUMMARY!A:A,0)),""))</f>
        <v/>
      </c>
      <c r="M297" s="4" t="str">
        <f t="shared" si="4"/>
        <v/>
      </c>
    </row>
    <row r="298" spans="1:13" x14ac:dyDescent="0.3">
      <c r="A298" t="str">
        <f>IF(MASTER_REGISTER!E298="","",MASTER_REGISTER!E298)</f>
        <v/>
      </c>
      <c r="B298" t="str">
        <f>IF(A298="","",MASTER_REGISTER!F298)</f>
        <v/>
      </c>
      <c r="C298" t="str">
        <f>IF(A298="","",MASTER_REGISTER!C298)</f>
        <v/>
      </c>
      <c r="D298" t="str">
        <f>IF(A298="","",COUNTIF(ASSESSMENTS!B:B,A298))</f>
        <v/>
      </c>
      <c r="E298" s="4" t="e">
        <f>IF(D298=0,"",ROUND(AVERAGEIF(ASSESSMENTS!B:B,A298,ASSESSMENTS!H:H),1))</f>
        <v>#DIV/0!</v>
      </c>
      <c r="F298" s="4" t="str">
        <f>IF(A298="","",IFERROR(ROUND(AVERAGEIFS(ASSESSMENTS!H:H,ASSESSMENTS!B:B,A298,ASSESSMENTS!E:E,"Mathematics"),1),""))</f>
        <v/>
      </c>
      <c r="G298" s="4" t="str">
        <f>IF(A298="","",IFERROR(ROUND(AVERAGEIFS(ASSESSMENTS!H:H,ASSESSMENTS!B:B,A298,ASSESSMENTS!E:E,"Mathematical Literacy"),1),""))</f>
        <v/>
      </c>
      <c r="H298" s="4" t="str">
        <f>IF(A298="","",IFERROR(ROUND(AVERAGEIFS(ASSESSMENTS!H:H,ASSESSMENTS!B:B,A298,ASSESSMENTS!E:E,"Physical Sciences"),1),""))</f>
        <v/>
      </c>
      <c r="I298" s="4" t="str">
        <f>IF(A298="","",IFERROR(ROUND(AVERAGEIFS(ASSESSMENTS!H:H,ASSESSMENTS!B:B,A298,ASSESSMENTS!E:E,"Geography"),1),""))</f>
        <v/>
      </c>
      <c r="J298" s="4" t="str">
        <f>IF(A298="","",IFERROR(ROUND(AVERAGEIFS(ASSESSMENTS!H:H,ASSESSMENTS!B:B,A298,ASSESSMENTS!E:E,"Accounting"),1),""))</f>
        <v/>
      </c>
      <c r="K298" s="4" t="str">
        <f>IF(A298="","",IFERROR(ROUND(AVERAGEIFS(ASSESSMENTS!H:H,ASSESSMENTS!B:B,A298,ASSESSMENTS!E:E,"English"),1),""))</f>
        <v/>
      </c>
      <c r="L298" s="5" t="str">
        <f>IF(A298="","",IFERROR(INDEX(ATTENDANCE_SUMMARY!G:G,MATCH(A298,ATTENDANCE_SUMMARY!A:A,0)),""))</f>
        <v/>
      </c>
      <c r="M298" s="4" t="str">
        <f t="shared" si="4"/>
        <v/>
      </c>
    </row>
    <row r="299" spans="1:13" x14ac:dyDescent="0.3">
      <c r="A299" t="str">
        <f>IF(MASTER_REGISTER!E299="","",MASTER_REGISTER!E299)</f>
        <v/>
      </c>
      <c r="B299" t="str">
        <f>IF(A299="","",MASTER_REGISTER!F299)</f>
        <v/>
      </c>
      <c r="C299" t="str">
        <f>IF(A299="","",MASTER_REGISTER!C299)</f>
        <v/>
      </c>
      <c r="D299" t="str">
        <f>IF(A299="","",COUNTIF(ASSESSMENTS!B:B,A299))</f>
        <v/>
      </c>
      <c r="E299" s="4" t="e">
        <f>IF(D299=0,"",ROUND(AVERAGEIF(ASSESSMENTS!B:B,A299,ASSESSMENTS!H:H),1))</f>
        <v>#DIV/0!</v>
      </c>
      <c r="F299" s="4" t="str">
        <f>IF(A299="","",IFERROR(ROUND(AVERAGEIFS(ASSESSMENTS!H:H,ASSESSMENTS!B:B,A299,ASSESSMENTS!E:E,"Mathematics"),1),""))</f>
        <v/>
      </c>
      <c r="G299" s="4" t="str">
        <f>IF(A299="","",IFERROR(ROUND(AVERAGEIFS(ASSESSMENTS!H:H,ASSESSMENTS!B:B,A299,ASSESSMENTS!E:E,"Mathematical Literacy"),1),""))</f>
        <v/>
      </c>
      <c r="H299" s="4" t="str">
        <f>IF(A299="","",IFERROR(ROUND(AVERAGEIFS(ASSESSMENTS!H:H,ASSESSMENTS!B:B,A299,ASSESSMENTS!E:E,"Physical Sciences"),1),""))</f>
        <v/>
      </c>
      <c r="I299" s="4" t="str">
        <f>IF(A299="","",IFERROR(ROUND(AVERAGEIFS(ASSESSMENTS!H:H,ASSESSMENTS!B:B,A299,ASSESSMENTS!E:E,"Geography"),1),""))</f>
        <v/>
      </c>
      <c r="J299" s="4" t="str">
        <f>IF(A299="","",IFERROR(ROUND(AVERAGEIFS(ASSESSMENTS!H:H,ASSESSMENTS!B:B,A299,ASSESSMENTS!E:E,"Accounting"),1),""))</f>
        <v/>
      </c>
      <c r="K299" s="4" t="str">
        <f>IF(A299="","",IFERROR(ROUND(AVERAGEIFS(ASSESSMENTS!H:H,ASSESSMENTS!B:B,A299,ASSESSMENTS!E:E,"English"),1),""))</f>
        <v/>
      </c>
      <c r="L299" s="5" t="str">
        <f>IF(A299="","",IFERROR(INDEX(ATTENDANCE_SUMMARY!G:G,MATCH(A299,ATTENDANCE_SUMMARY!A:A,0)),""))</f>
        <v/>
      </c>
      <c r="M299" s="4" t="str">
        <f t="shared" si="4"/>
        <v/>
      </c>
    </row>
    <row r="300" spans="1:13" x14ac:dyDescent="0.3">
      <c r="A300" t="str">
        <f>IF(MASTER_REGISTER!E300="","",MASTER_REGISTER!E300)</f>
        <v/>
      </c>
      <c r="B300" t="str">
        <f>IF(A300="","",MASTER_REGISTER!F300)</f>
        <v/>
      </c>
      <c r="C300" t="str">
        <f>IF(A300="","",MASTER_REGISTER!C300)</f>
        <v/>
      </c>
      <c r="D300" t="str">
        <f>IF(A300="","",COUNTIF(ASSESSMENTS!B:B,A300))</f>
        <v/>
      </c>
      <c r="E300" s="4" t="e">
        <f>IF(D300=0,"",ROUND(AVERAGEIF(ASSESSMENTS!B:B,A300,ASSESSMENTS!H:H),1))</f>
        <v>#DIV/0!</v>
      </c>
      <c r="F300" s="4" t="str">
        <f>IF(A300="","",IFERROR(ROUND(AVERAGEIFS(ASSESSMENTS!H:H,ASSESSMENTS!B:B,A300,ASSESSMENTS!E:E,"Mathematics"),1),""))</f>
        <v/>
      </c>
      <c r="G300" s="4" t="str">
        <f>IF(A300="","",IFERROR(ROUND(AVERAGEIFS(ASSESSMENTS!H:H,ASSESSMENTS!B:B,A300,ASSESSMENTS!E:E,"Mathematical Literacy"),1),""))</f>
        <v/>
      </c>
      <c r="H300" s="4" t="str">
        <f>IF(A300="","",IFERROR(ROUND(AVERAGEIFS(ASSESSMENTS!H:H,ASSESSMENTS!B:B,A300,ASSESSMENTS!E:E,"Physical Sciences"),1),""))</f>
        <v/>
      </c>
      <c r="I300" s="4" t="str">
        <f>IF(A300="","",IFERROR(ROUND(AVERAGEIFS(ASSESSMENTS!H:H,ASSESSMENTS!B:B,A300,ASSESSMENTS!E:E,"Geography"),1),""))</f>
        <v/>
      </c>
      <c r="J300" s="4" t="str">
        <f>IF(A300="","",IFERROR(ROUND(AVERAGEIFS(ASSESSMENTS!H:H,ASSESSMENTS!B:B,A300,ASSESSMENTS!E:E,"Accounting"),1),""))</f>
        <v/>
      </c>
      <c r="K300" s="4" t="str">
        <f>IF(A300="","",IFERROR(ROUND(AVERAGEIFS(ASSESSMENTS!H:H,ASSESSMENTS!B:B,A300,ASSESSMENTS!E:E,"English"),1),""))</f>
        <v/>
      </c>
      <c r="L300" s="5" t="str">
        <f>IF(A300="","",IFERROR(INDEX(ATTENDANCE_SUMMARY!G:G,MATCH(A300,ATTENDANCE_SUMMARY!A:A,0)),""))</f>
        <v/>
      </c>
      <c r="M300" s="4" t="str">
        <f t="shared" si="4"/>
        <v/>
      </c>
    </row>
    <row r="301" spans="1:13" x14ac:dyDescent="0.3">
      <c r="A301" t="str">
        <f>IF(MASTER_REGISTER!E301="","",MASTER_REGISTER!E301)</f>
        <v/>
      </c>
      <c r="B301" t="str">
        <f>IF(A301="","",MASTER_REGISTER!F301)</f>
        <v/>
      </c>
      <c r="C301" t="str">
        <f>IF(A301="","",MASTER_REGISTER!C301)</f>
        <v/>
      </c>
      <c r="D301" t="str">
        <f>IF(A301="","",COUNTIF(ASSESSMENTS!B:B,A301))</f>
        <v/>
      </c>
      <c r="E301" s="4" t="e">
        <f>IF(D301=0,"",ROUND(AVERAGEIF(ASSESSMENTS!B:B,A301,ASSESSMENTS!H:H),1))</f>
        <v>#DIV/0!</v>
      </c>
      <c r="F301" s="4" t="str">
        <f>IF(A301="","",IFERROR(ROUND(AVERAGEIFS(ASSESSMENTS!H:H,ASSESSMENTS!B:B,A301,ASSESSMENTS!E:E,"Mathematics"),1),""))</f>
        <v/>
      </c>
      <c r="G301" s="4" t="str">
        <f>IF(A301="","",IFERROR(ROUND(AVERAGEIFS(ASSESSMENTS!H:H,ASSESSMENTS!B:B,A301,ASSESSMENTS!E:E,"Mathematical Literacy"),1),""))</f>
        <v/>
      </c>
      <c r="H301" s="4" t="str">
        <f>IF(A301="","",IFERROR(ROUND(AVERAGEIFS(ASSESSMENTS!H:H,ASSESSMENTS!B:B,A301,ASSESSMENTS!E:E,"Physical Sciences"),1),""))</f>
        <v/>
      </c>
      <c r="I301" s="4" t="str">
        <f>IF(A301="","",IFERROR(ROUND(AVERAGEIFS(ASSESSMENTS!H:H,ASSESSMENTS!B:B,A301,ASSESSMENTS!E:E,"Geography"),1),""))</f>
        <v/>
      </c>
      <c r="J301" s="4" t="str">
        <f>IF(A301="","",IFERROR(ROUND(AVERAGEIFS(ASSESSMENTS!H:H,ASSESSMENTS!B:B,A301,ASSESSMENTS!E:E,"Accounting"),1),""))</f>
        <v/>
      </c>
      <c r="K301" s="4" t="str">
        <f>IF(A301="","",IFERROR(ROUND(AVERAGEIFS(ASSESSMENTS!H:H,ASSESSMENTS!B:B,A301,ASSESSMENTS!E:E,"English"),1),""))</f>
        <v/>
      </c>
      <c r="L301" s="5" t="str">
        <f>IF(A301="","",IFERROR(INDEX(ATTENDANCE_SUMMARY!G:G,MATCH(A301,ATTENDANCE_SUMMARY!A:A,0)),""))</f>
        <v/>
      </c>
      <c r="M301" s="4" t="str">
        <f t="shared" si="4"/>
        <v/>
      </c>
    </row>
    <row r="302" spans="1:13" x14ac:dyDescent="0.3">
      <c r="A302" t="str">
        <f>IF(MASTER_REGISTER!E302="","",MASTER_REGISTER!E302)</f>
        <v/>
      </c>
      <c r="B302" t="str">
        <f>IF(A302="","",MASTER_REGISTER!F302)</f>
        <v/>
      </c>
      <c r="C302" t="str">
        <f>IF(A302="","",MASTER_REGISTER!C302)</f>
        <v/>
      </c>
      <c r="D302" t="str">
        <f>IF(A302="","",COUNTIF(ASSESSMENTS!B:B,A302))</f>
        <v/>
      </c>
      <c r="E302" s="4" t="e">
        <f>IF(D302=0,"",ROUND(AVERAGEIF(ASSESSMENTS!B:B,A302,ASSESSMENTS!H:H),1))</f>
        <v>#DIV/0!</v>
      </c>
      <c r="F302" s="4" t="str">
        <f>IF(A302="","",IFERROR(ROUND(AVERAGEIFS(ASSESSMENTS!H:H,ASSESSMENTS!B:B,A302,ASSESSMENTS!E:E,"Mathematics"),1),""))</f>
        <v/>
      </c>
      <c r="G302" s="4" t="str">
        <f>IF(A302="","",IFERROR(ROUND(AVERAGEIFS(ASSESSMENTS!H:H,ASSESSMENTS!B:B,A302,ASSESSMENTS!E:E,"Mathematical Literacy"),1),""))</f>
        <v/>
      </c>
      <c r="H302" s="4" t="str">
        <f>IF(A302="","",IFERROR(ROUND(AVERAGEIFS(ASSESSMENTS!H:H,ASSESSMENTS!B:B,A302,ASSESSMENTS!E:E,"Physical Sciences"),1),""))</f>
        <v/>
      </c>
      <c r="I302" s="4" t="str">
        <f>IF(A302="","",IFERROR(ROUND(AVERAGEIFS(ASSESSMENTS!H:H,ASSESSMENTS!B:B,A302,ASSESSMENTS!E:E,"Geography"),1),""))</f>
        <v/>
      </c>
      <c r="J302" s="4" t="str">
        <f>IF(A302="","",IFERROR(ROUND(AVERAGEIFS(ASSESSMENTS!H:H,ASSESSMENTS!B:B,A302,ASSESSMENTS!E:E,"Accounting"),1),""))</f>
        <v/>
      </c>
      <c r="K302" s="4" t="str">
        <f>IF(A302="","",IFERROR(ROUND(AVERAGEIFS(ASSESSMENTS!H:H,ASSESSMENTS!B:B,A302,ASSESSMENTS!E:E,"English"),1),""))</f>
        <v/>
      </c>
      <c r="L302" s="5" t="str">
        <f>IF(A302="","",IFERROR(INDEX(ATTENDANCE_SUMMARY!G:G,MATCH(A302,ATTENDANCE_SUMMARY!A:A,0)),""))</f>
        <v/>
      </c>
      <c r="M302" s="4" t="str">
        <f t="shared" si="4"/>
        <v/>
      </c>
    </row>
    <row r="303" spans="1:13" x14ac:dyDescent="0.3">
      <c r="A303" t="str">
        <f>IF(MASTER_REGISTER!E303="","",MASTER_REGISTER!E303)</f>
        <v/>
      </c>
      <c r="B303" t="str">
        <f>IF(A303="","",MASTER_REGISTER!F303)</f>
        <v/>
      </c>
      <c r="C303" t="str">
        <f>IF(A303="","",MASTER_REGISTER!C303)</f>
        <v/>
      </c>
      <c r="D303" t="str">
        <f>IF(A303="","",COUNTIF(ASSESSMENTS!B:B,A303))</f>
        <v/>
      </c>
      <c r="E303" s="4" t="e">
        <f>IF(D303=0,"",ROUND(AVERAGEIF(ASSESSMENTS!B:B,A303,ASSESSMENTS!H:H),1))</f>
        <v>#DIV/0!</v>
      </c>
      <c r="F303" s="4" t="str">
        <f>IF(A303="","",IFERROR(ROUND(AVERAGEIFS(ASSESSMENTS!H:H,ASSESSMENTS!B:B,A303,ASSESSMENTS!E:E,"Mathematics"),1),""))</f>
        <v/>
      </c>
      <c r="G303" s="4" t="str">
        <f>IF(A303="","",IFERROR(ROUND(AVERAGEIFS(ASSESSMENTS!H:H,ASSESSMENTS!B:B,A303,ASSESSMENTS!E:E,"Mathematical Literacy"),1),""))</f>
        <v/>
      </c>
      <c r="H303" s="4" t="str">
        <f>IF(A303="","",IFERROR(ROUND(AVERAGEIFS(ASSESSMENTS!H:H,ASSESSMENTS!B:B,A303,ASSESSMENTS!E:E,"Physical Sciences"),1),""))</f>
        <v/>
      </c>
      <c r="I303" s="4" t="str">
        <f>IF(A303="","",IFERROR(ROUND(AVERAGEIFS(ASSESSMENTS!H:H,ASSESSMENTS!B:B,A303,ASSESSMENTS!E:E,"Geography"),1),""))</f>
        <v/>
      </c>
      <c r="J303" s="4" t="str">
        <f>IF(A303="","",IFERROR(ROUND(AVERAGEIFS(ASSESSMENTS!H:H,ASSESSMENTS!B:B,A303,ASSESSMENTS!E:E,"Accounting"),1),""))</f>
        <v/>
      </c>
      <c r="K303" s="4" t="str">
        <f>IF(A303="","",IFERROR(ROUND(AVERAGEIFS(ASSESSMENTS!H:H,ASSESSMENTS!B:B,A303,ASSESSMENTS!E:E,"English"),1),""))</f>
        <v/>
      </c>
      <c r="L303" s="5" t="str">
        <f>IF(A303="","",IFERROR(INDEX(ATTENDANCE_SUMMARY!G:G,MATCH(A303,ATTENDANCE_SUMMARY!A:A,0)),""))</f>
        <v/>
      </c>
      <c r="M303" s="4" t="str">
        <f t="shared" si="4"/>
        <v/>
      </c>
    </row>
    <row r="304" spans="1:13" x14ac:dyDescent="0.3">
      <c r="A304" t="str">
        <f>IF(MASTER_REGISTER!E304="","",MASTER_REGISTER!E304)</f>
        <v/>
      </c>
      <c r="B304" t="str">
        <f>IF(A304="","",MASTER_REGISTER!F304)</f>
        <v/>
      </c>
      <c r="C304" t="str">
        <f>IF(A304="","",MASTER_REGISTER!C304)</f>
        <v/>
      </c>
      <c r="D304" t="str">
        <f>IF(A304="","",COUNTIF(ASSESSMENTS!B:B,A304))</f>
        <v/>
      </c>
      <c r="E304" s="4" t="e">
        <f>IF(D304=0,"",ROUND(AVERAGEIF(ASSESSMENTS!B:B,A304,ASSESSMENTS!H:H),1))</f>
        <v>#DIV/0!</v>
      </c>
      <c r="F304" s="4" t="str">
        <f>IF(A304="","",IFERROR(ROUND(AVERAGEIFS(ASSESSMENTS!H:H,ASSESSMENTS!B:B,A304,ASSESSMENTS!E:E,"Mathematics"),1),""))</f>
        <v/>
      </c>
      <c r="G304" s="4" t="str">
        <f>IF(A304="","",IFERROR(ROUND(AVERAGEIFS(ASSESSMENTS!H:H,ASSESSMENTS!B:B,A304,ASSESSMENTS!E:E,"Mathematical Literacy"),1),""))</f>
        <v/>
      </c>
      <c r="H304" s="4" t="str">
        <f>IF(A304="","",IFERROR(ROUND(AVERAGEIFS(ASSESSMENTS!H:H,ASSESSMENTS!B:B,A304,ASSESSMENTS!E:E,"Physical Sciences"),1),""))</f>
        <v/>
      </c>
      <c r="I304" s="4" t="str">
        <f>IF(A304="","",IFERROR(ROUND(AVERAGEIFS(ASSESSMENTS!H:H,ASSESSMENTS!B:B,A304,ASSESSMENTS!E:E,"Geography"),1),""))</f>
        <v/>
      </c>
      <c r="J304" s="4" t="str">
        <f>IF(A304="","",IFERROR(ROUND(AVERAGEIFS(ASSESSMENTS!H:H,ASSESSMENTS!B:B,A304,ASSESSMENTS!E:E,"Accounting"),1),""))</f>
        <v/>
      </c>
      <c r="K304" s="4" t="str">
        <f>IF(A304="","",IFERROR(ROUND(AVERAGEIFS(ASSESSMENTS!H:H,ASSESSMENTS!B:B,A304,ASSESSMENTS!E:E,"English"),1),""))</f>
        <v/>
      </c>
      <c r="L304" s="5" t="str">
        <f>IF(A304="","",IFERROR(INDEX(ATTENDANCE_SUMMARY!G:G,MATCH(A304,ATTENDANCE_SUMMARY!A:A,0)),""))</f>
        <v/>
      </c>
      <c r="M304" s="4" t="str">
        <f t="shared" si="4"/>
        <v/>
      </c>
    </row>
    <row r="305" spans="1:13" x14ac:dyDescent="0.3">
      <c r="A305" t="str">
        <f>IF(MASTER_REGISTER!E305="","",MASTER_REGISTER!E305)</f>
        <v/>
      </c>
      <c r="B305" t="str">
        <f>IF(A305="","",MASTER_REGISTER!F305)</f>
        <v/>
      </c>
      <c r="C305" t="str">
        <f>IF(A305="","",MASTER_REGISTER!C305)</f>
        <v/>
      </c>
      <c r="D305" t="str">
        <f>IF(A305="","",COUNTIF(ASSESSMENTS!B:B,A305))</f>
        <v/>
      </c>
      <c r="E305" s="4" t="e">
        <f>IF(D305=0,"",ROUND(AVERAGEIF(ASSESSMENTS!B:B,A305,ASSESSMENTS!H:H),1))</f>
        <v>#DIV/0!</v>
      </c>
      <c r="F305" s="4" t="str">
        <f>IF(A305="","",IFERROR(ROUND(AVERAGEIFS(ASSESSMENTS!H:H,ASSESSMENTS!B:B,A305,ASSESSMENTS!E:E,"Mathematics"),1),""))</f>
        <v/>
      </c>
      <c r="G305" s="4" t="str">
        <f>IF(A305="","",IFERROR(ROUND(AVERAGEIFS(ASSESSMENTS!H:H,ASSESSMENTS!B:B,A305,ASSESSMENTS!E:E,"Mathematical Literacy"),1),""))</f>
        <v/>
      </c>
      <c r="H305" s="4" t="str">
        <f>IF(A305="","",IFERROR(ROUND(AVERAGEIFS(ASSESSMENTS!H:H,ASSESSMENTS!B:B,A305,ASSESSMENTS!E:E,"Physical Sciences"),1),""))</f>
        <v/>
      </c>
      <c r="I305" s="4" t="str">
        <f>IF(A305="","",IFERROR(ROUND(AVERAGEIFS(ASSESSMENTS!H:H,ASSESSMENTS!B:B,A305,ASSESSMENTS!E:E,"Geography"),1),""))</f>
        <v/>
      </c>
      <c r="J305" s="4" t="str">
        <f>IF(A305="","",IFERROR(ROUND(AVERAGEIFS(ASSESSMENTS!H:H,ASSESSMENTS!B:B,A305,ASSESSMENTS!E:E,"Accounting"),1),""))</f>
        <v/>
      </c>
      <c r="K305" s="4" t="str">
        <f>IF(A305="","",IFERROR(ROUND(AVERAGEIFS(ASSESSMENTS!H:H,ASSESSMENTS!B:B,A305,ASSESSMENTS!E:E,"English"),1),""))</f>
        <v/>
      </c>
      <c r="L305" s="5" t="str">
        <f>IF(A305="","",IFERROR(INDEX(ATTENDANCE_SUMMARY!G:G,MATCH(A305,ATTENDANCE_SUMMARY!A:A,0)),""))</f>
        <v/>
      </c>
      <c r="M305" s="4" t="str">
        <f t="shared" si="4"/>
        <v/>
      </c>
    </row>
    <row r="306" spans="1:13" x14ac:dyDescent="0.3">
      <c r="A306" t="str">
        <f>IF(MASTER_REGISTER!E306="","",MASTER_REGISTER!E306)</f>
        <v/>
      </c>
      <c r="B306" t="str">
        <f>IF(A306="","",MASTER_REGISTER!F306)</f>
        <v/>
      </c>
      <c r="C306" t="str">
        <f>IF(A306="","",MASTER_REGISTER!C306)</f>
        <v/>
      </c>
      <c r="D306" t="str">
        <f>IF(A306="","",COUNTIF(ASSESSMENTS!B:B,A306))</f>
        <v/>
      </c>
      <c r="E306" s="4" t="e">
        <f>IF(D306=0,"",ROUND(AVERAGEIF(ASSESSMENTS!B:B,A306,ASSESSMENTS!H:H),1))</f>
        <v>#DIV/0!</v>
      </c>
      <c r="F306" s="4" t="str">
        <f>IF(A306="","",IFERROR(ROUND(AVERAGEIFS(ASSESSMENTS!H:H,ASSESSMENTS!B:B,A306,ASSESSMENTS!E:E,"Mathematics"),1),""))</f>
        <v/>
      </c>
      <c r="G306" s="4" t="str">
        <f>IF(A306="","",IFERROR(ROUND(AVERAGEIFS(ASSESSMENTS!H:H,ASSESSMENTS!B:B,A306,ASSESSMENTS!E:E,"Mathematical Literacy"),1),""))</f>
        <v/>
      </c>
      <c r="H306" s="4" t="str">
        <f>IF(A306="","",IFERROR(ROUND(AVERAGEIFS(ASSESSMENTS!H:H,ASSESSMENTS!B:B,A306,ASSESSMENTS!E:E,"Physical Sciences"),1),""))</f>
        <v/>
      </c>
      <c r="I306" s="4" t="str">
        <f>IF(A306="","",IFERROR(ROUND(AVERAGEIFS(ASSESSMENTS!H:H,ASSESSMENTS!B:B,A306,ASSESSMENTS!E:E,"Geography"),1),""))</f>
        <v/>
      </c>
      <c r="J306" s="4" t="str">
        <f>IF(A306="","",IFERROR(ROUND(AVERAGEIFS(ASSESSMENTS!H:H,ASSESSMENTS!B:B,A306,ASSESSMENTS!E:E,"Accounting"),1),""))</f>
        <v/>
      </c>
      <c r="K306" s="4" t="str">
        <f>IF(A306="","",IFERROR(ROUND(AVERAGEIFS(ASSESSMENTS!H:H,ASSESSMENTS!B:B,A306,ASSESSMENTS!E:E,"English"),1),""))</f>
        <v/>
      </c>
      <c r="L306" s="5" t="str">
        <f>IF(A306="","",IFERROR(INDEX(ATTENDANCE_SUMMARY!G:G,MATCH(A306,ATTENDANCE_SUMMARY!A:A,0)),""))</f>
        <v/>
      </c>
      <c r="M306" s="4" t="str">
        <f t="shared" si="4"/>
        <v/>
      </c>
    </row>
    <row r="307" spans="1:13" x14ac:dyDescent="0.3">
      <c r="A307" t="str">
        <f>IF(MASTER_REGISTER!E307="","",MASTER_REGISTER!E307)</f>
        <v/>
      </c>
      <c r="B307" t="str">
        <f>IF(A307="","",MASTER_REGISTER!F307)</f>
        <v/>
      </c>
      <c r="C307" t="str">
        <f>IF(A307="","",MASTER_REGISTER!C307)</f>
        <v/>
      </c>
      <c r="D307" t="str">
        <f>IF(A307="","",COUNTIF(ASSESSMENTS!B:B,A307))</f>
        <v/>
      </c>
      <c r="E307" s="4" t="e">
        <f>IF(D307=0,"",ROUND(AVERAGEIF(ASSESSMENTS!B:B,A307,ASSESSMENTS!H:H),1))</f>
        <v>#DIV/0!</v>
      </c>
      <c r="F307" s="4" t="str">
        <f>IF(A307="","",IFERROR(ROUND(AVERAGEIFS(ASSESSMENTS!H:H,ASSESSMENTS!B:B,A307,ASSESSMENTS!E:E,"Mathematics"),1),""))</f>
        <v/>
      </c>
      <c r="G307" s="4" t="str">
        <f>IF(A307="","",IFERROR(ROUND(AVERAGEIFS(ASSESSMENTS!H:H,ASSESSMENTS!B:B,A307,ASSESSMENTS!E:E,"Mathematical Literacy"),1),""))</f>
        <v/>
      </c>
      <c r="H307" s="4" t="str">
        <f>IF(A307="","",IFERROR(ROUND(AVERAGEIFS(ASSESSMENTS!H:H,ASSESSMENTS!B:B,A307,ASSESSMENTS!E:E,"Physical Sciences"),1),""))</f>
        <v/>
      </c>
      <c r="I307" s="4" t="str">
        <f>IF(A307="","",IFERROR(ROUND(AVERAGEIFS(ASSESSMENTS!H:H,ASSESSMENTS!B:B,A307,ASSESSMENTS!E:E,"Geography"),1),""))</f>
        <v/>
      </c>
      <c r="J307" s="4" t="str">
        <f>IF(A307="","",IFERROR(ROUND(AVERAGEIFS(ASSESSMENTS!H:H,ASSESSMENTS!B:B,A307,ASSESSMENTS!E:E,"Accounting"),1),""))</f>
        <v/>
      </c>
      <c r="K307" s="4" t="str">
        <f>IF(A307="","",IFERROR(ROUND(AVERAGEIFS(ASSESSMENTS!H:H,ASSESSMENTS!B:B,A307,ASSESSMENTS!E:E,"English"),1),""))</f>
        <v/>
      </c>
      <c r="L307" s="5" t="str">
        <f>IF(A307="","",IFERROR(INDEX(ATTENDANCE_SUMMARY!G:G,MATCH(A307,ATTENDANCE_SUMMARY!A:A,0)),""))</f>
        <v/>
      </c>
      <c r="M307" s="4" t="str">
        <f t="shared" si="4"/>
        <v/>
      </c>
    </row>
    <row r="308" spans="1:13" x14ac:dyDescent="0.3">
      <c r="A308" t="str">
        <f>IF(MASTER_REGISTER!E308="","",MASTER_REGISTER!E308)</f>
        <v/>
      </c>
      <c r="B308" t="str">
        <f>IF(A308="","",MASTER_REGISTER!F308)</f>
        <v/>
      </c>
      <c r="C308" t="str">
        <f>IF(A308="","",MASTER_REGISTER!C308)</f>
        <v/>
      </c>
      <c r="D308" t="str">
        <f>IF(A308="","",COUNTIF(ASSESSMENTS!B:B,A308))</f>
        <v/>
      </c>
      <c r="E308" s="4" t="e">
        <f>IF(D308=0,"",ROUND(AVERAGEIF(ASSESSMENTS!B:B,A308,ASSESSMENTS!H:H),1))</f>
        <v>#DIV/0!</v>
      </c>
      <c r="F308" s="4" t="str">
        <f>IF(A308="","",IFERROR(ROUND(AVERAGEIFS(ASSESSMENTS!H:H,ASSESSMENTS!B:B,A308,ASSESSMENTS!E:E,"Mathematics"),1),""))</f>
        <v/>
      </c>
      <c r="G308" s="4" t="str">
        <f>IF(A308="","",IFERROR(ROUND(AVERAGEIFS(ASSESSMENTS!H:H,ASSESSMENTS!B:B,A308,ASSESSMENTS!E:E,"Mathematical Literacy"),1),""))</f>
        <v/>
      </c>
      <c r="H308" s="4" t="str">
        <f>IF(A308="","",IFERROR(ROUND(AVERAGEIFS(ASSESSMENTS!H:H,ASSESSMENTS!B:B,A308,ASSESSMENTS!E:E,"Physical Sciences"),1),""))</f>
        <v/>
      </c>
      <c r="I308" s="4" t="str">
        <f>IF(A308="","",IFERROR(ROUND(AVERAGEIFS(ASSESSMENTS!H:H,ASSESSMENTS!B:B,A308,ASSESSMENTS!E:E,"Geography"),1),""))</f>
        <v/>
      </c>
      <c r="J308" s="4" t="str">
        <f>IF(A308="","",IFERROR(ROUND(AVERAGEIFS(ASSESSMENTS!H:H,ASSESSMENTS!B:B,A308,ASSESSMENTS!E:E,"Accounting"),1),""))</f>
        <v/>
      </c>
      <c r="K308" s="4" t="str">
        <f>IF(A308="","",IFERROR(ROUND(AVERAGEIFS(ASSESSMENTS!H:H,ASSESSMENTS!B:B,A308,ASSESSMENTS!E:E,"English"),1),""))</f>
        <v/>
      </c>
      <c r="L308" s="5" t="str">
        <f>IF(A308="","",IFERROR(INDEX(ATTENDANCE_SUMMARY!G:G,MATCH(A308,ATTENDANCE_SUMMARY!A:A,0)),""))</f>
        <v/>
      </c>
      <c r="M308" s="4" t="str">
        <f t="shared" si="4"/>
        <v/>
      </c>
    </row>
    <row r="309" spans="1:13" x14ac:dyDescent="0.3">
      <c r="A309" t="str">
        <f>IF(MASTER_REGISTER!E309="","",MASTER_REGISTER!E309)</f>
        <v/>
      </c>
      <c r="B309" t="str">
        <f>IF(A309="","",MASTER_REGISTER!F309)</f>
        <v/>
      </c>
      <c r="C309" t="str">
        <f>IF(A309="","",MASTER_REGISTER!C309)</f>
        <v/>
      </c>
      <c r="D309" t="str">
        <f>IF(A309="","",COUNTIF(ASSESSMENTS!B:B,A309))</f>
        <v/>
      </c>
      <c r="E309" s="4" t="e">
        <f>IF(D309=0,"",ROUND(AVERAGEIF(ASSESSMENTS!B:B,A309,ASSESSMENTS!H:H),1))</f>
        <v>#DIV/0!</v>
      </c>
      <c r="F309" s="4" t="str">
        <f>IF(A309="","",IFERROR(ROUND(AVERAGEIFS(ASSESSMENTS!H:H,ASSESSMENTS!B:B,A309,ASSESSMENTS!E:E,"Mathematics"),1),""))</f>
        <v/>
      </c>
      <c r="G309" s="4" t="str">
        <f>IF(A309="","",IFERROR(ROUND(AVERAGEIFS(ASSESSMENTS!H:H,ASSESSMENTS!B:B,A309,ASSESSMENTS!E:E,"Mathematical Literacy"),1),""))</f>
        <v/>
      </c>
      <c r="H309" s="4" t="str">
        <f>IF(A309="","",IFERROR(ROUND(AVERAGEIFS(ASSESSMENTS!H:H,ASSESSMENTS!B:B,A309,ASSESSMENTS!E:E,"Physical Sciences"),1),""))</f>
        <v/>
      </c>
      <c r="I309" s="4" t="str">
        <f>IF(A309="","",IFERROR(ROUND(AVERAGEIFS(ASSESSMENTS!H:H,ASSESSMENTS!B:B,A309,ASSESSMENTS!E:E,"Geography"),1),""))</f>
        <v/>
      </c>
      <c r="J309" s="4" t="str">
        <f>IF(A309="","",IFERROR(ROUND(AVERAGEIFS(ASSESSMENTS!H:H,ASSESSMENTS!B:B,A309,ASSESSMENTS!E:E,"Accounting"),1),""))</f>
        <v/>
      </c>
      <c r="K309" s="4" t="str">
        <f>IF(A309="","",IFERROR(ROUND(AVERAGEIFS(ASSESSMENTS!H:H,ASSESSMENTS!B:B,A309,ASSESSMENTS!E:E,"English"),1),""))</f>
        <v/>
      </c>
      <c r="L309" s="5" t="str">
        <f>IF(A309="","",IFERROR(INDEX(ATTENDANCE_SUMMARY!G:G,MATCH(A309,ATTENDANCE_SUMMARY!A:A,0)),""))</f>
        <v/>
      </c>
      <c r="M309" s="4" t="str">
        <f t="shared" si="4"/>
        <v/>
      </c>
    </row>
    <row r="310" spans="1:13" x14ac:dyDescent="0.3">
      <c r="A310" t="str">
        <f>IF(MASTER_REGISTER!E310="","",MASTER_REGISTER!E310)</f>
        <v/>
      </c>
      <c r="B310" t="str">
        <f>IF(A310="","",MASTER_REGISTER!F310)</f>
        <v/>
      </c>
      <c r="C310" t="str">
        <f>IF(A310="","",MASTER_REGISTER!C310)</f>
        <v/>
      </c>
      <c r="D310" t="str">
        <f>IF(A310="","",COUNTIF(ASSESSMENTS!B:B,A310))</f>
        <v/>
      </c>
      <c r="E310" s="4" t="e">
        <f>IF(D310=0,"",ROUND(AVERAGEIF(ASSESSMENTS!B:B,A310,ASSESSMENTS!H:H),1))</f>
        <v>#DIV/0!</v>
      </c>
      <c r="F310" s="4" t="str">
        <f>IF(A310="","",IFERROR(ROUND(AVERAGEIFS(ASSESSMENTS!H:H,ASSESSMENTS!B:B,A310,ASSESSMENTS!E:E,"Mathematics"),1),""))</f>
        <v/>
      </c>
      <c r="G310" s="4" t="str">
        <f>IF(A310="","",IFERROR(ROUND(AVERAGEIFS(ASSESSMENTS!H:H,ASSESSMENTS!B:B,A310,ASSESSMENTS!E:E,"Mathematical Literacy"),1),""))</f>
        <v/>
      </c>
      <c r="H310" s="4" t="str">
        <f>IF(A310="","",IFERROR(ROUND(AVERAGEIFS(ASSESSMENTS!H:H,ASSESSMENTS!B:B,A310,ASSESSMENTS!E:E,"Physical Sciences"),1),""))</f>
        <v/>
      </c>
      <c r="I310" s="4" t="str">
        <f>IF(A310="","",IFERROR(ROUND(AVERAGEIFS(ASSESSMENTS!H:H,ASSESSMENTS!B:B,A310,ASSESSMENTS!E:E,"Geography"),1),""))</f>
        <v/>
      </c>
      <c r="J310" s="4" t="str">
        <f>IF(A310="","",IFERROR(ROUND(AVERAGEIFS(ASSESSMENTS!H:H,ASSESSMENTS!B:B,A310,ASSESSMENTS!E:E,"Accounting"),1),""))</f>
        <v/>
      </c>
      <c r="K310" s="4" t="str">
        <f>IF(A310="","",IFERROR(ROUND(AVERAGEIFS(ASSESSMENTS!H:H,ASSESSMENTS!B:B,A310,ASSESSMENTS!E:E,"English"),1),""))</f>
        <v/>
      </c>
      <c r="L310" s="5" t="str">
        <f>IF(A310="","",IFERROR(INDEX(ATTENDANCE_SUMMARY!G:G,MATCH(A310,ATTENDANCE_SUMMARY!A:A,0)),""))</f>
        <v/>
      </c>
      <c r="M310" s="4" t="str">
        <f t="shared" si="4"/>
        <v/>
      </c>
    </row>
    <row r="311" spans="1:13" x14ac:dyDescent="0.3">
      <c r="A311" t="str">
        <f>IF(MASTER_REGISTER!E311="","",MASTER_REGISTER!E311)</f>
        <v/>
      </c>
      <c r="B311" t="str">
        <f>IF(A311="","",MASTER_REGISTER!F311)</f>
        <v/>
      </c>
      <c r="C311" t="str">
        <f>IF(A311="","",MASTER_REGISTER!C311)</f>
        <v/>
      </c>
      <c r="D311" t="str">
        <f>IF(A311="","",COUNTIF(ASSESSMENTS!B:B,A311))</f>
        <v/>
      </c>
      <c r="E311" s="4" t="e">
        <f>IF(D311=0,"",ROUND(AVERAGEIF(ASSESSMENTS!B:B,A311,ASSESSMENTS!H:H),1))</f>
        <v>#DIV/0!</v>
      </c>
      <c r="F311" s="4" t="str">
        <f>IF(A311="","",IFERROR(ROUND(AVERAGEIFS(ASSESSMENTS!H:H,ASSESSMENTS!B:B,A311,ASSESSMENTS!E:E,"Mathematics"),1),""))</f>
        <v/>
      </c>
      <c r="G311" s="4" t="str">
        <f>IF(A311="","",IFERROR(ROUND(AVERAGEIFS(ASSESSMENTS!H:H,ASSESSMENTS!B:B,A311,ASSESSMENTS!E:E,"Mathematical Literacy"),1),""))</f>
        <v/>
      </c>
      <c r="H311" s="4" t="str">
        <f>IF(A311="","",IFERROR(ROUND(AVERAGEIFS(ASSESSMENTS!H:H,ASSESSMENTS!B:B,A311,ASSESSMENTS!E:E,"Physical Sciences"),1),""))</f>
        <v/>
      </c>
      <c r="I311" s="4" t="str">
        <f>IF(A311="","",IFERROR(ROUND(AVERAGEIFS(ASSESSMENTS!H:H,ASSESSMENTS!B:B,A311,ASSESSMENTS!E:E,"Geography"),1),""))</f>
        <v/>
      </c>
      <c r="J311" s="4" t="str">
        <f>IF(A311="","",IFERROR(ROUND(AVERAGEIFS(ASSESSMENTS!H:H,ASSESSMENTS!B:B,A311,ASSESSMENTS!E:E,"Accounting"),1),""))</f>
        <v/>
      </c>
      <c r="K311" s="4" t="str">
        <f>IF(A311="","",IFERROR(ROUND(AVERAGEIFS(ASSESSMENTS!H:H,ASSESSMENTS!B:B,A311,ASSESSMENTS!E:E,"English"),1),""))</f>
        <v/>
      </c>
      <c r="L311" s="5" t="str">
        <f>IF(A311="","",IFERROR(INDEX(ATTENDANCE_SUMMARY!G:G,MATCH(A311,ATTENDANCE_SUMMARY!A:A,0)),""))</f>
        <v/>
      </c>
      <c r="M311" s="4" t="str">
        <f t="shared" si="4"/>
        <v/>
      </c>
    </row>
    <row r="312" spans="1:13" x14ac:dyDescent="0.3">
      <c r="A312" t="str">
        <f>IF(MASTER_REGISTER!E312="","",MASTER_REGISTER!E312)</f>
        <v/>
      </c>
      <c r="B312" t="str">
        <f>IF(A312="","",MASTER_REGISTER!F312)</f>
        <v/>
      </c>
      <c r="C312" t="str">
        <f>IF(A312="","",MASTER_REGISTER!C312)</f>
        <v/>
      </c>
      <c r="D312" t="str">
        <f>IF(A312="","",COUNTIF(ASSESSMENTS!B:B,A312))</f>
        <v/>
      </c>
      <c r="E312" s="4" t="e">
        <f>IF(D312=0,"",ROUND(AVERAGEIF(ASSESSMENTS!B:B,A312,ASSESSMENTS!H:H),1))</f>
        <v>#DIV/0!</v>
      </c>
      <c r="F312" s="4" t="str">
        <f>IF(A312="","",IFERROR(ROUND(AVERAGEIFS(ASSESSMENTS!H:H,ASSESSMENTS!B:B,A312,ASSESSMENTS!E:E,"Mathematics"),1),""))</f>
        <v/>
      </c>
      <c r="G312" s="4" t="str">
        <f>IF(A312="","",IFERROR(ROUND(AVERAGEIFS(ASSESSMENTS!H:H,ASSESSMENTS!B:B,A312,ASSESSMENTS!E:E,"Mathematical Literacy"),1),""))</f>
        <v/>
      </c>
      <c r="H312" s="4" t="str">
        <f>IF(A312="","",IFERROR(ROUND(AVERAGEIFS(ASSESSMENTS!H:H,ASSESSMENTS!B:B,A312,ASSESSMENTS!E:E,"Physical Sciences"),1),""))</f>
        <v/>
      </c>
      <c r="I312" s="4" t="str">
        <f>IF(A312="","",IFERROR(ROUND(AVERAGEIFS(ASSESSMENTS!H:H,ASSESSMENTS!B:B,A312,ASSESSMENTS!E:E,"Geography"),1),""))</f>
        <v/>
      </c>
      <c r="J312" s="4" t="str">
        <f>IF(A312="","",IFERROR(ROUND(AVERAGEIFS(ASSESSMENTS!H:H,ASSESSMENTS!B:B,A312,ASSESSMENTS!E:E,"Accounting"),1),""))</f>
        <v/>
      </c>
      <c r="K312" s="4" t="str">
        <f>IF(A312="","",IFERROR(ROUND(AVERAGEIFS(ASSESSMENTS!H:H,ASSESSMENTS!B:B,A312,ASSESSMENTS!E:E,"English"),1),""))</f>
        <v/>
      </c>
      <c r="L312" s="5" t="str">
        <f>IF(A312="","",IFERROR(INDEX(ATTENDANCE_SUMMARY!G:G,MATCH(A312,ATTENDANCE_SUMMARY!A:A,0)),""))</f>
        <v/>
      </c>
      <c r="M312" s="4" t="str">
        <f t="shared" si="4"/>
        <v/>
      </c>
    </row>
    <row r="313" spans="1:13" x14ac:dyDescent="0.3">
      <c r="A313" t="str">
        <f>IF(MASTER_REGISTER!E313="","",MASTER_REGISTER!E313)</f>
        <v/>
      </c>
      <c r="B313" t="str">
        <f>IF(A313="","",MASTER_REGISTER!F313)</f>
        <v/>
      </c>
      <c r="C313" t="str">
        <f>IF(A313="","",MASTER_REGISTER!C313)</f>
        <v/>
      </c>
      <c r="D313" t="str">
        <f>IF(A313="","",COUNTIF(ASSESSMENTS!B:B,A313))</f>
        <v/>
      </c>
      <c r="E313" s="4" t="e">
        <f>IF(D313=0,"",ROUND(AVERAGEIF(ASSESSMENTS!B:B,A313,ASSESSMENTS!H:H),1))</f>
        <v>#DIV/0!</v>
      </c>
      <c r="F313" s="4" t="str">
        <f>IF(A313="","",IFERROR(ROUND(AVERAGEIFS(ASSESSMENTS!H:H,ASSESSMENTS!B:B,A313,ASSESSMENTS!E:E,"Mathematics"),1),""))</f>
        <v/>
      </c>
      <c r="G313" s="4" t="str">
        <f>IF(A313="","",IFERROR(ROUND(AVERAGEIFS(ASSESSMENTS!H:H,ASSESSMENTS!B:B,A313,ASSESSMENTS!E:E,"Mathematical Literacy"),1),""))</f>
        <v/>
      </c>
      <c r="H313" s="4" t="str">
        <f>IF(A313="","",IFERROR(ROUND(AVERAGEIFS(ASSESSMENTS!H:H,ASSESSMENTS!B:B,A313,ASSESSMENTS!E:E,"Physical Sciences"),1),""))</f>
        <v/>
      </c>
      <c r="I313" s="4" t="str">
        <f>IF(A313="","",IFERROR(ROUND(AVERAGEIFS(ASSESSMENTS!H:H,ASSESSMENTS!B:B,A313,ASSESSMENTS!E:E,"Geography"),1),""))</f>
        <v/>
      </c>
      <c r="J313" s="4" t="str">
        <f>IF(A313="","",IFERROR(ROUND(AVERAGEIFS(ASSESSMENTS!H:H,ASSESSMENTS!B:B,A313,ASSESSMENTS!E:E,"Accounting"),1),""))</f>
        <v/>
      </c>
      <c r="K313" s="4" t="str">
        <f>IF(A313="","",IFERROR(ROUND(AVERAGEIFS(ASSESSMENTS!H:H,ASSESSMENTS!B:B,A313,ASSESSMENTS!E:E,"English"),1),""))</f>
        <v/>
      </c>
      <c r="L313" s="5" t="str">
        <f>IF(A313="","",IFERROR(INDEX(ATTENDANCE_SUMMARY!G:G,MATCH(A313,ATTENDANCE_SUMMARY!A:A,0)),""))</f>
        <v/>
      </c>
      <c r="M313" s="4" t="str">
        <f t="shared" si="4"/>
        <v/>
      </c>
    </row>
    <row r="314" spans="1:13" x14ac:dyDescent="0.3">
      <c r="A314" t="str">
        <f>IF(MASTER_REGISTER!E314="","",MASTER_REGISTER!E314)</f>
        <v/>
      </c>
      <c r="B314" t="str">
        <f>IF(A314="","",MASTER_REGISTER!F314)</f>
        <v/>
      </c>
      <c r="C314" t="str">
        <f>IF(A314="","",MASTER_REGISTER!C314)</f>
        <v/>
      </c>
      <c r="D314" t="str">
        <f>IF(A314="","",COUNTIF(ASSESSMENTS!B:B,A314))</f>
        <v/>
      </c>
      <c r="E314" s="4" t="e">
        <f>IF(D314=0,"",ROUND(AVERAGEIF(ASSESSMENTS!B:B,A314,ASSESSMENTS!H:H),1))</f>
        <v>#DIV/0!</v>
      </c>
      <c r="F314" s="4" t="str">
        <f>IF(A314="","",IFERROR(ROUND(AVERAGEIFS(ASSESSMENTS!H:H,ASSESSMENTS!B:B,A314,ASSESSMENTS!E:E,"Mathematics"),1),""))</f>
        <v/>
      </c>
      <c r="G314" s="4" t="str">
        <f>IF(A314="","",IFERROR(ROUND(AVERAGEIFS(ASSESSMENTS!H:H,ASSESSMENTS!B:B,A314,ASSESSMENTS!E:E,"Mathematical Literacy"),1),""))</f>
        <v/>
      </c>
      <c r="H314" s="4" t="str">
        <f>IF(A314="","",IFERROR(ROUND(AVERAGEIFS(ASSESSMENTS!H:H,ASSESSMENTS!B:B,A314,ASSESSMENTS!E:E,"Physical Sciences"),1),""))</f>
        <v/>
      </c>
      <c r="I314" s="4" t="str">
        <f>IF(A314="","",IFERROR(ROUND(AVERAGEIFS(ASSESSMENTS!H:H,ASSESSMENTS!B:B,A314,ASSESSMENTS!E:E,"Geography"),1),""))</f>
        <v/>
      </c>
      <c r="J314" s="4" t="str">
        <f>IF(A314="","",IFERROR(ROUND(AVERAGEIFS(ASSESSMENTS!H:H,ASSESSMENTS!B:B,A314,ASSESSMENTS!E:E,"Accounting"),1),""))</f>
        <v/>
      </c>
      <c r="K314" s="4" t="str">
        <f>IF(A314="","",IFERROR(ROUND(AVERAGEIFS(ASSESSMENTS!H:H,ASSESSMENTS!B:B,A314,ASSESSMENTS!E:E,"English"),1),""))</f>
        <v/>
      </c>
      <c r="L314" s="5" t="str">
        <f>IF(A314="","",IFERROR(INDEX(ATTENDANCE_SUMMARY!G:G,MATCH(A314,ATTENDANCE_SUMMARY!A:A,0)),""))</f>
        <v/>
      </c>
      <c r="M314" s="4" t="str">
        <f t="shared" si="4"/>
        <v/>
      </c>
    </row>
    <row r="315" spans="1:13" x14ac:dyDescent="0.3">
      <c r="A315" t="str">
        <f>IF(MASTER_REGISTER!E315="","",MASTER_REGISTER!E315)</f>
        <v/>
      </c>
      <c r="B315" t="str">
        <f>IF(A315="","",MASTER_REGISTER!F315)</f>
        <v/>
      </c>
      <c r="C315" t="str">
        <f>IF(A315="","",MASTER_REGISTER!C315)</f>
        <v/>
      </c>
      <c r="D315" t="str">
        <f>IF(A315="","",COUNTIF(ASSESSMENTS!B:B,A315))</f>
        <v/>
      </c>
      <c r="E315" s="4" t="e">
        <f>IF(D315=0,"",ROUND(AVERAGEIF(ASSESSMENTS!B:B,A315,ASSESSMENTS!H:H),1))</f>
        <v>#DIV/0!</v>
      </c>
      <c r="F315" s="4" t="str">
        <f>IF(A315="","",IFERROR(ROUND(AVERAGEIFS(ASSESSMENTS!H:H,ASSESSMENTS!B:B,A315,ASSESSMENTS!E:E,"Mathematics"),1),""))</f>
        <v/>
      </c>
      <c r="G315" s="4" t="str">
        <f>IF(A315="","",IFERROR(ROUND(AVERAGEIFS(ASSESSMENTS!H:H,ASSESSMENTS!B:B,A315,ASSESSMENTS!E:E,"Mathematical Literacy"),1),""))</f>
        <v/>
      </c>
      <c r="H315" s="4" t="str">
        <f>IF(A315="","",IFERROR(ROUND(AVERAGEIFS(ASSESSMENTS!H:H,ASSESSMENTS!B:B,A315,ASSESSMENTS!E:E,"Physical Sciences"),1),""))</f>
        <v/>
      </c>
      <c r="I315" s="4" t="str">
        <f>IF(A315="","",IFERROR(ROUND(AVERAGEIFS(ASSESSMENTS!H:H,ASSESSMENTS!B:B,A315,ASSESSMENTS!E:E,"Geography"),1),""))</f>
        <v/>
      </c>
      <c r="J315" s="4" t="str">
        <f>IF(A315="","",IFERROR(ROUND(AVERAGEIFS(ASSESSMENTS!H:H,ASSESSMENTS!B:B,A315,ASSESSMENTS!E:E,"Accounting"),1),""))</f>
        <v/>
      </c>
      <c r="K315" s="4" t="str">
        <f>IF(A315="","",IFERROR(ROUND(AVERAGEIFS(ASSESSMENTS!H:H,ASSESSMENTS!B:B,A315,ASSESSMENTS!E:E,"English"),1),""))</f>
        <v/>
      </c>
      <c r="L315" s="5" t="str">
        <f>IF(A315="","",IFERROR(INDEX(ATTENDANCE_SUMMARY!G:G,MATCH(A315,ATTENDANCE_SUMMARY!A:A,0)),""))</f>
        <v/>
      </c>
      <c r="M315" s="4" t="str">
        <f t="shared" si="4"/>
        <v/>
      </c>
    </row>
    <row r="316" spans="1:13" x14ac:dyDescent="0.3">
      <c r="A316" t="str">
        <f>IF(MASTER_REGISTER!E316="","",MASTER_REGISTER!E316)</f>
        <v/>
      </c>
      <c r="B316" t="str">
        <f>IF(A316="","",MASTER_REGISTER!F316)</f>
        <v/>
      </c>
      <c r="C316" t="str">
        <f>IF(A316="","",MASTER_REGISTER!C316)</f>
        <v/>
      </c>
      <c r="D316" t="str">
        <f>IF(A316="","",COUNTIF(ASSESSMENTS!B:B,A316))</f>
        <v/>
      </c>
      <c r="E316" s="4" t="e">
        <f>IF(D316=0,"",ROUND(AVERAGEIF(ASSESSMENTS!B:B,A316,ASSESSMENTS!H:H),1))</f>
        <v>#DIV/0!</v>
      </c>
      <c r="F316" s="4" t="str">
        <f>IF(A316="","",IFERROR(ROUND(AVERAGEIFS(ASSESSMENTS!H:H,ASSESSMENTS!B:B,A316,ASSESSMENTS!E:E,"Mathematics"),1),""))</f>
        <v/>
      </c>
      <c r="G316" s="4" t="str">
        <f>IF(A316="","",IFERROR(ROUND(AVERAGEIFS(ASSESSMENTS!H:H,ASSESSMENTS!B:B,A316,ASSESSMENTS!E:E,"Mathematical Literacy"),1),""))</f>
        <v/>
      </c>
      <c r="H316" s="4" t="str">
        <f>IF(A316="","",IFERROR(ROUND(AVERAGEIFS(ASSESSMENTS!H:H,ASSESSMENTS!B:B,A316,ASSESSMENTS!E:E,"Physical Sciences"),1),""))</f>
        <v/>
      </c>
      <c r="I316" s="4" t="str">
        <f>IF(A316="","",IFERROR(ROUND(AVERAGEIFS(ASSESSMENTS!H:H,ASSESSMENTS!B:B,A316,ASSESSMENTS!E:E,"Geography"),1),""))</f>
        <v/>
      </c>
      <c r="J316" s="4" t="str">
        <f>IF(A316="","",IFERROR(ROUND(AVERAGEIFS(ASSESSMENTS!H:H,ASSESSMENTS!B:B,A316,ASSESSMENTS!E:E,"Accounting"),1),""))</f>
        <v/>
      </c>
      <c r="K316" s="4" t="str">
        <f>IF(A316="","",IFERROR(ROUND(AVERAGEIFS(ASSESSMENTS!H:H,ASSESSMENTS!B:B,A316,ASSESSMENTS!E:E,"English"),1),""))</f>
        <v/>
      </c>
      <c r="L316" s="5" t="str">
        <f>IF(A316="","",IFERROR(INDEX(ATTENDANCE_SUMMARY!G:G,MATCH(A316,ATTENDANCE_SUMMARY!A:A,0)),""))</f>
        <v/>
      </c>
      <c r="M316" s="4" t="str">
        <f t="shared" si="4"/>
        <v/>
      </c>
    </row>
    <row r="317" spans="1:13" x14ac:dyDescent="0.3">
      <c r="A317" t="str">
        <f>IF(MASTER_REGISTER!E317="","",MASTER_REGISTER!E317)</f>
        <v/>
      </c>
      <c r="B317" t="str">
        <f>IF(A317="","",MASTER_REGISTER!F317)</f>
        <v/>
      </c>
      <c r="C317" t="str">
        <f>IF(A317="","",MASTER_REGISTER!C317)</f>
        <v/>
      </c>
      <c r="D317" t="str">
        <f>IF(A317="","",COUNTIF(ASSESSMENTS!B:B,A317))</f>
        <v/>
      </c>
      <c r="E317" s="4" t="e">
        <f>IF(D317=0,"",ROUND(AVERAGEIF(ASSESSMENTS!B:B,A317,ASSESSMENTS!H:H),1))</f>
        <v>#DIV/0!</v>
      </c>
      <c r="F317" s="4" t="str">
        <f>IF(A317="","",IFERROR(ROUND(AVERAGEIFS(ASSESSMENTS!H:H,ASSESSMENTS!B:B,A317,ASSESSMENTS!E:E,"Mathematics"),1),""))</f>
        <v/>
      </c>
      <c r="G317" s="4" t="str">
        <f>IF(A317="","",IFERROR(ROUND(AVERAGEIFS(ASSESSMENTS!H:H,ASSESSMENTS!B:B,A317,ASSESSMENTS!E:E,"Mathematical Literacy"),1),""))</f>
        <v/>
      </c>
      <c r="H317" s="4" t="str">
        <f>IF(A317="","",IFERROR(ROUND(AVERAGEIFS(ASSESSMENTS!H:H,ASSESSMENTS!B:B,A317,ASSESSMENTS!E:E,"Physical Sciences"),1),""))</f>
        <v/>
      </c>
      <c r="I317" s="4" t="str">
        <f>IF(A317="","",IFERROR(ROUND(AVERAGEIFS(ASSESSMENTS!H:H,ASSESSMENTS!B:B,A317,ASSESSMENTS!E:E,"Geography"),1),""))</f>
        <v/>
      </c>
      <c r="J317" s="4" t="str">
        <f>IF(A317="","",IFERROR(ROUND(AVERAGEIFS(ASSESSMENTS!H:H,ASSESSMENTS!B:B,A317,ASSESSMENTS!E:E,"Accounting"),1),""))</f>
        <v/>
      </c>
      <c r="K317" s="4" t="str">
        <f>IF(A317="","",IFERROR(ROUND(AVERAGEIFS(ASSESSMENTS!H:H,ASSESSMENTS!B:B,A317,ASSESSMENTS!E:E,"English"),1),""))</f>
        <v/>
      </c>
      <c r="L317" s="5" t="str">
        <f>IF(A317="","",IFERROR(INDEX(ATTENDANCE_SUMMARY!G:G,MATCH(A317,ATTENDANCE_SUMMARY!A:A,0)),""))</f>
        <v/>
      </c>
      <c r="M317" s="4" t="str">
        <f t="shared" si="4"/>
        <v/>
      </c>
    </row>
    <row r="318" spans="1:13" x14ac:dyDescent="0.3">
      <c r="A318" t="str">
        <f>IF(MASTER_REGISTER!E318="","",MASTER_REGISTER!E318)</f>
        <v/>
      </c>
      <c r="B318" t="str">
        <f>IF(A318="","",MASTER_REGISTER!F318)</f>
        <v/>
      </c>
      <c r="C318" t="str">
        <f>IF(A318="","",MASTER_REGISTER!C318)</f>
        <v/>
      </c>
      <c r="D318" t="str">
        <f>IF(A318="","",COUNTIF(ASSESSMENTS!B:B,A318))</f>
        <v/>
      </c>
      <c r="E318" s="4" t="e">
        <f>IF(D318=0,"",ROUND(AVERAGEIF(ASSESSMENTS!B:B,A318,ASSESSMENTS!H:H),1))</f>
        <v>#DIV/0!</v>
      </c>
      <c r="F318" s="4" t="str">
        <f>IF(A318="","",IFERROR(ROUND(AVERAGEIFS(ASSESSMENTS!H:H,ASSESSMENTS!B:B,A318,ASSESSMENTS!E:E,"Mathematics"),1),""))</f>
        <v/>
      </c>
      <c r="G318" s="4" t="str">
        <f>IF(A318="","",IFERROR(ROUND(AVERAGEIFS(ASSESSMENTS!H:H,ASSESSMENTS!B:B,A318,ASSESSMENTS!E:E,"Mathematical Literacy"),1),""))</f>
        <v/>
      </c>
      <c r="H318" s="4" t="str">
        <f>IF(A318="","",IFERROR(ROUND(AVERAGEIFS(ASSESSMENTS!H:H,ASSESSMENTS!B:B,A318,ASSESSMENTS!E:E,"Physical Sciences"),1),""))</f>
        <v/>
      </c>
      <c r="I318" s="4" t="str">
        <f>IF(A318="","",IFERROR(ROUND(AVERAGEIFS(ASSESSMENTS!H:H,ASSESSMENTS!B:B,A318,ASSESSMENTS!E:E,"Geography"),1),""))</f>
        <v/>
      </c>
      <c r="J318" s="4" t="str">
        <f>IF(A318="","",IFERROR(ROUND(AVERAGEIFS(ASSESSMENTS!H:H,ASSESSMENTS!B:B,A318,ASSESSMENTS!E:E,"Accounting"),1),""))</f>
        <v/>
      </c>
      <c r="K318" s="4" t="str">
        <f>IF(A318="","",IFERROR(ROUND(AVERAGEIFS(ASSESSMENTS!H:H,ASSESSMENTS!B:B,A318,ASSESSMENTS!E:E,"English"),1),""))</f>
        <v/>
      </c>
      <c r="L318" s="5" t="str">
        <f>IF(A318="","",IFERROR(INDEX(ATTENDANCE_SUMMARY!G:G,MATCH(A318,ATTENDANCE_SUMMARY!A:A,0)),""))</f>
        <v/>
      </c>
      <c r="M318" s="4" t="str">
        <f t="shared" si="4"/>
        <v/>
      </c>
    </row>
    <row r="319" spans="1:13" x14ac:dyDescent="0.3">
      <c r="A319" t="str">
        <f>IF(MASTER_REGISTER!E319="","",MASTER_REGISTER!E319)</f>
        <v/>
      </c>
      <c r="B319" t="str">
        <f>IF(A319="","",MASTER_REGISTER!F319)</f>
        <v/>
      </c>
      <c r="C319" t="str">
        <f>IF(A319="","",MASTER_REGISTER!C319)</f>
        <v/>
      </c>
      <c r="D319" t="str">
        <f>IF(A319="","",COUNTIF(ASSESSMENTS!B:B,A319))</f>
        <v/>
      </c>
      <c r="E319" s="4" t="e">
        <f>IF(D319=0,"",ROUND(AVERAGEIF(ASSESSMENTS!B:B,A319,ASSESSMENTS!H:H),1))</f>
        <v>#DIV/0!</v>
      </c>
      <c r="F319" s="4" t="str">
        <f>IF(A319="","",IFERROR(ROUND(AVERAGEIFS(ASSESSMENTS!H:H,ASSESSMENTS!B:B,A319,ASSESSMENTS!E:E,"Mathematics"),1),""))</f>
        <v/>
      </c>
      <c r="G319" s="4" t="str">
        <f>IF(A319="","",IFERROR(ROUND(AVERAGEIFS(ASSESSMENTS!H:H,ASSESSMENTS!B:B,A319,ASSESSMENTS!E:E,"Mathematical Literacy"),1),""))</f>
        <v/>
      </c>
      <c r="H319" s="4" t="str">
        <f>IF(A319="","",IFERROR(ROUND(AVERAGEIFS(ASSESSMENTS!H:H,ASSESSMENTS!B:B,A319,ASSESSMENTS!E:E,"Physical Sciences"),1),""))</f>
        <v/>
      </c>
      <c r="I319" s="4" t="str">
        <f>IF(A319="","",IFERROR(ROUND(AVERAGEIFS(ASSESSMENTS!H:H,ASSESSMENTS!B:B,A319,ASSESSMENTS!E:E,"Geography"),1),""))</f>
        <v/>
      </c>
      <c r="J319" s="4" t="str">
        <f>IF(A319="","",IFERROR(ROUND(AVERAGEIFS(ASSESSMENTS!H:H,ASSESSMENTS!B:B,A319,ASSESSMENTS!E:E,"Accounting"),1),""))</f>
        <v/>
      </c>
      <c r="K319" s="4" t="str">
        <f>IF(A319="","",IFERROR(ROUND(AVERAGEIFS(ASSESSMENTS!H:H,ASSESSMENTS!B:B,A319,ASSESSMENTS!E:E,"English"),1),""))</f>
        <v/>
      </c>
      <c r="L319" s="5" t="str">
        <f>IF(A319="","",IFERROR(INDEX(ATTENDANCE_SUMMARY!G:G,MATCH(A319,ATTENDANCE_SUMMARY!A:A,0)),""))</f>
        <v/>
      </c>
      <c r="M319" s="4" t="str">
        <f t="shared" si="4"/>
        <v/>
      </c>
    </row>
    <row r="320" spans="1:13" x14ac:dyDescent="0.3">
      <c r="A320" t="str">
        <f>IF(MASTER_REGISTER!E320="","",MASTER_REGISTER!E320)</f>
        <v/>
      </c>
      <c r="B320" t="str">
        <f>IF(A320="","",MASTER_REGISTER!F320)</f>
        <v/>
      </c>
      <c r="C320" t="str">
        <f>IF(A320="","",MASTER_REGISTER!C320)</f>
        <v/>
      </c>
      <c r="D320" t="str">
        <f>IF(A320="","",COUNTIF(ASSESSMENTS!B:B,A320))</f>
        <v/>
      </c>
      <c r="E320" s="4" t="e">
        <f>IF(D320=0,"",ROUND(AVERAGEIF(ASSESSMENTS!B:B,A320,ASSESSMENTS!H:H),1))</f>
        <v>#DIV/0!</v>
      </c>
      <c r="F320" s="4" t="str">
        <f>IF(A320="","",IFERROR(ROUND(AVERAGEIFS(ASSESSMENTS!H:H,ASSESSMENTS!B:B,A320,ASSESSMENTS!E:E,"Mathematics"),1),""))</f>
        <v/>
      </c>
      <c r="G320" s="4" t="str">
        <f>IF(A320="","",IFERROR(ROUND(AVERAGEIFS(ASSESSMENTS!H:H,ASSESSMENTS!B:B,A320,ASSESSMENTS!E:E,"Mathematical Literacy"),1),""))</f>
        <v/>
      </c>
      <c r="H320" s="4" t="str">
        <f>IF(A320="","",IFERROR(ROUND(AVERAGEIFS(ASSESSMENTS!H:H,ASSESSMENTS!B:B,A320,ASSESSMENTS!E:E,"Physical Sciences"),1),""))</f>
        <v/>
      </c>
      <c r="I320" s="4" t="str">
        <f>IF(A320="","",IFERROR(ROUND(AVERAGEIFS(ASSESSMENTS!H:H,ASSESSMENTS!B:B,A320,ASSESSMENTS!E:E,"Geography"),1),""))</f>
        <v/>
      </c>
      <c r="J320" s="4" t="str">
        <f>IF(A320="","",IFERROR(ROUND(AVERAGEIFS(ASSESSMENTS!H:H,ASSESSMENTS!B:B,A320,ASSESSMENTS!E:E,"Accounting"),1),""))</f>
        <v/>
      </c>
      <c r="K320" s="4" t="str">
        <f>IF(A320="","",IFERROR(ROUND(AVERAGEIFS(ASSESSMENTS!H:H,ASSESSMENTS!B:B,A320,ASSESSMENTS!E:E,"English"),1),""))</f>
        <v/>
      </c>
      <c r="L320" s="5" t="str">
        <f>IF(A320="","",IFERROR(INDEX(ATTENDANCE_SUMMARY!G:G,MATCH(A320,ATTENDANCE_SUMMARY!A:A,0)),""))</f>
        <v/>
      </c>
      <c r="M320" s="4" t="str">
        <f t="shared" si="4"/>
        <v/>
      </c>
    </row>
    <row r="321" spans="1:13" x14ac:dyDescent="0.3">
      <c r="A321" t="str">
        <f>IF(MASTER_REGISTER!E321="","",MASTER_REGISTER!E321)</f>
        <v/>
      </c>
      <c r="B321" t="str">
        <f>IF(A321="","",MASTER_REGISTER!F321)</f>
        <v/>
      </c>
      <c r="C321" t="str">
        <f>IF(A321="","",MASTER_REGISTER!C321)</f>
        <v/>
      </c>
      <c r="D321" t="str">
        <f>IF(A321="","",COUNTIF(ASSESSMENTS!B:B,A321))</f>
        <v/>
      </c>
      <c r="E321" s="4" t="e">
        <f>IF(D321=0,"",ROUND(AVERAGEIF(ASSESSMENTS!B:B,A321,ASSESSMENTS!H:H),1))</f>
        <v>#DIV/0!</v>
      </c>
      <c r="F321" s="4" t="str">
        <f>IF(A321="","",IFERROR(ROUND(AVERAGEIFS(ASSESSMENTS!H:H,ASSESSMENTS!B:B,A321,ASSESSMENTS!E:E,"Mathematics"),1),""))</f>
        <v/>
      </c>
      <c r="G321" s="4" t="str">
        <f>IF(A321="","",IFERROR(ROUND(AVERAGEIFS(ASSESSMENTS!H:H,ASSESSMENTS!B:B,A321,ASSESSMENTS!E:E,"Mathematical Literacy"),1),""))</f>
        <v/>
      </c>
      <c r="H321" s="4" t="str">
        <f>IF(A321="","",IFERROR(ROUND(AVERAGEIFS(ASSESSMENTS!H:H,ASSESSMENTS!B:B,A321,ASSESSMENTS!E:E,"Physical Sciences"),1),""))</f>
        <v/>
      </c>
      <c r="I321" s="4" t="str">
        <f>IF(A321="","",IFERROR(ROUND(AVERAGEIFS(ASSESSMENTS!H:H,ASSESSMENTS!B:B,A321,ASSESSMENTS!E:E,"Geography"),1),""))</f>
        <v/>
      </c>
      <c r="J321" s="4" t="str">
        <f>IF(A321="","",IFERROR(ROUND(AVERAGEIFS(ASSESSMENTS!H:H,ASSESSMENTS!B:B,A321,ASSESSMENTS!E:E,"Accounting"),1),""))</f>
        <v/>
      </c>
      <c r="K321" s="4" t="str">
        <f>IF(A321="","",IFERROR(ROUND(AVERAGEIFS(ASSESSMENTS!H:H,ASSESSMENTS!B:B,A321,ASSESSMENTS!E:E,"English"),1),""))</f>
        <v/>
      </c>
      <c r="L321" s="5" t="str">
        <f>IF(A321="","",IFERROR(INDEX(ATTENDANCE_SUMMARY!G:G,MATCH(A321,ATTENDANCE_SUMMARY!A:A,0)),""))</f>
        <v/>
      </c>
      <c r="M321" s="4" t="str">
        <f t="shared" si="4"/>
        <v/>
      </c>
    </row>
    <row r="322" spans="1:13" x14ac:dyDescent="0.3">
      <c r="A322" t="str">
        <f>IF(MASTER_REGISTER!E322="","",MASTER_REGISTER!E322)</f>
        <v/>
      </c>
      <c r="B322" t="str">
        <f>IF(A322="","",MASTER_REGISTER!F322)</f>
        <v/>
      </c>
      <c r="C322" t="str">
        <f>IF(A322="","",MASTER_REGISTER!C322)</f>
        <v/>
      </c>
      <c r="D322" t="str">
        <f>IF(A322="","",COUNTIF(ASSESSMENTS!B:B,A322))</f>
        <v/>
      </c>
      <c r="E322" s="4" t="e">
        <f>IF(D322=0,"",ROUND(AVERAGEIF(ASSESSMENTS!B:B,A322,ASSESSMENTS!H:H),1))</f>
        <v>#DIV/0!</v>
      </c>
      <c r="F322" s="4" t="str">
        <f>IF(A322="","",IFERROR(ROUND(AVERAGEIFS(ASSESSMENTS!H:H,ASSESSMENTS!B:B,A322,ASSESSMENTS!E:E,"Mathematics"),1),""))</f>
        <v/>
      </c>
      <c r="G322" s="4" t="str">
        <f>IF(A322="","",IFERROR(ROUND(AVERAGEIFS(ASSESSMENTS!H:H,ASSESSMENTS!B:B,A322,ASSESSMENTS!E:E,"Mathematical Literacy"),1),""))</f>
        <v/>
      </c>
      <c r="H322" s="4" t="str">
        <f>IF(A322="","",IFERROR(ROUND(AVERAGEIFS(ASSESSMENTS!H:H,ASSESSMENTS!B:B,A322,ASSESSMENTS!E:E,"Physical Sciences"),1),""))</f>
        <v/>
      </c>
      <c r="I322" s="4" t="str">
        <f>IF(A322="","",IFERROR(ROUND(AVERAGEIFS(ASSESSMENTS!H:H,ASSESSMENTS!B:B,A322,ASSESSMENTS!E:E,"Geography"),1),""))</f>
        <v/>
      </c>
      <c r="J322" s="4" t="str">
        <f>IF(A322="","",IFERROR(ROUND(AVERAGEIFS(ASSESSMENTS!H:H,ASSESSMENTS!B:B,A322,ASSESSMENTS!E:E,"Accounting"),1),""))</f>
        <v/>
      </c>
      <c r="K322" s="4" t="str">
        <f>IF(A322="","",IFERROR(ROUND(AVERAGEIFS(ASSESSMENTS!H:H,ASSESSMENTS!B:B,A322,ASSESSMENTS!E:E,"English"),1),""))</f>
        <v/>
      </c>
      <c r="L322" s="5" t="str">
        <f>IF(A322="","",IFERROR(INDEX(ATTENDANCE_SUMMARY!G:G,MATCH(A322,ATTENDANCE_SUMMARY!A:A,0)),""))</f>
        <v/>
      </c>
      <c r="M322" s="4" t="str">
        <f t="shared" ref="M322:M385" si="5">IF(A322="","",IF(OR(E322&lt;50,AND(L322&lt;0.75,L322&lt;&gt;"" )),"At Risk","On Track"))</f>
        <v/>
      </c>
    </row>
    <row r="323" spans="1:13" x14ac:dyDescent="0.3">
      <c r="A323" t="str">
        <f>IF(MASTER_REGISTER!E323="","",MASTER_REGISTER!E323)</f>
        <v/>
      </c>
      <c r="B323" t="str">
        <f>IF(A323="","",MASTER_REGISTER!F323)</f>
        <v/>
      </c>
      <c r="C323" t="str">
        <f>IF(A323="","",MASTER_REGISTER!C323)</f>
        <v/>
      </c>
      <c r="D323" t="str">
        <f>IF(A323="","",COUNTIF(ASSESSMENTS!B:B,A323))</f>
        <v/>
      </c>
      <c r="E323" s="4" t="e">
        <f>IF(D323=0,"",ROUND(AVERAGEIF(ASSESSMENTS!B:B,A323,ASSESSMENTS!H:H),1))</f>
        <v>#DIV/0!</v>
      </c>
      <c r="F323" s="4" t="str">
        <f>IF(A323="","",IFERROR(ROUND(AVERAGEIFS(ASSESSMENTS!H:H,ASSESSMENTS!B:B,A323,ASSESSMENTS!E:E,"Mathematics"),1),""))</f>
        <v/>
      </c>
      <c r="G323" s="4" t="str">
        <f>IF(A323="","",IFERROR(ROUND(AVERAGEIFS(ASSESSMENTS!H:H,ASSESSMENTS!B:B,A323,ASSESSMENTS!E:E,"Mathematical Literacy"),1),""))</f>
        <v/>
      </c>
      <c r="H323" s="4" t="str">
        <f>IF(A323="","",IFERROR(ROUND(AVERAGEIFS(ASSESSMENTS!H:H,ASSESSMENTS!B:B,A323,ASSESSMENTS!E:E,"Physical Sciences"),1),""))</f>
        <v/>
      </c>
      <c r="I323" s="4" t="str">
        <f>IF(A323="","",IFERROR(ROUND(AVERAGEIFS(ASSESSMENTS!H:H,ASSESSMENTS!B:B,A323,ASSESSMENTS!E:E,"Geography"),1),""))</f>
        <v/>
      </c>
      <c r="J323" s="4" t="str">
        <f>IF(A323="","",IFERROR(ROUND(AVERAGEIFS(ASSESSMENTS!H:H,ASSESSMENTS!B:B,A323,ASSESSMENTS!E:E,"Accounting"),1),""))</f>
        <v/>
      </c>
      <c r="K323" s="4" t="str">
        <f>IF(A323="","",IFERROR(ROUND(AVERAGEIFS(ASSESSMENTS!H:H,ASSESSMENTS!B:B,A323,ASSESSMENTS!E:E,"English"),1),""))</f>
        <v/>
      </c>
      <c r="L323" s="5" t="str">
        <f>IF(A323="","",IFERROR(INDEX(ATTENDANCE_SUMMARY!G:G,MATCH(A323,ATTENDANCE_SUMMARY!A:A,0)),""))</f>
        <v/>
      </c>
      <c r="M323" s="4" t="str">
        <f t="shared" si="5"/>
        <v/>
      </c>
    </row>
    <row r="324" spans="1:13" x14ac:dyDescent="0.3">
      <c r="A324" t="str">
        <f>IF(MASTER_REGISTER!E324="","",MASTER_REGISTER!E324)</f>
        <v/>
      </c>
      <c r="B324" t="str">
        <f>IF(A324="","",MASTER_REGISTER!F324)</f>
        <v/>
      </c>
      <c r="C324" t="str">
        <f>IF(A324="","",MASTER_REGISTER!C324)</f>
        <v/>
      </c>
      <c r="D324" t="str">
        <f>IF(A324="","",COUNTIF(ASSESSMENTS!B:B,A324))</f>
        <v/>
      </c>
      <c r="E324" s="4" t="e">
        <f>IF(D324=0,"",ROUND(AVERAGEIF(ASSESSMENTS!B:B,A324,ASSESSMENTS!H:H),1))</f>
        <v>#DIV/0!</v>
      </c>
      <c r="F324" s="4" t="str">
        <f>IF(A324="","",IFERROR(ROUND(AVERAGEIFS(ASSESSMENTS!H:H,ASSESSMENTS!B:B,A324,ASSESSMENTS!E:E,"Mathematics"),1),""))</f>
        <v/>
      </c>
      <c r="G324" s="4" t="str">
        <f>IF(A324="","",IFERROR(ROUND(AVERAGEIFS(ASSESSMENTS!H:H,ASSESSMENTS!B:B,A324,ASSESSMENTS!E:E,"Mathematical Literacy"),1),""))</f>
        <v/>
      </c>
      <c r="H324" s="4" t="str">
        <f>IF(A324="","",IFERROR(ROUND(AVERAGEIFS(ASSESSMENTS!H:H,ASSESSMENTS!B:B,A324,ASSESSMENTS!E:E,"Physical Sciences"),1),""))</f>
        <v/>
      </c>
      <c r="I324" s="4" t="str">
        <f>IF(A324="","",IFERROR(ROUND(AVERAGEIFS(ASSESSMENTS!H:H,ASSESSMENTS!B:B,A324,ASSESSMENTS!E:E,"Geography"),1),""))</f>
        <v/>
      </c>
      <c r="J324" s="4" t="str">
        <f>IF(A324="","",IFERROR(ROUND(AVERAGEIFS(ASSESSMENTS!H:H,ASSESSMENTS!B:B,A324,ASSESSMENTS!E:E,"Accounting"),1),""))</f>
        <v/>
      </c>
      <c r="K324" s="4" t="str">
        <f>IF(A324="","",IFERROR(ROUND(AVERAGEIFS(ASSESSMENTS!H:H,ASSESSMENTS!B:B,A324,ASSESSMENTS!E:E,"English"),1),""))</f>
        <v/>
      </c>
      <c r="L324" s="5" t="str">
        <f>IF(A324="","",IFERROR(INDEX(ATTENDANCE_SUMMARY!G:G,MATCH(A324,ATTENDANCE_SUMMARY!A:A,0)),""))</f>
        <v/>
      </c>
      <c r="M324" s="4" t="str">
        <f t="shared" si="5"/>
        <v/>
      </c>
    </row>
    <row r="325" spans="1:13" x14ac:dyDescent="0.3">
      <c r="A325" t="str">
        <f>IF(MASTER_REGISTER!E325="","",MASTER_REGISTER!E325)</f>
        <v/>
      </c>
      <c r="B325" t="str">
        <f>IF(A325="","",MASTER_REGISTER!F325)</f>
        <v/>
      </c>
      <c r="C325" t="str">
        <f>IF(A325="","",MASTER_REGISTER!C325)</f>
        <v/>
      </c>
      <c r="D325" t="str">
        <f>IF(A325="","",COUNTIF(ASSESSMENTS!B:B,A325))</f>
        <v/>
      </c>
      <c r="E325" s="4" t="e">
        <f>IF(D325=0,"",ROUND(AVERAGEIF(ASSESSMENTS!B:B,A325,ASSESSMENTS!H:H),1))</f>
        <v>#DIV/0!</v>
      </c>
      <c r="F325" s="4" t="str">
        <f>IF(A325="","",IFERROR(ROUND(AVERAGEIFS(ASSESSMENTS!H:H,ASSESSMENTS!B:B,A325,ASSESSMENTS!E:E,"Mathematics"),1),""))</f>
        <v/>
      </c>
      <c r="G325" s="4" t="str">
        <f>IF(A325="","",IFERROR(ROUND(AVERAGEIFS(ASSESSMENTS!H:H,ASSESSMENTS!B:B,A325,ASSESSMENTS!E:E,"Mathematical Literacy"),1),""))</f>
        <v/>
      </c>
      <c r="H325" s="4" t="str">
        <f>IF(A325="","",IFERROR(ROUND(AVERAGEIFS(ASSESSMENTS!H:H,ASSESSMENTS!B:B,A325,ASSESSMENTS!E:E,"Physical Sciences"),1),""))</f>
        <v/>
      </c>
      <c r="I325" s="4" t="str">
        <f>IF(A325="","",IFERROR(ROUND(AVERAGEIFS(ASSESSMENTS!H:H,ASSESSMENTS!B:B,A325,ASSESSMENTS!E:E,"Geography"),1),""))</f>
        <v/>
      </c>
      <c r="J325" s="4" t="str">
        <f>IF(A325="","",IFERROR(ROUND(AVERAGEIFS(ASSESSMENTS!H:H,ASSESSMENTS!B:B,A325,ASSESSMENTS!E:E,"Accounting"),1),""))</f>
        <v/>
      </c>
      <c r="K325" s="4" t="str">
        <f>IF(A325="","",IFERROR(ROUND(AVERAGEIFS(ASSESSMENTS!H:H,ASSESSMENTS!B:B,A325,ASSESSMENTS!E:E,"English"),1),""))</f>
        <v/>
      </c>
      <c r="L325" s="5" t="str">
        <f>IF(A325="","",IFERROR(INDEX(ATTENDANCE_SUMMARY!G:G,MATCH(A325,ATTENDANCE_SUMMARY!A:A,0)),""))</f>
        <v/>
      </c>
      <c r="M325" s="4" t="str">
        <f t="shared" si="5"/>
        <v/>
      </c>
    </row>
    <row r="326" spans="1:13" x14ac:dyDescent="0.3">
      <c r="A326" t="str">
        <f>IF(MASTER_REGISTER!E326="","",MASTER_REGISTER!E326)</f>
        <v/>
      </c>
      <c r="B326" t="str">
        <f>IF(A326="","",MASTER_REGISTER!F326)</f>
        <v/>
      </c>
      <c r="C326" t="str">
        <f>IF(A326="","",MASTER_REGISTER!C326)</f>
        <v/>
      </c>
      <c r="D326" t="str">
        <f>IF(A326="","",COUNTIF(ASSESSMENTS!B:B,A326))</f>
        <v/>
      </c>
      <c r="E326" s="4" t="e">
        <f>IF(D326=0,"",ROUND(AVERAGEIF(ASSESSMENTS!B:B,A326,ASSESSMENTS!H:H),1))</f>
        <v>#DIV/0!</v>
      </c>
      <c r="F326" s="4" t="str">
        <f>IF(A326="","",IFERROR(ROUND(AVERAGEIFS(ASSESSMENTS!H:H,ASSESSMENTS!B:B,A326,ASSESSMENTS!E:E,"Mathematics"),1),""))</f>
        <v/>
      </c>
      <c r="G326" s="4" t="str">
        <f>IF(A326="","",IFERROR(ROUND(AVERAGEIFS(ASSESSMENTS!H:H,ASSESSMENTS!B:B,A326,ASSESSMENTS!E:E,"Mathematical Literacy"),1),""))</f>
        <v/>
      </c>
      <c r="H326" s="4" t="str">
        <f>IF(A326="","",IFERROR(ROUND(AVERAGEIFS(ASSESSMENTS!H:H,ASSESSMENTS!B:B,A326,ASSESSMENTS!E:E,"Physical Sciences"),1),""))</f>
        <v/>
      </c>
      <c r="I326" s="4" t="str">
        <f>IF(A326="","",IFERROR(ROUND(AVERAGEIFS(ASSESSMENTS!H:H,ASSESSMENTS!B:B,A326,ASSESSMENTS!E:E,"Geography"),1),""))</f>
        <v/>
      </c>
      <c r="J326" s="4" t="str">
        <f>IF(A326="","",IFERROR(ROUND(AVERAGEIFS(ASSESSMENTS!H:H,ASSESSMENTS!B:B,A326,ASSESSMENTS!E:E,"Accounting"),1),""))</f>
        <v/>
      </c>
      <c r="K326" s="4" t="str">
        <f>IF(A326="","",IFERROR(ROUND(AVERAGEIFS(ASSESSMENTS!H:H,ASSESSMENTS!B:B,A326,ASSESSMENTS!E:E,"English"),1),""))</f>
        <v/>
      </c>
      <c r="L326" s="5" t="str">
        <f>IF(A326="","",IFERROR(INDEX(ATTENDANCE_SUMMARY!G:G,MATCH(A326,ATTENDANCE_SUMMARY!A:A,0)),""))</f>
        <v/>
      </c>
      <c r="M326" s="4" t="str">
        <f t="shared" si="5"/>
        <v/>
      </c>
    </row>
    <row r="327" spans="1:13" x14ac:dyDescent="0.3">
      <c r="A327" t="str">
        <f>IF(MASTER_REGISTER!E327="","",MASTER_REGISTER!E327)</f>
        <v/>
      </c>
      <c r="B327" t="str">
        <f>IF(A327="","",MASTER_REGISTER!F327)</f>
        <v/>
      </c>
      <c r="C327" t="str">
        <f>IF(A327="","",MASTER_REGISTER!C327)</f>
        <v/>
      </c>
      <c r="D327" t="str">
        <f>IF(A327="","",COUNTIF(ASSESSMENTS!B:B,A327))</f>
        <v/>
      </c>
      <c r="E327" s="4" t="e">
        <f>IF(D327=0,"",ROUND(AVERAGEIF(ASSESSMENTS!B:B,A327,ASSESSMENTS!H:H),1))</f>
        <v>#DIV/0!</v>
      </c>
      <c r="F327" s="4" t="str">
        <f>IF(A327="","",IFERROR(ROUND(AVERAGEIFS(ASSESSMENTS!H:H,ASSESSMENTS!B:B,A327,ASSESSMENTS!E:E,"Mathematics"),1),""))</f>
        <v/>
      </c>
      <c r="G327" s="4" t="str">
        <f>IF(A327="","",IFERROR(ROUND(AVERAGEIFS(ASSESSMENTS!H:H,ASSESSMENTS!B:B,A327,ASSESSMENTS!E:E,"Mathematical Literacy"),1),""))</f>
        <v/>
      </c>
      <c r="H327" s="4" t="str">
        <f>IF(A327="","",IFERROR(ROUND(AVERAGEIFS(ASSESSMENTS!H:H,ASSESSMENTS!B:B,A327,ASSESSMENTS!E:E,"Physical Sciences"),1),""))</f>
        <v/>
      </c>
      <c r="I327" s="4" t="str">
        <f>IF(A327="","",IFERROR(ROUND(AVERAGEIFS(ASSESSMENTS!H:H,ASSESSMENTS!B:B,A327,ASSESSMENTS!E:E,"Geography"),1),""))</f>
        <v/>
      </c>
      <c r="J327" s="4" t="str">
        <f>IF(A327="","",IFERROR(ROUND(AVERAGEIFS(ASSESSMENTS!H:H,ASSESSMENTS!B:B,A327,ASSESSMENTS!E:E,"Accounting"),1),""))</f>
        <v/>
      </c>
      <c r="K327" s="4" t="str">
        <f>IF(A327="","",IFERROR(ROUND(AVERAGEIFS(ASSESSMENTS!H:H,ASSESSMENTS!B:B,A327,ASSESSMENTS!E:E,"English"),1),""))</f>
        <v/>
      </c>
      <c r="L327" s="5" t="str">
        <f>IF(A327="","",IFERROR(INDEX(ATTENDANCE_SUMMARY!G:G,MATCH(A327,ATTENDANCE_SUMMARY!A:A,0)),""))</f>
        <v/>
      </c>
      <c r="M327" s="4" t="str">
        <f t="shared" si="5"/>
        <v/>
      </c>
    </row>
    <row r="328" spans="1:13" x14ac:dyDescent="0.3">
      <c r="A328" t="str">
        <f>IF(MASTER_REGISTER!E328="","",MASTER_REGISTER!E328)</f>
        <v/>
      </c>
      <c r="B328" t="str">
        <f>IF(A328="","",MASTER_REGISTER!F328)</f>
        <v/>
      </c>
      <c r="C328" t="str">
        <f>IF(A328="","",MASTER_REGISTER!C328)</f>
        <v/>
      </c>
      <c r="D328" t="str">
        <f>IF(A328="","",COUNTIF(ASSESSMENTS!B:B,A328))</f>
        <v/>
      </c>
      <c r="E328" s="4" t="e">
        <f>IF(D328=0,"",ROUND(AVERAGEIF(ASSESSMENTS!B:B,A328,ASSESSMENTS!H:H),1))</f>
        <v>#DIV/0!</v>
      </c>
      <c r="F328" s="4" t="str">
        <f>IF(A328="","",IFERROR(ROUND(AVERAGEIFS(ASSESSMENTS!H:H,ASSESSMENTS!B:B,A328,ASSESSMENTS!E:E,"Mathematics"),1),""))</f>
        <v/>
      </c>
      <c r="G328" s="4" t="str">
        <f>IF(A328="","",IFERROR(ROUND(AVERAGEIFS(ASSESSMENTS!H:H,ASSESSMENTS!B:B,A328,ASSESSMENTS!E:E,"Mathematical Literacy"),1),""))</f>
        <v/>
      </c>
      <c r="H328" s="4" t="str">
        <f>IF(A328="","",IFERROR(ROUND(AVERAGEIFS(ASSESSMENTS!H:H,ASSESSMENTS!B:B,A328,ASSESSMENTS!E:E,"Physical Sciences"),1),""))</f>
        <v/>
      </c>
      <c r="I328" s="4" t="str">
        <f>IF(A328="","",IFERROR(ROUND(AVERAGEIFS(ASSESSMENTS!H:H,ASSESSMENTS!B:B,A328,ASSESSMENTS!E:E,"Geography"),1),""))</f>
        <v/>
      </c>
      <c r="J328" s="4" t="str">
        <f>IF(A328="","",IFERROR(ROUND(AVERAGEIFS(ASSESSMENTS!H:H,ASSESSMENTS!B:B,A328,ASSESSMENTS!E:E,"Accounting"),1),""))</f>
        <v/>
      </c>
      <c r="K328" s="4" t="str">
        <f>IF(A328="","",IFERROR(ROUND(AVERAGEIFS(ASSESSMENTS!H:H,ASSESSMENTS!B:B,A328,ASSESSMENTS!E:E,"English"),1),""))</f>
        <v/>
      </c>
      <c r="L328" s="5" t="str">
        <f>IF(A328="","",IFERROR(INDEX(ATTENDANCE_SUMMARY!G:G,MATCH(A328,ATTENDANCE_SUMMARY!A:A,0)),""))</f>
        <v/>
      </c>
      <c r="M328" s="4" t="str">
        <f t="shared" si="5"/>
        <v/>
      </c>
    </row>
    <row r="329" spans="1:13" x14ac:dyDescent="0.3">
      <c r="A329" t="str">
        <f>IF(MASTER_REGISTER!E329="","",MASTER_REGISTER!E329)</f>
        <v/>
      </c>
      <c r="B329" t="str">
        <f>IF(A329="","",MASTER_REGISTER!F329)</f>
        <v/>
      </c>
      <c r="C329" t="str">
        <f>IF(A329="","",MASTER_REGISTER!C329)</f>
        <v/>
      </c>
      <c r="D329" t="str">
        <f>IF(A329="","",COUNTIF(ASSESSMENTS!B:B,A329))</f>
        <v/>
      </c>
      <c r="E329" s="4" t="e">
        <f>IF(D329=0,"",ROUND(AVERAGEIF(ASSESSMENTS!B:B,A329,ASSESSMENTS!H:H),1))</f>
        <v>#DIV/0!</v>
      </c>
      <c r="F329" s="4" t="str">
        <f>IF(A329="","",IFERROR(ROUND(AVERAGEIFS(ASSESSMENTS!H:H,ASSESSMENTS!B:B,A329,ASSESSMENTS!E:E,"Mathematics"),1),""))</f>
        <v/>
      </c>
      <c r="G329" s="4" t="str">
        <f>IF(A329="","",IFERROR(ROUND(AVERAGEIFS(ASSESSMENTS!H:H,ASSESSMENTS!B:B,A329,ASSESSMENTS!E:E,"Mathematical Literacy"),1),""))</f>
        <v/>
      </c>
      <c r="H329" s="4" t="str">
        <f>IF(A329="","",IFERROR(ROUND(AVERAGEIFS(ASSESSMENTS!H:H,ASSESSMENTS!B:B,A329,ASSESSMENTS!E:E,"Physical Sciences"),1),""))</f>
        <v/>
      </c>
      <c r="I329" s="4" t="str">
        <f>IF(A329="","",IFERROR(ROUND(AVERAGEIFS(ASSESSMENTS!H:H,ASSESSMENTS!B:B,A329,ASSESSMENTS!E:E,"Geography"),1),""))</f>
        <v/>
      </c>
      <c r="J329" s="4" t="str">
        <f>IF(A329="","",IFERROR(ROUND(AVERAGEIFS(ASSESSMENTS!H:H,ASSESSMENTS!B:B,A329,ASSESSMENTS!E:E,"Accounting"),1),""))</f>
        <v/>
      </c>
      <c r="K329" s="4" t="str">
        <f>IF(A329="","",IFERROR(ROUND(AVERAGEIFS(ASSESSMENTS!H:H,ASSESSMENTS!B:B,A329,ASSESSMENTS!E:E,"English"),1),""))</f>
        <v/>
      </c>
      <c r="L329" s="5" t="str">
        <f>IF(A329="","",IFERROR(INDEX(ATTENDANCE_SUMMARY!G:G,MATCH(A329,ATTENDANCE_SUMMARY!A:A,0)),""))</f>
        <v/>
      </c>
      <c r="M329" s="4" t="str">
        <f t="shared" si="5"/>
        <v/>
      </c>
    </row>
    <row r="330" spans="1:13" x14ac:dyDescent="0.3">
      <c r="A330" t="str">
        <f>IF(MASTER_REGISTER!E330="","",MASTER_REGISTER!E330)</f>
        <v/>
      </c>
      <c r="B330" t="str">
        <f>IF(A330="","",MASTER_REGISTER!F330)</f>
        <v/>
      </c>
      <c r="C330" t="str">
        <f>IF(A330="","",MASTER_REGISTER!C330)</f>
        <v/>
      </c>
      <c r="D330" t="str">
        <f>IF(A330="","",COUNTIF(ASSESSMENTS!B:B,A330))</f>
        <v/>
      </c>
      <c r="E330" s="4" t="e">
        <f>IF(D330=0,"",ROUND(AVERAGEIF(ASSESSMENTS!B:B,A330,ASSESSMENTS!H:H),1))</f>
        <v>#DIV/0!</v>
      </c>
      <c r="F330" s="4" t="str">
        <f>IF(A330="","",IFERROR(ROUND(AVERAGEIFS(ASSESSMENTS!H:H,ASSESSMENTS!B:B,A330,ASSESSMENTS!E:E,"Mathematics"),1),""))</f>
        <v/>
      </c>
      <c r="G330" s="4" t="str">
        <f>IF(A330="","",IFERROR(ROUND(AVERAGEIFS(ASSESSMENTS!H:H,ASSESSMENTS!B:B,A330,ASSESSMENTS!E:E,"Mathematical Literacy"),1),""))</f>
        <v/>
      </c>
      <c r="H330" s="4" t="str">
        <f>IF(A330="","",IFERROR(ROUND(AVERAGEIFS(ASSESSMENTS!H:H,ASSESSMENTS!B:B,A330,ASSESSMENTS!E:E,"Physical Sciences"),1),""))</f>
        <v/>
      </c>
      <c r="I330" s="4" t="str">
        <f>IF(A330="","",IFERROR(ROUND(AVERAGEIFS(ASSESSMENTS!H:H,ASSESSMENTS!B:B,A330,ASSESSMENTS!E:E,"Geography"),1),""))</f>
        <v/>
      </c>
      <c r="J330" s="4" t="str">
        <f>IF(A330="","",IFERROR(ROUND(AVERAGEIFS(ASSESSMENTS!H:H,ASSESSMENTS!B:B,A330,ASSESSMENTS!E:E,"Accounting"),1),""))</f>
        <v/>
      </c>
      <c r="K330" s="4" t="str">
        <f>IF(A330="","",IFERROR(ROUND(AVERAGEIFS(ASSESSMENTS!H:H,ASSESSMENTS!B:B,A330,ASSESSMENTS!E:E,"English"),1),""))</f>
        <v/>
      </c>
      <c r="L330" s="5" t="str">
        <f>IF(A330="","",IFERROR(INDEX(ATTENDANCE_SUMMARY!G:G,MATCH(A330,ATTENDANCE_SUMMARY!A:A,0)),""))</f>
        <v/>
      </c>
      <c r="M330" s="4" t="str">
        <f t="shared" si="5"/>
        <v/>
      </c>
    </row>
    <row r="331" spans="1:13" x14ac:dyDescent="0.3">
      <c r="A331" t="str">
        <f>IF(MASTER_REGISTER!E331="","",MASTER_REGISTER!E331)</f>
        <v/>
      </c>
      <c r="B331" t="str">
        <f>IF(A331="","",MASTER_REGISTER!F331)</f>
        <v/>
      </c>
      <c r="C331" t="str">
        <f>IF(A331="","",MASTER_REGISTER!C331)</f>
        <v/>
      </c>
      <c r="D331" t="str">
        <f>IF(A331="","",COUNTIF(ASSESSMENTS!B:B,A331))</f>
        <v/>
      </c>
      <c r="E331" s="4" t="e">
        <f>IF(D331=0,"",ROUND(AVERAGEIF(ASSESSMENTS!B:B,A331,ASSESSMENTS!H:H),1))</f>
        <v>#DIV/0!</v>
      </c>
      <c r="F331" s="4" t="str">
        <f>IF(A331="","",IFERROR(ROUND(AVERAGEIFS(ASSESSMENTS!H:H,ASSESSMENTS!B:B,A331,ASSESSMENTS!E:E,"Mathematics"),1),""))</f>
        <v/>
      </c>
      <c r="G331" s="4" t="str">
        <f>IF(A331="","",IFERROR(ROUND(AVERAGEIFS(ASSESSMENTS!H:H,ASSESSMENTS!B:B,A331,ASSESSMENTS!E:E,"Mathematical Literacy"),1),""))</f>
        <v/>
      </c>
      <c r="H331" s="4" t="str">
        <f>IF(A331="","",IFERROR(ROUND(AVERAGEIFS(ASSESSMENTS!H:H,ASSESSMENTS!B:B,A331,ASSESSMENTS!E:E,"Physical Sciences"),1),""))</f>
        <v/>
      </c>
      <c r="I331" s="4" t="str">
        <f>IF(A331="","",IFERROR(ROUND(AVERAGEIFS(ASSESSMENTS!H:H,ASSESSMENTS!B:B,A331,ASSESSMENTS!E:E,"Geography"),1),""))</f>
        <v/>
      </c>
      <c r="J331" s="4" t="str">
        <f>IF(A331="","",IFERROR(ROUND(AVERAGEIFS(ASSESSMENTS!H:H,ASSESSMENTS!B:B,A331,ASSESSMENTS!E:E,"Accounting"),1),""))</f>
        <v/>
      </c>
      <c r="K331" s="4" t="str">
        <f>IF(A331="","",IFERROR(ROUND(AVERAGEIFS(ASSESSMENTS!H:H,ASSESSMENTS!B:B,A331,ASSESSMENTS!E:E,"English"),1),""))</f>
        <v/>
      </c>
      <c r="L331" s="5" t="str">
        <f>IF(A331="","",IFERROR(INDEX(ATTENDANCE_SUMMARY!G:G,MATCH(A331,ATTENDANCE_SUMMARY!A:A,0)),""))</f>
        <v/>
      </c>
      <c r="M331" s="4" t="str">
        <f t="shared" si="5"/>
        <v/>
      </c>
    </row>
    <row r="332" spans="1:13" x14ac:dyDescent="0.3">
      <c r="A332" t="str">
        <f>IF(MASTER_REGISTER!E332="","",MASTER_REGISTER!E332)</f>
        <v/>
      </c>
      <c r="B332" t="str">
        <f>IF(A332="","",MASTER_REGISTER!F332)</f>
        <v/>
      </c>
      <c r="C332" t="str">
        <f>IF(A332="","",MASTER_REGISTER!C332)</f>
        <v/>
      </c>
      <c r="D332" t="str">
        <f>IF(A332="","",COUNTIF(ASSESSMENTS!B:B,A332))</f>
        <v/>
      </c>
      <c r="E332" s="4" t="e">
        <f>IF(D332=0,"",ROUND(AVERAGEIF(ASSESSMENTS!B:B,A332,ASSESSMENTS!H:H),1))</f>
        <v>#DIV/0!</v>
      </c>
      <c r="F332" s="4" t="str">
        <f>IF(A332="","",IFERROR(ROUND(AVERAGEIFS(ASSESSMENTS!H:H,ASSESSMENTS!B:B,A332,ASSESSMENTS!E:E,"Mathematics"),1),""))</f>
        <v/>
      </c>
      <c r="G332" s="4" t="str">
        <f>IF(A332="","",IFERROR(ROUND(AVERAGEIFS(ASSESSMENTS!H:H,ASSESSMENTS!B:B,A332,ASSESSMENTS!E:E,"Mathematical Literacy"),1),""))</f>
        <v/>
      </c>
      <c r="H332" s="4" t="str">
        <f>IF(A332="","",IFERROR(ROUND(AVERAGEIFS(ASSESSMENTS!H:H,ASSESSMENTS!B:B,A332,ASSESSMENTS!E:E,"Physical Sciences"),1),""))</f>
        <v/>
      </c>
      <c r="I332" s="4" t="str">
        <f>IF(A332="","",IFERROR(ROUND(AVERAGEIFS(ASSESSMENTS!H:H,ASSESSMENTS!B:B,A332,ASSESSMENTS!E:E,"Geography"),1),""))</f>
        <v/>
      </c>
      <c r="J332" s="4" t="str">
        <f>IF(A332="","",IFERROR(ROUND(AVERAGEIFS(ASSESSMENTS!H:H,ASSESSMENTS!B:B,A332,ASSESSMENTS!E:E,"Accounting"),1),""))</f>
        <v/>
      </c>
      <c r="K332" s="4" t="str">
        <f>IF(A332="","",IFERROR(ROUND(AVERAGEIFS(ASSESSMENTS!H:H,ASSESSMENTS!B:B,A332,ASSESSMENTS!E:E,"English"),1),""))</f>
        <v/>
      </c>
      <c r="L332" s="5" t="str">
        <f>IF(A332="","",IFERROR(INDEX(ATTENDANCE_SUMMARY!G:G,MATCH(A332,ATTENDANCE_SUMMARY!A:A,0)),""))</f>
        <v/>
      </c>
      <c r="M332" s="4" t="str">
        <f t="shared" si="5"/>
        <v/>
      </c>
    </row>
    <row r="333" spans="1:13" x14ac:dyDescent="0.3">
      <c r="A333" t="str">
        <f>IF(MASTER_REGISTER!E333="","",MASTER_REGISTER!E333)</f>
        <v/>
      </c>
      <c r="B333" t="str">
        <f>IF(A333="","",MASTER_REGISTER!F333)</f>
        <v/>
      </c>
      <c r="C333" t="str">
        <f>IF(A333="","",MASTER_REGISTER!C333)</f>
        <v/>
      </c>
      <c r="D333" t="str">
        <f>IF(A333="","",COUNTIF(ASSESSMENTS!B:B,A333))</f>
        <v/>
      </c>
      <c r="E333" s="4" t="e">
        <f>IF(D333=0,"",ROUND(AVERAGEIF(ASSESSMENTS!B:B,A333,ASSESSMENTS!H:H),1))</f>
        <v>#DIV/0!</v>
      </c>
      <c r="F333" s="4" t="str">
        <f>IF(A333="","",IFERROR(ROUND(AVERAGEIFS(ASSESSMENTS!H:H,ASSESSMENTS!B:B,A333,ASSESSMENTS!E:E,"Mathematics"),1),""))</f>
        <v/>
      </c>
      <c r="G333" s="4" t="str">
        <f>IF(A333="","",IFERROR(ROUND(AVERAGEIFS(ASSESSMENTS!H:H,ASSESSMENTS!B:B,A333,ASSESSMENTS!E:E,"Mathematical Literacy"),1),""))</f>
        <v/>
      </c>
      <c r="H333" s="4" t="str">
        <f>IF(A333="","",IFERROR(ROUND(AVERAGEIFS(ASSESSMENTS!H:H,ASSESSMENTS!B:B,A333,ASSESSMENTS!E:E,"Physical Sciences"),1),""))</f>
        <v/>
      </c>
      <c r="I333" s="4" t="str">
        <f>IF(A333="","",IFERROR(ROUND(AVERAGEIFS(ASSESSMENTS!H:H,ASSESSMENTS!B:B,A333,ASSESSMENTS!E:E,"Geography"),1),""))</f>
        <v/>
      </c>
      <c r="J333" s="4" t="str">
        <f>IF(A333="","",IFERROR(ROUND(AVERAGEIFS(ASSESSMENTS!H:H,ASSESSMENTS!B:B,A333,ASSESSMENTS!E:E,"Accounting"),1),""))</f>
        <v/>
      </c>
      <c r="K333" s="4" t="str">
        <f>IF(A333="","",IFERROR(ROUND(AVERAGEIFS(ASSESSMENTS!H:H,ASSESSMENTS!B:B,A333,ASSESSMENTS!E:E,"English"),1),""))</f>
        <v/>
      </c>
      <c r="L333" s="5" t="str">
        <f>IF(A333="","",IFERROR(INDEX(ATTENDANCE_SUMMARY!G:G,MATCH(A333,ATTENDANCE_SUMMARY!A:A,0)),""))</f>
        <v/>
      </c>
      <c r="M333" s="4" t="str">
        <f t="shared" si="5"/>
        <v/>
      </c>
    </row>
    <row r="334" spans="1:13" x14ac:dyDescent="0.3">
      <c r="A334" t="str">
        <f>IF(MASTER_REGISTER!E334="","",MASTER_REGISTER!E334)</f>
        <v/>
      </c>
      <c r="B334" t="str">
        <f>IF(A334="","",MASTER_REGISTER!F334)</f>
        <v/>
      </c>
      <c r="C334" t="str">
        <f>IF(A334="","",MASTER_REGISTER!C334)</f>
        <v/>
      </c>
      <c r="D334" t="str">
        <f>IF(A334="","",COUNTIF(ASSESSMENTS!B:B,A334))</f>
        <v/>
      </c>
      <c r="E334" s="4" t="e">
        <f>IF(D334=0,"",ROUND(AVERAGEIF(ASSESSMENTS!B:B,A334,ASSESSMENTS!H:H),1))</f>
        <v>#DIV/0!</v>
      </c>
      <c r="F334" s="4" t="str">
        <f>IF(A334="","",IFERROR(ROUND(AVERAGEIFS(ASSESSMENTS!H:H,ASSESSMENTS!B:B,A334,ASSESSMENTS!E:E,"Mathematics"),1),""))</f>
        <v/>
      </c>
      <c r="G334" s="4" t="str">
        <f>IF(A334="","",IFERROR(ROUND(AVERAGEIFS(ASSESSMENTS!H:H,ASSESSMENTS!B:B,A334,ASSESSMENTS!E:E,"Mathematical Literacy"),1),""))</f>
        <v/>
      </c>
      <c r="H334" s="4" t="str">
        <f>IF(A334="","",IFERROR(ROUND(AVERAGEIFS(ASSESSMENTS!H:H,ASSESSMENTS!B:B,A334,ASSESSMENTS!E:E,"Physical Sciences"),1),""))</f>
        <v/>
      </c>
      <c r="I334" s="4" t="str">
        <f>IF(A334="","",IFERROR(ROUND(AVERAGEIFS(ASSESSMENTS!H:H,ASSESSMENTS!B:B,A334,ASSESSMENTS!E:E,"Geography"),1),""))</f>
        <v/>
      </c>
      <c r="J334" s="4" t="str">
        <f>IF(A334="","",IFERROR(ROUND(AVERAGEIFS(ASSESSMENTS!H:H,ASSESSMENTS!B:B,A334,ASSESSMENTS!E:E,"Accounting"),1),""))</f>
        <v/>
      </c>
      <c r="K334" s="4" t="str">
        <f>IF(A334="","",IFERROR(ROUND(AVERAGEIFS(ASSESSMENTS!H:H,ASSESSMENTS!B:B,A334,ASSESSMENTS!E:E,"English"),1),""))</f>
        <v/>
      </c>
      <c r="L334" s="5" t="str">
        <f>IF(A334="","",IFERROR(INDEX(ATTENDANCE_SUMMARY!G:G,MATCH(A334,ATTENDANCE_SUMMARY!A:A,0)),""))</f>
        <v/>
      </c>
      <c r="M334" s="4" t="str">
        <f t="shared" si="5"/>
        <v/>
      </c>
    </row>
    <row r="335" spans="1:13" x14ac:dyDescent="0.3">
      <c r="A335" t="str">
        <f>IF(MASTER_REGISTER!E335="","",MASTER_REGISTER!E335)</f>
        <v/>
      </c>
      <c r="B335" t="str">
        <f>IF(A335="","",MASTER_REGISTER!F335)</f>
        <v/>
      </c>
      <c r="C335" t="str">
        <f>IF(A335="","",MASTER_REGISTER!C335)</f>
        <v/>
      </c>
      <c r="D335" t="str">
        <f>IF(A335="","",COUNTIF(ASSESSMENTS!B:B,A335))</f>
        <v/>
      </c>
      <c r="E335" s="4" t="e">
        <f>IF(D335=0,"",ROUND(AVERAGEIF(ASSESSMENTS!B:B,A335,ASSESSMENTS!H:H),1))</f>
        <v>#DIV/0!</v>
      </c>
      <c r="F335" s="4" t="str">
        <f>IF(A335="","",IFERROR(ROUND(AVERAGEIFS(ASSESSMENTS!H:H,ASSESSMENTS!B:B,A335,ASSESSMENTS!E:E,"Mathematics"),1),""))</f>
        <v/>
      </c>
      <c r="G335" s="4" t="str">
        <f>IF(A335="","",IFERROR(ROUND(AVERAGEIFS(ASSESSMENTS!H:H,ASSESSMENTS!B:B,A335,ASSESSMENTS!E:E,"Mathematical Literacy"),1),""))</f>
        <v/>
      </c>
      <c r="H335" s="4" t="str">
        <f>IF(A335="","",IFERROR(ROUND(AVERAGEIFS(ASSESSMENTS!H:H,ASSESSMENTS!B:B,A335,ASSESSMENTS!E:E,"Physical Sciences"),1),""))</f>
        <v/>
      </c>
      <c r="I335" s="4" t="str">
        <f>IF(A335="","",IFERROR(ROUND(AVERAGEIFS(ASSESSMENTS!H:H,ASSESSMENTS!B:B,A335,ASSESSMENTS!E:E,"Geography"),1),""))</f>
        <v/>
      </c>
      <c r="J335" s="4" t="str">
        <f>IF(A335="","",IFERROR(ROUND(AVERAGEIFS(ASSESSMENTS!H:H,ASSESSMENTS!B:B,A335,ASSESSMENTS!E:E,"Accounting"),1),""))</f>
        <v/>
      </c>
      <c r="K335" s="4" t="str">
        <f>IF(A335="","",IFERROR(ROUND(AVERAGEIFS(ASSESSMENTS!H:H,ASSESSMENTS!B:B,A335,ASSESSMENTS!E:E,"English"),1),""))</f>
        <v/>
      </c>
      <c r="L335" s="5" t="str">
        <f>IF(A335="","",IFERROR(INDEX(ATTENDANCE_SUMMARY!G:G,MATCH(A335,ATTENDANCE_SUMMARY!A:A,0)),""))</f>
        <v/>
      </c>
      <c r="M335" s="4" t="str">
        <f t="shared" si="5"/>
        <v/>
      </c>
    </row>
    <row r="336" spans="1:13" x14ac:dyDescent="0.3">
      <c r="A336" t="str">
        <f>IF(MASTER_REGISTER!E336="","",MASTER_REGISTER!E336)</f>
        <v/>
      </c>
      <c r="B336" t="str">
        <f>IF(A336="","",MASTER_REGISTER!F336)</f>
        <v/>
      </c>
      <c r="C336" t="str">
        <f>IF(A336="","",MASTER_REGISTER!C336)</f>
        <v/>
      </c>
      <c r="D336" t="str">
        <f>IF(A336="","",COUNTIF(ASSESSMENTS!B:B,A336))</f>
        <v/>
      </c>
      <c r="E336" s="4" t="e">
        <f>IF(D336=0,"",ROUND(AVERAGEIF(ASSESSMENTS!B:B,A336,ASSESSMENTS!H:H),1))</f>
        <v>#DIV/0!</v>
      </c>
      <c r="F336" s="4" t="str">
        <f>IF(A336="","",IFERROR(ROUND(AVERAGEIFS(ASSESSMENTS!H:H,ASSESSMENTS!B:B,A336,ASSESSMENTS!E:E,"Mathematics"),1),""))</f>
        <v/>
      </c>
      <c r="G336" s="4" t="str">
        <f>IF(A336="","",IFERROR(ROUND(AVERAGEIFS(ASSESSMENTS!H:H,ASSESSMENTS!B:B,A336,ASSESSMENTS!E:E,"Mathematical Literacy"),1),""))</f>
        <v/>
      </c>
      <c r="H336" s="4" t="str">
        <f>IF(A336="","",IFERROR(ROUND(AVERAGEIFS(ASSESSMENTS!H:H,ASSESSMENTS!B:B,A336,ASSESSMENTS!E:E,"Physical Sciences"),1),""))</f>
        <v/>
      </c>
      <c r="I336" s="4" t="str">
        <f>IF(A336="","",IFERROR(ROUND(AVERAGEIFS(ASSESSMENTS!H:H,ASSESSMENTS!B:B,A336,ASSESSMENTS!E:E,"Geography"),1),""))</f>
        <v/>
      </c>
      <c r="J336" s="4" t="str">
        <f>IF(A336="","",IFERROR(ROUND(AVERAGEIFS(ASSESSMENTS!H:H,ASSESSMENTS!B:B,A336,ASSESSMENTS!E:E,"Accounting"),1),""))</f>
        <v/>
      </c>
      <c r="K336" s="4" t="str">
        <f>IF(A336="","",IFERROR(ROUND(AVERAGEIFS(ASSESSMENTS!H:H,ASSESSMENTS!B:B,A336,ASSESSMENTS!E:E,"English"),1),""))</f>
        <v/>
      </c>
      <c r="L336" s="5" t="str">
        <f>IF(A336="","",IFERROR(INDEX(ATTENDANCE_SUMMARY!G:G,MATCH(A336,ATTENDANCE_SUMMARY!A:A,0)),""))</f>
        <v/>
      </c>
      <c r="M336" s="4" t="str">
        <f t="shared" si="5"/>
        <v/>
      </c>
    </row>
    <row r="337" spans="1:13" x14ac:dyDescent="0.3">
      <c r="A337" t="str">
        <f>IF(MASTER_REGISTER!E337="","",MASTER_REGISTER!E337)</f>
        <v/>
      </c>
      <c r="B337" t="str">
        <f>IF(A337="","",MASTER_REGISTER!F337)</f>
        <v/>
      </c>
      <c r="C337" t="str">
        <f>IF(A337="","",MASTER_REGISTER!C337)</f>
        <v/>
      </c>
      <c r="D337" t="str">
        <f>IF(A337="","",COUNTIF(ASSESSMENTS!B:B,A337))</f>
        <v/>
      </c>
      <c r="E337" s="4" t="e">
        <f>IF(D337=0,"",ROUND(AVERAGEIF(ASSESSMENTS!B:B,A337,ASSESSMENTS!H:H),1))</f>
        <v>#DIV/0!</v>
      </c>
      <c r="F337" s="4" t="str">
        <f>IF(A337="","",IFERROR(ROUND(AVERAGEIFS(ASSESSMENTS!H:H,ASSESSMENTS!B:B,A337,ASSESSMENTS!E:E,"Mathematics"),1),""))</f>
        <v/>
      </c>
      <c r="G337" s="4" t="str">
        <f>IF(A337="","",IFERROR(ROUND(AVERAGEIFS(ASSESSMENTS!H:H,ASSESSMENTS!B:B,A337,ASSESSMENTS!E:E,"Mathematical Literacy"),1),""))</f>
        <v/>
      </c>
      <c r="H337" s="4" t="str">
        <f>IF(A337="","",IFERROR(ROUND(AVERAGEIFS(ASSESSMENTS!H:H,ASSESSMENTS!B:B,A337,ASSESSMENTS!E:E,"Physical Sciences"),1),""))</f>
        <v/>
      </c>
      <c r="I337" s="4" t="str">
        <f>IF(A337="","",IFERROR(ROUND(AVERAGEIFS(ASSESSMENTS!H:H,ASSESSMENTS!B:B,A337,ASSESSMENTS!E:E,"Geography"),1),""))</f>
        <v/>
      </c>
      <c r="J337" s="4" t="str">
        <f>IF(A337="","",IFERROR(ROUND(AVERAGEIFS(ASSESSMENTS!H:H,ASSESSMENTS!B:B,A337,ASSESSMENTS!E:E,"Accounting"),1),""))</f>
        <v/>
      </c>
      <c r="K337" s="4" t="str">
        <f>IF(A337="","",IFERROR(ROUND(AVERAGEIFS(ASSESSMENTS!H:H,ASSESSMENTS!B:B,A337,ASSESSMENTS!E:E,"English"),1),""))</f>
        <v/>
      </c>
      <c r="L337" s="5" t="str">
        <f>IF(A337="","",IFERROR(INDEX(ATTENDANCE_SUMMARY!G:G,MATCH(A337,ATTENDANCE_SUMMARY!A:A,0)),""))</f>
        <v/>
      </c>
      <c r="M337" s="4" t="str">
        <f t="shared" si="5"/>
        <v/>
      </c>
    </row>
    <row r="338" spans="1:13" x14ac:dyDescent="0.3">
      <c r="A338" t="str">
        <f>IF(MASTER_REGISTER!E338="","",MASTER_REGISTER!E338)</f>
        <v/>
      </c>
      <c r="B338" t="str">
        <f>IF(A338="","",MASTER_REGISTER!F338)</f>
        <v/>
      </c>
      <c r="C338" t="str">
        <f>IF(A338="","",MASTER_REGISTER!C338)</f>
        <v/>
      </c>
      <c r="D338" t="str">
        <f>IF(A338="","",COUNTIF(ASSESSMENTS!B:B,A338))</f>
        <v/>
      </c>
      <c r="E338" s="4" t="e">
        <f>IF(D338=0,"",ROUND(AVERAGEIF(ASSESSMENTS!B:B,A338,ASSESSMENTS!H:H),1))</f>
        <v>#DIV/0!</v>
      </c>
      <c r="F338" s="4" t="str">
        <f>IF(A338="","",IFERROR(ROUND(AVERAGEIFS(ASSESSMENTS!H:H,ASSESSMENTS!B:B,A338,ASSESSMENTS!E:E,"Mathematics"),1),""))</f>
        <v/>
      </c>
      <c r="G338" s="4" t="str">
        <f>IF(A338="","",IFERROR(ROUND(AVERAGEIFS(ASSESSMENTS!H:H,ASSESSMENTS!B:B,A338,ASSESSMENTS!E:E,"Mathematical Literacy"),1),""))</f>
        <v/>
      </c>
      <c r="H338" s="4" t="str">
        <f>IF(A338="","",IFERROR(ROUND(AVERAGEIFS(ASSESSMENTS!H:H,ASSESSMENTS!B:B,A338,ASSESSMENTS!E:E,"Physical Sciences"),1),""))</f>
        <v/>
      </c>
      <c r="I338" s="4" t="str">
        <f>IF(A338="","",IFERROR(ROUND(AVERAGEIFS(ASSESSMENTS!H:H,ASSESSMENTS!B:B,A338,ASSESSMENTS!E:E,"Geography"),1),""))</f>
        <v/>
      </c>
      <c r="J338" s="4" t="str">
        <f>IF(A338="","",IFERROR(ROUND(AVERAGEIFS(ASSESSMENTS!H:H,ASSESSMENTS!B:B,A338,ASSESSMENTS!E:E,"Accounting"),1),""))</f>
        <v/>
      </c>
      <c r="K338" s="4" t="str">
        <f>IF(A338="","",IFERROR(ROUND(AVERAGEIFS(ASSESSMENTS!H:H,ASSESSMENTS!B:B,A338,ASSESSMENTS!E:E,"English"),1),""))</f>
        <v/>
      </c>
      <c r="L338" s="5" t="str">
        <f>IF(A338="","",IFERROR(INDEX(ATTENDANCE_SUMMARY!G:G,MATCH(A338,ATTENDANCE_SUMMARY!A:A,0)),""))</f>
        <v/>
      </c>
      <c r="M338" s="4" t="str">
        <f t="shared" si="5"/>
        <v/>
      </c>
    </row>
    <row r="339" spans="1:13" x14ac:dyDescent="0.3">
      <c r="A339" t="str">
        <f>IF(MASTER_REGISTER!E339="","",MASTER_REGISTER!E339)</f>
        <v/>
      </c>
      <c r="B339" t="str">
        <f>IF(A339="","",MASTER_REGISTER!F339)</f>
        <v/>
      </c>
      <c r="C339" t="str">
        <f>IF(A339="","",MASTER_REGISTER!C339)</f>
        <v/>
      </c>
      <c r="D339" t="str">
        <f>IF(A339="","",COUNTIF(ASSESSMENTS!B:B,A339))</f>
        <v/>
      </c>
      <c r="E339" s="4" t="e">
        <f>IF(D339=0,"",ROUND(AVERAGEIF(ASSESSMENTS!B:B,A339,ASSESSMENTS!H:H),1))</f>
        <v>#DIV/0!</v>
      </c>
      <c r="F339" s="4" t="str">
        <f>IF(A339="","",IFERROR(ROUND(AVERAGEIFS(ASSESSMENTS!H:H,ASSESSMENTS!B:B,A339,ASSESSMENTS!E:E,"Mathematics"),1),""))</f>
        <v/>
      </c>
      <c r="G339" s="4" t="str">
        <f>IF(A339="","",IFERROR(ROUND(AVERAGEIFS(ASSESSMENTS!H:H,ASSESSMENTS!B:B,A339,ASSESSMENTS!E:E,"Mathematical Literacy"),1),""))</f>
        <v/>
      </c>
      <c r="H339" s="4" t="str">
        <f>IF(A339="","",IFERROR(ROUND(AVERAGEIFS(ASSESSMENTS!H:H,ASSESSMENTS!B:B,A339,ASSESSMENTS!E:E,"Physical Sciences"),1),""))</f>
        <v/>
      </c>
      <c r="I339" s="4" t="str">
        <f>IF(A339="","",IFERROR(ROUND(AVERAGEIFS(ASSESSMENTS!H:H,ASSESSMENTS!B:B,A339,ASSESSMENTS!E:E,"Geography"),1),""))</f>
        <v/>
      </c>
      <c r="J339" s="4" t="str">
        <f>IF(A339="","",IFERROR(ROUND(AVERAGEIFS(ASSESSMENTS!H:H,ASSESSMENTS!B:B,A339,ASSESSMENTS!E:E,"Accounting"),1),""))</f>
        <v/>
      </c>
      <c r="K339" s="4" t="str">
        <f>IF(A339="","",IFERROR(ROUND(AVERAGEIFS(ASSESSMENTS!H:H,ASSESSMENTS!B:B,A339,ASSESSMENTS!E:E,"English"),1),""))</f>
        <v/>
      </c>
      <c r="L339" s="5" t="str">
        <f>IF(A339="","",IFERROR(INDEX(ATTENDANCE_SUMMARY!G:G,MATCH(A339,ATTENDANCE_SUMMARY!A:A,0)),""))</f>
        <v/>
      </c>
      <c r="M339" s="4" t="str">
        <f t="shared" si="5"/>
        <v/>
      </c>
    </row>
    <row r="340" spans="1:13" x14ac:dyDescent="0.3">
      <c r="A340" t="str">
        <f>IF(MASTER_REGISTER!E340="","",MASTER_REGISTER!E340)</f>
        <v/>
      </c>
      <c r="B340" t="str">
        <f>IF(A340="","",MASTER_REGISTER!F340)</f>
        <v/>
      </c>
      <c r="C340" t="str">
        <f>IF(A340="","",MASTER_REGISTER!C340)</f>
        <v/>
      </c>
      <c r="D340" t="str">
        <f>IF(A340="","",COUNTIF(ASSESSMENTS!B:B,A340))</f>
        <v/>
      </c>
      <c r="E340" s="4" t="e">
        <f>IF(D340=0,"",ROUND(AVERAGEIF(ASSESSMENTS!B:B,A340,ASSESSMENTS!H:H),1))</f>
        <v>#DIV/0!</v>
      </c>
      <c r="F340" s="4" t="str">
        <f>IF(A340="","",IFERROR(ROUND(AVERAGEIFS(ASSESSMENTS!H:H,ASSESSMENTS!B:B,A340,ASSESSMENTS!E:E,"Mathematics"),1),""))</f>
        <v/>
      </c>
      <c r="G340" s="4" t="str">
        <f>IF(A340="","",IFERROR(ROUND(AVERAGEIFS(ASSESSMENTS!H:H,ASSESSMENTS!B:B,A340,ASSESSMENTS!E:E,"Mathematical Literacy"),1),""))</f>
        <v/>
      </c>
      <c r="H340" s="4" t="str">
        <f>IF(A340="","",IFERROR(ROUND(AVERAGEIFS(ASSESSMENTS!H:H,ASSESSMENTS!B:B,A340,ASSESSMENTS!E:E,"Physical Sciences"),1),""))</f>
        <v/>
      </c>
      <c r="I340" s="4" t="str">
        <f>IF(A340="","",IFERROR(ROUND(AVERAGEIFS(ASSESSMENTS!H:H,ASSESSMENTS!B:B,A340,ASSESSMENTS!E:E,"Geography"),1),""))</f>
        <v/>
      </c>
      <c r="J340" s="4" t="str">
        <f>IF(A340="","",IFERROR(ROUND(AVERAGEIFS(ASSESSMENTS!H:H,ASSESSMENTS!B:B,A340,ASSESSMENTS!E:E,"Accounting"),1),""))</f>
        <v/>
      </c>
      <c r="K340" s="4" t="str">
        <f>IF(A340="","",IFERROR(ROUND(AVERAGEIFS(ASSESSMENTS!H:H,ASSESSMENTS!B:B,A340,ASSESSMENTS!E:E,"English"),1),""))</f>
        <v/>
      </c>
      <c r="L340" s="5" t="str">
        <f>IF(A340="","",IFERROR(INDEX(ATTENDANCE_SUMMARY!G:G,MATCH(A340,ATTENDANCE_SUMMARY!A:A,0)),""))</f>
        <v/>
      </c>
      <c r="M340" s="4" t="str">
        <f t="shared" si="5"/>
        <v/>
      </c>
    </row>
    <row r="341" spans="1:13" x14ac:dyDescent="0.3">
      <c r="A341" t="str">
        <f>IF(MASTER_REGISTER!E341="","",MASTER_REGISTER!E341)</f>
        <v/>
      </c>
      <c r="B341" t="str">
        <f>IF(A341="","",MASTER_REGISTER!F341)</f>
        <v/>
      </c>
      <c r="C341" t="str">
        <f>IF(A341="","",MASTER_REGISTER!C341)</f>
        <v/>
      </c>
      <c r="D341" t="str">
        <f>IF(A341="","",COUNTIF(ASSESSMENTS!B:B,A341))</f>
        <v/>
      </c>
      <c r="E341" s="4" t="e">
        <f>IF(D341=0,"",ROUND(AVERAGEIF(ASSESSMENTS!B:B,A341,ASSESSMENTS!H:H),1))</f>
        <v>#DIV/0!</v>
      </c>
      <c r="F341" s="4" t="str">
        <f>IF(A341="","",IFERROR(ROUND(AVERAGEIFS(ASSESSMENTS!H:H,ASSESSMENTS!B:B,A341,ASSESSMENTS!E:E,"Mathematics"),1),""))</f>
        <v/>
      </c>
      <c r="G341" s="4" t="str">
        <f>IF(A341="","",IFERROR(ROUND(AVERAGEIFS(ASSESSMENTS!H:H,ASSESSMENTS!B:B,A341,ASSESSMENTS!E:E,"Mathematical Literacy"),1),""))</f>
        <v/>
      </c>
      <c r="H341" s="4" t="str">
        <f>IF(A341="","",IFERROR(ROUND(AVERAGEIFS(ASSESSMENTS!H:H,ASSESSMENTS!B:B,A341,ASSESSMENTS!E:E,"Physical Sciences"),1),""))</f>
        <v/>
      </c>
      <c r="I341" s="4" t="str">
        <f>IF(A341="","",IFERROR(ROUND(AVERAGEIFS(ASSESSMENTS!H:H,ASSESSMENTS!B:B,A341,ASSESSMENTS!E:E,"Geography"),1),""))</f>
        <v/>
      </c>
      <c r="J341" s="4" t="str">
        <f>IF(A341="","",IFERROR(ROUND(AVERAGEIFS(ASSESSMENTS!H:H,ASSESSMENTS!B:B,A341,ASSESSMENTS!E:E,"Accounting"),1),""))</f>
        <v/>
      </c>
      <c r="K341" s="4" t="str">
        <f>IF(A341="","",IFERROR(ROUND(AVERAGEIFS(ASSESSMENTS!H:H,ASSESSMENTS!B:B,A341,ASSESSMENTS!E:E,"English"),1),""))</f>
        <v/>
      </c>
      <c r="L341" s="5" t="str">
        <f>IF(A341="","",IFERROR(INDEX(ATTENDANCE_SUMMARY!G:G,MATCH(A341,ATTENDANCE_SUMMARY!A:A,0)),""))</f>
        <v/>
      </c>
      <c r="M341" s="4" t="str">
        <f t="shared" si="5"/>
        <v/>
      </c>
    </row>
    <row r="342" spans="1:13" x14ac:dyDescent="0.3">
      <c r="A342" t="str">
        <f>IF(MASTER_REGISTER!E342="","",MASTER_REGISTER!E342)</f>
        <v/>
      </c>
      <c r="B342" t="str">
        <f>IF(A342="","",MASTER_REGISTER!F342)</f>
        <v/>
      </c>
      <c r="C342" t="str">
        <f>IF(A342="","",MASTER_REGISTER!C342)</f>
        <v/>
      </c>
      <c r="D342" t="str">
        <f>IF(A342="","",COUNTIF(ASSESSMENTS!B:B,A342))</f>
        <v/>
      </c>
      <c r="E342" s="4" t="e">
        <f>IF(D342=0,"",ROUND(AVERAGEIF(ASSESSMENTS!B:B,A342,ASSESSMENTS!H:H),1))</f>
        <v>#DIV/0!</v>
      </c>
      <c r="F342" s="4" t="str">
        <f>IF(A342="","",IFERROR(ROUND(AVERAGEIFS(ASSESSMENTS!H:H,ASSESSMENTS!B:B,A342,ASSESSMENTS!E:E,"Mathematics"),1),""))</f>
        <v/>
      </c>
      <c r="G342" s="4" t="str">
        <f>IF(A342="","",IFERROR(ROUND(AVERAGEIFS(ASSESSMENTS!H:H,ASSESSMENTS!B:B,A342,ASSESSMENTS!E:E,"Mathematical Literacy"),1),""))</f>
        <v/>
      </c>
      <c r="H342" s="4" t="str">
        <f>IF(A342="","",IFERROR(ROUND(AVERAGEIFS(ASSESSMENTS!H:H,ASSESSMENTS!B:B,A342,ASSESSMENTS!E:E,"Physical Sciences"),1),""))</f>
        <v/>
      </c>
      <c r="I342" s="4" t="str">
        <f>IF(A342="","",IFERROR(ROUND(AVERAGEIFS(ASSESSMENTS!H:H,ASSESSMENTS!B:B,A342,ASSESSMENTS!E:E,"Geography"),1),""))</f>
        <v/>
      </c>
      <c r="J342" s="4" t="str">
        <f>IF(A342="","",IFERROR(ROUND(AVERAGEIFS(ASSESSMENTS!H:H,ASSESSMENTS!B:B,A342,ASSESSMENTS!E:E,"Accounting"),1),""))</f>
        <v/>
      </c>
      <c r="K342" s="4" t="str">
        <f>IF(A342="","",IFERROR(ROUND(AVERAGEIFS(ASSESSMENTS!H:H,ASSESSMENTS!B:B,A342,ASSESSMENTS!E:E,"English"),1),""))</f>
        <v/>
      </c>
      <c r="L342" s="5" t="str">
        <f>IF(A342="","",IFERROR(INDEX(ATTENDANCE_SUMMARY!G:G,MATCH(A342,ATTENDANCE_SUMMARY!A:A,0)),""))</f>
        <v/>
      </c>
      <c r="M342" s="4" t="str">
        <f t="shared" si="5"/>
        <v/>
      </c>
    </row>
    <row r="343" spans="1:13" x14ac:dyDescent="0.3">
      <c r="A343" t="str">
        <f>IF(MASTER_REGISTER!E343="","",MASTER_REGISTER!E343)</f>
        <v/>
      </c>
      <c r="B343" t="str">
        <f>IF(A343="","",MASTER_REGISTER!F343)</f>
        <v/>
      </c>
      <c r="C343" t="str">
        <f>IF(A343="","",MASTER_REGISTER!C343)</f>
        <v/>
      </c>
      <c r="D343" t="str">
        <f>IF(A343="","",COUNTIF(ASSESSMENTS!B:B,A343))</f>
        <v/>
      </c>
      <c r="E343" s="4" t="e">
        <f>IF(D343=0,"",ROUND(AVERAGEIF(ASSESSMENTS!B:B,A343,ASSESSMENTS!H:H),1))</f>
        <v>#DIV/0!</v>
      </c>
      <c r="F343" s="4" t="str">
        <f>IF(A343="","",IFERROR(ROUND(AVERAGEIFS(ASSESSMENTS!H:H,ASSESSMENTS!B:B,A343,ASSESSMENTS!E:E,"Mathematics"),1),""))</f>
        <v/>
      </c>
      <c r="G343" s="4" t="str">
        <f>IF(A343="","",IFERROR(ROUND(AVERAGEIFS(ASSESSMENTS!H:H,ASSESSMENTS!B:B,A343,ASSESSMENTS!E:E,"Mathematical Literacy"),1),""))</f>
        <v/>
      </c>
      <c r="H343" s="4" t="str">
        <f>IF(A343="","",IFERROR(ROUND(AVERAGEIFS(ASSESSMENTS!H:H,ASSESSMENTS!B:B,A343,ASSESSMENTS!E:E,"Physical Sciences"),1),""))</f>
        <v/>
      </c>
      <c r="I343" s="4" t="str">
        <f>IF(A343="","",IFERROR(ROUND(AVERAGEIFS(ASSESSMENTS!H:H,ASSESSMENTS!B:B,A343,ASSESSMENTS!E:E,"Geography"),1),""))</f>
        <v/>
      </c>
      <c r="J343" s="4" t="str">
        <f>IF(A343="","",IFERROR(ROUND(AVERAGEIFS(ASSESSMENTS!H:H,ASSESSMENTS!B:B,A343,ASSESSMENTS!E:E,"Accounting"),1),""))</f>
        <v/>
      </c>
      <c r="K343" s="4" t="str">
        <f>IF(A343="","",IFERROR(ROUND(AVERAGEIFS(ASSESSMENTS!H:H,ASSESSMENTS!B:B,A343,ASSESSMENTS!E:E,"English"),1),""))</f>
        <v/>
      </c>
      <c r="L343" s="5" t="str">
        <f>IF(A343="","",IFERROR(INDEX(ATTENDANCE_SUMMARY!G:G,MATCH(A343,ATTENDANCE_SUMMARY!A:A,0)),""))</f>
        <v/>
      </c>
      <c r="M343" s="4" t="str">
        <f t="shared" si="5"/>
        <v/>
      </c>
    </row>
    <row r="344" spans="1:13" x14ac:dyDescent="0.3">
      <c r="A344" t="str">
        <f>IF(MASTER_REGISTER!E344="","",MASTER_REGISTER!E344)</f>
        <v/>
      </c>
      <c r="B344" t="str">
        <f>IF(A344="","",MASTER_REGISTER!F344)</f>
        <v/>
      </c>
      <c r="C344" t="str">
        <f>IF(A344="","",MASTER_REGISTER!C344)</f>
        <v/>
      </c>
      <c r="D344" t="str">
        <f>IF(A344="","",COUNTIF(ASSESSMENTS!B:B,A344))</f>
        <v/>
      </c>
      <c r="E344" s="4" t="e">
        <f>IF(D344=0,"",ROUND(AVERAGEIF(ASSESSMENTS!B:B,A344,ASSESSMENTS!H:H),1))</f>
        <v>#DIV/0!</v>
      </c>
      <c r="F344" s="4" t="str">
        <f>IF(A344="","",IFERROR(ROUND(AVERAGEIFS(ASSESSMENTS!H:H,ASSESSMENTS!B:B,A344,ASSESSMENTS!E:E,"Mathematics"),1),""))</f>
        <v/>
      </c>
      <c r="G344" s="4" t="str">
        <f>IF(A344="","",IFERROR(ROUND(AVERAGEIFS(ASSESSMENTS!H:H,ASSESSMENTS!B:B,A344,ASSESSMENTS!E:E,"Mathematical Literacy"),1),""))</f>
        <v/>
      </c>
      <c r="H344" s="4" t="str">
        <f>IF(A344="","",IFERROR(ROUND(AVERAGEIFS(ASSESSMENTS!H:H,ASSESSMENTS!B:B,A344,ASSESSMENTS!E:E,"Physical Sciences"),1),""))</f>
        <v/>
      </c>
      <c r="I344" s="4" t="str">
        <f>IF(A344="","",IFERROR(ROUND(AVERAGEIFS(ASSESSMENTS!H:H,ASSESSMENTS!B:B,A344,ASSESSMENTS!E:E,"Geography"),1),""))</f>
        <v/>
      </c>
      <c r="J344" s="4" t="str">
        <f>IF(A344="","",IFERROR(ROUND(AVERAGEIFS(ASSESSMENTS!H:H,ASSESSMENTS!B:B,A344,ASSESSMENTS!E:E,"Accounting"),1),""))</f>
        <v/>
      </c>
      <c r="K344" s="4" t="str">
        <f>IF(A344="","",IFERROR(ROUND(AVERAGEIFS(ASSESSMENTS!H:H,ASSESSMENTS!B:B,A344,ASSESSMENTS!E:E,"English"),1),""))</f>
        <v/>
      </c>
      <c r="L344" s="5" t="str">
        <f>IF(A344="","",IFERROR(INDEX(ATTENDANCE_SUMMARY!G:G,MATCH(A344,ATTENDANCE_SUMMARY!A:A,0)),""))</f>
        <v/>
      </c>
      <c r="M344" s="4" t="str">
        <f t="shared" si="5"/>
        <v/>
      </c>
    </row>
    <row r="345" spans="1:13" x14ac:dyDescent="0.3">
      <c r="A345" t="str">
        <f>IF(MASTER_REGISTER!E345="","",MASTER_REGISTER!E345)</f>
        <v/>
      </c>
      <c r="B345" t="str">
        <f>IF(A345="","",MASTER_REGISTER!F345)</f>
        <v/>
      </c>
      <c r="C345" t="str">
        <f>IF(A345="","",MASTER_REGISTER!C345)</f>
        <v/>
      </c>
      <c r="D345" t="str">
        <f>IF(A345="","",COUNTIF(ASSESSMENTS!B:B,A345))</f>
        <v/>
      </c>
      <c r="E345" s="4" t="e">
        <f>IF(D345=0,"",ROUND(AVERAGEIF(ASSESSMENTS!B:B,A345,ASSESSMENTS!H:H),1))</f>
        <v>#DIV/0!</v>
      </c>
      <c r="F345" s="4" t="str">
        <f>IF(A345="","",IFERROR(ROUND(AVERAGEIFS(ASSESSMENTS!H:H,ASSESSMENTS!B:B,A345,ASSESSMENTS!E:E,"Mathematics"),1),""))</f>
        <v/>
      </c>
      <c r="G345" s="4" t="str">
        <f>IF(A345="","",IFERROR(ROUND(AVERAGEIFS(ASSESSMENTS!H:H,ASSESSMENTS!B:B,A345,ASSESSMENTS!E:E,"Mathematical Literacy"),1),""))</f>
        <v/>
      </c>
      <c r="H345" s="4" t="str">
        <f>IF(A345="","",IFERROR(ROUND(AVERAGEIFS(ASSESSMENTS!H:H,ASSESSMENTS!B:B,A345,ASSESSMENTS!E:E,"Physical Sciences"),1),""))</f>
        <v/>
      </c>
      <c r="I345" s="4" t="str">
        <f>IF(A345="","",IFERROR(ROUND(AVERAGEIFS(ASSESSMENTS!H:H,ASSESSMENTS!B:B,A345,ASSESSMENTS!E:E,"Geography"),1),""))</f>
        <v/>
      </c>
      <c r="J345" s="4" t="str">
        <f>IF(A345="","",IFERROR(ROUND(AVERAGEIFS(ASSESSMENTS!H:H,ASSESSMENTS!B:B,A345,ASSESSMENTS!E:E,"Accounting"),1),""))</f>
        <v/>
      </c>
      <c r="K345" s="4" t="str">
        <f>IF(A345="","",IFERROR(ROUND(AVERAGEIFS(ASSESSMENTS!H:H,ASSESSMENTS!B:B,A345,ASSESSMENTS!E:E,"English"),1),""))</f>
        <v/>
      </c>
      <c r="L345" s="5" t="str">
        <f>IF(A345="","",IFERROR(INDEX(ATTENDANCE_SUMMARY!G:G,MATCH(A345,ATTENDANCE_SUMMARY!A:A,0)),""))</f>
        <v/>
      </c>
      <c r="M345" s="4" t="str">
        <f t="shared" si="5"/>
        <v/>
      </c>
    </row>
    <row r="346" spans="1:13" x14ac:dyDescent="0.3">
      <c r="A346" t="str">
        <f>IF(MASTER_REGISTER!E346="","",MASTER_REGISTER!E346)</f>
        <v/>
      </c>
      <c r="B346" t="str">
        <f>IF(A346="","",MASTER_REGISTER!F346)</f>
        <v/>
      </c>
      <c r="C346" t="str">
        <f>IF(A346="","",MASTER_REGISTER!C346)</f>
        <v/>
      </c>
      <c r="D346" t="str">
        <f>IF(A346="","",COUNTIF(ASSESSMENTS!B:B,A346))</f>
        <v/>
      </c>
      <c r="E346" s="4" t="e">
        <f>IF(D346=0,"",ROUND(AVERAGEIF(ASSESSMENTS!B:B,A346,ASSESSMENTS!H:H),1))</f>
        <v>#DIV/0!</v>
      </c>
      <c r="F346" s="4" t="str">
        <f>IF(A346="","",IFERROR(ROUND(AVERAGEIFS(ASSESSMENTS!H:H,ASSESSMENTS!B:B,A346,ASSESSMENTS!E:E,"Mathematics"),1),""))</f>
        <v/>
      </c>
      <c r="G346" s="4" t="str">
        <f>IF(A346="","",IFERROR(ROUND(AVERAGEIFS(ASSESSMENTS!H:H,ASSESSMENTS!B:B,A346,ASSESSMENTS!E:E,"Mathematical Literacy"),1),""))</f>
        <v/>
      </c>
      <c r="H346" s="4" t="str">
        <f>IF(A346="","",IFERROR(ROUND(AVERAGEIFS(ASSESSMENTS!H:H,ASSESSMENTS!B:B,A346,ASSESSMENTS!E:E,"Physical Sciences"),1),""))</f>
        <v/>
      </c>
      <c r="I346" s="4" t="str">
        <f>IF(A346="","",IFERROR(ROUND(AVERAGEIFS(ASSESSMENTS!H:H,ASSESSMENTS!B:B,A346,ASSESSMENTS!E:E,"Geography"),1),""))</f>
        <v/>
      </c>
      <c r="J346" s="4" t="str">
        <f>IF(A346="","",IFERROR(ROUND(AVERAGEIFS(ASSESSMENTS!H:H,ASSESSMENTS!B:B,A346,ASSESSMENTS!E:E,"Accounting"),1),""))</f>
        <v/>
      </c>
      <c r="K346" s="4" t="str">
        <f>IF(A346="","",IFERROR(ROUND(AVERAGEIFS(ASSESSMENTS!H:H,ASSESSMENTS!B:B,A346,ASSESSMENTS!E:E,"English"),1),""))</f>
        <v/>
      </c>
      <c r="L346" s="5" t="str">
        <f>IF(A346="","",IFERROR(INDEX(ATTENDANCE_SUMMARY!G:G,MATCH(A346,ATTENDANCE_SUMMARY!A:A,0)),""))</f>
        <v/>
      </c>
      <c r="M346" s="4" t="str">
        <f t="shared" si="5"/>
        <v/>
      </c>
    </row>
    <row r="347" spans="1:13" x14ac:dyDescent="0.3">
      <c r="A347" t="str">
        <f>IF(MASTER_REGISTER!E347="","",MASTER_REGISTER!E347)</f>
        <v/>
      </c>
      <c r="B347" t="str">
        <f>IF(A347="","",MASTER_REGISTER!F347)</f>
        <v/>
      </c>
      <c r="C347" t="str">
        <f>IF(A347="","",MASTER_REGISTER!C347)</f>
        <v/>
      </c>
      <c r="D347" t="str">
        <f>IF(A347="","",COUNTIF(ASSESSMENTS!B:B,A347))</f>
        <v/>
      </c>
      <c r="E347" s="4" t="e">
        <f>IF(D347=0,"",ROUND(AVERAGEIF(ASSESSMENTS!B:B,A347,ASSESSMENTS!H:H),1))</f>
        <v>#DIV/0!</v>
      </c>
      <c r="F347" s="4" t="str">
        <f>IF(A347="","",IFERROR(ROUND(AVERAGEIFS(ASSESSMENTS!H:H,ASSESSMENTS!B:B,A347,ASSESSMENTS!E:E,"Mathematics"),1),""))</f>
        <v/>
      </c>
      <c r="G347" s="4" t="str">
        <f>IF(A347="","",IFERROR(ROUND(AVERAGEIFS(ASSESSMENTS!H:H,ASSESSMENTS!B:B,A347,ASSESSMENTS!E:E,"Mathematical Literacy"),1),""))</f>
        <v/>
      </c>
      <c r="H347" s="4" t="str">
        <f>IF(A347="","",IFERROR(ROUND(AVERAGEIFS(ASSESSMENTS!H:H,ASSESSMENTS!B:B,A347,ASSESSMENTS!E:E,"Physical Sciences"),1),""))</f>
        <v/>
      </c>
      <c r="I347" s="4" t="str">
        <f>IF(A347="","",IFERROR(ROUND(AVERAGEIFS(ASSESSMENTS!H:H,ASSESSMENTS!B:B,A347,ASSESSMENTS!E:E,"Geography"),1),""))</f>
        <v/>
      </c>
      <c r="J347" s="4" t="str">
        <f>IF(A347="","",IFERROR(ROUND(AVERAGEIFS(ASSESSMENTS!H:H,ASSESSMENTS!B:B,A347,ASSESSMENTS!E:E,"Accounting"),1),""))</f>
        <v/>
      </c>
      <c r="K347" s="4" t="str">
        <f>IF(A347="","",IFERROR(ROUND(AVERAGEIFS(ASSESSMENTS!H:H,ASSESSMENTS!B:B,A347,ASSESSMENTS!E:E,"English"),1),""))</f>
        <v/>
      </c>
      <c r="L347" s="5" t="str">
        <f>IF(A347="","",IFERROR(INDEX(ATTENDANCE_SUMMARY!G:G,MATCH(A347,ATTENDANCE_SUMMARY!A:A,0)),""))</f>
        <v/>
      </c>
      <c r="M347" s="4" t="str">
        <f t="shared" si="5"/>
        <v/>
      </c>
    </row>
    <row r="348" spans="1:13" x14ac:dyDescent="0.3">
      <c r="A348" t="str">
        <f>IF(MASTER_REGISTER!E348="","",MASTER_REGISTER!E348)</f>
        <v/>
      </c>
      <c r="B348" t="str">
        <f>IF(A348="","",MASTER_REGISTER!F348)</f>
        <v/>
      </c>
      <c r="C348" t="str">
        <f>IF(A348="","",MASTER_REGISTER!C348)</f>
        <v/>
      </c>
      <c r="D348" t="str">
        <f>IF(A348="","",COUNTIF(ASSESSMENTS!B:B,A348))</f>
        <v/>
      </c>
      <c r="E348" s="4" t="e">
        <f>IF(D348=0,"",ROUND(AVERAGEIF(ASSESSMENTS!B:B,A348,ASSESSMENTS!H:H),1))</f>
        <v>#DIV/0!</v>
      </c>
      <c r="F348" s="4" t="str">
        <f>IF(A348="","",IFERROR(ROUND(AVERAGEIFS(ASSESSMENTS!H:H,ASSESSMENTS!B:B,A348,ASSESSMENTS!E:E,"Mathematics"),1),""))</f>
        <v/>
      </c>
      <c r="G348" s="4" t="str">
        <f>IF(A348="","",IFERROR(ROUND(AVERAGEIFS(ASSESSMENTS!H:H,ASSESSMENTS!B:B,A348,ASSESSMENTS!E:E,"Mathematical Literacy"),1),""))</f>
        <v/>
      </c>
      <c r="H348" s="4" t="str">
        <f>IF(A348="","",IFERROR(ROUND(AVERAGEIFS(ASSESSMENTS!H:H,ASSESSMENTS!B:B,A348,ASSESSMENTS!E:E,"Physical Sciences"),1),""))</f>
        <v/>
      </c>
      <c r="I348" s="4" t="str">
        <f>IF(A348="","",IFERROR(ROUND(AVERAGEIFS(ASSESSMENTS!H:H,ASSESSMENTS!B:B,A348,ASSESSMENTS!E:E,"Geography"),1),""))</f>
        <v/>
      </c>
      <c r="J348" s="4" t="str">
        <f>IF(A348="","",IFERROR(ROUND(AVERAGEIFS(ASSESSMENTS!H:H,ASSESSMENTS!B:B,A348,ASSESSMENTS!E:E,"Accounting"),1),""))</f>
        <v/>
      </c>
      <c r="K348" s="4" t="str">
        <f>IF(A348="","",IFERROR(ROUND(AVERAGEIFS(ASSESSMENTS!H:H,ASSESSMENTS!B:B,A348,ASSESSMENTS!E:E,"English"),1),""))</f>
        <v/>
      </c>
      <c r="L348" s="5" t="str">
        <f>IF(A348="","",IFERROR(INDEX(ATTENDANCE_SUMMARY!G:G,MATCH(A348,ATTENDANCE_SUMMARY!A:A,0)),""))</f>
        <v/>
      </c>
      <c r="M348" s="4" t="str">
        <f t="shared" si="5"/>
        <v/>
      </c>
    </row>
    <row r="349" spans="1:13" x14ac:dyDescent="0.3">
      <c r="A349" t="str">
        <f>IF(MASTER_REGISTER!E349="","",MASTER_REGISTER!E349)</f>
        <v/>
      </c>
      <c r="B349" t="str">
        <f>IF(A349="","",MASTER_REGISTER!F349)</f>
        <v/>
      </c>
      <c r="C349" t="str">
        <f>IF(A349="","",MASTER_REGISTER!C349)</f>
        <v/>
      </c>
      <c r="D349" t="str">
        <f>IF(A349="","",COUNTIF(ASSESSMENTS!B:B,A349))</f>
        <v/>
      </c>
      <c r="E349" s="4" t="e">
        <f>IF(D349=0,"",ROUND(AVERAGEIF(ASSESSMENTS!B:B,A349,ASSESSMENTS!H:H),1))</f>
        <v>#DIV/0!</v>
      </c>
      <c r="F349" s="4" t="str">
        <f>IF(A349="","",IFERROR(ROUND(AVERAGEIFS(ASSESSMENTS!H:H,ASSESSMENTS!B:B,A349,ASSESSMENTS!E:E,"Mathematics"),1),""))</f>
        <v/>
      </c>
      <c r="G349" s="4" t="str">
        <f>IF(A349="","",IFERROR(ROUND(AVERAGEIFS(ASSESSMENTS!H:H,ASSESSMENTS!B:B,A349,ASSESSMENTS!E:E,"Mathematical Literacy"),1),""))</f>
        <v/>
      </c>
      <c r="H349" s="4" t="str">
        <f>IF(A349="","",IFERROR(ROUND(AVERAGEIFS(ASSESSMENTS!H:H,ASSESSMENTS!B:B,A349,ASSESSMENTS!E:E,"Physical Sciences"),1),""))</f>
        <v/>
      </c>
      <c r="I349" s="4" t="str">
        <f>IF(A349="","",IFERROR(ROUND(AVERAGEIFS(ASSESSMENTS!H:H,ASSESSMENTS!B:B,A349,ASSESSMENTS!E:E,"Geography"),1),""))</f>
        <v/>
      </c>
      <c r="J349" s="4" t="str">
        <f>IF(A349="","",IFERROR(ROUND(AVERAGEIFS(ASSESSMENTS!H:H,ASSESSMENTS!B:B,A349,ASSESSMENTS!E:E,"Accounting"),1),""))</f>
        <v/>
      </c>
      <c r="K349" s="4" t="str">
        <f>IF(A349="","",IFERROR(ROUND(AVERAGEIFS(ASSESSMENTS!H:H,ASSESSMENTS!B:B,A349,ASSESSMENTS!E:E,"English"),1),""))</f>
        <v/>
      </c>
      <c r="L349" s="5" t="str">
        <f>IF(A349="","",IFERROR(INDEX(ATTENDANCE_SUMMARY!G:G,MATCH(A349,ATTENDANCE_SUMMARY!A:A,0)),""))</f>
        <v/>
      </c>
      <c r="M349" s="4" t="str">
        <f t="shared" si="5"/>
        <v/>
      </c>
    </row>
    <row r="350" spans="1:13" x14ac:dyDescent="0.3">
      <c r="A350" t="str">
        <f>IF(MASTER_REGISTER!E350="","",MASTER_REGISTER!E350)</f>
        <v/>
      </c>
      <c r="B350" t="str">
        <f>IF(A350="","",MASTER_REGISTER!F350)</f>
        <v/>
      </c>
      <c r="C350" t="str">
        <f>IF(A350="","",MASTER_REGISTER!C350)</f>
        <v/>
      </c>
      <c r="D350" t="str">
        <f>IF(A350="","",COUNTIF(ASSESSMENTS!B:B,A350))</f>
        <v/>
      </c>
      <c r="E350" s="4" t="e">
        <f>IF(D350=0,"",ROUND(AVERAGEIF(ASSESSMENTS!B:B,A350,ASSESSMENTS!H:H),1))</f>
        <v>#DIV/0!</v>
      </c>
      <c r="F350" s="4" t="str">
        <f>IF(A350="","",IFERROR(ROUND(AVERAGEIFS(ASSESSMENTS!H:H,ASSESSMENTS!B:B,A350,ASSESSMENTS!E:E,"Mathematics"),1),""))</f>
        <v/>
      </c>
      <c r="G350" s="4" t="str">
        <f>IF(A350="","",IFERROR(ROUND(AVERAGEIFS(ASSESSMENTS!H:H,ASSESSMENTS!B:B,A350,ASSESSMENTS!E:E,"Mathematical Literacy"),1),""))</f>
        <v/>
      </c>
      <c r="H350" s="4" t="str">
        <f>IF(A350="","",IFERROR(ROUND(AVERAGEIFS(ASSESSMENTS!H:H,ASSESSMENTS!B:B,A350,ASSESSMENTS!E:E,"Physical Sciences"),1),""))</f>
        <v/>
      </c>
      <c r="I350" s="4" t="str">
        <f>IF(A350="","",IFERROR(ROUND(AVERAGEIFS(ASSESSMENTS!H:H,ASSESSMENTS!B:B,A350,ASSESSMENTS!E:E,"Geography"),1),""))</f>
        <v/>
      </c>
      <c r="J350" s="4" t="str">
        <f>IF(A350="","",IFERROR(ROUND(AVERAGEIFS(ASSESSMENTS!H:H,ASSESSMENTS!B:B,A350,ASSESSMENTS!E:E,"Accounting"),1),""))</f>
        <v/>
      </c>
      <c r="K350" s="4" t="str">
        <f>IF(A350="","",IFERROR(ROUND(AVERAGEIFS(ASSESSMENTS!H:H,ASSESSMENTS!B:B,A350,ASSESSMENTS!E:E,"English"),1),""))</f>
        <v/>
      </c>
      <c r="L350" s="5" t="str">
        <f>IF(A350="","",IFERROR(INDEX(ATTENDANCE_SUMMARY!G:G,MATCH(A350,ATTENDANCE_SUMMARY!A:A,0)),""))</f>
        <v/>
      </c>
      <c r="M350" s="4" t="str">
        <f t="shared" si="5"/>
        <v/>
      </c>
    </row>
    <row r="351" spans="1:13" x14ac:dyDescent="0.3">
      <c r="A351" t="str">
        <f>IF(MASTER_REGISTER!E351="","",MASTER_REGISTER!E351)</f>
        <v/>
      </c>
      <c r="B351" t="str">
        <f>IF(A351="","",MASTER_REGISTER!F351)</f>
        <v/>
      </c>
      <c r="C351" t="str">
        <f>IF(A351="","",MASTER_REGISTER!C351)</f>
        <v/>
      </c>
      <c r="D351" t="str">
        <f>IF(A351="","",COUNTIF(ASSESSMENTS!B:B,A351))</f>
        <v/>
      </c>
      <c r="E351" s="4" t="e">
        <f>IF(D351=0,"",ROUND(AVERAGEIF(ASSESSMENTS!B:B,A351,ASSESSMENTS!H:H),1))</f>
        <v>#DIV/0!</v>
      </c>
      <c r="F351" s="4" t="str">
        <f>IF(A351="","",IFERROR(ROUND(AVERAGEIFS(ASSESSMENTS!H:H,ASSESSMENTS!B:B,A351,ASSESSMENTS!E:E,"Mathematics"),1),""))</f>
        <v/>
      </c>
      <c r="G351" s="4" t="str">
        <f>IF(A351="","",IFERROR(ROUND(AVERAGEIFS(ASSESSMENTS!H:H,ASSESSMENTS!B:B,A351,ASSESSMENTS!E:E,"Mathematical Literacy"),1),""))</f>
        <v/>
      </c>
      <c r="H351" s="4" t="str">
        <f>IF(A351="","",IFERROR(ROUND(AVERAGEIFS(ASSESSMENTS!H:H,ASSESSMENTS!B:B,A351,ASSESSMENTS!E:E,"Physical Sciences"),1),""))</f>
        <v/>
      </c>
      <c r="I351" s="4" t="str">
        <f>IF(A351="","",IFERROR(ROUND(AVERAGEIFS(ASSESSMENTS!H:H,ASSESSMENTS!B:B,A351,ASSESSMENTS!E:E,"Geography"),1),""))</f>
        <v/>
      </c>
      <c r="J351" s="4" t="str">
        <f>IF(A351="","",IFERROR(ROUND(AVERAGEIFS(ASSESSMENTS!H:H,ASSESSMENTS!B:B,A351,ASSESSMENTS!E:E,"Accounting"),1),""))</f>
        <v/>
      </c>
      <c r="K351" s="4" t="str">
        <f>IF(A351="","",IFERROR(ROUND(AVERAGEIFS(ASSESSMENTS!H:H,ASSESSMENTS!B:B,A351,ASSESSMENTS!E:E,"English"),1),""))</f>
        <v/>
      </c>
      <c r="L351" s="5" t="str">
        <f>IF(A351="","",IFERROR(INDEX(ATTENDANCE_SUMMARY!G:G,MATCH(A351,ATTENDANCE_SUMMARY!A:A,0)),""))</f>
        <v/>
      </c>
      <c r="M351" s="4" t="str">
        <f t="shared" si="5"/>
        <v/>
      </c>
    </row>
    <row r="352" spans="1:13" x14ac:dyDescent="0.3">
      <c r="A352" t="str">
        <f>IF(MASTER_REGISTER!E352="","",MASTER_REGISTER!E352)</f>
        <v/>
      </c>
      <c r="B352" t="str">
        <f>IF(A352="","",MASTER_REGISTER!F352)</f>
        <v/>
      </c>
      <c r="C352" t="str">
        <f>IF(A352="","",MASTER_REGISTER!C352)</f>
        <v/>
      </c>
      <c r="D352" t="str">
        <f>IF(A352="","",COUNTIF(ASSESSMENTS!B:B,A352))</f>
        <v/>
      </c>
      <c r="E352" s="4" t="e">
        <f>IF(D352=0,"",ROUND(AVERAGEIF(ASSESSMENTS!B:B,A352,ASSESSMENTS!H:H),1))</f>
        <v>#DIV/0!</v>
      </c>
      <c r="F352" s="4" t="str">
        <f>IF(A352="","",IFERROR(ROUND(AVERAGEIFS(ASSESSMENTS!H:H,ASSESSMENTS!B:B,A352,ASSESSMENTS!E:E,"Mathematics"),1),""))</f>
        <v/>
      </c>
      <c r="G352" s="4" t="str">
        <f>IF(A352="","",IFERROR(ROUND(AVERAGEIFS(ASSESSMENTS!H:H,ASSESSMENTS!B:B,A352,ASSESSMENTS!E:E,"Mathematical Literacy"),1),""))</f>
        <v/>
      </c>
      <c r="H352" s="4" t="str">
        <f>IF(A352="","",IFERROR(ROUND(AVERAGEIFS(ASSESSMENTS!H:H,ASSESSMENTS!B:B,A352,ASSESSMENTS!E:E,"Physical Sciences"),1),""))</f>
        <v/>
      </c>
      <c r="I352" s="4" t="str">
        <f>IF(A352="","",IFERROR(ROUND(AVERAGEIFS(ASSESSMENTS!H:H,ASSESSMENTS!B:B,A352,ASSESSMENTS!E:E,"Geography"),1),""))</f>
        <v/>
      </c>
      <c r="J352" s="4" t="str">
        <f>IF(A352="","",IFERROR(ROUND(AVERAGEIFS(ASSESSMENTS!H:H,ASSESSMENTS!B:B,A352,ASSESSMENTS!E:E,"Accounting"),1),""))</f>
        <v/>
      </c>
      <c r="K352" s="4" t="str">
        <f>IF(A352="","",IFERROR(ROUND(AVERAGEIFS(ASSESSMENTS!H:H,ASSESSMENTS!B:B,A352,ASSESSMENTS!E:E,"English"),1),""))</f>
        <v/>
      </c>
      <c r="L352" s="5" t="str">
        <f>IF(A352="","",IFERROR(INDEX(ATTENDANCE_SUMMARY!G:G,MATCH(A352,ATTENDANCE_SUMMARY!A:A,0)),""))</f>
        <v/>
      </c>
      <c r="M352" s="4" t="str">
        <f t="shared" si="5"/>
        <v/>
      </c>
    </row>
    <row r="353" spans="1:13" x14ac:dyDescent="0.3">
      <c r="A353" t="str">
        <f>IF(MASTER_REGISTER!E353="","",MASTER_REGISTER!E353)</f>
        <v/>
      </c>
      <c r="B353" t="str">
        <f>IF(A353="","",MASTER_REGISTER!F353)</f>
        <v/>
      </c>
      <c r="C353" t="str">
        <f>IF(A353="","",MASTER_REGISTER!C353)</f>
        <v/>
      </c>
      <c r="D353" t="str">
        <f>IF(A353="","",COUNTIF(ASSESSMENTS!B:B,A353))</f>
        <v/>
      </c>
      <c r="E353" s="4" t="e">
        <f>IF(D353=0,"",ROUND(AVERAGEIF(ASSESSMENTS!B:B,A353,ASSESSMENTS!H:H),1))</f>
        <v>#DIV/0!</v>
      </c>
      <c r="F353" s="4" t="str">
        <f>IF(A353="","",IFERROR(ROUND(AVERAGEIFS(ASSESSMENTS!H:H,ASSESSMENTS!B:B,A353,ASSESSMENTS!E:E,"Mathematics"),1),""))</f>
        <v/>
      </c>
      <c r="G353" s="4" t="str">
        <f>IF(A353="","",IFERROR(ROUND(AVERAGEIFS(ASSESSMENTS!H:H,ASSESSMENTS!B:B,A353,ASSESSMENTS!E:E,"Mathematical Literacy"),1),""))</f>
        <v/>
      </c>
      <c r="H353" s="4" t="str">
        <f>IF(A353="","",IFERROR(ROUND(AVERAGEIFS(ASSESSMENTS!H:H,ASSESSMENTS!B:B,A353,ASSESSMENTS!E:E,"Physical Sciences"),1),""))</f>
        <v/>
      </c>
      <c r="I353" s="4" t="str">
        <f>IF(A353="","",IFERROR(ROUND(AVERAGEIFS(ASSESSMENTS!H:H,ASSESSMENTS!B:B,A353,ASSESSMENTS!E:E,"Geography"),1),""))</f>
        <v/>
      </c>
      <c r="J353" s="4" t="str">
        <f>IF(A353="","",IFERROR(ROUND(AVERAGEIFS(ASSESSMENTS!H:H,ASSESSMENTS!B:B,A353,ASSESSMENTS!E:E,"Accounting"),1),""))</f>
        <v/>
      </c>
      <c r="K353" s="4" t="str">
        <f>IF(A353="","",IFERROR(ROUND(AVERAGEIFS(ASSESSMENTS!H:H,ASSESSMENTS!B:B,A353,ASSESSMENTS!E:E,"English"),1),""))</f>
        <v/>
      </c>
      <c r="L353" s="5" t="str">
        <f>IF(A353="","",IFERROR(INDEX(ATTENDANCE_SUMMARY!G:G,MATCH(A353,ATTENDANCE_SUMMARY!A:A,0)),""))</f>
        <v/>
      </c>
      <c r="M353" s="4" t="str">
        <f t="shared" si="5"/>
        <v/>
      </c>
    </row>
    <row r="354" spans="1:13" x14ac:dyDescent="0.3">
      <c r="A354" t="str">
        <f>IF(MASTER_REGISTER!E354="","",MASTER_REGISTER!E354)</f>
        <v/>
      </c>
      <c r="B354" t="str">
        <f>IF(A354="","",MASTER_REGISTER!F354)</f>
        <v/>
      </c>
      <c r="C354" t="str">
        <f>IF(A354="","",MASTER_REGISTER!C354)</f>
        <v/>
      </c>
      <c r="D354" t="str">
        <f>IF(A354="","",COUNTIF(ASSESSMENTS!B:B,A354))</f>
        <v/>
      </c>
      <c r="E354" s="4" t="e">
        <f>IF(D354=0,"",ROUND(AVERAGEIF(ASSESSMENTS!B:B,A354,ASSESSMENTS!H:H),1))</f>
        <v>#DIV/0!</v>
      </c>
      <c r="F354" s="4" t="str">
        <f>IF(A354="","",IFERROR(ROUND(AVERAGEIFS(ASSESSMENTS!H:H,ASSESSMENTS!B:B,A354,ASSESSMENTS!E:E,"Mathematics"),1),""))</f>
        <v/>
      </c>
      <c r="G354" s="4" t="str">
        <f>IF(A354="","",IFERROR(ROUND(AVERAGEIFS(ASSESSMENTS!H:H,ASSESSMENTS!B:B,A354,ASSESSMENTS!E:E,"Mathematical Literacy"),1),""))</f>
        <v/>
      </c>
      <c r="H354" s="4" t="str">
        <f>IF(A354="","",IFERROR(ROUND(AVERAGEIFS(ASSESSMENTS!H:H,ASSESSMENTS!B:B,A354,ASSESSMENTS!E:E,"Physical Sciences"),1),""))</f>
        <v/>
      </c>
      <c r="I354" s="4" t="str">
        <f>IF(A354="","",IFERROR(ROUND(AVERAGEIFS(ASSESSMENTS!H:H,ASSESSMENTS!B:B,A354,ASSESSMENTS!E:E,"Geography"),1),""))</f>
        <v/>
      </c>
      <c r="J354" s="4" t="str">
        <f>IF(A354="","",IFERROR(ROUND(AVERAGEIFS(ASSESSMENTS!H:H,ASSESSMENTS!B:B,A354,ASSESSMENTS!E:E,"Accounting"),1),""))</f>
        <v/>
      </c>
      <c r="K354" s="4" t="str">
        <f>IF(A354="","",IFERROR(ROUND(AVERAGEIFS(ASSESSMENTS!H:H,ASSESSMENTS!B:B,A354,ASSESSMENTS!E:E,"English"),1),""))</f>
        <v/>
      </c>
      <c r="L354" s="5" t="str">
        <f>IF(A354="","",IFERROR(INDEX(ATTENDANCE_SUMMARY!G:G,MATCH(A354,ATTENDANCE_SUMMARY!A:A,0)),""))</f>
        <v/>
      </c>
      <c r="M354" s="4" t="str">
        <f t="shared" si="5"/>
        <v/>
      </c>
    </row>
    <row r="355" spans="1:13" x14ac:dyDescent="0.3">
      <c r="A355" t="str">
        <f>IF(MASTER_REGISTER!E355="","",MASTER_REGISTER!E355)</f>
        <v/>
      </c>
      <c r="B355" t="str">
        <f>IF(A355="","",MASTER_REGISTER!F355)</f>
        <v/>
      </c>
      <c r="C355" t="str">
        <f>IF(A355="","",MASTER_REGISTER!C355)</f>
        <v/>
      </c>
      <c r="D355" t="str">
        <f>IF(A355="","",COUNTIF(ASSESSMENTS!B:B,A355))</f>
        <v/>
      </c>
      <c r="E355" s="4" t="e">
        <f>IF(D355=0,"",ROUND(AVERAGEIF(ASSESSMENTS!B:B,A355,ASSESSMENTS!H:H),1))</f>
        <v>#DIV/0!</v>
      </c>
      <c r="F355" s="4" t="str">
        <f>IF(A355="","",IFERROR(ROUND(AVERAGEIFS(ASSESSMENTS!H:H,ASSESSMENTS!B:B,A355,ASSESSMENTS!E:E,"Mathematics"),1),""))</f>
        <v/>
      </c>
      <c r="G355" s="4" t="str">
        <f>IF(A355="","",IFERROR(ROUND(AVERAGEIFS(ASSESSMENTS!H:H,ASSESSMENTS!B:B,A355,ASSESSMENTS!E:E,"Mathematical Literacy"),1),""))</f>
        <v/>
      </c>
      <c r="H355" s="4" t="str">
        <f>IF(A355="","",IFERROR(ROUND(AVERAGEIFS(ASSESSMENTS!H:H,ASSESSMENTS!B:B,A355,ASSESSMENTS!E:E,"Physical Sciences"),1),""))</f>
        <v/>
      </c>
      <c r="I355" s="4" t="str">
        <f>IF(A355="","",IFERROR(ROUND(AVERAGEIFS(ASSESSMENTS!H:H,ASSESSMENTS!B:B,A355,ASSESSMENTS!E:E,"Geography"),1),""))</f>
        <v/>
      </c>
      <c r="J355" s="4" t="str">
        <f>IF(A355="","",IFERROR(ROUND(AVERAGEIFS(ASSESSMENTS!H:H,ASSESSMENTS!B:B,A355,ASSESSMENTS!E:E,"Accounting"),1),""))</f>
        <v/>
      </c>
      <c r="K355" s="4" t="str">
        <f>IF(A355="","",IFERROR(ROUND(AVERAGEIFS(ASSESSMENTS!H:H,ASSESSMENTS!B:B,A355,ASSESSMENTS!E:E,"English"),1),""))</f>
        <v/>
      </c>
      <c r="L355" s="5" t="str">
        <f>IF(A355="","",IFERROR(INDEX(ATTENDANCE_SUMMARY!G:G,MATCH(A355,ATTENDANCE_SUMMARY!A:A,0)),""))</f>
        <v/>
      </c>
      <c r="M355" s="4" t="str">
        <f t="shared" si="5"/>
        <v/>
      </c>
    </row>
    <row r="356" spans="1:13" x14ac:dyDescent="0.3">
      <c r="A356" t="str">
        <f>IF(MASTER_REGISTER!E356="","",MASTER_REGISTER!E356)</f>
        <v/>
      </c>
      <c r="B356" t="str">
        <f>IF(A356="","",MASTER_REGISTER!F356)</f>
        <v/>
      </c>
      <c r="C356" t="str">
        <f>IF(A356="","",MASTER_REGISTER!C356)</f>
        <v/>
      </c>
      <c r="D356" t="str">
        <f>IF(A356="","",COUNTIF(ASSESSMENTS!B:B,A356))</f>
        <v/>
      </c>
      <c r="E356" s="4" t="e">
        <f>IF(D356=0,"",ROUND(AVERAGEIF(ASSESSMENTS!B:B,A356,ASSESSMENTS!H:H),1))</f>
        <v>#DIV/0!</v>
      </c>
      <c r="F356" s="4" t="str">
        <f>IF(A356="","",IFERROR(ROUND(AVERAGEIFS(ASSESSMENTS!H:H,ASSESSMENTS!B:B,A356,ASSESSMENTS!E:E,"Mathematics"),1),""))</f>
        <v/>
      </c>
      <c r="G356" s="4" t="str">
        <f>IF(A356="","",IFERROR(ROUND(AVERAGEIFS(ASSESSMENTS!H:H,ASSESSMENTS!B:B,A356,ASSESSMENTS!E:E,"Mathematical Literacy"),1),""))</f>
        <v/>
      </c>
      <c r="H356" s="4" t="str">
        <f>IF(A356="","",IFERROR(ROUND(AVERAGEIFS(ASSESSMENTS!H:H,ASSESSMENTS!B:B,A356,ASSESSMENTS!E:E,"Physical Sciences"),1),""))</f>
        <v/>
      </c>
      <c r="I356" s="4" t="str">
        <f>IF(A356="","",IFERROR(ROUND(AVERAGEIFS(ASSESSMENTS!H:H,ASSESSMENTS!B:B,A356,ASSESSMENTS!E:E,"Geography"),1),""))</f>
        <v/>
      </c>
      <c r="J356" s="4" t="str">
        <f>IF(A356="","",IFERROR(ROUND(AVERAGEIFS(ASSESSMENTS!H:H,ASSESSMENTS!B:B,A356,ASSESSMENTS!E:E,"Accounting"),1),""))</f>
        <v/>
      </c>
      <c r="K356" s="4" t="str">
        <f>IF(A356="","",IFERROR(ROUND(AVERAGEIFS(ASSESSMENTS!H:H,ASSESSMENTS!B:B,A356,ASSESSMENTS!E:E,"English"),1),""))</f>
        <v/>
      </c>
      <c r="L356" s="5" t="str">
        <f>IF(A356="","",IFERROR(INDEX(ATTENDANCE_SUMMARY!G:G,MATCH(A356,ATTENDANCE_SUMMARY!A:A,0)),""))</f>
        <v/>
      </c>
      <c r="M356" s="4" t="str">
        <f t="shared" si="5"/>
        <v/>
      </c>
    </row>
    <row r="357" spans="1:13" x14ac:dyDescent="0.3">
      <c r="A357" t="str">
        <f>IF(MASTER_REGISTER!E357="","",MASTER_REGISTER!E357)</f>
        <v/>
      </c>
      <c r="B357" t="str">
        <f>IF(A357="","",MASTER_REGISTER!F357)</f>
        <v/>
      </c>
      <c r="C357" t="str">
        <f>IF(A357="","",MASTER_REGISTER!C357)</f>
        <v/>
      </c>
      <c r="D357" t="str">
        <f>IF(A357="","",COUNTIF(ASSESSMENTS!B:B,A357))</f>
        <v/>
      </c>
      <c r="E357" s="4" t="e">
        <f>IF(D357=0,"",ROUND(AVERAGEIF(ASSESSMENTS!B:B,A357,ASSESSMENTS!H:H),1))</f>
        <v>#DIV/0!</v>
      </c>
      <c r="F357" s="4" t="str">
        <f>IF(A357="","",IFERROR(ROUND(AVERAGEIFS(ASSESSMENTS!H:H,ASSESSMENTS!B:B,A357,ASSESSMENTS!E:E,"Mathematics"),1),""))</f>
        <v/>
      </c>
      <c r="G357" s="4" t="str">
        <f>IF(A357="","",IFERROR(ROUND(AVERAGEIFS(ASSESSMENTS!H:H,ASSESSMENTS!B:B,A357,ASSESSMENTS!E:E,"Mathematical Literacy"),1),""))</f>
        <v/>
      </c>
      <c r="H357" s="4" t="str">
        <f>IF(A357="","",IFERROR(ROUND(AVERAGEIFS(ASSESSMENTS!H:H,ASSESSMENTS!B:B,A357,ASSESSMENTS!E:E,"Physical Sciences"),1),""))</f>
        <v/>
      </c>
      <c r="I357" s="4" t="str">
        <f>IF(A357="","",IFERROR(ROUND(AVERAGEIFS(ASSESSMENTS!H:H,ASSESSMENTS!B:B,A357,ASSESSMENTS!E:E,"Geography"),1),""))</f>
        <v/>
      </c>
      <c r="J357" s="4" t="str">
        <f>IF(A357="","",IFERROR(ROUND(AVERAGEIFS(ASSESSMENTS!H:H,ASSESSMENTS!B:B,A357,ASSESSMENTS!E:E,"Accounting"),1),""))</f>
        <v/>
      </c>
      <c r="K357" s="4" t="str">
        <f>IF(A357="","",IFERROR(ROUND(AVERAGEIFS(ASSESSMENTS!H:H,ASSESSMENTS!B:B,A357,ASSESSMENTS!E:E,"English"),1),""))</f>
        <v/>
      </c>
      <c r="L357" s="5" t="str">
        <f>IF(A357="","",IFERROR(INDEX(ATTENDANCE_SUMMARY!G:G,MATCH(A357,ATTENDANCE_SUMMARY!A:A,0)),""))</f>
        <v/>
      </c>
      <c r="M357" s="4" t="str">
        <f t="shared" si="5"/>
        <v/>
      </c>
    </row>
    <row r="358" spans="1:13" x14ac:dyDescent="0.3">
      <c r="A358" t="str">
        <f>IF(MASTER_REGISTER!E358="","",MASTER_REGISTER!E358)</f>
        <v/>
      </c>
      <c r="B358" t="str">
        <f>IF(A358="","",MASTER_REGISTER!F358)</f>
        <v/>
      </c>
      <c r="C358" t="str">
        <f>IF(A358="","",MASTER_REGISTER!C358)</f>
        <v/>
      </c>
      <c r="D358" t="str">
        <f>IF(A358="","",COUNTIF(ASSESSMENTS!B:B,A358))</f>
        <v/>
      </c>
      <c r="E358" s="4" t="e">
        <f>IF(D358=0,"",ROUND(AVERAGEIF(ASSESSMENTS!B:B,A358,ASSESSMENTS!H:H),1))</f>
        <v>#DIV/0!</v>
      </c>
      <c r="F358" s="4" t="str">
        <f>IF(A358="","",IFERROR(ROUND(AVERAGEIFS(ASSESSMENTS!H:H,ASSESSMENTS!B:B,A358,ASSESSMENTS!E:E,"Mathematics"),1),""))</f>
        <v/>
      </c>
      <c r="G358" s="4" t="str">
        <f>IF(A358="","",IFERROR(ROUND(AVERAGEIFS(ASSESSMENTS!H:H,ASSESSMENTS!B:B,A358,ASSESSMENTS!E:E,"Mathematical Literacy"),1),""))</f>
        <v/>
      </c>
      <c r="H358" s="4" t="str">
        <f>IF(A358="","",IFERROR(ROUND(AVERAGEIFS(ASSESSMENTS!H:H,ASSESSMENTS!B:B,A358,ASSESSMENTS!E:E,"Physical Sciences"),1),""))</f>
        <v/>
      </c>
      <c r="I358" s="4" t="str">
        <f>IF(A358="","",IFERROR(ROUND(AVERAGEIFS(ASSESSMENTS!H:H,ASSESSMENTS!B:B,A358,ASSESSMENTS!E:E,"Geography"),1),""))</f>
        <v/>
      </c>
      <c r="J358" s="4" t="str">
        <f>IF(A358="","",IFERROR(ROUND(AVERAGEIFS(ASSESSMENTS!H:H,ASSESSMENTS!B:B,A358,ASSESSMENTS!E:E,"Accounting"),1),""))</f>
        <v/>
      </c>
      <c r="K358" s="4" t="str">
        <f>IF(A358="","",IFERROR(ROUND(AVERAGEIFS(ASSESSMENTS!H:H,ASSESSMENTS!B:B,A358,ASSESSMENTS!E:E,"English"),1),""))</f>
        <v/>
      </c>
      <c r="L358" s="5" t="str">
        <f>IF(A358="","",IFERROR(INDEX(ATTENDANCE_SUMMARY!G:G,MATCH(A358,ATTENDANCE_SUMMARY!A:A,0)),""))</f>
        <v/>
      </c>
      <c r="M358" s="4" t="str">
        <f t="shared" si="5"/>
        <v/>
      </c>
    </row>
    <row r="359" spans="1:13" x14ac:dyDescent="0.3">
      <c r="A359" t="str">
        <f>IF(MASTER_REGISTER!E359="","",MASTER_REGISTER!E359)</f>
        <v/>
      </c>
      <c r="B359" t="str">
        <f>IF(A359="","",MASTER_REGISTER!F359)</f>
        <v/>
      </c>
      <c r="C359" t="str">
        <f>IF(A359="","",MASTER_REGISTER!C359)</f>
        <v/>
      </c>
      <c r="D359" t="str">
        <f>IF(A359="","",COUNTIF(ASSESSMENTS!B:B,A359))</f>
        <v/>
      </c>
      <c r="E359" s="4" t="e">
        <f>IF(D359=0,"",ROUND(AVERAGEIF(ASSESSMENTS!B:B,A359,ASSESSMENTS!H:H),1))</f>
        <v>#DIV/0!</v>
      </c>
      <c r="F359" s="4" t="str">
        <f>IF(A359="","",IFERROR(ROUND(AVERAGEIFS(ASSESSMENTS!H:H,ASSESSMENTS!B:B,A359,ASSESSMENTS!E:E,"Mathematics"),1),""))</f>
        <v/>
      </c>
      <c r="G359" s="4" t="str">
        <f>IF(A359="","",IFERROR(ROUND(AVERAGEIFS(ASSESSMENTS!H:H,ASSESSMENTS!B:B,A359,ASSESSMENTS!E:E,"Mathematical Literacy"),1),""))</f>
        <v/>
      </c>
      <c r="H359" s="4" t="str">
        <f>IF(A359="","",IFERROR(ROUND(AVERAGEIFS(ASSESSMENTS!H:H,ASSESSMENTS!B:B,A359,ASSESSMENTS!E:E,"Physical Sciences"),1),""))</f>
        <v/>
      </c>
      <c r="I359" s="4" t="str">
        <f>IF(A359="","",IFERROR(ROUND(AVERAGEIFS(ASSESSMENTS!H:H,ASSESSMENTS!B:B,A359,ASSESSMENTS!E:E,"Geography"),1),""))</f>
        <v/>
      </c>
      <c r="J359" s="4" t="str">
        <f>IF(A359="","",IFERROR(ROUND(AVERAGEIFS(ASSESSMENTS!H:H,ASSESSMENTS!B:B,A359,ASSESSMENTS!E:E,"Accounting"),1),""))</f>
        <v/>
      </c>
      <c r="K359" s="4" t="str">
        <f>IF(A359="","",IFERROR(ROUND(AVERAGEIFS(ASSESSMENTS!H:H,ASSESSMENTS!B:B,A359,ASSESSMENTS!E:E,"English"),1),""))</f>
        <v/>
      </c>
      <c r="L359" s="5" t="str">
        <f>IF(A359="","",IFERROR(INDEX(ATTENDANCE_SUMMARY!G:G,MATCH(A359,ATTENDANCE_SUMMARY!A:A,0)),""))</f>
        <v/>
      </c>
      <c r="M359" s="4" t="str">
        <f t="shared" si="5"/>
        <v/>
      </c>
    </row>
    <row r="360" spans="1:13" x14ac:dyDescent="0.3">
      <c r="A360" t="str">
        <f>IF(MASTER_REGISTER!E360="","",MASTER_REGISTER!E360)</f>
        <v/>
      </c>
      <c r="B360" t="str">
        <f>IF(A360="","",MASTER_REGISTER!F360)</f>
        <v/>
      </c>
      <c r="C360" t="str">
        <f>IF(A360="","",MASTER_REGISTER!C360)</f>
        <v/>
      </c>
      <c r="D360" t="str">
        <f>IF(A360="","",COUNTIF(ASSESSMENTS!B:B,A360))</f>
        <v/>
      </c>
      <c r="E360" s="4" t="e">
        <f>IF(D360=0,"",ROUND(AVERAGEIF(ASSESSMENTS!B:B,A360,ASSESSMENTS!H:H),1))</f>
        <v>#DIV/0!</v>
      </c>
      <c r="F360" s="4" t="str">
        <f>IF(A360="","",IFERROR(ROUND(AVERAGEIFS(ASSESSMENTS!H:H,ASSESSMENTS!B:B,A360,ASSESSMENTS!E:E,"Mathematics"),1),""))</f>
        <v/>
      </c>
      <c r="G360" s="4" t="str">
        <f>IF(A360="","",IFERROR(ROUND(AVERAGEIFS(ASSESSMENTS!H:H,ASSESSMENTS!B:B,A360,ASSESSMENTS!E:E,"Mathematical Literacy"),1),""))</f>
        <v/>
      </c>
      <c r="H360" s="4" t="str">
        <f>IF(A360="","",IFERROR(ROUND(AVERAGEIFS(ASSESSMENTS!H:H,ASSESSMENTS!B:B,A360,ASSESSMENTS!E:E,"Physical Sciences"),1),""))</f>
        <v/>
      </c>
      <c r="I360" s="4" t="str">
        <f>IF(A360="","",IFERROR(ROUND(AVERAGEIFS(ASSESSMENTS!H:H,ASSESSMENTS!B:B,A360,ASSESSMENTS!E:E,"Geography"),1),""))</f>
        <v/>
      </c>
      <c r="J360" s="4" t="str">
        <f>IF(A360="","",IFERROR(ROUND(AVERAGEIFS(ASSESSMENTS!H:H,ASSESSMENTS!B:B,A360,ASSESSMENTS!E:E,"Accounting"),1),""))</f>
        <v/>
      </c>
      <c r="K360" s="4" t="str">
        <f>IF(A360="","",IFERROR(ROUND(AVERAGEIFS(ASSESSMENTS!H:H,ASSESSMENTS!B:B,A360,ASSESSMENTS!E:E,"English"),1),""))</f>
        <v/>
      </c>
      <c r="L360" s="5" t="str">
        <f>IF(A360="","",IFERROR(INDEX(ATTENDANCE_SUMMARY!G:G,MATCH(A360,ATTENDANCE_SUMMARY!A:A,0)),""))</f>
        <v/>
      </c>
      <c r="M360" s="4" t="str">
        <f t="shared" si="5"/>
        <v/>
      </c>
    </row>
    <row r="361" spans="1:13" x14ac:dyDescent="0.3">
      <c r="A361" t="str">
        <f>IF(MASTER_REGISTER!E361="","",MASTER_REGISTER!E361)</f>
        <v/>
      </c>
      <c r="B361" t="str">
        <f>IF(A361="","",MASTER_REGISTER!F361)</f>
        <v/>
      </c>
      <c r="C361" t="str">
        <f>IF(A361="","",MASTER_REGISTER!C361)</f>
        <v/>
      </c>
      <c r="D361" t="str">
        <f>IF(A361="","",COUNTIF(ASSESSMENTS!B:B,A361))</f>
        <v/>
      </c>
      <c r="E361" s="4" t="e">
        <f>IF(D361=0,"",ROUND(AVERAGEIF(ASSESSMENTS!B:B,A361,ASSESSMENTS!H:H),1))</f>
        <v>#DIV/0!</v>
      </c>
      <c r="F361" s="4" t="str">
        <f>IF(A361="","",IFERROR(ROUND(AVERAGEIFS(ASSESSMENTS!H:H,ASSESSMENTS!B:B,A361,ASSESSMENTS!E:E,"Mathematics"),1),""))</f>
        <v/>
      </c>
      <c r="G361" s="4" t="str">
        <f>IF(A361="","",IFERROR(ROUND(AVERAGEIFS(ASSESSMENTS!H:H,ASSESSMENTS!B:B,A361,ASSESSMENTS!E:E,"Mathematical Literacy"),1),""))</f>
        <v/>
      </c>
      <c r="H361" s="4" t="str">
        <f>IF(A361="","",IFERROR(ROUND(AVERAGEIFS(ASSESSMENTS!H:H,ASSESSMENTS!B:B,A361,ASSESSMENTS!E:E,"Physical Sciences"),1),""))</f>
        <v/>
      </c>
      <c r="I361" s="4" t="str">
        <f>IF(A361="","",IFERROR(ROUND(AVERAGEIFS(ASSESSMENTS!H:H,ASSESSMENTS!B:B,A361,ASSESSMENTS!E:E,"Geography"),1),""))</f>
        <v/>
      </c>
      <c r="J361" s="4" t="str">
        <f>IF(A361="","",IFERROR(ROUND(AVERAGEIFS(ASSESSMENTS!H:H,ASSESSMENTS!B:B,A361,ASSESSMENTS!E:E,"Accounting"),1),""))</f>
        <v/>
      </c>
      <c r="K361" s="4" t="str">
        <f>IF(A361="","",IFERROR(ROUND(AVERAGEIFS(ASSESSMENTS!H:H,ASSESSMENTS!B:B,A361,ASSESSMENTS!E:E,"English"),1),""))</f>
        <v/>
      </c>
      <c r="L361" s="5" t="str">
        <f>IF(A361="","",IFERROR(INDEX(ATTENDANCE_SUMMARY!G:G,MATCH(A361,ATTENDANCE_SUMMARY!A:A,0)),""))</f>
        <v/>
      </c>
      <c r="M361" s="4" t="str">
        <f t="shared" si="5"/>
        <v/>
      </c>
    </row>
    <row r="362" spans="1:13" x14ac:dyDescent="0.3">
      <c r="A362" t="str">
        <f>IF(MASTER_REGISTER!E362="","",MASTER_REGISTER!E362)</f>
        <v/>
      </c>
      <c r="B362" t="str">
        <f>IF(A362="","",MASTER_REGISTER!F362)</f>
        <v/>
      </c>
      <c r="C362" t="str">
        <f>IF(A362="","",MASTER_REGISTER!C362)</f>
        <v/>
      </c>
      <c r="D362" t="str">
        <f>IF(A362="","",COUNTIF(ASSESSMENTS!B:B,A362))</f>
        <v/>
      </c>
      <c r="E362" s="4" t="e">
        <f>IF(D362=0,"",ROUND(AVERAGEIF(ASSESSMENTS!B:B,A362,ASSESSMENTS!H:H),1))</f>
        <v>#DIV/0!</v>
      </c>
      <c r="F362" s="4" t="str">
        <f>IF(A362="","",IFERROR(ROUND(AVERAGEIFS(ASSESSMENTS!H:H,ASSESSMENTS!B:B,A362,ASSESSMENTS!E:E,"Mathematics"),1),""))</f>
        <v/>
      </c>
      <c r="G362" s="4" t="str">
        <f>IF(A362="","",IFERROR(ROUND(AVERAGEIFS(ASSESSMENTS!H:H,ASSESSMENTS!B:B,A362,ASSESSMENTS!E:E,"Mathematical Literacy"),1),""))</f>
        <v/>
      </c>
      <c r="H362" s="4" t="str">
        <f>IF(A362="","",IFERROR(ROUND(AVERAGEIFS(ASSESSMENTS!H:H,ASSESSMENTS!B:B,A362,ASSESSMENTS!E:E,"Physical Sciences"),1),""))</f>
        <v/>
      </c>
      <c r="I362" s="4" t="str">
        <f>IF(A362="","",IFERROR(ROUND(AVERAGEIFS(ASSESSMENTS!H:H,ASSESSMENTS!B:B,A362,ASSESSMENTS!E:E,"Geography"),1),""))</f>
        <v/>
      </c>
      <c r="J362" s="4" t="str">
        <f>IF(A362="","",IFERROR(ROUND(AVERAGEIFS(ASSESSMENTS!H:H,ASSESSMENTS!B:B,A362,ASSESSMENTS!E:E,"Accounting"),1),""))</f>
        <v/>
      </c>
      <c r="K362" s="4" t="str">
        <f>IF(A362="","",IFERROR(ROUND(AVERAGEIFS(ASSESSMENTS!H:H,ASSESSMENTS!B:B,A362,ASSESSMENTS!E:E,"English"),1),""))</f>
        <v/>
      </c>
      <c r="L362" s="5" t="str">
        <f>IF(A362="","",IFERROR(INDEX(ATTENDANCE_SUMMARY!G:G,MATCH(A362,ATTENDANCE_SUMMARY!A:A,0)),""))</f>
        <v/>
      </c>
      <c r="M362" s="4" t="str">
        <f t="shared" si="5"/>
        <v/>
      </c>
    </row>
    <row r="363" spans="1:13" x14ac:dyDescent="0.3">
      <c r="A363" t="str">
        <f>IF(MASTER_REGISTER!E363="","",MASTER_REGISTER!E363)</f>
        <v/>
      </c>
      <c r="B363" t="str">
        <f>IF(A363="","",MASTER_REGISTER!F363)</f>
        <v/>
      </c>
      <c r="C363" t="str">
        <f>IF(A363="","",MASTER_REGISTER!C363)</f>
        <v/>
      </c>
      <c r="D363" t="str">
        <f>IF(A363="","",COUNTIF(ASSESSMENTS!B:B,A363))</f>
        <v/>
      </c>
      <c r="E363" s="4" t="e">
        <f>IF(D363=0,"",ROUND(AVERAGEIF(ASSESSMENTS!B:B,A363,ASSESSMENTS!H:H),1))</f>
        <v>#DIV/0!</v>
      </c>
      <c r="F363" s="4" t="str">
        <f>IF(A363="","",IFERROR(ROUND(AVERAGEIFS(ASSESSMENTS!H:H,ASSESSMENTS!B:B,A363,ASSESSMENTS!E:E,"Mathematics"),1),""))</f>
        <v/>
      </c>
      <c r="G363" s="4" t="str">
        <f>IF(A363="","",IFERROR(ROUND(AVERAGEIFS(ASSESSMENTS!H:H,ASSESSMENTS!B:B,A363,ASSESSMENTS!E:E,"Mathematical Literacy"),1),""))</f>
        <v/>
      </c>
      <c r="H363" s="4" t="str">
        <f>IF(A363="","",IFERROR(ROUND(AVERAGEIFS(ASSESSMENTS!H:H,ASSESSMENTS!B:B,A363,ASSESSMENTS!E:E,"Physical Sciences"),1),""))</f>
        <v/>
      </c>
      <c r="I363" s="4" t="str">
        <f>IF(A363="","",IFERROR(ROUND(AVERAGEIFS(ASSESSMENTS!H:H,ASSESSMENTS!B:B,A363,ASSESSMENTS!E:E,"Geography"),1),""))</f>
        <v/>
      </c>
      <c r="J363" s="4" t="str">
        <f>IF(A363="","",IFERROR(ROUND(AVERAGEIFS(ASSESSMENTS!H:H,ASSESSMENTS!B:B,A363,ASSESSMENTS!E:E,"Accounting"),1),""))</f>
        <v/>
      </c>
      <c r="K363" s="4" t="str">
        <f>IF(A363="","",IFERROR(ROUND(AVERAGEIFS(ASSESSMENTS!H:H,ASSESSMENTS!B:B,A363,ASSESSMENTS!E:E,"English"),1),""))</f>
        <v/>
      </c>
      <c r="L363" s="5" t="str">
        <f>IF(A363="","",IFERROR(INDEX(ATTENDANCE_SUMMARY!G:G,MATCH(A363,ATTENDANCE_SUMMARY!A:A,0)),""))</f>
        <v/>
      </c>
      <c r="M363" s="4" t="str">
        <f t="shared" si="5"/>
        <v/>
      </c>
    </row>
    <row r="364" spans="1:13" x14ac:dyDescent="0.3">
      <c r="A364" t="str">
        <f>IF(MASTER_REGISTER!E364="","",MASTER_REGISTER!E364)</f>
        <v/>
      </c>
      <c r="B364" t="str">
        <f>IF(A364="","",MASTER_REGISTER!F364)</f>
        <v/>
      </c>
      <c r="C364" t="str">
        <f>IF(A364="","",MASTER_REGISTER!C364)</f>
        <v/>
      </c>
      <c r="D364" t="str">
        <f>IF(A364="","",COUNTIF(ASSESSMENTS!B:B,A364))</f>
        <v/>
      </c>
      <c r="E364" s="4" t="e">
        <f>IF(D364=0,"",ROUND(AVERAGEIF(ASSESSMENTS!B:B,A364,ASSESSMENTS!H:H),1))</f>
        <v>#DIV/0!</v>
      </c>
      <c r="F364" s="4" t="str">
        <f>IF(A364="","",IFERROR(ROUND(AVERAGEIFS(ASSESSMENTS!H:H,ASSESSMENTS!B:B,A364,ASSESSMENTS!E:E,"Mathematics"),1),""))</f>
        <v/>
      </c>
      <c r="G364" s="4" t="str">
        <f>IF(A364="","",IFERROR(ROUND(AVERAGEIFS(ASSESSMENTS!H:H,ASSESSMENTS!B:B,A364,ASSESSMENTS!E:E,"Mathematical Literacy"),1),""))</f>
        <v/>
      </c>
      <c r="H364" s="4" t="str">
        <f>IF(A364="","",IFERROR(ROUND(AVERAGEIFS(ASSESSMENTS!H:H,ASSESSMENTS!B:B,A364,ASSESSMENTS!E:E,"Physical Sciences"),1),""))</f>
        <v/>
      </c>
      <c r="I364" s="4" t="str">
        <f>IF(A364="","",IFERROR(ROUND(AVERAGEIFS(ASSESSMENTS!H:H,ASSESSMENTS!B:B,A364,ASSESSMENTS!E:E,"Geography"),1),""))</f>
        <v/>
      </c>
      <c r="J364" s="4" t="str">
        <f>IF(A364="","",IFERROR(ROUND(AVERAGEIFS(ASSESSMENTS!H:H,ASSESSMENTS!B:B,A364,ASSESSMENTS!E:E,"Accounting"),1),""))</f>
        <v/>
      </c>
      <c r="K364" s="4" t="str">
        <f>IF(A364="","",IFERROR(ROUND(AVERAGEIFS(ASSESSMENTS!H:H,ASSESSMENTS!B:B,A364,ASSESSMENTS!E:E,"English"),1),""))</f>
        <v/>
      </c>
      <c r="L364" s="5" t="str">
        <f>IF(A364="","",IFERROR(INDEX(ATTENDANCE_SUMMARY!G:G,MATCH(A364,ATTENDANCE_SUMMARY!A:A,0)),""))</f>
        <v/>
      </c>
      <c r="M364" s="4" t="str">
        <f t="shared" si="5"/>
        <v/>
      </c>
    </row>
    <row r="365" spans="1:13" x14ac:dyDescent="0.3">
      <c r="A365" t="str">
        <f>IF(MASTER_REGISTER!E365="","",MASTER_REGISTER!E365)</f>
        <v/>
      </c>
      <c r="B365" t="str">
        <f>IF(A365="","",MASTER_REGISTER!F365)</f>
        <v/>
      </c>
      <c r="C365" t="str">
        <f>IF(A365="","",MASTER_REGISTER!C365)</f>
        <v/>
      </c>
      <c r="D365" t="str">
        <f>IF(A365="","",COUNTIF(ASSESSMENTS!B:B,A365))</f>
        <v/>
      </c>
      <c r="E365" s="4" t="e">
        <f>IF(D365=0,"",ROUND(AVERAGEIF(ASSESSMENTS!B:B,A365,ASSESSMENTS!H:H),1))</f>
        <v>#DIV/0!</v>
      </c>
      <c r="F365" s="4" t="str">
        <f>IF(A365="","",IFERROR(ROUND(AVERAGEIFS(ASSESSMENTS!H:H,ASSESSMENTS!B:B,A365,ASSESSMENTS!E:E,"Mathematics"),1),""))</f>
        <v/>
      </c>
      <c r="G365" s="4" t="str">
        <f>IF(A365="","",IFERROR(ROUND(AVERAGEIFS(ASSESSMENTS!H:H,ASSESSMENTS!B:B,A365,ASSESSMENTS!E:E,"Mathematical Literacy"),1),""))</f>
        <v/>
      </c>
      <c r="H365" s="4" t="str">
        <f>IF(A365="","",IFERROR(ROUND(AVERAGEIFS(ASSESSMENTS!H:H,ASSESSMENTS!B:B,A365,ASSESSMENTS!E:E,"Physical Sciences"),1),""))</f>
        <v/>
      </c>
      <c r="I365" s="4" t="str">
        <f>IF(A365="","",IFERROR(ROUND(AVERAGEIFS(ASSESSMENTS!H:H,ASSESSMENTS!B:B,A365,ASSESSMENTS!E:E,"Geography"),1),""))</f>
        <v/>
      </c>
      <c r="J365" s="4" t="str">
        <f>IF(A365="","",IFERROR(ROUND(AVERAGEIFS(ASSESSMENTS!H:H,ASSESSMENTS!B:B,A365,ASSESSMENTS!E:E,"Accounting"),1),""))</f>
        <v/>
      </c>
      <c r="K365" s="4" t="str">
        <f>IF(A365="","",IFERROR(ROUND(AVERAGEIFS(ASSESSMENTS!H:H,ASSESSMENTS!B:B,A365,ASSESSMENTS!E:E,"English"),1),""))</f>
        <v/>
      </c>
      <c r="L365" s="5" t="str">
        <f>IF(A365="","",IFERROR(INDEX(ATTENDANCE_SUMMARY!G:G,MATCH(A365,ATTENDANCE_SUMMARY!A:A,0)),""))</f>
        <v/>
      </c>
      <c r="M365" s="4" t="str">
        <f t="shared" si="5"/>
        <v/>
      </c>
    </row>
    <row r="366" spans="1:13" x14ac:dyDescent="0.3">
      <c r="A366" t="str">
        <f>IF(MASTER_REGISTER!E366="","",MASTER_REGISTER!E366)</f>
        <v/>
      </c>
      <c r="B366" t="str">
        <f>IF(A366="","",MASTER_REGISTER!F366)</f>
        <v/>
      </c>
      <c r="C366" t="str">
        <f>IF(A366="","",MASTER_REGISTER!C366)</f>
        <v/>
      </c>
      <c r="D366" t="str">
        <f>IF(A366="","",COUNTIF(ASSESSMENTS!B:B,A366))</f>
        <v/>
      </c>
      <c r="E366" s="4" t="e">
        <f>IF(D366=0,"",ROUND(AVERAGEIF(ASSESSMENTS!B:B,A366,ASSESSMENTS!H:H),1))</f>
        <v>#DIV/0!</v>
      </c>
      <c r="F366" s="4" t="str">
        <f>IF(A366="","",IFERROR(ROUND(AVERAGEIFS(ASSESSMENTS!H:H,ASSESSMENTS!B:B,A366,ASSESSMENTS!E:E,"Mathematics"),1),""))</f>
        <v/>
      </c>
      <c r="G366" s="4" t="str">
        <f>IF(A366="","",IFERROR(ROUND(AVERAGEIFS(ASSESSMENTS!H:H,ASSESSMENTS!B:B,A366,ASSESSMENTS!E:E,"Mathematical Literacy"),1),""))</f>
        <v/>
      </c>
      <c r="H366" s="4" t="str">
        <f>IF(A366="","",IFERROR(ROUND(AVERAGEIFS(ASSESSMENTS!H:H,ASSESSMENTS!B:B,A366,ASSESSMENTS!E:E,"Physical Sciences"),1),""))</f>
        <v/>
      </c>
      <c r="I366" s="4" t="str">
        <f>IF(A366="","",IFERROR(ROUND(AVERAGEIFS(ASSESSMENTS!H:H,ASSESSMENTS!B:B,A366,ASSESSMENTS!E:E,"Geography"),1),""))</f>
        <v/>
      </c>
      <c r="J366" s="4" t="str">
        <f>IF(A366="","",IFERROR(ROUND(AVERAGEIFS(ASSESSMENTS!H:H,ASSESSMENTS!B:B,A366,ASSESSMENTS!E:E,"Accounting"),1),""))</f>
        <v/>
      </c>
      <c r="K366" s="4" t="str">
        <f>IF(A366="","",IFERROR(ROUND(AVERAGEIFS(ASSESSMENTS!H:H,ASSESSMENTS!B:B,A366,ASSESSMENTS!E:E,"English"),1),""))</f>
        <v/>
      </c>
      <c r="L366" s="5" t="str">
        <f>IF(A366="","",IFERROR(INDEX(ATTENDANCE_SUMMARY!G:G,MATCH(A366,ATTENDANCE_SUMMARY!A:A,0)),""))</f>
        <v/>
      </c>
      <c r="M366" s="4" t="str">
        <f t="shared" si="5"/>
        <v/>
      </c>
    </row>
    <row r="367" spans="1:13" x14ac:dyDescent="0.3">
      <c r="A367" t="str">
        <f>IF(MASTER_REGISTER!E367="","",MASTER_REGISTER!E367)</f>
        <v/>
      </c>
      <c r="B367" t="str">
        <f>IF(A367="","",MASTER_REGISTER!F367)</f>
        <v/>
      </c>
      <c r="C367" t="str">
        <f>IF(A367="","",MASTER_REGISTER!C367)</f>
        <v/>
      </c>
      <c r="D367" t="str">
        <f>IF(A367="","",COUNTIF(ASSESSMENTS!B:B,A367))</f>
        <v/>
      </c>
      <c r="E367" s="4" t="e">
        <f>IF(D367=0,"",ROUND(AVERAGEIF(ASSESSMENTS!B:B,A367,ASSESSMENTS!H:H),1))</f>
        <v>#DIV/0!</v>
      </c>
      <c r="F367" s="4" t="str">
        <f>IF(A367="","",IFERROR(ROUND(AVERAGEIFS(ASSESSMENTS!H:H,ASSESSMENTS!B:B,A367,ASSESSMENTS!E:E,"Mathematics"),1),""))</f>
        <v/>
      </c>
      <c r="G367" s="4" t="str">
        <f>IF(A367="","",IFERROR(ROUND(AVERAGEIFS(ASSESSMENTS!H:H,ASSESSMENTS!B:B,A367,ASSESSMENTS!E:E,"Mathematical Literacy"),1),""))</f>
        <v/>
      </c>
      <c r="H367" s="4" t="str">
        <f>IF(A367="","",IFERROR(ROUND(AVERAGEIFS(ASSESSMENTS!H:H,ASSESSMENTS!B:B,A367,ASSESSMENTS!E:E,"Physical Sciences"),1),""))</f>
        <v/>
      </c>
      <c r="I367" s="4" t="str">
        <f>IF(A367="","",IFERROR(ROUND(AVERAGEIFS(ASSESSMENTS!H:H,ASSESSMENTS!B:B,A367,ASSESSMENTS!E:E,"Geography"),1),""))</f>
        <v/>
      </c>
      <c r="J367" s="4" t="str">
        <f>IF(A367="","",IFERROR(ROUND(AVERAGEIFS(ASSESSMENTS!H:H,ASSESSMENTS!B:B,A367,ASSESSMENTS!E:E,"Accounting"),1),""))</f>
        <v/>
      </c>
      <c r="K367" s="4" t="str">
        <f>IF(A367="","",IFERROR(ROUND(AVERAGEIFS(ASSESSMENTS!H:H,ASSESSMENTS!B:B,A367,ASSESSMENTS!E:E,"English"),1),""))</f>
        <v/>
      </c>
      <c r="L367" s="5" t="str">
        <f>IF(A367="","",IFERROR(INDEX(ATTENDANCE_SUMMARY!G:G,MATCH(A367,ATTENDANCE_SUMMARY!A:A,0)),""))</f>
        <v/>
      </c>
      <c r="M367" s="4" t="str">
        <f t="shared" si="5"/>
        <v/>
      </c>
    </row>
    <row r="368" spans="1:13" x14ac:dyDescent="0.3">
      <c r="A368" t="str">
        <f>IF(MASTER_REGISTER!E368="","",MASTER_REGISTER!E368)</f>
        <v/>
      </c>
      <c r="B368" t="str">
        <f>IF(A368="","",MASTER_REGISTER!F368)</f>
        <v/>
      </c>
      <c r="C368" t="str">
        <f>IF(A368="","",MASTER_REGISTER!C368)</f>
        <v/>
      </c>
      <c r="D368" t="str">
        <f>IF(A368="","",COUNTIF(ASSESSMENTS!B:B,A368))</f>
        <v/>
      </c>
      <c r="E368" s="4" t="e">
        <f>IF(D368=0,"",ROUND(AVERAGEIF(ASSESSMENTS!B:B,A368,ASSESSMENTS!H:H),1))</f>
        <v>#DIV/0!</v>
      </c>
      <c r="F368" s="4" t="str">
        <f>IF(A368="","",IFERROR(ROUND(AVERAGEIFS(ASSESSMENTS!H:H,ASSESSMENTS!B:B,A368,ASSESSMENTS!E:E,"Mathematics"),1),""))</f>
        <v/>
      </c>
      <c r="G368" s="4" t="str">
        <f>IF(A368="","",IFERROR(ROUND(AVERAGEIFS(ASSESSMENTS!H:H,ASSESSMENTS!B:B,A368,ASSESSMENTS!E:E,"Mathematical Literacy"),1),""))</f>
        <v/>
      </c>
      <c r="H368" s="4" t="str">
        <f>IF(A368="","",IFERROR(ROUND(AVERAGEIFS(ASSESSMENTS!H:H,ASSESSMENTS!B:B,A368,ASSESSMENTS!E:E,"Physical Sciences"),1),""))</f>
        <v/>
      </c>
      <c r="I368" s="4" t="str">
        <f>IF(A368="","",IFERROR(ROUND(AVERAGEIFS(ASSESSMENTS!H:H,ASSESSMENTS!B:B,A368,ASSESSMENTS!E:E,"Geography"),1),""))</f>
        <v/>
      </c>
      <c r="J368" s="4" t="str">
        <f>IF(A368="","",IFERROR(ROUND(AVERAGEIFS(ASSESSMENTS!H:H,ASSESSMENTS!B:B,A368,ASSESSMENTS!E:E,"Accounting"),1),""))</f>
        <v/>
      </c>
      <c r="K368" s="4" t="str">
        <f>IF(A368="","",IFERROR(ROUND(AVERAGEIFS(ASSESSMENTS!H:H,ASSESSMENTS!B:B,A368,ASSESSMENTS!E:E,"English"),1),""))</f>
        <v/>
      </c>
      <c r="L368" s="5" t="str">
        <f>IF(A368="","",IFERROR(INDEX(ATTENDANCE_SUMMARY!G:G,MATCH(A368,ATTENDANCE_SUMMARY!A:A,0)),""))</f>
        <v/>
      </c>
      <c r="M368" s="4" t="str">
        <f t="shared" si="5"/>
        <v/>
      </c>
    </row>
    <row r="369" spans="1:13" x14ac:dyDescent="0.3">
      <c r="A369" t="str">
        <f>IF(MASTER_REGISTER!E369="","",MASTER_REGISTER!E369)</f>
        <v/>
      </c>
      <c r="B369" t="str">
        <f>IF(A369="","",MASTER_REGISTER!F369)</f>
        <v/>
      </c>
      <c r="C369" t="str">
        <f>IF(A369="","",MASTER_REGISTER!C369)</f>
        <v/>
      </c>
      <c r="D369" t="str">
        <f>IF(A369="","",COUNTIF(ASSESSMENTS!B:B,A369))</f>
        <v/>
      </c>
      <c r="E369" s="4" t="e">
        <f>IF(D369=0,"",ROUND(AVERAGEIF(ASSESSMENTS!B:B,A369,ASSESSMENTS!H:H),1))</f>
        <v>#DIV/0!</v>
      </c>
      <c r="F369" s="4" t="str">
        <f>IF(A369="","",IFERROR(ROUND(AVERAGEIFS(ASSESSMENTS!H:H,ASSESSMENTS!B:B,A369,ASSESSMENTS!E:E,"Mathematics"),1),""))</f>
        <v/>
      </c>
      <c r="G369" s="4" t="str">
        <f>IF(A369="","",IFERROR(ROUND(AVERAGEIFS(ASSESSMENTS!H:H,ASSESSMENTS!B:B,A369,ASSESSMENTS!E:E,"Mathematical Literacy"),1),""))</f>
        <v/>
      </c>
      <c r="H369" s="4" t="str">
        <f>IF(A369="","",IFERROR(ROUND(AVERAGEIFS(ASSESSMENTS!H:H,ASSESSMENTS!B:B,A369,ASSESSMENTS!E:E,"Physical Sciences"),1),""))</f>
        <v/>
      </c>
      <c r="I369" s="4" t="str">
        <f>IF(A369="","",IFERROR(ROUND(AVERAGEIFS(ASSESSMENTS!H:H,ASSESSMENTS!B:B,A369,ASSESSMENTS!E:E,"Geography"),1),""))</f>
        <v/>
      </c>
      <c r="J369" s="4" t="str">
        <f>IF(A369="","",IFERROR(ROUND(AVERAGEIFS(ASSESSMENTS!H:H,ASSESSMENTS!B:B,A369,ASSESSMENTS!E:E,"Accounting"),1),""))</f>
        <v/>
      </c>
      <c r="K369" s="4" t="str">
        <f>IF(A369="","",IFERROR(ROUND(AVERAGEIFS(ASSESSMENTS!H:H,ASSESSMENTS!B:B,A369,ASSESSMENTS!E:E,"English"),1),""))</f>
        <v/>
      </c>
      <c r="L369" s="5" t="str">
        <f>IF(A369="","",IFERROR(INDEX(ATTENDANCE_SUMMARY!G:G,MATCH(A369,ATTENDANCE_SUMMARY!A:A,0)),""))</f>
        <v/>
      </c>
      <c r="M369" s="4" t="str">
        <f t="shared" si="5"/>
        <v/>
      </c>
    </row>
    <row r="370" spans="1:13" x14ac:dyDescent="0.3">
      <c r="A370" t="str">
        <f>IF(MASTER_REGISTER!E370="","",MASTER_REGISTER!E370)</f>
        <v/>
      </c>
      <c r="B370" t="str">
        <f>IF(A370="","",MASTER_REGISTER!F370)</f>
        <v/>
      </c>
      <c r="C370" t="str">
        <f>IF(A370="","",MASTER_REGISTER!C370)</f>
        <v/>
      </c>
      <c r="D370" t="str">
        <f>IF(A370="","",COUNTIF(ASSESSMENTS!B:B,A370))</f>
        <v/>
      </c>
      <c r="E370" s="4" t="e">
        <f>IF(D370=0,"",ROUND(AVERAGEIF(ASSESSMENTS!B:B,A370,ASSESSMENTS!H:H),1))</f>
        <v>#DIV/0!</v>
      </c>
      <c r="F370" s="4" t="str">
        <f>IF(A370="","",IFERROR(ROUND(AVERAGEIFS(ASSESSMENTS!H:H,ASSESSMENTS!B:B,A370,ASSESSMENTS!E:E,"Mathematics"),1),""))</f>
        <v/>
      </c>
      <c r="G370" s="4" t="str">
        <f>IF(A370="","",IFERROR(ROUND(AVERAGEIFS(ASSESSMENTS!H:H,ASSESSMENTS!B:B,A370,ASSESSMENTS!E:E,"Mathematical Literacy"),1),""))</f>
        <v/>
      </c>
      <c r="H370" s="4" t="str">
        <f>IF(A370="","",IFERROR(ROUND(AVERAGEIFS(ASSESSMENTS!H:H,ASSESSMENTS!B:B,A370,ASSESSMENTS!E:E,"Physical Sciences"),1),""))</f>
        <v/>
      </c>
      <c r="I370" s="4" t="str">
        <f>IF(A370="","",IFERROR(ROUND(AVERAGEIFS(ASSESSMENTS!H:H,ASSESSMENTS!B:B,A370,ASSESSMENTS!E:E,"Geography"),1),""))</f>
        <v/>
      </c>
      <c r="J370" s="4" t="str">
        <f>IF(A370="","",IFERROR(ROUND(AVERAGEIFS(ASSESSMENTS!H:H,ASSESSMENTS!B:B,A370,ASSESSMENTS!E:E,"Accounting"),1),""))</f>
        <v/>
      </c>
      <c r="K370" s="4" t="str">
        <f>IF(A370="","",IFERROR(ROUND(AVERAGEIFS(ASSESSMENTS!H:H,ASSESSMENTS!B:B,A370,ASSESSMENTS!E:E,"English"),1),""))</f>
        <v/>
      </c>
      <c r="L370" s="5" t="str">
        <f>IF(A370="","",IFERROR(INDEX(ATTENDANCE_SUMMARY!G:G,MATCH(A370,ATTENDANCE_SUMMARY!A:A,0)),""))</f>
        <v/>
      </c>
      <c r="M370" s="4" t="str">
        <f t="shared" si="5"/>
        <v/>
      </c>
    </row>
    <row r="371" spans="1:13" x14ac:dyDescent="0.3">
      <c r="A371" t="str">
        <f>IF(MASTER_REGISTER!E371="","",MASTER_REGISTER!E371)</f>
        <v/>
      </c>
      <c r="B371" t="str">
        <f>IF(A371="","",MASTER_REGISTER!F371)</f>
        <v/>
      </c>
      <c r="C371" t="str">
        <f>IF(A371="","",MASTER_REGISTER!C371)</f>
        <v/>
      </c>
      <c r="D371" t="str">
        <f>IF(A371="","",COUNTIF(ASSESSMENTS!B:B,A371))</f>
        <v/>
      </c>
      <c r="E371" s="4" t="e">
        <f>IF(D371=0,"",ROUND(AVERAGEIF(ASSESSMENTS!B:B,A371,ASSESSMENTS!H:H),1))</f>
        <v>#DIV/0!</v>
      </c>
      <c r="F371" s="4" t="str">
        <f>IF(A371="","",IFERROR(ROUND(AVERAGEIFS(ASSESSMENTS!H:H,ASSESSMENTS!B:B,A371,ASSESSMENTS!E:E,"Mathematics"),1),""))</f>
        <v/>
      </c>
      <c r="G371" s="4" t="str">
        <f>IF(A371="","",IFERROR(ROUND(AVERAGEIFS(ASSESSMENTS!H:H,ASSESSMENTS!B:B,A371,ASSESSMENTS!E:E,"Mathematical Literacy"),1),""))</f>
        <v/>
      </c>
      <c r="H371" s="4" t="str">
        <f>IF(A371="","",IFERROR(ROUND(AVERAGEIFS(ASSESSMENTS!H:H,ASSESSMENTS!B:B,A371,ASSESSMENTS!E:E,"Physical Sciences"),1),""))</f>
        <v/>
      </c>
      <c r="I371" s="4" t="str">
        <f>IF(A371="","",IFERROR(ROUND(AVERAGEIFS(ASSESSMENTS!H:H,ASSESSMENTS!B:B,A371,ASSESSMENTS!E:E,"Geography"),1),""))</f>
        <v/>
      </c>
      <c r="J371" s="4" t="str">
        <f>IF(A371="","",IFERROR(ROUND(AVERAGEIFS(ASSESSMENTS!H:H,ASSESSMENTS!B:B,A371,ASSESSMENTS!E:E,"Accounting"),1),""))</f>
        <v/>
      </c>
      <c r="K371" s="4" t="str">
        <f>IF(A371="","",IFERROR(ROUND(AVERAGEIFS(ASSESSMENTS!H:H,ASSESSMENTS!B:B,A371,ASSESSMENTS!E:E,"English"),1),""))</f>
        <v/>
      </c>
      <c r="L371" s="5" t="str">
        <f>IF(A371="","",IFERROR(INDEX(ATTENDANCE_SUMMARY!G:G,MATCH(A371,ATTENDANCE_SUMMARY!A:A,0)),""))</f>
        <v/>
      </c>
      <c r="M371" s="4" t="str">
        <f t="shared" si="5"/>
        <v/>
      </c>
    </row>
    <row r="372" spans="1:13" x14ac:dyDescent="0.3">
      <c r="A372" t="str">
        <f>IF(MASTER_REGISTER!E372="","",MASTER_REGISTER!E372)</f>
        <v/>
      </c>
      <c r="B372" t="str">
        <f>IF(A372="","",MASTER_REGISTER!F372)</f>
        <v/>
      </c>
      <c r="C372" t="str">
        <f>IF(A372="","",MASTER_REGISTER!C372)</f>
        <v/>
      </c>
      <c r="D372" t="str">
        <f>IF(A372="","",COUNTIF(ASSESSMENTS!B:B,A372))</f>
        <v/>
      </c>
      <c r="E372" s="4" t="e">
        <f>IF(D372=0,"",ROUND(AVERAGEIF(ASSESSMENTS!B:B,A372,ASSESSMENTS!H:H),1))</f>
        <v>#DIV/0!</v>
      </c>
      <c r="F372" s="4" t="str">
        <f>IF(A372="","",IFERROR(ROUND(AVERAGEIFS(ASSESSMENTS!H:H,ASSESSMENTS!B:B,A372,ASSESSMENTS!E:E,"Mathematics"),1),""))</f>
        <v/>
      </c>
      <c r="G372" s="4" t="str">
        <f>IF(A372="","",IFERROR(ROUND(AVERAGEIFS(ASSESSMENTS!H:H,ASSESSMENTS!B:B,A372,ASSESSMENTS!E:E,"Mathematical Literacy"),1),""))</f>
        <v/>
      </c>
      <c r="H372" s="4" t="str">
        <f>IF(A372="","",IFERROR(ROUND(AVERAGEIFS(ASSESSMENTS!H:H,ASSESSMENTS!B:B,A372,ASSESSMENTS!E:E,"Physical Sciences"),1),""))</f>
        <v/>
      </c>
      <c r="I372" s="4" t="str">
        <f>IF(A372="","",IFERROR(ROUND(AVERAGEIFS(ASSESSMENTS!H:H,ASSESSMENTS!B:B,A372,ASSESSMENTS!E:E,"Geography"),1),""))</f>
        <v/>
      </c>
      <c r="J372" s="4" t="str">
        <f>IF(A372="","",IFERROR(ROUND(AVERAGEIFS(ASSESSMENTS!H:H,ASSESSMENTS!B:B,A372,ASSESSMENTS!E:E,"Accounting"),1),""))</f>
        <v/>
      </c>
      <c r="K372" s="4" t="str">
        <f>IF(A372="","",IFERROR(ROUND(AVERAGEIFS(ASSESSMENTS!H:H,ASSESSMENTS!B:B,A372,ASSESSMENTS!E:E,"English"),1),""))</f>
        <v/>
      </c>
      <c r="L372" s="5" t="str">
        <f>IF(A372="","",IFERROR(INDEX(ATTENDANCE_SUMMARY!G:G,MATCH(A372,ATTENDANCE_SUMMARY!A:A,0)),""))</f>
        <v/>
      </c>
      <c r="M372" s="4" t="str">
        <f t="shared" si="5"/>
        <v/>
      </c>
    </row>
    <row r="373" spans="1:13" x14ac:dyDescent="0.3">
      <c r="A373" t="str">
        <f>IF(MASTER_REGISTER!E373="","",MASTER_REGISTER!E373)</f>
        <v/>
      </c>
      <c r="B373" t="str">
        <f>IF(A373="","",MASTER_REGISTER!F373)</f>
        <v/>
      </c>
      <c r="C373" t="str">
        <f>IF(A373="","",MASTER_REGISTER!C373)</f>
        <v/>
      </c>
      <c r="D373" t="str">
        <f>IF(A373="","",COUNTIF(ASSESSMENTS!B:B,A373))</f>
        <v/>
      </c>
      <c r="E373" s="4" t="e">
        <f>IF(D373=0,"",ROUND(AVERAGEIF(ASSESSMENTS!B:B,A373,ASSESSMENTS!H:H),1))</f>
        <v>#DIV/0!</v>
      </c>
      <c r="F373" s="4" t="str">
        <f>IF(A373="","",IFERROR(ROUND(AVERAGEIFS(ASSESSMENTS!H:H,ASSESSMENTS!B:B,A373,ASSESSMENTS!E:E,"Mathematics"),1),""))</f>
        <v/>
      </c>
      <c r="G373" s="4" t="str">
        <f>IF(A373="","",IFERROR(ROUND(AVERAGEIFS(ASSESSMENTS!H:H,ASSESSMENTS!B:B,A373,ASSESSMENTS!E:E,"Mathematical Literacy"),1),""))</f>
        <v/>
      </c>
      <c r="H373" s="4" t="str">
        <f>IF(A373="","",IFERROR(ROUND(AVERAGEIFS(ASSESSMENTS!H:H,ASSESSMENTS!B:B,A373,ASSESSMENTS!E:E,"Physical Sciences"),1),""))</f>
        <v/>
      </c>
      <c r="I373" s="4" t="str">
        <f>IF(A373="","",IFERROR(ROUND(AVERAGEIFS(ASSESSMENTS!H:H,ASSESSMENTS!B:B,A373,ASSESSMENTS!E:E,"Geography"),1),""))</f>
        <v/>
      </c>
      <c r="J373" s="4" t="str">
        <f>IF(A373="","",IFERROR(ROUND(AVERAGEIFS(ASSESSMENTS!H:H,ASSESSMENTS!B:B,A373,ASSESSMENTS!E:E,"Accounting"),1),""))</f>
        <v/>
      </c>
      <c r="K373" s="4" t="str">
        <f>IF(A373="","",IFERROR(ROUND(AVERAGEIFS(ASSESSMENTS!H:H,ASSESSMENTS!B:B,A373,ASSESSMENTS!E:E,"English"),1),""))</f>
        <v/>
      </c>
      <c r="L373" s="5" t="str">
        <f>IF(A373="","",IFERROR(INDEX(ATTENDANCE_SUMMARY!G:G,MATCH(A373,ATTENDANCE_SUMMARY!A:A,0)),""))</f>
        <v/>
      </c>
      <c r="M373" s="4" t="str">
        <f t="shared" si="5"/>
        <v/>
      </c>
    </row>
    <row r="374" spans="1:13" x14ac:dyDescent="0.3">
      <c r="A374" t="str">
        <f>IF(MASTER_REGISTER!E374="","",MASTER_REGISTER!E374)</f>
        <v/>
      </c>
      <c r="B374" t="str">
        <f>IF(A374="","",MASTER_REGISTER!F374)</f>
        <v/>
      </c>
      <c r="C374" t="str">
        <f>IF(A374="","",MASTER_REGISTER!C374)</f>
        <v/>
      </c>
      <c r="D374" t="str">
        <f>IF(A374="","",COUNTIF(ASSESSMENTS!B:B,A374))</f>
        <v/>
      </c>
      <c r="E374" s="4" t="e">
        <f>IF(D374=0,"",ROUND(AVERAGEIF(ASSESSMENTS!B:B,A374,ASSESSMENTS!H:H),1))</f>
        <v>#DIV/0!</v>
      </c>
      <c r="F374" s="4" t="str">
        <f>IF(A374="","",IFERROR(ROUND(AVERAGEIFS(ASSESSMENTS!H:H,ASSESSMENTS!B:B,A374,ASSESSMENTS!E:E,"Mathematics"),1),""))</f>
        <v/>
      </c>
      <c r="G374" s="4" t="str">
        <f>IF(A374="","",IFERROR(ROUND(AVERAGEIFS(ASSESSMENTS!H:H,ASSESSMENTS!B:B,A374,ASSESSMENTS!E:E,"Mathematical Literacy"),1),""))</f>
        <v/>
      </c>
      <c r="H374" s="4" t="str">
        <f>IF(A374="","",IFERROR(ROUND(AVERAGEIFS(ASSESSMENTS!H:H,ASSESSMENTS!B:B,A374,ASSESSMENTS!E:E,"Physical Sciences"),1),""))</f>
        <v/>
      </c>
      <c r="I374" s="4" t="str">
        <f>IF(A374="","",IFERROR(ROUND(AVERAGEIFS(ASSESSMENTS!H:H,ASSESSMENTS!B:B,A374,ASSESSMENTS!E:E,"Geography"),1),""))</f>
        <v/>
      </c>
      <c r="J374" s="4" t="str">
        <f>IF(A374="","",IFERROR(ROUND(AVERAGEIFS(ASSESSMENTS!H:H,ASSESSMENTS!B:B,A374,ASSESSMENTS!E:E,"Accounting"),1),""))</f>
        <v/>
      </c>
      <c r="K374" s="4" t="str">
        <f>IF(A374="","",IFERROR(ROUND(AVERAGEIFS(ASSESSMENTS!H:H,ASSESSMENTS!B:B,A374,ASSESSMENTS!E:E,"English"),1),""))</f>
        <v/>
      </c>
      <c r="L374" s="5" t="str">
        <f>IF(A374="","",IFERROR(INDEX(ATTENDANCE_SUMMARY!G:G,MATCH(A374,ATTENDANCE_SUMMARY!A:A,0)),""))</f>
        <v/>
      </c>
      <c r="M374" s="4" t="str">
        <f t="shared" si="5"/>
        <v/>
      </c>
    </row>
    <row r="375" spans="1:13" x14ac:dyDescent="0.3">
      <c r="A375" t="str">
        <f>IF(MASTER_REGISTER!E375="","",MASTER_REGISTER!E375)</f>
        <v/>
      </c>
      <c r="B375" t="str">
        <f>IF(A375="","",MASTER_REGISTER!F375)</f>
        <v/>
      </c>
      <c r="C375" t="str">
        <f>IF(A375="","",MASTER_REGISTER!C375)</f>
        <v/>
      </c>
      <c r="D375" t="str">
        <f>IF(A375="","",COUNTIF(ASSESSMENTS!B:B,A375))</f>
        <v/>
      </c>
      <c r="E375" s="4" t="e">
        <f>IF(D375=0,"",ROUND(AVERAGEIF(ASSESSMENTS!B:B,A375,ASSESSMENTS!H:H),1))</f>
        <v>#DIV/0!</v>
      </c>
      <c r="F375" s="4" t="str">
        <f>IF(A375="","",IFERROR(ROUND(AVERAGEIFS(ASSESSMENTS!H:H,ASSESSMENTS!B:B,A375,ASSESSMENTS!E:E,"Mathematics"),1),""))</f>
        <v/>
      </c>
      <c r="G375" s="4" t="str">
        <f>IF(A375="","",IFERROR(ROUND(AVERAGEIFS(ASSESSMENTS!H:H,ASSESSMENTS!B:B,A375,ASSESSMENTS!E:E,"Mathematical Literacy"),1),""))</f>
        <v/>
      </c>
      <c r="H375" s="4" t="str">
        <f>IF(A375="","",IFERROR(ROUND(AVERAGEIFS(ASSESSMENTS!H:H,ASSESSMENTS!B:B,A375,ASSESSMENTS!E:E,"Physical Sciences"),1),""))</f>
        <v/>
      </c>
      <c r="I375" s="4" t="str">
        <f>IF(A375="","",IFERROR(ROUND(AVERAGEIFS(ASSESSMENTS!H:H,ASSESSMENTS!B:B,A375,ASSESSMENTS!E:E,"Geography"),1),""))</f>
        <v/>
      </c>
      <c r="J375" s="4" t="str">
        <f>IF(A375="","",IFERROR(ROUND(AVERAGEIFS(ASSESSMENTS!H:H,ASSESSMENTS!B:B,A375,ASSESSMENTS!E:E,"Accounting"),1),""))</f>
        <v/>
      </c>
      <c r="K375" s="4" t="str">
        <f>IF(A375="","",IFERROR(ROUND(AVERAGEIFS(ASSESSMENTS!H:H,ASSESSMENTS!B:B,A375,ASSESSMENTS!E:E,"English"),1),""))</f>
        <v/>
      </c>
      <c r="L375" s="5" t="str">
        <f>IF(A375="","",IFERROR(INDEX(ATTENDANCE_SUMMARY!G:G,MATCH(A375,ATTENDANCE_SUMMARY!A:A,0)),""))</f>
        <v/>
      </c>
      <c r="M375" s="4" t="str">
        <f t="shared" si="5"/>
        <v/>
      </c>
    </row>
    <row r="376" spans="1:13" x14ac:dyDescent="0.3">
      <c r="A376" t="str">
        <f>IF(MASTER_REGISTER!E376="","",MASTER_REGISTER!E376)</f>
        <v/>
      </c>
      <c r="B376" t="str">
        <f>IF(A376="","",MASTER_REGISTER!F376)</f>
        <v/>
      </c>
      <c r="C376" t="str">
        <f>IF(A376="","",MASTER_REGISTER!C376)</f>
        <v/>
      </c>
      <c r="D376" t="str">
        <f>IF(A376="","",COUNTIF(ASSESSMENTS!B:B,A376))</f>
        <v/>
      </c>
      <c r="E376" s="4" t="e">
        <f>IF(D376=0,"",ROUND(AVERAGEIF(ASSESSMENTS!B:B,A376,ASSESSMENTS!H:H),1))</f>
        <v>#DIV/0!</v>
      </c>
      <c r="F376" s="4" t="str">
        <f>IF(A376="","",IFERROR(ROUND(AVERAGEIFS(ASSESSMENTS!H:H,ASSESSMENTS!B:B,A376,ASSESSMENTS!E:E,"Mathematics"),1),""))</f>
        <v/>
      </c>
      <c r="G376" s="4" t="str">
        <f>IF(A376="","",IFERROR(ROUND(AVERAGEIFS(ASSESSMENTS!H:H,ASSESSMENTS!B:B,A376,ASSESSMENTS!E:E,"Mathematical Literacy"),1),""))</f>
        <v/>
      </c>
      <c r="H376" s="4" t="str">
        <f>IF(A376="","",IFERROR(ROUND(AVERAGEIFS(ASSESSMENTS!H:H,ASSESSMENTS!B:B,A376,ASSESSMENTS!E:E,"Physical Sciences"),1),""))</f>
        <v/>
      </c>
      <c r="I376" s="4" t="str">
        <f>IF(A376="","",IFERROR(ROUND(AVERAGEIFS(ASSESSMENTS!H:H,ASSESSMENTS!B:B,A376,ASSESSMENTS!E:E,"Geography"),1),""))</f>
        <v/>
      </c>
      <c r="J376" s="4" t="str">
        <f>IF(A376="","",IFERROR(ROUND(AVERAGEIFS(ASSESSMENTS!H:H,ASSESSMENTS!B:B,A376,ASSESSMENTS!E:E,"Accounting"),1),""))</f>
        <v/>
      </c>
      <c r="K376" s="4" t="str">
        <f>IF(A376="","",IFERROR(ROUND(AVERAGEIFS(ASSESSMENTS!H:H,ASSESSMENTS!B:B,A376,ASSESSMENTS!E:E,"English"),1),""))</f>
        <v/>
      </c>
      <c r="L376" s="5" t="str">
        <f>IF(A376="","",IFERROR(INDEX(ATTENDANCE_SUMMARY!G:G,MATCH(A376,ATTENDANCE_SUMMARY!A:A,0)),""))</f>
        <v/>
      </c>
      <c r="M376" s="4" t="str">
        <f t="shared" si="5"/>
        <v/>
      </c>
    </row>
    <row r="377" spans="1:13" x14ac:dyDescent="0.3">
      <c r="A377" t="str">
        <f>IF(MASTER_REGISTER!E377="","",MASTER_REGISTER!E377)</f>
        <v/>
      </c>
      <c r="B377" t="str">
        <f>IF(A377="","",MASTER_REGISTER!F377)</f>
        <v/>
      </c>
      <c r="C377" t="str">
        <f>IF(A377="","",MASTER_REGISTER!C377)</f>
        <v/>
      </c>
      <c r="D377" t="str">
        <f>IF(A377="","",COUNTIF(ASSESSMENTS!B:B,A377))</f>
        <v/>
      </c>
      <c r="E377" s="4" t="e">
        <f>IF(D377=0,"",ROUND(AVERAGEIF(ASSESSMENTS!B:B,A377,ASSESSMENTS!H:H),1))</f>
        <v>#DIV/0!</v>
      </c>
      <c r="F377" s="4" t="str">
        <f>IF(A377="","",IFERROR(ROUND(AVERAGEIFS(ASSESSMENTS!H:H,ASSESSMENTS!B:B,A377,ASSESSMENTS!E:E,"Mathematics"),1),""))</f>
        <v/>
      </c>
      <c r="G377" s="4" t="str">
        <f>IF(A377="","",IFERROR(ROUND(AVERAGEIFS(ASSESSMENTS!H:H,ASSESSMENTS!B:B,A377,ASSESSMENTS!E:E,"Mathematical Literacy"),1),""))</f>
        <v/>
      </c>
      <c r="H377" s="4" t="str">
        <f>IF(A377="","",IFERROR(ROUND(AVERAGEIFS(ASSESSMENTS!H:H,ASSESSMENTS!B:B,A377,ASSESSMENTS!E:E,"Physical Sciences"),1),""))</f>
        <v/>
      </c>
      <c r="I377" s="4" t="str">
        <f>IF(A377="","",IFERROR(ROUND(AVERAGEIFS(ASSESSMENTS!H:H,ASSESSMENTS!B:B,A377,ASSESSMENTS!E:E,"Geography"),1),""))</f>
        <v/>
      </c>
      <c r="J377" s="4" t="str">
        <f>IF(A377="","",IFERROR(ROUND(AVERAGEIFS(ASSESSMENTS!H:H,ASSESSMENTS!B:B,A377,ASSESSMENTS!E:E,"Accounting"),1),""))</f>
        <v/>
      </c>
      <c r="K377" s="4" t="str">
        <f>IF(A377="","",IFERROR(ROUND(AVERAGEIFS(ASSESSMENTS!H:H,ASSESSMENTS!B:B,A377,ASSESSMENTS!E:E,"English"),1),""))</f>
        <v/>
      </c>
      <c r="L377" s="5" t="str">
        <f>IF(A377="","",IFERROR(INDEX(ATTENDANCE_SUMMARY!G:G,MATCH(A377,ATTENDANCE_SUMMARY!A:A,0)),""))</f>
        <v/>
      </c>
      <c r="M377" s="4" t="str">
        <f t="shared" si="5"/>
        <v/>
      </c>
    </row>
    <row r="378" spans="1:13" x14ac:dyDescent="0.3">
      <c r="A378" t="str">
        <f>IF(MASTER_REGISTER!E378="","",MASTER_REGISTER!E378)</f>
        <v/>
      </c>
      <c r="B378" t="str">
        <f>IF(A378="","",MASTER_REGISTER!F378)</f>
        <v/>
      </c>
      <c r="C378" t="str">
        <f>IF(A378="","",MASTER_REGISTER!C378)</f>
        <v/>
      </c>
      <c r="D378" t="str">
        <f>IF(A378="","",COUNTIF(ASSESSMENTS!B:B,A378))</f>
        <v/>
      </c>
      <c r="E378" s="4" t="e">
        <f>IF(D378=0,"",ROUND(AVERAGEIF(ASSESSMENTS!B:B,A378,ASSESSMENTS!H:H),1))</f>
        <v>#DIV/0!</v>
      </c>
      <c r="F378" s="4" t="str">
        <f>IF(A378="","",IFERROR(ROUND(AVERAGEIFS(ASSESSMENTS!H:H,ASSESSMENTS!B:B,A378,ASSESSMENTS!E:E,"Mathematics"),1),""))</f>
        <v/>
      </c>
      <c r="G378" s="4" t="str">
        <f>IF(A378="","",IFERROR(ROUND(AVERAGEIFS(ASSESSMENTS!H:H,ASSESSMENTS!B:B,A378,ASSESSMENTS!E:E,"Mathematical Literacy"),1),""))</f>
        <v/>
      </c>
      <c r="H378" s="4" t="str">
        <f>IF(A378="","",IFERROR(ROUND(AVERAGEIFS(ASSESSMENTS!H:H,ASSESSMENTS!B:B,A378,ASSESSMENTS!E:E,"Physical Sciences"),1),""))</f>
        <v/>
      </c>
      <c r="I378" s="4" t="str">
        <f>IF(A378="","",IFERROR(ROUND(AVERAGEIFS(ASSESSMENTS!H:H,ASSESSMENTS!B:B,A378,ASSESSMENTS!E:E,"Geography"),1),""))</f>
        <v/>
      </c>
      <c r="J378" s="4" t="str">
        <f>IF(A378="","",IFERROR(ROUND(AVERAGEIFS(ASSESSMENTS!H:H,ASSESSMENTS!B:B,A378,ASSESSMENTS!E:E,"Accounting"),1),""))</f>
        <v/>
      </c>
      <c r="K378" s="4" t="str">
        <f>IF(A378="","",IFERROR(ROUND(AVERAGEIFS(ASSESSMENTS!H:H,ASSESSMENTS!B:B,A378,ASSESSMENTS!E:E,"English"),1),""))</f>
        <v/>
      </c>
      <c r="L378" s="5" t="str">
        <f>IF(A378="","",IFERROR(INDEX(ATTENDANCE_SUMMARY!G:G,MATCH(A378,ATTENDANCE_SUMMARY!A:A,0)),""))</f>
        <v/>
      </c>
      <c r="M378" s="4" t="str">
        <f t="shared" si="5"/>
        <v/>
      </c>
    </row>
    <row r="379" spans="1:13" x14ac:dyDescent="0.3">
      <c r="A379" t="str">
        <f>IF(MASTER_REGISTER!E379="","",MASTER_REGISTER!E379)</f>
        <v/>
      </c>
      <c r="B379" t="str">
        <f>IF(A379="","",MASTER_REGISTER!F379)</f>
        <v/>
      </c>
      <c r="C379" t="str">
        <f>IF(A379="","",MASTER_REGISTER!C379)</f>
        <v/>
      </c>
      <c r="D379" t="str">
        <f>IF(A379="","",COUNTIF(ASSESSMENTS!B:B,A379))</f>
        <v/>
      </c>
      <c r="E379" s="4" t="e">
        <f>IF(D379=0,"",ROUND(AVERAGEIF(ASSESSMENTS!B:B,A379,ASSESSMENTS!H:H),1))</f>
        <v>#DIV/0!</v>
      </c>
      <c r="F379" s="4" t="str">
        <f>IF(A379="","",IFERROR(ROUND(AVERAGEIFS(ASSESSMENTS!H:H,ASSESSMENTS!B:B,A379,ASSESSMENTS!E:E,"Mathematics"),1),""))</f>
        <v/>
      </c>
      <c r="G379" s="4" t="str">
        <f>IF(A379="","",IFERROR(ROUND(AVERAGEIFS(ASSESSMENTS!H:H,ASSESSMENTS!B:B,A379,ASSESSMENTS!E:E,"Mathematical Literacy"),1),""))</f>
        <v/>
      </c>
      <c r="H379" s="4" t="str">
        <f>IF(A379="","",IFERROR(ROUND(AVERAGEIFS(ASSESSMENTS!H:H,ASSESSMENTS!B:B,A379,ASSESSMENTS!E:E,"Physical Sciences"),1),""))</f>
        <v/>
      </c>
      <c r="I379" s="4" t="str">
        <f>IF(A379="","",IFERROR(ROUND(AVERAGEIFS(ASSESSMENTS!H:H,ASSESSMENTS!B:B,A379,ASSESSMENTS!E:E,"Geography"),1),""))</f>
        <v/>
      </c>
      <c r="J379" s="4" t="str">
        <f>IF(A379="","",IFERROR(ROUND(AVERAGEIFS(ASSESSMENTS!H:H,ASSESSMENTS!B:B,A379,ASSESSMENTS!E:E,"Accounting"),1),""))</f>
        <v/>
      </c>
      <c r="K379" s="4" t="str">
        <f>IF(A379="","",IFERROR(ROUND(AVERAGEIFS(ASSESSMENTS!H:H,ASSESSMENTS!B:B,A379,ASSESSMENTS!E:E,"English"),1),""))</f>
        <v/>
      </c>
      <c r="L379" s="5" t="str">
        <f>IF(A379="","",IFERROR(INDEX(ATTENDANCE_SUMMARY!G:G,MATCH(A379,ATTENDANCE_SUMMARY!A:A,0)),""))</f>
        <v/>
      </c>
      <c r="M379" s="4" t="str">
        <f t="shared" si="5"/>
        <v/>
      </c>
    </row>
    <row r="380" spans="1:13" x14ac:dyDescent="0.3">
      <c r="A380" t="str">
        <f>IF(MASTER_REGISTER!E380="","",MASTER_REGISTER!E380)</f>
        <v/>
      </c>
      <c r="B380" t="str">
        <f>IF(A380="","",MASTER_REGISTER!F380)</f>
        <v/>
      </c>
      <c r="C380" t="str">
        <f>IF(A380="","",MASTER_REGISTER!C380)</f>
        <v/>
      </c>
      <c r="D380" t="str">
        <f>IF(A380="","",COUNTIF(ASSESSMENTS!B:B,A380))</f>
        <v/>
      </c>
      <c r="E380" s="4" t="e">
        <f>IF(D380=0,"",ROUND(AVERAGEIF(ASSESSMENTS!B:B,A380,ASSESSMENTS!H:H),1))</f>
        <v>#DIV/0!</v>
      </c>
      <c r="F380" s="4" t="str">
        <f>IF(A380="","",IFERROR(ROUND(AVERAGEIFS(ASSESSMENTS!H:H,ASSESSMENTS!B:B,A380,ASSESSMENTS!E:E,"Mathematics"),1),""))</f>
        <v/>
      </c>
      <c r="G380" s="4" t="str">
        <f>IF(A380="","",IFERROR(ROUND(AVERAGEIFS(ASSESSMENTS!H:H,ASSESSMENTS!B:B,A380,ASSESSMENTS!E:E,"Mathematical Literacy"),1),""))</f>
        <v/>
      </c>
      <c r="H380" s="4" t="str">
        <f>IF(A380="","",IFERROR(ROUND(AVERAGEIFS(ASSESSMENTS!H:H,ASSESSMENTS!B:B,A380,ASSESSMENTS!E:E,"Physical Sciences"),1),""))</f>
        <v/>
      </c>
      <c r="I380" s="4" t="str">
        <f>IF(A380="","",IFERROR(ROUND(AVERAGEIFS(ASSESSMENTS!H:H,ASSESSMENTS!B:B,A380,ASSESSMENTS!E:E,"Geography"),1),""))</f>
        <v/>
      </c>
      <c r="J380" s="4" t="str">
        <f>IF(A380="","",IFERROR(ROUND(AVERAGEIFS(ASSESSMENTS!H:H,ASSESSMENTS!B:B,A380,ASSESSMENTS!E:E,"Accounting"),1),""))</f>
        <v/>
      </c>
      <c r="K380" s="4" t="str">
        <f>IF(A380="","",IFERROR(ROUND(AVERAGEIFS(ASSESSMENTS!H:H,ASSESSMENTS!B:B,A380,ASSESSMENTS!E:E,"English"),1),""))</f>
        <v/>
      </c>
      <c r="L380" s="5" t="str">
        <f>IF(A380="","",IFERROR(INDEX(ATTENDANCE_SUMMARY!G:G,MATCH(A380,ATTENDANCE_SUMMARY!A:A,0)),""))</f>
        <v/>
      </c>
      <c r="M380" s="4" t="str">
        <f t="shared" si="5"/>
        <v/>
      </c>
    </row>
    <row r="381" spans="1:13" x14ac:dyDescent="0.3">
      <c r="A381" t="str">
        <f>IF(MASTER_REGISTER!E381="","",MASTER_REGISTER!E381)</f>
        <v/>
      </c>
      <c r="B381" t="str">
        <f>IF(A381="","",MASTER_REGISTER!F381)</f>
        <v/>
      </c>
      <c r="C381" t="str">
        <f>IF(A381="","",MASTER_REGISTER!C381)</f>
        <v/>
      </c>
      <c r="D381" t="str">
        <f>IF(A381="","",COUNTIF(ASSESSMENTS!B:B,A381))</f>
        <v/>
      </c>
      <c r="E381" s="4" t="e">
        <f>IF(D381=0,"",ROUND(AVERAGEIF(ASSESSMENTS!B:B,A381,ASSESSMENTS!H:H),1))</f>
        <v>#DIV/0!</v>
      </c>
      <c r="F381" s="4" t="str">
        <f>IF(A381="","",IFERROR(ROUND(AVERAGEIFS(ASSESSMENTS!H:H,ASSESSMENTS!B:B,A381,ASSESSMENTS!E:E,"Mathematics"),1),""))</f>
        <v/>
      </c>
      <c r="G381" s="4" t="str">
        <f>IF(A381="","",IFERROR(ROUND(AVERAGEIFS(ASSESSMENTS!H:H,ASSESSMENTS!B:B,A381,ASSESSMENTS!E:E,"Mathematical Literacy"),1),""))</f>
        <v/>
      </c>
      <c r="H381" s="4" t="str">
        <f>IF(A381="","",IFERROR(ROUND(AVERAGEIFS(ASSESSMENTS!H:H,ASSESSMENTS!B:B,A381,ASSESSMENTS!E:E,"Physical Sciences"),1),""))</f>
        <v/>
      </c>
      <c r="I381" s="4" t="str">
        <f>IF(A381="","",IFERROR(ROUND(AVERAGEIFS(ASSESSMENTS!H:H,ASSESSMENTS!B:B,A381,ASSESSMENTS!E:E,"Geography"),1),""))</f>
        <v/>
      </c>
      <c r="J381" s="4" t="str">
        <f>IF(A381="","",IFERROR(ROUND(AVERAGEIFS(ASSESSMENTS!H:H,ASSESSMENTS!B:B,A381,ASSESSMENTS!E:E,"Accounting"),1),""))</f>
        <v/>
      </c>
      <c r="K381" s="4" t="str">
        <f>IF(A381="","",IFERROR(ROUND(AVERAGEIFS(ASSESSMENTS!H:H,ASSESSMENTS!B:B,A381,ASSESSMENTS!E:E,"English"),1),""))</f>
        <v/>
      </c>
      <c r="L381" s="5" t="str">
        <f>IF(A381="","",IFERROR(INDEX(ATTENDANCE_SUMMARY!G:G,MATCH(A381,ATTENDANCE_SUMMARY!A:A,0)),""))</f>
        <v/>
      </c>
      <c r="M381" s="4" t="str">
        <f t="shared" si="5"/>
        <v/>
      </c>
    </row>
    <row r="382" spans="1:13" x14ac:dyDescent="0.3">
      <c r="A382" t="str">
        <f>IF(MASTER_REGISTER!E382="","",MASTER_REGISTER!E382)</f>
        <v/>
      </c>
      <c r="B382" t="str">
        <f>IF(A382="","",MASTER_REGISTER!F382)</f>
        <v/>
      </c>
      <c r="C382" t="str">
        <f>IF(A382="","",MASTER_REGISTER!C382)</f>
        <v/>
      </c>
      <c r="D382" t="str">
        <f>IF(A382="","",COUNTIF(ASSESSMENTS!B:B,A382))</f>
        <v/>
      </c>
      <c r="E382" s="4" t="e">
        <f>IF(D382=0,"",ROUND(AVERAGEIF(ASSESSMENTS!B:B,A382,ASSESSMENTS!H:H),1))</f>
        <v>#DIV/0!</v>
      </c>
      <c r="F382" s="4" t="str">
        <f>IF(A382="","",IFERROR(ROUND(AVERAGEIFS(ASSESSMENTS!H:H,ASSESSMENTS!B:B,A382,ASSESSMENTS!E:E,"Mathematics"),1),""))</f>
        <v/>
      </c>
      <c r="G382" s="4" t="str">
        <f>IF(A382="","",IFERROR(ROUND(AVERAGEIFS(ASSESSMENTS!H:H,ASSESSMENTS!B:B,A382,ASSESSMENTS!E:E,"Mathematical Literacy"),1),""))</f>
        <v/>
      </c>
      <c r="H382" s="4" t="str">
        <f>IF(A382="","",IFERROR(ROUND(AVERAGEIFS(ASSESSMENTS!H:H,ASSESSMENTS!B:B,A382,ASSESSMENTS!E:E,"Physical Sciences"),1),""))</f>
        <v/>
      </c>
      <c r="I382" s="4" t="str">
        <f>IF(A382="","",IFERROR(ROUND(AVERAGEIFS(ASSESSMENTS!H:H,ASSESSMENTS!B:B,A382,ASSESSMENTS!E:E,"Geography"),1),""))</f>
        <v/>
      </c>
      <c r="J382" s="4" t="str">
        <f>IF(A382="","",IFERROR(ROUND(AVERAGEIFS(ASSESSMENTS!H:H,ASSESSMENTS!B:B,A382,ASSESSMENTS!E:E,"Accounting"),1),""))</f>
        <v/>
      </c>
      <c r="K382" s="4" t="str">
        <f>IF(A382="","",IFERROR(ROUND(AVERAGEIFS(ASSESSMENTS!H:H,ASSESSMENTS!B:B,A382,ASSESSMENTS!E:E,"English"),1),""))</f>
        <v/>
      </c>
      <c r="L382" s="5" t="str">
        <f>IF(A382="","",IFERROR(INDEX(ATTENDANCE_SUMMARY!G:G,MATCH(A382,ATTENDANCE_SUMMARY!A:A,0)),""))</f>
        <v/>
      </c>
      <c r="M382" s="4" t="str">
        <f t="shared" si="5"/>
        <v/>
      </c>
    </row>
    <row r="383" spans="1:13" x14ac:dyDescent="0.3">
      <c r="A383" t="str">
        <f>IF(MASTER_REGISTER!E383="","",MASTER_REGISTER!E383)</f>
        <v/>
      </c>
      <c r="B383" t="str">
        <f>IF(A383="","",MASTER_REGISTER!F383)</f>
        <v/>
      </c>
      <c r="C383" t="str">
        <f>IF(A383="","",MASTER_REGISTER!C383)</f>
        <v/>
      </c>
      <c r="D383" t="str">
        <f>IF(A383="","",COUNTIF(ASSESSMENTS!B:B,A383))</f>
        <v/>
      </c>
      <c r="E383" s="4" t="e">
        <f>IF(D383=0,"",ROUND(AVERAGEIF(ASSESSMENTS!B:B,A383,ASSESSMENTS!H:H),1))</f>
        <v>#DIV/0!</v>
      </c>
      <c r="F383" s="4" t="str">
        <f>IF(A383="","",IFERROR(ROUND(AVERAGEIFS(ASSESSMENTS!H:H,ASSESSMENTS!B:B,A383,ASSESSMENTS!E:E,"Mathematics"),1),""))</f>
        <v/>
      </c>
      <c r="G383" s="4" t="str">
        <f>IF(A383="","",IFERROR(ROUND(AVERAGEIFS(ASSESSMENTS!H:H,ASSESSMENTS!B:B,A383,ASSESSMENTS!E:E,"Mathematical Literacy"),1),""))</f>
        <v/>
      </c>
      <c r="H383" s="4" t="str">
        <f>IF(A383="","",IFERROR(ROUND(AVERAGEIFS(ASSESSMENTS!H:H,ASSESSMENTS!B:B,A383,ASSESSMENTS!E:E,"Physical Sciences"),1),""))</f>
        <v/>
      </c>
      <c r="I383" s="4" t="str">
        <f>IF(A383="","",IFERROR(ROUND(AVERAGEIFS(ASSESSMENTS!H:H,ASSESSMENTS!B:B,A383,ASSESSMENTS!E:E,"Geography"),1),""))</f>
        <v/>
      </c>
      <c r="J383" s="4" t="str">
        <f>IF(A383="","",IFERROR(ROUND(AVERAGEIFS(ASSESSMENTS!H:H,ASSESSMENTS!B:B,A383,ASSESSMENTS!E:E,"Accounting"),1),""))</f>
        <v/>
      </c>
      <c r="K383" s="4" t="str">
        <f>IF(A383="","",IFERROR(ROUND(AVERAGEIFS(ASSESSMENTS!H:H,ASSESSMENTS!B:B,A383,ASSESSMENTS!E:E,"English"),1),""))</f>
        <v/>
      </c>
      <c r="L383" s="5" t="str">
        <f>IF(A383="","",IFERROR(INDEX(ATTENDANCE_SUMMARY!G:G,MATCH(A383,ATTENDANCE_SUMMARY!A:A,0)),""))</f>
        <v/>
      </c>
      <c r="M383" s="4" t="str">
        <f t="shared" si="5"/>
        <v/>
      </c>
    </row>
    <row r="384" spans="1:13" x14ac:dyDescent="0.3">
      <c r="A384" t="str">
        <f>IF(MASTER_REGISTER!E384="","",MASTER_REGISTER!E384)</f>
        <v/>
      </c>
      <c r="B384" t="str">
        <f>IF(A384="","",MASTER_REGISTER!F384)</f>
        <v/>
      </c>
      <c r="C384" t="str">
        <f>IF(A384="","",MASTER_REGISTER!C384)</f>
        <v/>
      </c>
      <c r="D384" t="str">
        <f>IF(A384="","",COUNTIF(ASSESSMENTS!B:B,A384))</f>
        <v/>
      </c>
      <c r="E384" s="4" t="e">
        <f>IF(D384=0,"",ROUND(AVERAGEIF(ASSESSMENTS!B:B,A384,ASSESSMENTS!H:H),1))</f>
        <v>#DIV/0!</v>
      </c>
      <c r="F384" s="4" t="str">
        <f>IF(A384="","",IFERROR(ROUND(AVERAGEIFS(ASSESSMENTS!H:H,ASSESSMENTS!B:B,A384,ASSESSMENTS!E:E,"Mathematics"),1),""))</f>
        <v/>
      </c>
      <c r="G384" s="4" t="str">
        <f>IF(A384="","",IFERROR(ROUND(AVERAGEIFS(ASSESSMENTS!H:H,ASSESSMENTS!B:B,A384,ASSESSMENTS!E:E,"Mathematical Literacy"),1),""))</f>
        <v/>
      </c>
      <c r="H384" s="4" t="str">
        <f>IF(A384="","",IFERROR(ROUND(AVERAGEIFS(ASSESSMENTS!H:H,ASSESSMENTS!B:B,A384,ASSESSMENTS!E:E,"Physical Sciences"),1),""))</f>
        <v/>
      </c>
      <c r="I384" s="4" t="str">
        <f>IF(A384="","",IFERROR(ROUND(AVERAGEIFS(ASSESSMENTS!H:H,ASSESSMENTS!B:B,A384,ASSESSMENTS!E:E,"Geography"),1),""))</f>
        <v/>
      </c>
      <c r="J384" s="4" t="str">
        <f>IF(A384="","",IFERROR(ROUND(AVERAGEIFS(ASSESSMENTS!H:H,ASSESSMENTS!B:B,A384,ASSESSMENTS!E:E,"Accounting"),1),""))</f>
        <v/>
      </c>
      <c r="K384" s="4" t="str">
        <f>IF(A384="","",IFERROR(ROUND(AVERAGEIFS(ASSESSMENTS!H:H,ASSESSMENTS!B:B,A384,ASSESSMENTS!E:E,"English"),1),""))</f>
        <v/>
      </c>
      <c r="L384" s="5" t="str">
        <f>IF(A384="","",IFERROR(INDEX(ATTENDANCE_SUMMARY!G:G,MATCH(A384,ATTENDANCE_SUMMARY!A:A,0)),""))</f>
        <v/>
      </c>
      <c r="M384" s="4" t="str">
        <f t="shared" si="5"/>
        <v/>
      </c>
    </row>
    <row r="385" spans="1:13" x14ac:dyDescent="0.3">
      <c r="A385" t="str">
        <f>IF(MASTER_REGISTER!E385="","",MASTER_REGISTER!E385)</f>
        <v/>
      </c>
      <c r="B385" t="str">
        <f>IF(A385="","",MASTER_REGISTER!F385)</f>
        <v/>
      </c>
      <c r="C385" t="str">
        <f>IF(A385="","",MASTER_REGISTER!C385)</f>
        <v/>
      </c>
      <c r="D385" t="str">
        <f>IF(A385="","",COUNTIF(ASSESSMENTS!B:B,A385))</f>
        <v/>
      </c>
      <c r="E385" s="4" t="e">
        <f>IF(D385=0,"",ROUND(AVERAGEIF(ASSESSMENTS!B:B,A385,ASSESSMENTS!H:H),1))</f>
        <v>#DIV/0!</v>
      </c>
      <c r="F385" s="4" t="str">
        <f>IF(A385="","",IFERROR(ROUND(AVERAGEIFS(ASSESSMENTS!H:H,ASSESSMENTS!B:B,A385,ASSESSMENTS!E:E,"Mathematics"),1),""))</f>
        <v/>
      </c>
      <c r="G385" s="4" t="str">
        <f>IF(A385="","",IFERROR(ROUND(AVERAGEIFS(ASSESSMENTS!H:H,ASSESSMENTS!B:B,A385,ASSESSMENTS!E:E,"Mathematical Literacy"),1),""))</f>
        <v/>
      </c>
      <c r="H385" s="4" t="str">
        <f>IF(A385="","",IFERROR(ROUND(AVERAGEIFS(ASSESSMENTS!H:H,ASSESSMENTS!B:B,A385,ASSESSMENTS!E:E,"Physical Sciences"),1),""))</f>
        <v/>
      </c>
      <c r="I385" s="4" t="str">
        <f>IF(A385="","",IFERROR(ROUND(AVERAGEIFS(ASSESSMENTS!H:H,ASSESSMENTS!B:B,A385,ASSESSMENTS!E:E,"Geography"),1),""))</f>
        <v/>
      </c>
      <c r="J385" s="4" t="str">
        <f>IF(A385="","",IFERROR(ROUND(AVERAGEIFS(ASSESSMENTS!H:H,ASSESSMENTS!B:B,A385,ASSESSMENTS!E:E,"Accounting"),1),""))</f>
        <v/>
      </c>
      <c r="K385" s="4" t="str">
        <f>IF(A385="","",IFERROR(ROUND(AVERAGEIFS(ASSESSMENTS!H:H,ASSESSMENTS!B:B,A385,ASSESSMENTS!E:E,"English"),1),""))</f>
        <v/>
      </c>
      <c r="L385" s="5" t="str">
        <f>IF(A385="","",IFERROR(INDEX(ATTENDANCE_SUMMARY!G:G,MATCH(A385,ATTENDANCE_SUMMARY!A:A,0)),""))</f>
        <v/>
      </c>
      <c r="M385" s="4" t="str">
        <f t="shared" si="5"/>
        <v/>
      </c>
    </row>
    <row r="386" spans="1:13" x14ac:dyDescent="0.3">
      <c r="A386" t="str">
        <f>IF(MASTER_REGISTER!E386="","",MASTER_REGISTER!E386)</f>
        <v/>
      </c>
      <c r="B386" t="str">
        <f>IF(A386="","",MASTER_REGISTER!F386)</f>
        <v/>
      </c>
      <c r="C386" t="str">
        <f>IF(A386="","",MASTER_REGISTER!C386)</f>
        <v/>
      </c>
      <c r="D386" t="str">
        <f>IF(A386="","",COUNTIF(ASSESSMENTS!B:B,A386))</f>
        <v/>
      </c>
      <c r="E386" s="4" t="e">
        <f>IF(D386=0,"",ROUND(AVERAGEIF(ASSESSMENTS!B:B,A386,ASSESSMENTS!H:H),1))</f>
        <v>#DIV/0!</v>
      </c>
      <c r="F386" s="4" t="str">
        <f>IF(A386="","",IFERROR(ROUND(AVERAGEIFS(ASSESSMENTS!H:H,ASSESSMENTS!B:B,A386,ASSESSMENTS!E:E,"Mathematics"),1),""))</f>
        <v/>
      </c>
      <c r="G386" s="4" t="str">
        <f>IF(A386="","",IFERROR(ROUND(AVERAGEIFS(ASSESSMENTS!H:H,ASSESSMENTS!B:B,A386,ASSESSMENTS!E:E,"Mathematical Literacy"),1),""))</f>
        <v/>
      </c>
      <c r="H386" s="4" t="str">
        <f>IF(A386="","",IFERROR(ROUND(AVERAGEIFS(ASSESSMENTS!H:H,ASSESSMENTS!B:B,A386,ASSESSMENTS!E:E,"Physical Sciences"),1),""))</f>
        <v/>
      </c>
      <c r="I386" s="4" t="str">
        <f>IF(A386="","",IFERROR(ROUND(AVERAGEIFS(ASSESSMENTS!H:H,ASSESSMENTS!B:B,A386,ASSESSMENTS!E:E,"Geography"),1),""))</f>
        <v/>
      </c>
      <c r="J386" s="4" t="str">
        <f>IF(A386="","",IFERROR(ROUND(AVERAGEIFS(ASSESSMENTS!H:H,ASSESSMENTS!B:B,A386,ASSESSMENTS!E:E,"Accounting"),1),""))</f>
        <v/>
      </c>
      <c r="K386" s="4" t="str">
        <f>IF(A386="","",IFERROR(ROUND(AVERAGEIFS(ASSESSMENTS!H:H,ASSESSMENTS!B:B,A386,ASSESSMENTS!E:E,"English"),1),""))</f>
        <v/>
      </c>
      <c r="L386" s="5" t="str">
        <f>IF(A386="","",IFERROR(INDEX(ATTENDANCE_SUMMARY!G:G,MATCH(A386,ATTENDANCE_SUMMARY!A:A,0)),""))</f>
        <v/>
      </c>
      <c r="M386" s="4" t="str">
        <f t="shared" ref="M386:M449" si="6">IF(A386="","",IF(OR(E386&lt;50,AND(L386&lt;0.75,L386&lt;&gt;"" )),"At Risk","On Track"))</f>
        <v/>
      </c>
    </row>
    <row r="387" spans="1:13" x14ac:dyDescent="0.3">
      <c r="A387" t="str">
        <f>IF(MASTER_REGISTER!E387="","",MASTER_REGISTER!E387)</f>
        <v/>
      </c>
      <c r="B387" t="str">
        <f>IF(A387="","",MASTER_REGISTER!F387)</f>
        <v/>
      </c>
      <c r="C387" t="str">
        <f>IF(A387="","",MASTER_REGISTER!C387)</f>
        <v/>
      </c>
      <c r="D387" t="str">
        <f>IF(A387="","",COUNTIF(ASSESSMENTS!B:B,A387))</f>
        <v/>
      </c>
      <c r="E387" s="4" t="e">
        <f>IF(D387=0,"",ROUND(AVERAGEIF(ASSESSMENTS!B:B,A387,ASSESSMENTS!H:H),1))</f>
        <v>#DIV/0!</v>
      </c>
      <c r="F387" s="4" t="str">
        <f>IF(A387="","",IFERROR(ROUND(AVERAGEIFS(ASSESSMENTS!H:H,ASSESSMENTS!B:B,A387,ASSESSMENTS!E:E,"Mathematics"),1),""))</f>
        <v/>
      </c>
      <c r="G387" s="4" t="str">
        <f>IF(A387="","",IFERROR(ROUND(AVERAGEIFS(ASSESSMENTS!H:H,ASSESSMENTS!B:B,A387,ASSESSMENTS!E:E,"Mathematical Literacy"),1),""))</f>
        <v/>
      </c>
      <c r="H387" s="4" t="str">
        <f>IF(A387="","",IFERROR(ROUND(AVERAGEIFS(ASSESSMENTS!H:H,ASSESSMENTS!B:B,A387,ASSESSMENTS!E:E,"Physical Sciences"),1),""))</f>
        <v/>
      </c>
      <c r="I387" s="4" t="str">
        <f>IF(A387="","",IFERROR(ROUND(AVERAGEIFS(ASSESSMENTS!H:H,ASSESSMENTS!B:B,A387,ASSESSMENTS!E:E,"Geography"),1),""))</f>
        <v/>
      </c>
      <c r="J387" s="4" t="str">
        <f>IF(A387="","",IFERROR(ROUND(AVERAGEIFS(ASSESSMENTS!H:H,ASSESSMENTS!B:B,A387,ASSESSMENTS!E:E,"Accounting"),1),""))</f>
        <v/>
      </c>
      <c r="K387" s="4" t="str">
        <f>IF(A387="","",IFERROR(ROUND(AVERAGEIFS(ASSESSMENTS!H:H,ASSESSMENTS!B:B,A387,ASSESSMENTS!E:E,"English"),1),""))</f>
        <v/>
      </c>
      <c r="L387" s="5" t="str">
        <f>IF(A387="","",IFERROR(INDEX(ATTENDANCE_SUMMARY!G:G,MATCH(A387,ATTENDANCE_SUMMARY!A:A,0)),""))</f>
        <v/>
      </c>
      <c r="M387" s="4" t="str">
        <f t="shared" si="6"/>
        <v/>
      </c>
    </row>
    <row r="388" spans="1:13" x14ac:dyDescent="0.3">
      <c r="A388" t="str">
        <f>IF(MASTER_REGISTER!E388="","",MASTER_REGISTER!E388)</f>
        <v/>
      </c>
      <c r="B388" t="str">
        <f>IF(A388="","",MASTER_REGISTER!F388)</f>
        <v/>
      </c>
      <c r="C388" t="str">
        <f>IF(A388="","",MASTER_REGISTER!C388)</f>
        <v/>
      </c>
      <c r="D388" t="str">
        <f>IF(A388="","",COUNTIF(ASSESSMENTS!B:B,A388))</f>
        <v/>
      </c>
      <c r="E388" s="4" t="e">
        <f>IF(D388=0,"",ROUND(AVERAGEIF(ASSESSMENTS!B:B,A388,ASSESSMENTS!H:H),1))</f>
        <v>#DIV/0!</v>
      </c>
      <c r="F388" s="4" t="str">
        <f>IF(A388="","",IFERROR(ROUND(AVERAGEIFS(ASSESSMENTS!H:H,ASSESSMENTS!B:B,A388,ASSESSMENTS!E:E,"Mathematics"),1),""))</f>
        <v/>
      </c>
      <c r="G388" s="4" t="str">
        <f>IF(A388="","",IFERROR(ROUND(AVERAGEIFS(ASSESSMENTS!H:H,ASSESSMENTS!B:B,A388,ASSESSMENTS!E:E,"Mathematical Literacy"),1),""))</f>
        <v/>
      </c>
      <c r="H388" s="4" t="str">
        <f>IF(A388="","",IFERROR(ROUND(AVERAGEIFS(ASSESSMENTS!H:H,ASSESSMENTS!B:B,A388,ASSESSMENTS!E:E,"Physical Sciences"),1),""))</f>
        <v/>
      </c>
      <c r="I388" s="4" t="str">
        <f>IF(A388="","",IFERROR(ROUND(AVERAGEIFS(ASSESSMENTS!H:H,ASSESSMENTS!B:B,A388,ASSESSMENTS!E:E,"Geography"),1),""))</f>
        <v/>
      </c>
      <c r="J388" s="4" t="str">
        <f>IF(A388="","",IFERROR(ROUND(AVERAGEIFS(ASSESSMENTS!H:H,ASSESSMENTS!B:B,A388,ASSESSMENTS!E:E,"Accounting"),1),""))</f>
        <v/>
      </c>
      <c r="K388" s="4" t="str">
        <f>IF(A388="","",IFERROR(ROUND(AVERAGEIFS(ASSESSMENTS!H:H,ASSESSMENTS!B:B,A388,ASSESSMENTS!E:E,"English"),1),""))</f>
        <v/>
      </c>
      <c r="L388" s="5" t="str">
        <f>IF(A388="","",IFERROR(INDEX(ATTENDANCE_SUMMARY!G:G,MATCH(A388,ATTENDANCE_SUMMARY!A:A,0)),""))</f>
        <v/>
      </c>
      <c r="M388" s="4" t="str">
        <f t="shared" si="6"/>
        <v/>
      </c>
    </row>
    <row r="389" spans="1:13" x14ac:dyDescent="0.3">
      <c r="A389" t="str">
        <f>IF(MASTER_REGISTER!E389="","",MASTER_REGISTER!E389)</f>
        <v/>
      </c>
      <c r="B389" t="str">
        <f>IF(A389="","",MASTER_REGISTER!F389)</f>
        <v/>
      </c>
      <c r="C389" t="str">
        <f>IF(A389="","",MASTER_REGISTER!C389)</f>
        <v/>
      </c>
      <c r="D389" t="str">
        <f>IF(A389="","",COUNTIF(ASSESSMENTS!B:B,A389))</f>
        <v/>
      </c>
      <c r="E389" s="4" t="e">
        <f>IF(D389=0,"",ROUND(AVERAGEIF(ASSESSMENTS!B:B,A389,ASSESSMENTS!H:H),1))</f>
        <v>#DIV/0!</v>
      </c>
      <c r="F389" s="4" t="str">
        <f>IF(A389="","",IFERROR(ROUND(AVERAGEIFS(ASSESSMENTS!H:H,ASSESSMENTS!B:B,A389,ASSESSMENTS!E:E,"Mathematics"),1),""))</f>
        <v/>
      </c>
      <c r="G389" s="4" t="str">
        <f>IF(A389="","",IFERROR(ROUND(AVERAGEIFS(ASSESSMENTS!H:H,ASSESSMENTS!B:B,A389,ASSESSMENTS!E:E,"Mathematical Literacy"),1),""))</f>
        <v/>
      </c>
      <c r="H389" s="4" t="str">
        <f>IF(A389="","",IFERROR(ROUND(AVERAGEIFS(ASSESSMENTS!H:H,ASSESSMENTS!B:B,A389,ASSESSMENTS!E:E,"Physical Sciences"),1),""))</f>
        <v/>
      </c>
      <c r="I389" s="4" t="str">
        <f>IF(A389="","",IFERROR(ROUND(AVERAGEIFS(ASSESSMENTS!H:H,ASSESSMENTS!B:B,A389,ASSESSMENTS!E:E,"Geography"),1),""))</f>
        <v/>
      </c>
      <c r="J389" s="4" t="str">
        <f>IF(A389="","",IFERROR(ROUND(AVERAGEIFS(ASSESSMENTS!H:H,ASSESSMENTS!B:B,A389,ASSESSMENTS!E:E,"Accounting"),1),""))</f>
        <v/>
      </c>
      <c r="K389" s="4" t="str">
        <f>IF(A389="","",IFERROR(ROUND(AVERAGEIFS(ASSESSMENTS!H:H,ASSESSMENTS!B:B,A389,ASSESSMENTS!E:E,"English"),1),""))</f>
        <v/>
      </c>
      <c r="L389" s="5" t="str">
        <f>IF(A389="","",IFERROR(INDEX(ATTENDANCE_SUMMARY!G:G,MATCH(A389,ATTENDANCE_SUMMARY!A:A,0)),""))</f>
        <v/>
      </c>
      <c r="M389" s="4" t="str">
        <f t="shared" si="6"/>
        <v/>
      </c>
    </row>
    <row r="390" spans="1:13" x14ac:dyDescent="0.3">
      <c r="A390" t="str">
        <f>IF(MASTER_REGISTER!E390="","",MASTER_REGISTER!E390)</f>
        <v/>
      </c>
      <c r="B390" t="str">
        <f>IF(A390="","",MASTER_REGISTER!F390)</f>
        <v/>
      </c>
      <c r="C390" t="str">
        <f>IF(A390="","",MASTER_REGISTER!C390)</f>
        <v/>
      </c>
      <c r="D390" t="str">
        <f>IF(A390="","",COUNTIF(ASSESSMENTS!B:B,A390))</f>
        <v/>
      </c>
      <c r="E390" s="4" t="e">
        <f>IF(D390=0,"",ROUND(AVERAGEIF(ASSESSMENTS!B:B,A390,ASSESSMENTS!H:H),1))</f>
        <v>#DIV/0!</v>
      </c>
      <c r="F390" s="4" t="str">
        <f>IF(A390="","",IFERROR(ROUND(AVERAGEIFS(ASSESSMENTS!H:H,ASSESSMENTS!B:B,A390,ASSESSMENTS!E:E,"Mathematics"),1),""))</f>
        <v/>
      </c>
      <c r="G390" s="4" t="str">
        <f>IF(A390="","",IFERROR(ROUND(AVERAGEIFS(ASSESSMENTS!H:H,ASSESSMENTS!B:B,A390,ASSESSMENTS!E:E,"Mathematical Literacy"),1),""))</f>
        <v/>
      </c>
      <c r="H390" s="4" t="str">
        <f>IF(A390="","",IFERROR(ROUND(AVERAGEIFS(ASSESSMENTS!H:H,ASSESSMENTS!B:B,A390,ASSESSMENTS!E:E,"Physical Sciences"),1),""))</f>
        <v/>
      </c>
      <c r="I390" s="4" t="str">
        <f>IF(A390="","",IFERROR(ROUND(AVERAGEIFS(ASSESSMENTS!H:H,ASSESSMENTS!B:B,A390,ASSESSMENTS!E:E,"Geography"),1),""))</f>
        <v/>
      </c>
      <c r="J390" s="4" t="str">
        <f>IF(A390="","",IFERROR(ROUND(AVERAGEIFS(ASSESSMENTS!H:H,ASSESSMENTS!B:B,A390,ASSESSMENTS!E:E,"Accounting"),1),""))</f>
        <v/>
      </c>
      <c r="K390" s="4" t="str">
        <f>IF(A390="","",IFERROR(ROUND(AVERAGEIFS(ASSESSMENTS!H:H,ASSESSMENTS!B:B,A390,ASSESSMENTS!E:E,"English"),1),""))</f>
        <v/>
      </c>
      <c r="L390" s="5" t="str">
        <f>IF(A390="","",IFERROR(INDEX(ATTENDANCE_SUMMARY!G:G,MATCH(A390,ATTENDANCE_SUMMARY!A:A,0)),""))</f>
        <v/>
      </c>
      <c r="M390" s="4" t="str">
        <f t="shared" si="6"/>
        <v/>
      </c>
    </row>
    <row r="391" spans="1:13" x14ac:dyDescent="0.3">
      <c r="A391" t="str">
        <f>IF(MASTER_REGISTER!E391="","",MASTER_REGISTER!E391)</f>
        <v/>
      </c>
      <c r="B391" t="str">
        <f>IF(A391="","",MASTER_REGISTER!F391)</f>
        <v/>
      </c>
      <c r="C391" t="str">
        <f>IF(A391="","",MASTER_REGISTER!C391)</f>
        <v/>
      </c>
      <c r="D391" t="str">
        <f>IF(A391="","",COUNTIF(ASSESSMENTS!B:B,A391))</f>
        <v/>
      </c>
      <c r="E391" s="4" t="e">
        <f>IF(D391=0,"",ROUND(AVERAGEIF(ASSESSMENTS!B:B,A391,ASSESSMENTS!H:H),1))</f>
        <v>#DIV/0!</v>
      </c>
      <c r="F391" s="4" t="str">
        <f>IF(A391="","",IFERROR(ROUND(AVERAGEIFS(ASSESSMENTS!H:H,ASSESSMENTS!B:B,A391,ASSESSMENTS!E:E,"Mathematics"),1),""))</f>
        <v/>
      </c>
      <c r="G391" s="4" t="str">
        <f>IF(A391="","",IFERROR(ROUND(AVERAGEIFS(ASSESSMENTS!H:H,ASSESSMENTS!B:B,A391,ASSESSMENTS!E:E,"Mathematical Literacy"),1),""))</f>
        <v/>
      </c>
      <c r="H391" s="4" t="str">
        <f>IF(A391="","",IFERROR(ROUND(AVERAGEIFS(ASSESSMENTS!H:H,ASSESSMENTS!B:B,A391,ASSESSMENTS!E:E,"Physical Sciences"),1),""))</f>
        <v/>
      </c>
      <c r="I391" s="4" t="str">
        <f>IF(A391="","",IFERROR(ROUND(AVERAGEIFS(ASSESSMENTS!H:H,ASSESSMENTS!B:B,A391,ASSESSMENTS!E:E,"Geography"),1),""))</f>
        <v/>
      </c>
      <c r="J391" s="4" t="str">
        <f>IF(A391="","",IFERROR(ROUND(AVERAGEIFS(ASSESSMENTS!H:H,ASSESSMENTS!B:B,A391,ASSESSMENTS!E:E,"Accounting"),1),""))</f>
        <v/>
      </c>
      <c r="K391" s="4" t="str">
        <f>IF(A391="","",IFERROR(ROUND(AVERAGEIFS(ASSESSMENTS!H:H,ASSESSMENTS!B:B,A391,ASSESSMENTS!E:E,"English"),1),""))</f>
        <v/>
      </c>
      <c r="L391" s="5" t="str">
        <f>IF(A391="","",IFERROR(INDEX(ATTENDANCE_SUMMARY!G:G,MATCH(A391,ATTENDANCE_SUMMARY!A:A,0)),""))</f>
        <v/>
      </c>
      <c r="M391" s="4" t="str">
        <f t="shared" si="6"/>
        <v/>
      </c>
    </row>
    <row r="392" spans="1:13" x14ac:dyDescent="0.3">
      <c r="A392" t="str">
        <f>IF(MASTER_REGISTER!E392="","",MASTER_REGISTER!E392)</f>
        <v/>
      </c>
      <c r="B392" t="str">
        <f>IF(A392="","",MASTER_REGISTER!F392)</f>
        <v/>
      </c>
      <c r="C392" t="str">
        <f>IF(A392="","",MASTER_REGISTER!C392)</f>
        <v/>
      </c>
      <c r="D392" t="str">
        <f>IF(A392="","",COUNTIF(ASSESSMENTS!B:B,A392))</f>
        <v/>
      </c>
      <c r="E392" s="4" t="e">
        <f>IF(D392=0,"",ROUND(AVERAGEIF(ASSESSMENTS!B:B,A392,ASSESSMENTS!H:H),1))</f>
        <v>#DIV/0!</v>
      </c>
      <c r="F392" s="4" t="str">
        <f>IF(A392="","",IFERROR(ROUND(AVERAGEIFS(ASSESSMENTS!H:H,ASSESSMENTS!B:B,A392,ASSESSMENTS!E:E,"Mathematics"),1),""))</f>
        <v/>
      </c>
      <c r="G392" s="4" t="str">
        <f>IF(A392="","",IFERROR(ROUND(AVERAGEIFS(ASSESSMENTS!H:H,ASSESSMENTS!B:B,A392,ASSESSMENTS!E:E,"Mathematical Literacy"),1),""))</f>
        <v/>
      </c>
      <c r="H392" s="4" t="str">
        <f>IF(A392="","",IFERROR(ROUND(AVERAGEIFS(ASSESSMENTS!H:H,ASSESSMENTS!B:B,A392,ASSESSMENTS!E:E,"Physical Sciences"),1),""))</f>
        <v/>
      </c>
      <c r="I392" s="4" t="str">
        <f>IF(A392="","",IFERROR(ROUND(AVERAGEIFS(ASSESSMENTS!H:H,ASSESSMENTS!B:B,A392,ASSESSMENTS!E:E,"Geography"),1),""))</f>
        <v/>
      </c>
      <c r="J392" s="4" t="str">
        <f>IF(A392="","",IFERROR(ROUND(AVERAGEIFS(ASSESSMENTS!H:H,ASSESSMENTS!B:B,A392,ASSESSMENTS!E:E,"Accounting"),1),""))</f>
        <v/>
      </c>
      <c r="K392" s="4" t="str">
        <f>IF(A392="","",IFERROR(ROUND(AVERAGEIFS(ASSESSMENTS!H:H,ASSESSMENTS!B:B,A392,ASSESSMENTS!E:E,"English"),1),""))</f>
        <v/>
      </c>
      <c r="L392" s="5" t="str">
        <f>IF(A392="","",IFERROR(INDEX(ATTENDANCE_SUMMARY!G:G,MATCH(A392,ATTENDANCE_SUMMARY!A:A,0)),""))</f>
        <v/>
      </c>
      <c r="M392" s="4" t="str">
        <f t="shared" si="6"/>
        <v/>
      </c>
    </row>
    <row r="393" spans="1:13" x14ac:dyDescent="0.3">
      <c r="A393" t="str">
        <f>IF(MASTER_REGISTER!E393="","",MASTER_REGISTER!E393)</f>
        <v/>
      </c>
      <c r="B393" t="str">
        <f>IF(A393="","",MASTER_REGISTER!F393)</f>
        <v/>
      </c>
      <c r="C393" t="str">
        <f>IF(A393="","",MASTER_REGISTER!C393)</f>
        <v/>
      </c>
      <c r="D393" t="str">
        <f>IF(A393="","",COUNTIF(ASSESSMENTS!B:B,A393))</f>
        <v/>
      </c>
      <c r="E393" s="4" t="e">
        <f>IF(D393=0,"",ROUND(AVERAGEIF(ASSESSMENTS!B:B,A393,ASSESSMENTS!H:H),1))</f>
        <v>#DIV/0!</v>
      </c>
      <c r="F393" s="4" t="str">
        <f>IF(A393="","",IFERROR(ROUND(AVERAGEIFS(ASSESSMENTS!H:H,ASSESSMENTS!B:B,A393,ASSESSMENTS!E:E,"Mathematics"),1),""))</f>
        <v/>
      </c>
      <c r="G393" s="4" t="str">
        <f>IF(A393="","",IFERROR(ROUND(AVERAGEIFS(ASSESSMENTS!H:H,ASSESSMENTS!B:B,A393,ASSESSMENTS!E:E,"Mathematical Literacy"),1),""))</f>
        <v/>
      </c>
      <c r="H393" s="4" t="str">
        <f>IF(A393="","",IFERROR(ROUND(AVERAGEIFS(ASSESSMENTS!H:H,ASSESSMENTS!B:B,A393,ASSESSMENTS!E:E,"Physical Sciences"),1),""))</f>
        <v/>
      </c>
      <c r="I393" s="4" t="str">
        <f>IF(A393="","",IFERROR(ROUND(AVERAGEIFS(ASSESSMENTS!H:H,ASSESSMENTS!B:B,A393,ASSESSMENTS!E:E,"Geography"),1),""))</f>
        <v/>
      </c>
      <c r="J393" s="4" t="str">
        <f>IF(A393="","",IFERROR(ROUND(AVERAGEIFS(ASSESSMENTS!H:H,ASSESSMENTS!B:B,A393,ASSESSMENTS!E:E,"Accounting"),1),""))</f>
        <v/>
      </c>
      <c r="K393" s="4" t="str">
        <f>IF(A393="","",IFERROR(ROUND(AVERAGEIFS(ASSESSMENTS!H:H,ASSESSMENTS!B:B,A393,ASSESSMENTS!E:E,"English"),1),""))</f>
        <v/>
      </c>
      <c r="L393" s="5" t="str">
        <f>IF(A393="","",IFERROR(INDEX(ATTENDANCE_SUMMARY!G:G,MATCH(A393,ATTENDANCE_SUMMARY!A:A,0)),""))</f>
        <v/>
      </c>
      <c r="M393" s="4" t="str">
        <f t="shared" si="6"/>
        <v/>
      </c>
    </row>
    <row r="394" spans="1:13" x14ac:dyDescent="0.3">
      <c r="A394" t="str">
        <f>IF(MASTER_REGISTER!E394="","",MASTER_REGISTER!E394)</f>
        <v/>
      </c>
      <c r="B394" t="str">
        <f>IF(A394="","",MASTER_REGISTER!F394)</f>
        <v/>
      </c>
      <c r="C394" t="str">
        <f>IF(A394="","",MASTER_REGISTER!C394)</f>
        <v/>
      </c>
      <c r="D394" t="str">
        <f>IF(A394="","",COUNTIF(ASSESSMENTS!B:B,A394))</f>
        <v/>
      </c>
      <c r="E394" s="4" t="e">
        <f>IF(D394=0,"",ROUND(AVERAGEIF(ASSESSMENTS!B:B,A394,ASSESSMENTS!H:H),1))</f>
        <v>#DIV/0!</v>
      </c>
      <c r="F394" s="4" t="str">
        <f>IF(A394="","",IFERROR(ROUND(AVERAGEIFS(ASSESSMENTS!H:H,ASSESSMENTS!B:B,A394,ASSESSMENTS!E:E,"Mathematics"),1),""))</f>
        <v/>
      </c>
      <c r="G394" s="4" t="str">
        <f>IF(A394="","",IFERROR(ROUND(AVERAGEIFS(ASSESSMENTS!H:H,ASSESSMENTS!B:B,A394,ASSESSMENTS!E:E,"Mathematical Literacy"),1),""))</f>
        <v/>
      </c>
      <c r="H394" s="4" t="str">
        <f>IF(A394="","",IFERROR(ROUND(AVERAGEIFS(ASSESSMENTS!H:H,ASSESSMENTS!B:B,A394,ASSESSMENTS!E:E,"Physical Sciences"),1),""))</f>
        <v/>
      </c>
      <c r="I394" s="4" t="str">
        <f>IF(A394="","",IFERROR(ROUND(AVERAGEIFS(ASSESSMENTS!H:H,ASSESSMENTS!B:B,A394,ASSESSMENTS!E:E,"Geography"),1),""))</f>
        <v/>
      </c>
      <c r="J394" s="4" t="str">
        <f>IF(A394="","",IFERROR(ROUND(AVERAGEIFS(ASSESSMENTS!H:H,ASSESSMENTS!B:B,A394,ASSESSMENTS!E:E,"Accounting"),1),""))</f>
        <v/>
      </c>
      <c r="K394" s="4" t="str">
        <f>IF(A394="","",IFERROR(ROUND(AVERAGEIFS(ASSESSMENTS!H:H,ASSESSMENTS!B:B,A394,ASSESSMENTS!E:E,"English"),1),""))</f>
        <v/>
      </c>
      <c r="L394" s="5" t="str">
        <f>IF(A394="","",IFERROR(INDEX(ATTENDANCE_SUMMARY!G:G,MATCH(A394,ATTENDANCE_SUMMARY!A:A,0)),""))</f>
        <v/>
      </c>
      <c r="M394" s="4" t="str">
        <f t="shared" si="6"/>
        <v/>
      </c>
    </row>
    <row r="395" spans="1:13" x14ac:dyDescent="0.3">
      <c r="A395" t="str">
        <f>IF(MASTER_REGISTER!E395="","",MASTER_REGISTER!E395)</f>
        <v/>
      </c>
      <c r="B395" t="str">
        <f>IF(A395="","",MASTER_REGISTER!F395)</f>
        <v/>
      </c>
      <c r="C395" t="str">
        <f>IF(A395="","",MASTER_REGISTER!C395)</f>
        <v/>
      </c>
      <c r="D395" t="str">
        <f>IF(A395="","",COUNTIF(ASSESSMENTS!B:B,A395))</f>
        <v/>
      </c>
      <c r="E395" s="4" t="e">
        <f>IF(D395=0,"",ROUND(AVERAGEIF(ASSESSMENTS!B:B,A395,ASSESSMENTS!H:H),1))</f>
        <v>#DIV/0!</v>
      </c>
      <c r="F395" s="4" t="str">
        <f>IF(A395="","",IFERROR(ROUND(AVERAGEIFS(ASSESSMENTS!H:H,ASSESSMENTS!B:B,A395,ASSESSMENTS!E:E,"Mathematics"),1),""))</f>
        <v/>
      </c>
      <c r="G395" s="4" t="str">
        <f>IF(A395="","",IFERROR(ROUND(AVERAGEIFS(ASSESSMENTS!H:H,ASSESSMENTS!B:B,A395,ASSESSMENTS!E:E,"Mathematical Literacy"),1),""))</f>
        <v/>
      </c>
      <c r="H395" s="4" t="str">
        <f>IF(A395="","",IFERROR(ROUND(AVERAGEIFS(ASSESSMENTS!H:H,ASSESSMENTS!B:B,A395,ASSESSMENTS!E:E,"Physical Sciences"),1),""))</f>
        <v/>
      </c>
      <c r="I395" s="4" t="str">
        <f>IF(A395="","",IFERROR(ROUND(AVERAGEIFS(ASSESSMENTS!H:H,ASSESSMENTS!B:B,A395,ASSESSMENTS!E:E,"Geography"),1),""))</f>
        <v/>
      </c>
      <c r="J395" s="4" t="str">
        <f>IF(A395="","",IFERROR(ROUND(AVERAGEIFS(ASSESSMENTS!H:H,ASSESSMENTS!B:B,A395,ASSESSMENTS!E:E,"Accounting"),1),""))</f>
        <v/>
      </c>
      <c r="K395" s="4" t="str">
        <f>IF(A395="","",IFERROR(ROUND(AVERAGEIFS(ASSESSMENTS!H:H,ASSESSMENTS!B:B,A395,ASSESSMENTS!E:E,"English"),1),""))</f>
        <v/>
      </c>
      <c r="L395" s="5" t="str">
        <f>IF(A395="","",IFERROR(INDEX(ATTENDANCE_SUMMARY!G:G,MATCH(A395,ATTENDANCE_SUMMARY!A:A,0)),""))</f>
        <v/>
      </c>
      <c r="M395" s="4" t="str">
        <f t="shared" si="6"/>
        <v/>
      </c>
    </row>
    <row r="396" spans="1:13" x14ac:dyDescent="0.3">
      <c r="A396" t="str">
        <f>IF(MASTER_REGISTER!E396="","",MASTER_REGISTER!E396)</f>
        <v/>
      </c>
      <c r="B396" t="str">
        <f>IF(A396="","",MASTER_REGISTER!F396)</f>
        <v/>
      </c>
      <c r="C396" t="str">
        <f>IF(A396="","",MASTER_REGISTER!C396)</f>
        <v/>
      </c>
      <c r="D396" t="str">
        <f>IF(A396="","",COUNTIF(ASSESSMENTS!B:B,A396))</f>
        <v/>
      </c>
      <c r="E396" s="4" t="e">
        <f>IF(D396=0,"",ROUND(AVERAGEIF(ASSESSMENTS!B:B,A396,ASSESSMENTS!H:H),1))</f>
        <v>#DIV/0!</v>
      </c>
      <c r="F396" s="4" t="str">
        <f>IF(A396="","",IFERROR(ROUND(AVERAGEIFS(ASSESSMENTS!H:H,ASSESSMENTS!B:B,A396,ASSESSMENTS!E:E,"Mathematics"),1),""))</f>
        <v/>
      </c>
      <c r="G396" s="4" t="str">
        <f>IF(A396="","",IFERROR(ROUND(AVERAGEIFS(ASSESSMENTS!H:H,ASSESSMENTS!B:B,A396,ASSESSMENTS!E:E,"Mathematical Literacy"),1),""))</f>
        <v/>
      </c>
      <c r="H396" s="4" t="str">
        <f>IF(A396="","",IFERROR(ROUND(AVERAGEIFS(ASSESSMENTS!H:H,ASSESSMENTS!B:B,A396,ASSESSMENTS!E:E,"Physical Sciences"),1),""))</f>
        <v/>
      </c>
      <c r="I396" s="4" t="str">
        <f>IF(A396="","",IFERROR(ROUND(AVERAGEIFS(ASSESSMENTS!H:H,ASSESSMENTS!B:B,A396,ASSESSMENTS!E:E,"Geography"),1),""))</f>
        <v/>
      </c>
      <c r="J396" s="4" t="str">
        <f>IF(A396="","",IFERROR(ROUND(AVERAGEIFS(ASSESSMENTS!H:H,ASSESSMENTS!B:B,A396,ASSESSMENTS!E:E,"Accounting"),1),""))</f>
        <v/>
      </c>
      <c r="K396" s="4" t="str">
        <f>IF(A396="","",IFERROR(ROUND(AVERAGEIFS(ASSESSMENTS!H:H,ASSESSMENTS!B:B,A396,ASSESSMENTS!E:E,"English"),1),""))</f>
        <v/>
      </c>
      <c r="L396" s="5" t="str">
        <f>IF(A396="","",IFERROR(INDEX(ATTENDANCE_SUMMARY!G:G,MATCH(A396,ATTENDANCE_SUMMARY!A:A,0)),""))</f>
        <v/>
      </c>
      <c r="M396" s="4" t="str">
        <f t="shared" si="6"/>
        <v/>
      </c>
    </row>
    <row r="397" spans="1:13" x14ac:dyDescent="0.3">
      <c r="A397" t="str">
        <f>IF(MASTER_REGISTER!E397="","",MASTER_REGISTER!E397)</f>
        <v/>
      </c>
      <c r="B397" t="str">
        <f>IF(A397="","",MASTER_REGISTER!F397)</f>
        <v/>
      </c>
      <c r="C397" t="str">
        <f>IF(A397="","",MASTER_REGISTER!C397)</f>
        <v/>
      </c>
      <c r="D397" t="str">
        <f>IF(A397="","",COUNTIF(ASSESSMENTS!B:B,A397))</f>
        <v/>
      </c>
      <c r="E397" s="4" t="e">
        <f>IF(D397=0,"",ROUND(AVERAGEIF(ASSESSMENTS!B:B,A397,ASSESSMENTS!H:H),1))</f>
        <v>#DIV/0!</v>
      </c>
      <c r="F397" s="4" t="str">
        <f>IF(A397="","",IFERROR(ROUND(AVERAGEIFS(ASSESSMENTS!H:H,ASSESSMENTS!B:B,A397,ASSESSMENTS!E:E,"Mathematics"),1),""))</f>
        <v/>
      </c>
      <c r="G397" s="4" t="str">
        <f>IF(A397="","",IFERROR(ROUND(AVERAGEIFS(ASSESSMENTS!H:H,ASSESSMENTS!B:B,A397,ASSESSMENTS!E:E,"Mathematical Literacy"),1),""))</f>
        <v/>
      </c>
      <c r="H397" s="4" t="str">
        <f>IF(A397="","",IFERROR(ROUND(AVERAGEIFS(ASSESSMENTS!H:H,ASSESSMENTS!B:B,A397,ASSESSMENTS!E:E,"Physical Sciences"),1),""))</f>
        <v/>
      </c>
      <c r="I397" s="4" t="str">
        <f>IF(A397="","",IFERROR(ROUND(AVERAGEIFS(ASSESSMENTS!H:H,ASSESSMENTS!B:B,A397,ASSESSMENTS!E:E,"Geography"),1),""))</f>
        <v/>
      </c>
      <c r="J397" s="4" t="str">
        <f>IF(A397="","",IFERROR(ROUND(AVERAGEIFS(ASSESSMENTS!H:H,ASSESSMENTS!B:B,A397,ASSESSMENTS!E:E,"Accounting"),1),""))</f>
        <v/>
      </c>
      <c r="K397" s="4" t="str">
        <f>IF(A397="","",IFERROR(ROUND(AVERAGEIFS(ASSESSMENTS!H:H,ASSESSMENTS!B:B,A397,ASSESSMENTS!E:E,"English"),1),""))</f>
        <v/>
      </c>
      <c r="L397" s="5" t="str">
        <f>IF(A397="","",IFERROR(INDEX(ATTENDANCE_SUMMARY!G:G,MATCH(A397,ATTENDANCE_SUMMARY!A:A,0)),""))</f>
        <v/>
      </c>
      <c r="M397" s="4" t="str">
        <f t="shared" si="6"/>
        <v/>
      </c>
    </row>
    <row r="398" spans="1:13" x14ac:dyDescent="0.3">
      <c r="A398" t="str">
        <f>IF(MASTER_REGISTER!E398="","",MASTER_REGISTER!E398)</f>
        <v/>
      </c>
      <c r="B398" t="str">
        <f>IF(A398="","",MASTER_REGISTER!F398)</f>
        <v/>
      </c>
      <c r="C398" t="str">
        <f>IF(A398="","",MASTER_REGISTER!C398)</f>
        <v/>
      </c>
      <c r="D398" t="str">
        <f>IF(A398="","",COUNTIF(ASSESSMENTS!B:B,A398))</f>
        <v/>
      </c>
      <c r="E398" s="4" t="e">
        <f>IF(D398=0,"",ROUND(AVERAGEIF(ASSESSMENTS!B:B,A398,ASSESSMENTS!H:H),1))</f>
        <v>#DIV/0!</v>
      </c>
      <c r="F398" s="4" t="str">
        <f>IF(A398="","",IFERROR(ROUND(AVERAGEIFS(ASSESSMENTS!H:H,ASSESSMENTS!B:B,A398,ASSESSMENTS!E:E,"Mathematics"),1),""))</f>
        <v/>
      </c>
      <c r="G398" s="4" t="str">
        <f>IF(A398="","",IFERROR(ROUND(AVERAGEIFS(ASSESSMENTS!H:H,ASSESSMENTS!B:B,A398,ASSESSMENTS!E:E,"Mathematical Literacy"),1),""))</f>
        <v/>
      </c>
      <c r="H398" s="4" t="str">
        <f>IF(A398="","",IFERROR(ROUND(AVERAGEIFS(ASSESSMENTS!H:H,ASSESSMENTS!B:B,A398,ASSESSMENTS!E:E,"Physical Sciences"),1),""))</f>
        <v/>
      </c>
      <c r="I398" s="4" t="str">
        <f>IF(A398="","",IFERROR(ROUND(AVERAGEIFS(ASSESSMENTS!H:H,ASSESSMENTS!B:B,A398,ASSESSMENTS!E:E,"Geography"),1),""))</f>
        <v/>
      </c>
      <c r="J398" s="4" t="str">
        <f>IF(A398="","",IFERROR(ROUND(AVERAGEIFS(ASSESSMENTS!H:H,ASSESSMENTS!B:B,A398,ASSESSMENTS!E:E,"Accounting"),1),""))</f>
        <v/>
      </c>
      <c r="K398" s="4" t="str">
        <f>IF(A398="","",IFERROR(ROUND(AVERAGEIFS(ASSESSMENTS!H:H,ASSESSMENTS!B:B,A398,ASSESSMENTS!E:E,"English"),1),""))</f>
        <v/>
      </c>
      <c r="L398" s="5" t="str">
        <f>IF(A398="","",IFERROR(INDEX(ATTENDANCE_SUMMARY!G:G,MATCH(A398,ATTENDANCE_SUMMARY!A:A,0)),""))</f>
        <v/>
      </c>
      <c r="M398" s="4" t="str">
        <f t="shared" si="6"/>
        <v/>
      </c>
    </row>
    <row r="399" spans="1:13" x14ac:dyDescent="0.3">
      <c r="A399" t="str">
        <f>IF(MASTER_REGISTER!E399="","",MASTER_REGISTER!E399)</f>
        <v/>
      </c>
      <c r="B399" t="str">
        <f>IF(A399="","",MASTER_REGISTER!F399)</f>
        <v/>
      </c>
      <c r="C399" t="str">
        <f>IF(A399="","",MASTER_REGISTER!C399)</f>
        <v/>
      </c>
      <c r="D399" t="str">
        <f>IF(A399="","",COUNTIF(ASSESSMENTS!B:B,A399))</f>
        <v/>
      </c>
      <c r="E399" s="4" t="e">
        <f>IF(D399=0,"",ROUND(AVERAGEIF(ASSESSMENTS!B:B,A399,ASSESSMENTS!H:H),1))</f>
        <v>#DIV/0!</v>
      </c>
      <c r="F399" s="4" t="str">
        <f>IF(A399="","",IFERROR(ROUND(AVERAGEIFS(ASSESSMENTS!H:H,ASSESSMENTS!B:B,A399,ASSESSMENTS!E:E,"Mathematics"),1),""))</f>
        <v/>
      </c>
      <c r="G399" s="4" t="str">
        <f>IF(A399="","",IFERROR(ROUND(AVERAGEIFS(ASSESSMENTS!H:H,ASSESSMENTS!B:B,A399,ASSESSMENTS!E:E,"Mathematical Literacy"),1),""))</f>
        <v/>
      </c>
      <c r="H399" s="4" t="str">
        <f>IF(A399="","",IFERROR(ROUND(AVERAGEIFS(ASSESSMENTS!H:H,ASSESSMENTS!B:B,A399,ASSESSMENTS!E:E,"Physical Sciences"),1),""))</f>
        <v/>
      </c>
      <c r="I399" s="4" t="str">
        <f>IF(A399="","",IFERROR(ROUND(AVERAGEIFS(ASSESSMENTS!H:H,ASSESSMENTS!B:B,A399,ASSESSMENTS!E:E,"Geography"),1),""))</f>
        <v/>
      </c>
      <c r="J399" s="4" t="str">
        <f>IF(A399="","",IFERROR(ROUND(AVERAGEIFS(ASSESSMENTS!H:H,ASSESSMENTS!B:B,A399,ASSESSMENTS!E:E,"Accounting"),1),""))</f>
        <v/>
      </c>
      <c r="K399" s="4" t="str">
        <f>IF(A399="","",IFERROR(ROUND(AVERAGEIFS(ASSESSMENTS!H:H,ASSESSMENTS!B:B,A399,ASSESSMENTS!E:E,"English"),1),""))</f>
        <v/>
      </c>
      <c r="L399" s="5" t="str">
        <f>IF(A399="","",IFERROR(INDEX(ATTENDANCE_SUMMARY!G:G,MATCH(A399,ATTENDANCE_SUMMARY!A:A,0)),""))</f>
        <v/>
      </c>
      <c r="M399" s="4" t="str">
        <f t="shared" si="6"/>
        <v/>
      </c>
    </row>
    <row r="400" spans="1:13" x14ac:dyDescent="0.3">
      <c r="A400" t="str">
        <f>IF(MASTER_REGISTER!E400="","",MASTER_REGISTER!E400)</f>
        <v/>
      </c>
      <c r="B400" t="str">
        <f>IF(A400="","",MASTER_REGISTER!F400)</f>
        <v/>
      </c>
      <c r="C400" t="str">
        <f>IF(A400="","",MASTER_REGISTER!C400)</f>
        <v/>
      </c>
      <c r="D400" t="str">
        <f>IF(A400="","",COUNTIF(ASSESSMENTS!B:B,A400))</f>
        <v/>
      </c>
      <c r="E400" s="4" t="e">
        <f>IF(D400=0,"",ROUND(AVERAGEIF(ASSESSMENTS!B:B,A400,ASSESSMENTS!H:H),1))</f>
        <v>#DIV/0!</v>
      </c>
      <c r="F400" s="4" t="str">
        <f>IF(A400="","",IFERROR(ROUND(AVERAGEIFS(ASSESSMENTS!H:H,ASSESSMENTS!B:B,A400,ASSESSMENTS!E:E,"Mathematics"),1),""))</f>
        <v/>
      </c>
      <c r="G400" s="4" t="str">
        <f>IF(A400="","",IFERROR(ROUND(AVERAGEIFS(ASSESSMENTS!H:H,ASSESSMENTS!B:B,A400,ASSESSMENTS!E:E,"Mathematical Literacy"),1),""))</f>
        <v/>
      </c>
      <c r="H400" s="4" t="str">
        <f>IF(A400="","",IFERROR(ROUND(AVERAGEIFS(ASSESSMENTS!H:H,ASSESSMENTS!B:B,A400,ASSESSMENTS!E:E,"Physical Sciences"),1),""))</f>
        <v/>
      </c>
      <c r="I400" s="4" t="str">
        <f>IF(A400="","",IFERROR(ROUND(AVERAGEIFS(ASSESSMENTS!H:H,ASSESSMENTS!B:B,A400,ASSESSMENTS!E:E,"Geography"),1),""))</f>
        <v/>
      </c>
      <c r="J400" s="4" t="str">
        <f>IF(A400="","",IFERROR(ROUND(AVERAGEIFS(ASSESSMENTS!H:H,ASSESSMENTS!B:B,A400,ASSESSMENTS!E:E,"Accounting"),1),""))</f>
        <v/>
      </c>
      <c r="K400" s="4" t="str">
        <f>IF(A400="","",IFERROR(ROUND(AVERAGEIFS(ASSESSMENTS!H:H,ASSESSMENTS!B:B,A400,ASSESSMENTS!E:E,"English"),1),""))</f>
        <v/>
      </c>
      <c r="L400" s="5" t="str">
        <f>IF(A400="","",IFERROR(INDEX(ATTENDANCE_SUMMARY!G:G,MATCH(A400,ATTENDANCE_SUMMARY!A:A,0)),""))</f>
        <v/>
      </c>
      <c r="M400" s="4" t="str">
        <f t="shared" si="6"/>
        <v/>
      </c>
    </row>
    <row r="401" spans="1:13" x14ac:dyDescent="0.3">
      <c r="A401" t="str">
        <f>IF(MASTER_REGISTER!E401="","",MASTER_REGISTER!E401)</f>
        <v/>
      </c>
      <c r="B401" t="str">
        <f>IF(A401="","",MASTER_REGISTER!F401)</f>
        <v/>
      </c>
      <c r="C401" t="str">
        <f>IF(A401="","",MASTER_REGISTER!C401)</f>
        <v/>
      </c>
      <c r="D401" t="str">
        <f>IF(A401="","",COUNTIF(ASSESSMENTS!B:B,A401))</f>
        <v/>
      </c>
      <c r="E401" s="4" t="e">
        <f>IF(D401=0,"",ROUND(AVERAGEIF(ASSESSMENTS!B:B,A401,ASSESSMENTS!H:H),1))</f>
        <v>#DIV/0!</v>
      </c>
      <c r="F401" s="4" t="str">
        <f>IF(A401="","",IFERROR(ROUND(AVERAGEIFS(ASSESSMENTS!H:H,ASSESSMENTS!B:B,A401,ASSESSMENTS!E:E,"Mathematics"),1),""))</f>
        <v/>
      </c>
      <c r="G401" s="4" t="str">
        <f>IF(A401="","",IFERROR(ROUND(AVERAGEIFS(ASSESSMENTS!H:H,ASSESSMENTS!B:B,A401,ASSESSMENTS!E:E,"Mathematical Literacy"),1),""))</f>
        <v/>
      </c>
      <c r="H401" s="4" t="str">
        <f>IF(A401="","",IFERROR(ROUND(AVERAGEIFS(ASSESSMENTS!H:H,ASSESSMENTS!B:B,A401,ASSESSMENTS!E:E,"Physical Sciences"),1),""))</f>
        <v/>
      </c>
      <c r="I401" s="4" t="str">
        <f>IF(A401="","",IFERROR(ROUND(AVERAGEIFS(ASSESSMENTS!H:H,ASSESSMENTS!B:B,A401,ASSESSMENTS!E:E,"Geography"),1),""))</f>
        <v/>
      </c>
      <c r="J401" s="4" t="str">
        <f>IF(A401="","",IFERROR(ROUND(AVERAGEIFS(ASSESSMENTS!H:H,ASSESSMENTS!B:B,A401,ASSESSMENTS!E:E,"Accounting"),1),""))</f>
        <v/>
      </c>
      <c r="K401" s="4" t="str">
        <f>IF(A401="","",IFERROR(ROUND(AVERAGEIFS(ASSESSMENTS!H:H,ASSESSMENTS!B:B,A401,ASSESSMENTS!E:E,"English"),1),""))</f>
        <v/>
      </c>
      <c r="L401" s="5" t="str">
        <f>IF(A401="","",IFERROR(INDEX(ATTENDANCE_SUMMARY!G:G,MATCH(A401,ATTENDANCE_SUMMARY!A:A,0)),""))</f>
        <v/>
      </c>
      <c r="M401" s="4" t="str">
        <f t="shared" si="6"/>
        <v/>
      </c>
    </row>
    <row r="402" spans="1:13" x14ac:dyDescent="0.3">
      <c r="A402" t="str">
        <f>IF(MASTER_REGISTER!E402="","",MASTER_REGISTER!E402)</f>
        <v/>
      </c>
      <c r="B402" t="str">
        <f>IF(A402="","",MASTER_REGISTER!F402)</f>
        <v/>
      </c>
      <c r="C402" t="str">
        <f>IF(A402="","",MASTER_REGISTER!C402)</f>
        <v/>
      </c>
      <c r="D402" t="str">
        <f>IF(A402="","",COUNTIF(ASSESSMENTS!B:B,A402))</f>
        <v/>
      </c>
      <c r="E402" s="4" t="e">
        <f>IF(D402=0,"",ROUND(AVERAGEIF(ASSESSMENTS!B:B,A402,ASSESSMENTS!H:H),1))</f>
        <v>#DIV/0!</v>
      </c>
      <c r="F402" s="4" t="str">
        <f>IF(A402="","",IFERROR(ROUND(AVERAGEIFS(ASSESSMENTS!H:H,ASSESSMENTS!B:B,A402,ASSESSMENTS!E:E,"Mathematics"),1),""))</f>
        <v/>
      </c>
      <c r="G402" s="4" t="str">
        <f>IF(A402="","",IFERROR(ROUND(AVERAGEIFS(ASSESSMENTS!H:H,ASSESSMENTS!B:B,A402,ASSESSMENTS!E:E,"Mathematical Literacy"),1),""))</f>
        <v/>
      </c>
      <c r="H402" s="4" t="str">
        <f>IF(A402="","",IFERROR(ROUND(AVERAGEIFS(ASSESSMENTS!H:H,ASSESSMENTS!B:B,A402,ASSESSMENTS!E:E,"Physical Sciences"),1),""))</f>
        <v/>
      </c>
      <c r="I402" s="4" t="str">
        <f>IF(A402="","",IFERROR(ROUND(AVERAGEIFS(ASSESSMENTS!H:H,ASSESSMENTS!B:B,A402,ASSESSMENTS!E:E,"Geography"),1),""))</f>
        <v/>
      </c>
      <c r="J402" s="4" t="str">
        <f>IF(A402="","",IFERROR(ROUND(AVERAGEIFS(ASSESSMENTS!H:H,ASSESSMENTS!B:B,A402,ASSESSMENTS!E:E,"Accounting"),1),""))</f>
        <v/>
      </c>
      <c r="K402" s="4" t="str">
        <f>IF(A402="","",IFERROR(ROUND(AVERAGEIFS(ASSESSMENTS!H:H,ASSESSMENTS!B:B,A402,ASSESSMENTS!E:E,"English"),1),""))</f>
        <v/>
      </c>
      <c r="L402" s="5" t="str">
        <f>IF(A402="","",IFERROR(INDEX(ATTENDANCE_SUMMARY!G:G,MATCH(A402,ATTENDANCE_SUMMARY!A:A,0)),""))</f>
        <v/>
      </c>
      <c r="M402" s="4" t="str">
        <f t="shared" si="6"/>
        <v/>
      </c>
    </row>
    <row r="403" spans="1:13" x14ac:dyDescent="0.3">
      <c r="A403" t="str">
        <f>IF(MASTER_REGISTER!E403="","",MASTER_REGISTER!E403)</f>
        <v/>
      </c>
      <c r="B403" t="str">
        <f>IF(A403="","",MASTER_REGISTER!F403)</f>
        <v/>
      </c>
      <c r="C403" t="str">
        <f>IF(A403="","",MASTER_REGISTER!C403)</f>
        <v/>
      </c>
      <c r="D403" t="str">
        <f>IF(A403="","",COUNTIF(ASSESSMENTS!B:B,A403))</f>
        <v/>
      </c>
      <c r="E403" s="4" t="e">
        <f>IF(D403=0,"",ROUND(AVERAGEIF(ASSESSMENTS!B:B,A403,ASSESSMENTS!H:H),1))</f>
        <v>#DIV/0!</v>
      </c>
      <c r="F403" s="4" t="str">
        <f>IF(A403="","",IFERROR(ROUND(AVERAGEIFS(ASSESSMENTS!H:H,ASSESSMENTS!B:B,A403,ASSESSMENTS!E:E,"Mathematics"),1),""))</f>
        <v/>
      </c>
      <c r="G403" s="4" t="str">
        <f>IF(A403="","",IFERROR(ROUND(AVERAGEIFS(ASSESSMENTS!H:H,ASSESSMENTS!B:B,A403,ASSESSMENTS!E:E,"Mathematical Literacy"),1),""))</f>
        <v/>
      </c>
      <c r="H403" s="4" t="str">
        <f>IF(A403="","",IFERROR(ROUND(AVERAGEIFS(ASSESSMENTS!H:H,ASSESSMENTS!B:B,A403,ASSESSMENTS!E:E,"Physical Sciences"),1),""))</f>
        <v/>
      </c>
      <c r="I403" s="4" t="str">
        <f>IF(A403="","",IFERROR(ROUND(AVERAGEIFS(ASSESSMENTS!H:H,ASSESSMENTS!B:B,A403,ASSESSMENTS!E:E,"Geography"),1),""))</f>
        <v/>
      </c>
      <c r="J403" s="4" t="str">
        <f>IF(A403="","",IFERROR(ROUND(AVERAGEIFS(ASSESSMENTS!H:H,ASSESSMENTS!B:B,A403,ASSESSMENTS!E:E,"Accounting"),1),""))</f>
        <v/>
      </c>
      <c r="K403" s="4" t="str">
        <f>IF(A403="","",IFERROR(ROUND(AVERAGEIFS(ASSESSMENTS!H:H,ASSESSMENTS!B:B,A403,ASSESSMENTS!E:E,"English"),1),""))</f>
        <v/>
      </c>
      <c r="L403" s="5" t="str">
        <f>IF(A403="","",IFERROR(INDEX(ATTENDANCE_SUMMARY!G:G,MATCH(A403,ATTENDANCE_SUMMARY!A:A,0)),""))</f>
        <v/>
      </c>
      <c r="M403" s="4" t="str">
        <f t="shared" si="6"/>
        <v/>
      </c>
    </row>
    <row r="404" spans="1:13" x14ac:dyDescent="0.3">
      <c r="A404" t="str">
        <f>IF(MASTER_REGISTER!E404="","",MASTER_REGISTER!E404)</f>
        <v/>
      </c>
      <c r="B404" t="str">
        <f>IF(A404="","",MASTER_REGISTER!F404)</f>
        <v/>
      </c>
      <c r="C404" t="str">
        <f>IF(A404="","",MASTER_REGISTER!C404)</f>
        <v/>
      </c>
      <c r="D404" t="str">
        <f>IF(A404="","",COUNTIF(ASSESSMENTS!B:B,A404))</f>
        <v/>
      </c>
      <c r="E404" s="4" t="e">
        <f>IF(D404=0,"",ROUND(AVERAGEIF(ASSESSMENTS!B:B,A404,ASSESSMENTS!H:H),1))</f>
        <v>#DIV/0!</v>
      </c>
      <c r="F404" s="4" t="str">
        <f>IF(A404="","",IFERROR(ROUND(AVERAGEIFS(ASSESSMENTS!H:H,ASSESSMENTS!B:B,A404,ASSESSMENTS!E:E,"Mathematics"),1),""))</f>
        <v/>
      </c>
      <c r="G404" s="4" t="str">
        <f>IF(A404="","",IFERROR(ROUND(AVERAGEIFS(ASSESSMENTS!H:H,ASSESSMENTS!B:B,A404,ASSESSMENTS!E:E,"Mathematical Literacy"),1),""))</f>
        <v/>
      </c>
      <c r="H404" s="4" t="str">
        <f>IF(A404="","",IFERROR(ROUND(AVERAGEIFS(ASSESSMENTS!H:H,ASSESSMENTS!B:B,A404,ASSESSMENTS!E:E,"Physical Sciences"),1),""))</f>
        <v/>
      </c>
      <c r="I404" s="4" t="str">
        <f>IF(A404="","",IFERROR(ROUND(AVERAGEIFS(ASSESSMENTS!H:H,ASSESSMENTS!B:B,A404,ASSESSMENTS!E:E,"Geography"),1),""))</f>
        <v/>
      </c>
      <c r="J404" s="4" t="str">
        <f>IF(A404="","",IFERROR(ROUND(AVERAGEIFS(ASSESSMENTS!H:H,ASSESSMENTS!B:B,A404,ASSESSMENTS!E:E,"Accounting"),1),""))</f>
        <v/>
      </c>
      <c r="K404" s="4" t="str">
        <f>IF(A404="","",IFERROR(ROUND(AVERAGEIFS(ASSESSMENTS!H:H,ASSESSMENTS!B:B,A404,ASSESSMENTS!E:E,"English"),1),""))</f>
        <v/>
      </c>
      <c r="L404" s="5" t="str">
        <f>IF(A404="","",IFERROR(INDEX(ATTENDANCE_SUMMARY!G:G,MATCH(A404,ATTENDANCE_SUMMARY!A:A,0)),""))</f>
        <v/>
      </c>
      <c r="M404" s="4" t="str">
        <f t="shared" si="6"/>
        <v/>
      </c>
    </row>
    <row r="405" spans="1:13" x14ac:dyDescent="0.3">
      <c r="A405" t="str">
        <f>IF(MASTER_REGISTER!E405="","",MASTER_REGISTER!E405)</f>
        <v/>
      </c>
      <c r="B405" t="str">
        <f>IF(A405="","",MASTER_REGISTER!F405)</f>
        <v/>
      </c>
      <c r="C405" t="str">
        <f>IF(A405="","",MASTER_REGISTER!C405)</f>
        <v/>
      </c>
      <c r="D405" t="str">
        <f>IF(A405="","",COUNTIF(ASSESSMENTS!B:B,A405))</f>
        <v/>
      </c>
      <c r="E405" s="4" t="e">
        <f>IF(D405=0,"",ROUND(AVERAGEIF(ASSESSMENTS!B:B,A405,ASSESSMENTS!H:H),1))</f>
        <v>#DIV/0!</v>
      </c>
      <c r="F405" s="4" t="str">
        <f>IF(A405="","",IFERROR(ROUND(AVERAGEIFS(ASSESSMENTS!H:H,ASSESSMENTS!B:B,A405,ASSESSMENTS!E:E,"Mathematics"),1),""))</f>
        <v/>
      </c>
      <c r="G405" s="4" t="str">
        <f>IF(A405="","",IFERROR(ROUND(AVERAGEIFS(ASSESSMENTS!H:H,ASSESSMENTS!B:B,A405,ASSESSMENTS!E:E,"Mathematical Literacy"),1),""))</f>
        <v/>
      </c>
      <c r="H405" s="4" t="str">
        <f>IF(A405="","",IFERROR(ROUND(AVERAGEIFS(ASSESSMENTS!H:H,ASSESSMENTS!B:B,A405,ASSESSMENTS!E:E,"Physical Sciences"),1),""))</f>
        <v/>
      </c>
      <c r="I405" s="4" t="str">
        <f>IF(A405="","",IFERROR(ROUND(AVERAGEIFS(ASSESSMENTS!H:H,ASSESSMENTS!B:B,A405,ASSESSMENTS!E:E,"Geography"),1),""))</f>
        <v/>
      </c>
      <c r="J405" s="4" t="str">
        <f>IF(A405="","",IFERROR(ROUND(AVERAGEIFS(ASSESSMENTS!H:H,ASSESSMENTS!B:B,A405,ASSESSMENTS!E:E,"Accounting"),1),""))</f>
        <v/>
      </c>
      <c r="K405" s="4" t="str">
        <f>IF(A405="","",IFERROR(ROUND(AVERAGEIFS(ASSESSMENTS!H:H,ASSESSMENTS!B:B,A405,ASSESSMENTS!E:E,"English"),1),""))</f>
        <v/>
      </c>
      <c r="L405" s="5" t="str">
        <f>IF(A405="","",IFERROR(INDEX(ATTENDANCE_SUMMARY!G:G,MATCH(A405,ATTENDANCE_SUMMARY!A:A,0)),""))</f>
        <v/>
      </c>
      <c r="M405" s="4" t="str">
        <f t="shared" si="6"/>
        <v/>
      </c>
    </row>
    <row r="406" spans="1:13" x14ac:dyDescent="0.3">
      <c r="A406" t="str">
        <f>IF(MASTER_REGISTER!E406="","",MASTER_REGISTER!E406)</f>
        <v/>
      </c>
      <c r="B406" t="str">
        <f>IF(A406="","",MASTER_REGISTER!F406)</f>
        <v/>
      </c>
      <c r="C406" t="str">
        <f>IF(A406="","",MASTER_REGISTER!C406)</f>
        <v/>
      </c>
      <c r="D406" t="str">
        <f>IF(A406="","",COUNTIF(ASSESSMENTS!B:B,A406))</f>
        <v/>
      </c>
      <c r="E406" s="4" t="e">
        <f>IF(D406=0,"",ROUND(AVERAGEIF(ASSESSMENTS!B:B,A406,ASSESSMENTS!H:H),1))</f>
        <v>#DIV/0!</v>
      </c>
      <c r="F406" s="4" t="str">
        <f>IF(A406="","",IFERROR(ROUND(AVERAGEIFS(ASSESSMENTS!H:H,ASSESSMENTS!B:B,A406,ASSESSMENTS!E:E,"Mathematics"),1),""))</f>
        <v/>
      </c>
      <c r="G406" s="4" t="str">
        <f>IF(A406="","",IFERROR(ROUND(AVERAGEIFS(ASSESSMENTS!H:H,ASSESSMENTS!B:B,A406,ASSESSMENTS!E:E,"Mathematical Literacy"),1),""))</f>
        <v/>
      </c>
      <c r="H406" s="4" t="str">
        <f>IF(A406="","",IFERROR(ROUND(AVERAGEIFS(ASSESSMENTS!H:H,ASSESSMENTS!B:B,A406,ASSESSMENTS!E:E,"Physical Sciences"),1),""))</f>
        <v/>
      </c>
      <c r="I406" s="4" t="str">
        <f>IF(A406="","",IFERROR(ROUND(AVERAGEIFS(ASSESSMENTS!H:H,ASSESSMENTS!B:B,A406,ASSESSMENTS!E:E,"Geography"),1),""))</f>
        <v/>
      </c>
      <c r="J406" s="4" t="str">
        <f>IF(A406="","",IFERROR(ROUND(AVERAGEIFS(ASSESSMENTS!H:H,ASSESSMENTS!B:B,A406,ASSESSMENTS!E:E,"Accounting"),1),""))</f>
        <v/>
      </c>
      <c r="K406" s="4" t="str">
        <f>IF(A406="","",IFERROR(ROUND(AVERAGEIFS(ASSESSMENTS!H:H,ASSESSMENTS!B:B,A406,ASSESSMENTS!E:E,"English"),1),""))</f>
        <v/>
      </c>
      <c r="L406" s="5" t="str">
        <f>IF(A406="","",IFERROR(INDEX(ATTENDANCE_SUMMARY!G:G,MATCH(A406,ATTENDANCE_SUMMARY!A:A,0)),""))</f>
        <v/>
      </c>
      <c r="M406" s="4" t="str">
        <f t="shared" si="6"/>
        <v/>
      </c>
    </row>
    <row r="407" spans="1:13" x14ac:dyDescent="0.3">
      <c r="A407" t="str">
        <f>IF(MASTER_REGISTER!E407="","",MASTER_REGISTER!E407)</f>
        <v/>
      </c>
      <c r="B407" t="str">
        <f>IF(A407="","",MASTER_REGISTER!F407)</f>
        <v/>
      </c>
      <c r="C407" t="str">
        <f>IF(A407="","",MASTER_REGISTER!C407)</f>
        <v/>
      </c>
      <c r="D407" t="str">
        <f>IF(A407="","",COUNTIF(ASSESSMENTS!B:B,A407))</f>
        <v/>
      </c>
      <c r="E407" s="4" t="e">
        <f>IF(D407=0,"",ROUND(AVERAGEIF(ASSESSMENTS!B:B,A407,ASSESSMENTS!H:H),1))</f>
        <v>#DIV/0!</v>
      </c>
      <c r="F407" s="4" t="str">
        <f>IF(A407="","",IFERROR(ROUND(AVERAGEIFS(ASSESSMENTS!H:H,ASSESSMENTS!B:B,A407,ASSESSMENTS!E:E,"Mathematics"),1),""))</f>
        <v/>
      </c>
      <c r="G407" s="4" t="str">
        <f>IF(A407="","",IFERROR(ROUND(AVERAGEIFS(ASSESSMENTS!H:H,ASSESSMENTS!B:B,A407,ASSESSMENTS!E:E,"Mathematical Literacy"),1),""))</f>
        <v/>
      </c>
      <c r="H407" s="4" t="str">
        <f>IF(A407="","",IFERROR(ROUND(AVERAGEIFS(ASSESSMENTS!H:H,ASSESSMENTS!B:B,A407,ASSESSMENTS!E:E,"Physical Sciences"),1),""))</f>
        <v/>
      </c>
      <c r="I407" s="4" t="str">
        <f>IF(A407="","",IFERROR(ROUND(AVERAGEIFS(ASSESSMENTS!H:H,ASSESSMENTS!B:B,A407,ASSESSMENTS!E:E,"Geography"),1),""))</f>
        <v/>
      </c>
      <c r="J407" s="4" t="str">
        <f>IF(A407="","",IFERROR(ROUND(AVERAGEIFS(ASSESSMENTS!H:H,ASSESSMENTS!B:B,A407,ASSESSMENTS!E:E,"Accounting"),1),""))</f>
        <v/>
      </c>
      <c r="K407" s="4" t="str">
        <f>IF(A407="","",IFERROR(ROUND(AVERAGEIFS(ASSESSMENTS!H:H,ASSESSMENTS!B:B,A407,ASSESSMENTS!E:E,"English"),1),""))</f>
        <v/>
      </c>
      <c r="L407" s="5" t="str">
        <f>IF(A407="","",IFERROR(INDEX(ATTENDANCE_SUMMARY!G:G,MATCH(A407,ATTENDANCE_SUMMARY!A:A,0)),""))</f>
        <v/>
      </c>
      <c r="M407" s="4" t="str">
        <f t="shared" si="6"/>
        <v/>
      </c>
    </row>
    <row r="408" spans="1:13" x14ac:dyDescent="0.3">
      <c r="A408" t="str">
        <f>IF(MASTER_REGISTER!E408="","",MASTER_REGISTER!E408)</f>
        <v/>
      </c>
      <c r="B408" t="str">
        <f>IF(A408="","",MASTER_REGISTER!F408)</f>
        <v/>
      </c>
      <c r="C408" t="str">
        <f>IF(A408="","",MASTER_REGISTER!C408)</f>
        <v/>
      </c>
      <c r="D408" t="str">
        <f>IF(A408="","",COUNTIF(ASSESSMENTS!B:B,A408))</f>
        <v/>
      </c>
      <c r="E408" s="4" t="e">
        <f>IF(D408=0,"",ROUND(AVERAGEIF(ASSESSMENTS!B:B,A408,ASSESSMENTS!H:H),1))</f>
        <v>#DIV/0!</v>
      </c>
      <c r="F408" s="4" t="str">
        <f>IF(A408="","",IFERROR(ROUND(AVERAGEIFS(ASSESSMENTS!H:H,ASSESSMENTS!B:B,A408,ASSESSMENTS!E:E,"Mathematics"),1),""))</f>
        <v/>
      </c>
      <c r="G408" s="4" t="str">
        <f>IF(A408="","",IFERROR(ROUND(AVERAGEIFS(ASSESSMENTS!H:H,ASSESSMENTS!B:B,A408,ASSESSMENTS!E:E,"Mathematical Literacy"),1),""))</f>
        <v/>
      </c>
      <c r="H408" s="4" t="str">
        <f>IF(A408="","",IFERROR(ROUND(AVERAGEIFS(ASSESSMENTS!H:H,ASSESSMENTS!B:B,A408,ASSESSMENTS!E:E,"Physical Sciences"),1),""))</f>
        <v/>
      </c>
      <c r="I408" s="4" t="str">
        <f>IF(A408="","",IFERROR(ROUND(AVERAGEIFS(ASSESSMENTS!H:H,ASSESSMENTS!B:B,A408,ASSESSMENTS!E:E,"Geography"),1),""))</f>
        <v/>
      </c>
      <c r="J408" s="4" t="str">
        <f>IF(A408="","",IFERROR(ROUND(AVERAGEIFS(ASSESSMENTS!H:H,ASSESSMENTS!B:B,A408,ASSESSMENTS!E:E,"Accounting"),1),""))</f>
        <v/>
      </c>
      <c r="K408" s="4" t="str">
        <f>IF(A408="","",IFERROR(ROUND(AVERAGEIFS(ASSESSMENTS!H:H,ASSESSMENTS!B:B,A408,ASSESSMENTS!E:E,"English"),1),""))</f>
        <v/>
      </c>
      <c r="L408" s="5" t="str">
        <f>IF(A408="","",IFERROR(INDEX(ATTENDANCE_SUMMARY!G:G,MATCH(A408,ATTENDANCE_SUMMARY!A:A,0)),""))</f>
        <v/>
      </c>
      <c r="M408" s="4" t="str">
        <f t="shared" si="6"/>
        <v/>
      </c>
    </row>
    <row r="409" spans="1:13" x14ac:dyDescent="0.3">
      <c r="A409" t="str">
        <f>IF(MASTER_REGISTER!E409="","",MASTER_REGISTER!E409)</f>
        <v/>
      </c>
      <c r="B409" t="str">
        <f>IF(A409="","",MASTER_REGISTER!F409)</f>
        <v/>
      </c>
      <c r="C409" t="str">
        <f>IF(A409="","",MASTER_REGISTER!C409)</f>
        <v/>
      </c>
      <c r="D409" t="str">
        <f>IF(A409="","",COUNTIF(ASSESSMENTS!B:B,A409))</f>
        <v/>
      </c>
      <c r="E409" s="4" t="e">
        <f>IF(D409=0,"",ROUND(AVERAGEIF(ASSESSMENTS!B:B,A409,ASSESSMENTS!H:H),1))</f>
        <v>#DIV/0!</v>
      </c>
      <c r="F409" s="4" t="str">
        <f>IF(A409="","",IFERROR(ROUND(AVERAGEIFS(ASSESSMENTS!H:H,ASSESSMENTS!B:B,A409,ASSESSMENTS!E:E,"Mathematics"),1),""))</f>
        <v/>
      </c>
      <c r="G409" s="4" t="str">
        <f>IF(A409="","",IFERROR(ROUND(AVERAGEIFS(ASSESSMENTS!H:H,ASSESSMENTS!B:B,A409,ASSESSMENTS!E:E,"Mathematical Literacy"),1),""))</f>
        <v/>
      </c>
      <c r="H409" s="4" t="str">
        <f>IF(A409="","",IFERROR(ROUND(AVERAGEIFS(ASSESSMENTS!H:H,ASSESSMENTS!B:B,A409,ASSESSMENTS!E:E,"Physical Sciences"),1),""))</f>
        <v/>
      </c>
      <c r="I409" s="4" t="str">
        <f>IF(A409="","",IFERROR(ROUND(AVERAGEIFS(ASSESSMENTS!H:H,ASSESSMENTS!B:B,A409,ASSESSMENTS!E:E,"Geography"),1),""))</f>
        <v/>
      </c>
      <c r="J409" s="4" t="str">
        <f>IF(A409="","",IFERROR(ROUND(AVERAGEIFS(ASSESSMENTS!H:H,ASSESSMENTS!B:B,A409,ASSESSMENTS!E:E,"Accounting"),1),""))</f>
        <v/>
      </c>
      <c r="K409" s="4" t="str">
        <f>IF(A409="","",IFERROR(ROUND(AVERAGEIFS(ASSESSMENTS!H:H,ASSESSMENTS!B:B,A409,ASSESSMENTS!E:E,"English"),1),""))</f>
        <v/>
      </c>
      <c r="L409" s="5" t="str">
        <f>IF(A409="","",IFERROR(INDEX(ATTENDANCE_SUMMARY!G:G,MATCH(A409,ATTENDANCE_SUMMARY!A:A,0)),""))</f>
        <v/>
      </c>
      <c r="M409" s="4" t="str">
        <f t="shared" si="6"/>
        <v/>
      </c>
    </row>
    <row r="410" spans="1:13" x14ac:dyDescent="0.3">
      <c r="A410" t="str">
        <f>IF(MASTER_REGISTER!E410="","",MASTER_REGISTER!E410)</f>
        <v/>
      </c>
      <c r="B410" t="str">
        <f>IF(A410="","",MASTER_REGISTER!F410)</f>
        <v/>
      </c>
      <c r="C410" t="str">
        <f>IF(A410="","",MASTER_REGISTER!C410)</f>
        <v/>
      </c>
      <c r="D410" t="str">
        <f>IF(A410="","",COUNTIF(ASSESSMENTS!B:B,A410))</f>
        <v/>
      </c>
      <c r="E410" s="4" t="e">
        <f>IF(D410=0,"",ROUND(AVERAGEIF(ASSESSMENTS!B:B,A410,ASSESSMENTS!H:H),1))</f>
        <v>#DIV/0!</v>
      </c>
      <c r="F410" s="4" t="str">
        <f>IF(A410="","",IFERROR(ROUND(AVERAGEIFS(ASSESSMENTS!H:H,ASSESSMENTS!B:B,A410,ASSESSMENTS!E:E,"Mathematics"),1),""))</f>
        <v/>
      </c>
      <c r="G410" s="4" t="str">
        <f>IF(A410="","",IFERROR(ROUND(AVERAGEIFS(ASSESSMENTS!H:H,ASSESSMENTS!B:B,A410,ASSESSMENTS!E:E,"Mathematical Literacy"),1),""))</f>
        <v/>
      </c>
      <c r="H410" s="4" t="str">
        <f>IF(A410="","",IFERROR(ROUND(AVERAGEIFS(ASSESSMENTS!H:H,ASSESSMENTS!B:B,A410,ASSESSMENTS!E:E,"Physical Sciences"),1),""))</f>
        <v/>
      </c>
      <c r="I410" s="4" t="str">
        <f>IF(A410="","",IFERROR(ROUND(AVERAGEIFS(ASSESSMENTS!H:H,ASSESSMENTS!B:B,A410,ASSESSMENTS!E:E,"Geography"),1),""))</f>
        <v/>
      </c>
      <c r="J410" s="4" t="str">
        <f>IF(A410="","",IFERROR(ROUND(AVERAGEIFS(ASSESSMENTS!H:H,ASSESSMENTS!B:B,A410,ASSESSMENTS!E:E,"Accounting"),1),""))</f>
        <v/>
      </c>
      <c r="K410" s="4" t="str">
        <f>IF(A410="","",IFERROR(ROUND(AVERAGEIFS(ASSESSMENTS!H:H,ASSESSMENTS!B:B,A410,ASSESSMENTS!E:E,"English"),1),""))</f>
        <v/>
      </c>
      <c r="L410" s="5" t="str">
        <f>IF(A410="","",IFERROR(INDEX(ATTENDANCE_SUMMARY!G:G,MATCH(A410,ATTENDANCE_SUMMARY!A:A,0)),""))</f>
        <v/>
      </c>
      <c r="M410" s="4" t="str">
        <f t="shared" si="6"/>
        <v/>
      </c>
    </row>
    <row r="411" spans="1:13" x14ac:dyDescent="0.3">
      <c r="A411" t="str">
        <f>IF(MASTER_REGISTER!E411="","",MASTER_REGISTER!E411)</f>
        <v/>
      </c>
      <c r="B411" t="str">
        <f>IF(A411="","",MASTER_REGISTER!F411)</f>
        <v/>
      </c>
      <c r="C411" t="str">
        <f>IF(A411="","",MASTER_REGISTER!C411)</f>
        <v/>
      </c>
      <c r="D411" t="str">
        <f>IF(A411="","",COUNTIF(ASSESSMENTS!B:B,A411))</f>
        <v/>
      </c>
      <c r="E411" s="4" t="e">
        <f>IF(D411=0,"",ROUND(AVERAGEIF(ASSESSMENTS!B:B,A411,ASSESSMENTS!H:H),1))</f>
        <v>#DIV/0!</v>
      </c>
      <c r="F411" s="4" t="str">
        <f>IF(A411="","",IFERROR(ROUND(AVERAGEIFS(ASSESSMENTS!H:H,ASSESSMENTS!B:B,A411,ASSESSMENTS!E:E,"Mathematics"),1),""))</f>
        <v/>
      </c>
      <c r="G411" s="4" t="str">
        <f>IF(A411="","",IFERROR(ROUND(AVERAGEIFS(ASSESSMENTS!H:H,ASSESSMENTS!B:B,A411,ASSESSMENTS!E:E,"Mathematical Literacy"),1),""))</f>
        <v/>
      </c>
      <c r="H411" s="4" t="str">
        <f>IF(A411="","",IFERROR(ROUND(AVERAGEIFS(ASSESSMENTS!H:H,ASSESSMENTS!B:B,A411,ASSESSMENTS!E:E,"Physical Sciences"),1),""))</f>
        <v/>
      </c>
      <c r="I411" s="4" t="str">
        <f>IF(A411="","",IFERROR(ROUND(AVERAGEIFS(ASSESSMENTS!H:H,ASSESSMENTS!B:B,A411,ASSESSMENTS!E:E,"Geography"),1),""))</f>
        <v/>
      </c>
      <c r="J411" s="4" t="str">
        <f>IF(A411="","",IFERROR(ROUND(AVERAGEIFS(ASSESSMENTS!H:H,ASSESSMENTS!B:B,A411,ASSESSMENTS!E:E,"Accounting"),1),""))</f>
        <v/>
      </c>
      <c r="K411" s="4" t="str">
        <f>IF(A411="","",IFERROR(ROUND(AVERAGEIFS(ASSESSMENTS!H:H,ASSESSMENTS!B:B,A411,ASSESSMENTS!E:E,"English"),1),""))</f>
        <v/>
      </c>
      <c r="L411" s="5" t="str">
        <f>IF(A411="","",IFERROR(INDEX(ATTENDANCE_SUMMARY!G:G,MATCH(A411,ATTENDANCE_SUMMARY!A:A,0)),""))</f>
        <v/>
      </c>
      <c r="M411" s="4" t="str">
        <f t="shared" si="6"/>
        <v/>
      </c>
    </row>
    <row r="412" spans="1:13" x14ac:dyDescent="0.3">
      <c r="A412" t="str">
        <f>IF(MASTER_REGISTER!E412="","",MASTER_REGISTER!E412)</f>
        <v/>
      </c>
      <c r="B412" t="str">
        <f>IF(A412="","",MASTER_REGISTER!F412)</f>
        <v/>
      </c>
      <c r="C412" t="str">
        <f>IF(A412="","",MASTER_REGISTER!C412)</f>
        <v/>
      </c>
      <c r="D412" t="str">
        <f>IF(A412="","",COUNTIF(ASSESSMENTS!B:B,A412))</f>
        <v/>
      </c>
      <c r="E412" s="4" t="e">
        <f>IF(D412=0,"",ROUND(AVERAGEIF(ASSESSMENTS!B:B,A412,ASSESSMENTS!H:H),1))</f>
        <v>#DIV/0!</v>
      </c>
      <c r="F412" s="4" t="str">
        <f>IF(A412="","",IFERROR(ROUND(AVERAGEIFS(ASSESSMENTS!H:H,ASSESSMENTS!B:B,A412,ASSESSMENTS!E:E,"Mathematics"),1),""))</f>
        <v/>
      </c>
      <c r="G412" s="4" t="str">
        <f>IF(A412="","",IFERROR(ROUND(AVERAGEIFS(ASSESSMENTS!H:H,ASSESSMENTS!B:B,A412,ASSESSMENTS!E:E,"Mathematical Literacy"),1),""))</f>
        <v/>
      </c>
      <c r="H412" s="4" t="str">
        <f>IF(A412="","",IFERROR(ROUND(AVERAGEIFS(ASSESSMENTS!H:H,ASSESSMENTS!B:B,A412,ASSESSMENTS!E:E,"Physical Sciences"),1),""))</f>
        <v/>
      </c>
      <c r="I412" s="4" t="str">
        <f>IF(A412="","",IFERROR(ROUND(AVERAGEIFS(ASSESSMENTS!H:H,ASSESSMENTS!B:B,A412,ASSESSMENTS!E:E,"Geography"),1),""))</f>
        <v/>
      </c>
      <c r="J412" s="4" t="str">
        <f>IF(A412="","",IFERROR(ROUND(AVERAGEIFS(ASSESSMENTS!H:H,ASSESSMENTS!B:B,A412,ASSESSMENTS!E:E,"Accounting"),1),""))</f>
        <v/>
      </c>
      <c r="K412" s="4" t="str">
        <f>IF(A412="","",IFERROR(ROUND(AVERAGEIFS(ASSESSMENTS!H:H,ASSESSMENTS!B:B,A412,ASSESSMENTS!E:E,"English"),1),""))</f>
        <v/>
      </c>
      <c r="L412" s="5" t="str">
        <f>IF(A412="","",IFERROR(INDEX(ATTENDANCE_SUMMARY!G:G,MATCH(A412,ATTENDANCE_SUMMARY!A:A,0)),""))</f>
        <v/>
      </c>
      <c r="M412" s="4" t="str">
        <f t="shared" si="6"/>
        <v/>
      </c>
    </row>
    <row r="413" spans="1:13" x14ac:dyDescent="0.3">
      <c r="A413" t="str">
        <f>IF(MASTER_REGISTER!E413="","",MASTER_REGISTER!E413)</f>
        <v/>
      </c>
      <c r="B413" t="str">
        <f>IF(A413="","",MASTER_REGISTER!F413)</f>
        <v/>
      </c>
      <c r="C413" t="str">
        <f>IF(A413="","",MASTER_REGISTER!C413)</f>
        <v/>
      </c>
      <c r="D413" t="str">
        <f>IF(A413="","",COUNTIF(ASSESSMENTS!B:B,A413))</f>
        <v/>
      </c>
      <c r="E413" s="4" t="e">
        <f>IF(D413=0,"",ROUND(AVERAGEIF(ASSESSMENTS!B:B,A413,ASSESSMENTS!H:H),1))</f>
        <v>#DIV/0!</v>
      </c>
      <c r="F413" s="4" t="str">
        <f>IF(A413="","",IFERROR(ROUND(AVERAGEIFS(ASSESSMENTS!H:H,ASSESSMENTS!B:B,A413,ASSESSMENTS!E:E,"Mathematics"),1),""))</f>
        <v/>
      </c>
      <c r="G413" s="4" t="str">
        <f>IF(A413="","",IFERROR(ROUND(AVERAGEIFS(ASSESSMENTS!H:H,ASSESSMENTS!B:B,A413,ASSESSMENTS!E:E,"Mathematical Literacy"),1),""))</f>
        <v/>
      </c>
      <c r="H413" s="4" t="str">
        <f>IF(A413="","",IFERROR(ROUND(AVERAGEIFS(ASSESSMENTS!H:H,ASSESSMENTS!B:B,A413,ASSESSMENTS!E:E,"Physical Sciences"),1),""))</f>
        <v/>
      </c>
      <c r="I413" s="4" t="str">
        <f>IF(A413="","",IFERROR(ROUND(AVERAGEIFS(ASSESSMENTS!H:H,ASSESSMENTS!B:B,A413,ASSESSMENTS!E:E,"Geography"),1),""))</f>
        <v/>
      </c>
      <c r="J413" s="4" t="str">
        <f>IF(A413="","",IFERROR(ROUND(AVERAGEIFS(ASSESSMENTS!H:H,ASSESSMENTS!B:B,A413,ASSESSMENTS!E:E,"Accounting"),1),""))</f>
        <v/>
      </c>
      <c r="K413" s="4" t="str">
        <f>IF(A413="","",IFERROR(ROUND(AVERAGEIFS(ASSESSMENTS!H:H,ASSESSMENTS!B:B,A413,ASSESSMENTS!E:E,"English"),1),""))</f>
        <v/>
      </c>
      <c r="L413" s="5" t="str">
        <f>IF(A413="","",IFERROR(INDEX(ATTENDANCE_SUMMARY!G:G,MATCH(A413,ATTENDANCE_SUMMARY!A:A,0)),""))</f>
        <v/>
      </c>
      <c r="M413" s="4" t="str">
        <f t="shared" si="6"/>
        <v/>
      </c>
    </row>
    <row r="414" spans="1:13" x14ac:dyDescent="0.3">
      <c r="A414" t="str">
        <f>IF(MASTER_REGISTER!E414="","",MASTER_REGISTER!E414)</f>
        <v/>
      </c>
      <c r="B414" t="str">
        <f>IF(A414="","",MASTER_REGISTER!F414)</f>
        <v/>
      </c>
      <c r="C414" t="str">
        <f>IF(A414="","",MASTER_REGISTER!C414)</f>
        <v/>
      </c>
      <c r="D414" t="str">
        <f>IF(A414="","",COUNTIF(ASSESSMENTS!B:B,A414))</f>
        <v/>
      </c>
      <c r="E414" s="4" t="e">
        <f>IF(D414=0,"",ROUND(AVERAGEIF(ASSESSMENTS!B:B,A414,ASSESSMENTS!H:H),1))</f>
        <v>#DIV/0!</v>
      </c>
      <c r="F414" s="4" t="str">
        <f>IF(A414="","",IFERROR(ROUND(AVERAGEIFS(ASSESSMENTS!H:H,ASSESSMENTS!B:B,A414,ASSESSMENTS!E:E,"Mathematics"),1),""))</f>
        <v/>
      </c>
      <c r="G414" s="4" t="str">
        <f>IF(A414="","",IFERROR(ROUND(AVERAGEIFS(ASSESSMENTS!H:H,ASSESSMENTS!B:B,A414,ASSESSMENTS!E:E,"Mathematical Literacy"),1),""))</f>
        <v/>
      </c>
      <c r="H414" s="4" t="str">
        <f>IF(A414="","",IFERROR(ROUND(AVERAGEIFS(ASSESSMENTS!H:H,ASSESSMENTS!B:B,A414,ASSESSMENTS!E:E,"Physical Sciences"),1),""))</f>
        <v/>
      </c>
      <c r="I414" s="4" t="str">
        <f>IF(A414="","",IFERROR(ROUND(AVERAGEIFS(ASSESSMENTS!H:H,ASSESSMENTS!B:B,A414,ASSESSMENTS!E:E,"Geography"),1),""))</f>
        <v/>
      </c>
      <c r="J414" s="4" t="str">
        <f>IF(A414="","",IFERROR(ROUND(AVERAGEIFS(ASSESSMENTS!H:H,ASSESSMENTS!B:B,A414,ASSESSMENTS!E:E,"Accounting"),1),""))</f>
        <v/>
      </c>
      <c r="K414" s="4" t="str">
        <f>IF(A414="","",IFERROR(ROUND(AVERAGEIFS(ASSESSMENTS!H:H,ASSESSMENTS!B:B,A414,ASSESSMENTS!E:E,"English"),1),""))</f>
        <v/>
      </c>
      <c r="L414" s="5" t="str">
        <f>IF(A414="","",IFERROR(INDEX(ATTENDANCE_SUMMARY!G:G,MATCH(A414,ATTENDANCE_SUMMARY!A:A,0)),""))</f>
        <v/>
      </c>
      <c r="M414" s="4" t="str">
        <f t="shared" si="6"/>
        <v/>
      </c>
    </row>
    <row r="415" spans="1:13" x14ac:dyDescent="0.3">
      <c r="A415" t="str">
        <f>IF(MASTER_REGISTER!E415="","",MASTER_REGISTER!E415)</f>
        <v/>
      </c>
      <c r="B415" t="str">
        <f>IF(A415="","",MASTER_REGISTER!F415)</f>
        <v/>
      </c>
      <c r="C415" t="str">
        <f>IF(A415="","",MASTER_REGISTER!C415)</f>
        <v/>
      </c>
      <c r="D415" t="str">
        <f>IF(A415="","",COUNTIF(ASSESSMENTS!B:B,A415))</f>
        <v/>
      </c>
      <c r="E415" s="4" t="e">
        <f>IF(D415=0,"",ROUND(AVERAGEIF(ASSESSMENTS!B:B,A415,ASSESSMENTS!H:H),1))</f>
        <v>#DIV/0!</v>
      </c>
      <c r="F415" s="4" t="str">
        <f>IF(A415="","",IFERROR(ROUND(AVERAGEIFS(ASSESSMENTS!H:H,ASSESSMENTS!B:B,A415,ASSESSMENTS!E:E,"Mathematics"),1),""))</f>
        <v/>
      </c>
      <c r="G415" s="4" t="str">
        <f>IF(A415="","",IFERROR(ROUND(AVERAGEIFS(ASSESSMENTS!H:H,ASSESSMENTS!B:B,A415,ASSESSMENTS!E:E,"Mathematical Literacy"),1),""))</f>
        <v/>
      </c>
      <c r="H415" s="4" t="str">
        <f>IF(A415="","",IFERROR(ROUND(AVERAGEIFS(ASSESSMENTS!H:H,ASSESSMENTS!B:B,A415,ASSESSMENTS!E:E,"Physical Sciences"),1),""))</f>
        <v/>
      </c>
      <c r="I415" s="4" t="str">
        <f>IF(A415="","",IFERROR(ROUND(AVERAGEIFS(ASSESSMENTS!H:H,ASSESSMENTS!B:B,A415,ASSESSMENTS!E:E,"Geography"),1),""))</f>
        <v/>
      </c>
      <c r="J415" s="4" t="str">
        <f>IF(A415="","",IFERROR(ROUND(AVERAGEIFS(ASSESSMENTS!H:H,ASSESSMENTS!B:B,A415,ASSESSMENTS!E:E,"Accounting"),1),""))</f>
        <v/>
      </c>
      <c r="K415" s="4" t="str">
        <f>IF(A415="","",IFERROR(ROUND(AVERAGEIFS(ASSESSMENTS!H:H,ASSESSMENTS!B:B,A415,ASSESSMENTS!E:E,"English"),1),""))</f>
        <v/>
      </c>
      <c r="L415" s="5" t="str">
        <f>IF(A415="","",IFERROR(INDEX(ATTENDANCE_SUMMARY!G:G,MATCH(A415,ATTENDANCE_SUMMARY!A:A,0)),""))</f>
        <v/>
      </c>
      <c r="M415" s="4" t="str">
        <f t="shared" si="6"/>
        <v/>
      </c>
    </row>
    <row r="416" spans="1:13" x14ac:dyDescent="0.3">
      <c r="A416" t="str">
        <f>IF(MASTER_REGISTER!E416="","",MASTER_REGISTER!E416)</f>
        <v/>
      </c>
      <c r="B416" t="str">
        <f>IF(A416="","",MASTER_REGISTER!F416)</f>
        <v/>
      </c>
      <c r="C416" t="str">
        <f>IF(A416="","",MASTER_REGISTER!C416)</f>
        <v/>
      </c>
      <c r="D416" t="str">
        <f>IF(A416="","",COUNTIF(ASSESSMENTS!B:B,A416))</f>
        <v/>
      </c>
      <c r="E416" s="4" t="e">
        <f>IF(D416=0,"",ROUND(AVERAGEIF(ASSESSMENTS!B:B,A416,ASSESSMENTS!H:H),1))</f>
        <v>#DIV/0!</v>
      </c>
      <c r="F416" s="4" t="str">
        <f>IF(A416="","",IFERROR(ROUND(AVERAGEIFS(ASSESSMENTS!H:H,ASSESSMENTS!B:B,A416,ASSESSMENTS!E:E,"Mathematics"),1),""))</f>
        <v/>
      </c>
      <c r="G416" s="4" t="str">
        <f>IF(A416="","",IFERROR(ROUND(AVERAGEIFS(ASSESSMENTS!H:H,ASSESSMENTS!B:B,A416,ASSESSMENTS!E:E,"Mathematical Literacy"),1),""))</f>
        <v/>
      </c>
      <c r="H416" s="4" t="str">
        <f>IF(A416="","",IFERROR(ROUND(AVERAGEIFS(ASSESSMENTS!H:H,ASSESSMENTS!B:B,A416,ASSESSMENTS!E:E,"Physical Sciences"),1),""))</f>
        <v/>
      </c>
      <c r="I416" s="4" t="str">
        <f>IF(A416="","",IFERROR(ROUND(AVERAGEIFS(ASSESSMENTS!H:H,ASSESSMENTS!B:B,A416,ASSESSMENTS!E:E,"Geography"),1),""))</f>
        <v/>
      </c>
      <c r="J416" s="4" t="str">
        <f>IF(A416="","",IFERROR(ROUND(AVERAGEIFS(ASSESSMENTS!H:H,ASSESSMENTS!B:B,A416,ASSESSMENTS!E:E,"Accounting"),1),""))</f>
        <v/>
      </c>
      <c r="K416" s="4" t="str">
        <f>IF(A416="","",IFERROR(ROUND(AVERAGEIFS(ASSESSMENTS!H:H,ASSESSMENTS!B:B,A416,ASSESSMENTS!E:E,"English"),1),""))</f>
        <v/>
      </c>
      <c r="L416" s="5" t="str">
        <f>IF(A416="","",IFERROR(INDEX(ATTENDANCE_SUMMARY!G:G,MATCH(A416,ATTENDANCE_SUMMARY!A:A,0)),""))</f>
        <v/>
      </c>
      <c r="M416" s="4" t="str">
        <f t="shared" si="6"/>
        <v/>
      </c>
    </row>
    <row r="417" spans="1:13" x14ac:dyDescent="0.3">
      <c r="A417" t="str">
        <f>IF(MASTER_REGISTER!E417="","",MASTER_REGISTER!E417)</f>
        <v/>
      </c>
      <c r="B417" t="str">
        <f>IF(A417="","",MASTER_REGISTER!F417)</f>
        <v/>
      </c>
      <c r="C417" t="str">
        <f>IF(A417="","",MASTER_REGISTER!C417)</f>
        <v/>
      </c>
      <c r="D417" t="str">
        <f>IF(A417="","",COUNTIF(ASSESSMENTS!B:B,A417))</f>
        <v/>
      </c>
      <c r="E417" s="4" t="e">
        <f>IF(D417=0,"",ROUND(AVERAGEIF(ASSESSMENTS!B:B,A417,ASSESSMENTS!H:H),1))</f>
        <v>#DIV/0!</v>
      </c>
      <c r="F417" s="4" t="str">
        <f>IF(A417="","",IFERROR(ROUND(AVERAGEIFS(ASSESSMENTS!H:H,ASSESSMENTS!B:B,A417,ASSESSMENTS!E:E,"Mathematics"),1),""))</f>
        <v/>
      </c>
      <c r="G417" s="4" t="str">
        <f>IF(A417="","",IFERROR(ROUND(AVERAGEIFS(ASSESSMENTS!H:H,ASSESSMENTS!B:B,A417,ASSESSMENTS!E:E,"Mathematical Literacy"),1),""))</f>
        <v/>
      </c>
      <c r="H417" s="4" t="str">
        <f>IF(A417="","",IFERROR(ROUND(AVERAGEIFS(ASSESSMENTS!H:H,ASSESSMENTS!B:B,A417,ASSESSMENTS!E:E,"Physical Sciences"),1),""))</f>
        <v/>
      </c>
      <c r="I417" s="4" t="str">
        <f>IF(A417="","",IFERROR(ROUND(AVERAGEIFS(ASSESSMENTS!H:H,ASSESSMENTS!B:B,A417,ASSESSMENTS!E:E,"Geography"),1),""))</f>
        <v/>
      </c>
      <c r="J417" s="4" t="str">
        <f>IF(A417="","",IFERROR(ROUND(AVERAGEIFS(ASSESSMENTS!H:H,ASSESSMENTS!B:B,A417,ASSESSMENTS!E:E,"Accounting"),1),""))</f>
        <v/>
      </c>
      <c r="K417" s="4" t="str">
        <f>IF(A417="","",IFERROR(ROUND(AVERAGEIFS(ASSESSMENTS!H:H,ASSESSMENTS!B:B,A417,ASSESSMENTS!E:E,"English"),1),""))</f>
        <v/>
      </c>
      <c r="L417" s="5" t="str">
        <f>IF(A417="","",IFERROR(INDEX(ATTENDANCE_SUMMARY!G:G,MATCH(A417,ATTENDANCE_SUMMARY!A:A,0)),""))</f>
        <v/>
      </c>
      <c r="M417" s="4" t="str">
        <f t="shared" si="6"/>
        <v/>
      </c>
    </row>
    <row r="418" spans="1:13" x14ac:dyDescent="0.3">
      <c r="A418" t="str">
        <f>IF(MASTER_REGISTER!E418="","",MASTER_REGISTER!E418)</f>
        <v/>
      </c>
      <c r="B418" t="str">
        <f>IF(A418="","",MASTER_REGISTER!F418)</f>
        <v/>
      </c>
      <c r="C418" t="str">
        <f>IF(A418="","",MASTER_REGISTER!C418)</f>
        <v/>
      </c>
      <c r="D418" t="str">
        <f>IF(A418="","",COUNTIF(ASSESSMENTS!B:B,A418))</f>
        <v/>
      </c>
      <c r="E418" s="4" t="e">
        <f>IF(D418=0,"",ROUND(AVERAGEIF(ASSESSMENTS!B:B,A418,ASSESSMENTS!H:H),1))</f>
        <v>#DIV/0!</v>
      </c>
      <c r="F418" s="4" t="str">
        <f>IF(A418="","",IFERROR(ROUND(AVERAGEIFS(ASSESSMENTS!H:H,ASSESSMENTS!B:B,A418,ASSESSMENTS!E:E,"Mathematics"),1),""))</f>
        <v/>
      </c>
      <c r="G418" s="4" t="str">
        <f>IF(A418="","",IFERROR(ROUND(AVERAGEIFS(ASSESSMENTS!H:H,ASSESSMENTS!B:B,A418,ASSESSMENTS!E:E,"Mathematical Literacy"),1),""))</f>
        <v/>
      </c>
      <c r="H418" s="4" t="str">
        <f>IF(A418="","",IFERROR(ROUND(AVERAGEIFS(ASSESSMENTS!H:H,ASSESSMENTS!B:B,A418,ASSESSMENTS!E:E,"Physical Sciences"),1),""))</f>
        <v/>
      </c>
      <c r="I418" s="4" t="str">
        <f>IF(A418="","",IFERROR(ROUND(AVERAGEIFS(ASSESSMENTS!H:H,ASSESSMENTS!B:B,A418,ASSESSMENTS!E:E,"Geography"),1),""))</f>
        <v/>
      </c>
      <c r="J418" s="4" t="str">
        <f>IF(A418="","",IFERROR(ROUND(AVERAGEIFS(ASSESSMENTS!H:H,ASSESSMENTS!B:B,A418,ASSESSMENTS!E:E,"Accounting"),1),""))</f>
        <v/>
      </c>
      <c r="K418" s="4" t="str">
        <f>IF(A418="","",IFERROR(ROUND(AVERAGEIFS(ASSESSMENTS!H:H,ASSESSMENTS!B:B,A418,ASSESSMENTS!E:E,"English"),1),""))</f>
        <v/>
      </c>
      <c r="L418" s="5" t="str">
        <f>IF(A418="","",IFERROR(INDEX(ATTENDANCE_SUMMARY!G:G,MATCH(A418,ATTENDANCE_SUMMARY!A:A,0)),""))</f>
        <v/>
      </c>
      <c r="M418" s="4" t="str">
        <f t="shared" si="6"/>
        <v/>
      </c>
    </row>
    <row r="419" spans="1:13" x14ac:dyDescent="0.3">
      <c r="A419" t="str">
        <f>IF(MASTER_REGISTER!E419="","",MASTER_REGISTER!E419)</f>
        <v/>
      </c>
      <c r="B419" t="str">
        <f>IF(A419="","",MASTER_REGISTER!F419)</f>
        <v/>
      </c>
      <c r="C419" t="str">
        <f>IF(A419="","",MASTER_REGISTER!C419)</f>
        <v/>
      </c>
      <c r="D419" t="str">
        <f>IF(A419="","",COUNTIF(ASSESSMENTS!B:B,A419))</f>
        <v/>
      </c>
      <c r="E419" s="4" t="e">
        <f>IF(D419=0,"",ROUND(AVERAGEIF(ASSESSMENTS!B:B,A419,ASSESSMENTS!H:H),1))</f>
        <v>#DIV/0!</v>
      </c>
      <c r="F419" s="4" t="str">
        <f>IF(A419="","",IFERROR(ROUND(AVERAGEIFS(ASSESSMENTS!H:H,ASSESSMENTS!B:B,A419,ASSESSMENTS!E:E,"Mathematics"),1),""))</f>
        <v/>
      </c>
      <c r="G419" s="4" t="str">
        <f>IF(A419="","",IFERROR(ROUND(AVERAGEIFS(ASSESSMENTS!H:H,ASSESSMENTS!B:B,A419,ASSESSMENTS!E:E,"Mathematical Literacy"),1),""))</f>
        <v/>
      </c>
      <c r="H419" s="4" t="str">
        <f>IF(A419="","",IFERROR(ROUND(AVERAGEIFS(ASSESSMENTS!H:H,ASSESSMENTS!B:B,A419,ASSESSMENTS!E:E,"Physical Sciences"),1),""))</f>
        <v/>
      </c>
      <c r="I419" s="4" t="str">
        <f>IF(A419="","",IFERROR(ROUND(AVERAGEIFS(ASSESSMENTS!H:H,ASSESSMENTS!B:B,A419,ASSESSMENTS!E:E,"Geography"),1),""))</f>
        <v/>
      </c>
      <c r="J419" s="4" t="str">
        <f>IF(A419="","",IFERROR(ROUND(AVERAGEIFS(ASSESSMENTS!H:H,ASSESSMENTS!B:B,A419,ASSESSMENTS!E:E,"Accounting"),1),""))</f>
        <v/>
      </c>
      <c r="K419" s="4" t="str">
        <f>IF(A419="","",IFERROR(ROUND(AVERAGEIFS(ASSESSMENTS!H:H,ASSESSMENTS!B:B,A419,ASSESSMENTS!E:E,"English"),1),""))</f>
        <v/>
      </c>
      <c r="L419" s="5" t="str">
        <f>IF(A419="","",IFERROR(INDEX(ATTENDANCE_SUMMARY!G:G,MATCH(A419,ATTENDANCE_SUMMARY!A:A,0)),""))</f>
        <v/>
      </c>
      <c r="M419" s="4" t="str">
        <f t="shared" si="6"/>
        <v/>
      </c>
    </row>
    <row r="420" spans="1:13" x14ac:dyDescent="0.3">
      <c r="A420" t="str">
        <f>IF(MASTER_REGISTER!E420="","",MASTER_REGISTER!E420)</f>
        <v/>
      </c>
      <c r="B420" t="str">
        <f>IF(A420="","",MASTER_REGISTER!F420)</f>
        <v/>
      </c>
      <c r="C420" t="str">
        <f>IF(A420="","",MASTER_REGISTER!C420)</f>
        <v/>
      </c>
      <c r="D420" t="str">
        <f>IF(A420="","",COUNTIF(ASSESSMENTS!B:B,A420))</f>
        <v/>
      </c>
      <c r="E420" s="4" t="e">
        <f>IF(D420=0,"",ROUND(AVERAGEIF(ASSESSMENTS!B:B,A420,ASSESSMENTS!H:H),1))</f>
        <v>#DIV/0!</v>
      </c>
      <c r="F420" s="4" t="str">
        <f>IF(A420="","",IFERROR(ROUND(AVERAGEIFS(ASSESSMENTS!H:H,ASSESSMENTS!B:B,A420,ASSESSMENTS!E:E,"Mathematics"),1),""))</f>
        <v/>
      </c>
      <c r="G420" s="4" t="str">
        <f>IF(A420="","",IFERROR(ROUND(AVERAGEIFS(ASSESSMENTS!H:H,ASSESSMENTS!B:B,A420,ASSESSMENTS!E:E,"Mathematical Literacy"),1),""))</f>
        <v/>
      </c>
      <c r="H420" s="4" t="str">
        <f>IF(A420="","",IFERROR(ROUND(AVERAGEIFS(ASSESSMENTS!H:H,ASSESSMENTS!B:B,A420,ASSESSMENTS!E:E,"Physical Sciences"),1),""))</f>
        <v/>
      </c>
      <c r="I420" s="4" t="str">
        <f>IF(A420="","",IFERROR(ROUND(AVERAGEIFS(ASSESSMENTS!H:H,ASSESSMENTS!B:B,A420,ASSESSMENTS!E:E,"Geography"),1),""))</f>
        <v/>
      </c>
      <c r="J420" s="4" t="str">
        <f>IF(A420="","",IFERROR(ROUND(AVERAGEIFS(ASSESSMENTS!H:H,ASSESSMENTS!B:B,A420,ASSESSMENTS!E:E,"Accounting"),1),""))</f>
        <v/>
      </c>
      <c r="K420" s="4" t="str">
        <f>IF(A420="","",IFERROR(ROUND(AVERAGEIFS(ASSESSMENTS!H:H,ASSESSMENTS!B:B,A420,ASSESSMENTS!E:E,"English"),1),""))</f>
        <v/>
      </c>
      <c r="L420" s="5" t="str">
        <f>IF(A420="","",IFERROR(INDEX(ATTENDANCE_SUMMARY!G:G,MATCH(A420,ATTENDANCE_SUMMARY!A:A,0)),""))</f>
        <v/>
      </c>
      <c r="M420" s="4" t="str">
        <f t="shared" si="6"/>
        <v/>
      </c>
    </row>
    <row r="421" spans="1:13" x14ac:dyDescent="0.3">
      <c r="A421" t="str">
        <f>IF(MASTER_REGISTER!E421="","",MASTER_REGISTER!E421)</f>
        <v/>
      </c>
      <c r="B421" t="str">
        <f>IF(A421="","",MASTER_REGISTER!F421)</f>
        <v/>
      </c>
      <c r="C421" t="str">
        <f>IF(A421="","",MASTER_REGISTER!C421)</f>
        <v/>
      </c>
      <c r="D421" t="str">
        <f>IF(A421="","",COUNTIF(ASSESSMENTS!B:B,A421))</f>
        <v/>
      </c>
      <c r="E421" s="4" t="e">
        <f>IF(D421=0,"",ROUND(AVERAGEIF(ASSESSMENTS!B:B,A421,ASSESSMENTS!H:H),1))</f>
        <v>#DIV/0!</v>
      </c>
      <c r="F421" s="4" t="str">
        <f>IF(A421="","",IFERROR(ROUND(AVERAGEIFS(ASSESSMENTS!H:H,ASSESSMENTS!B:B,A421,ASSESSMENTS!E:E,"Mathematics"),1),""))</f>
        <v/>
      </c>
      <c r="G421" s="4" t="str">
        <f>IF(A421="","",IFERROR(ROUND(AVERAGEIFS(ASSESSMENTS!H:H,ASSESSMENTS!B:B,A421,ASSESSMENTS!E:E,"Mathematical Literacy"),1),""))</f>
        <v/>
      </c>
      <c r="H421" s="4" t="str">
        <f>IF(A421="","",IFERROR(ROUND(AVERAGEIFS(ASSESSMENTS!H:H,ASSESSMENTS!B:B,A421,ASSESSMENTS!E:E,"Physical Sciences"),1),""))</f>
        <v/>
      </c>
      <c r="I421" s="4" t="str">
        <f>IF(A421="","",IFERROR(ROUND(AVERAGEIFS(ASSESSMENTS!H:H,ASSESSMENTS!B:B,A421,ASSESSMENTS!E:E,"Geography"),1),""))</f>
        <v/>
      </c>
      <c r="J421" s="4" t="str">
        <f>IF(A421="","",IFERROR(ROUND(AVERAGEIFS(ASSESSMENTS!H:H,ASSESSMENTS!B:B,A421,ASSESSMENTS!E:E,"Accounting"),1),""))</f>
        <v/>
      </c>
      <c r="K421" s="4" t="str">
        <f>IF(A421="","",IFERROR(ROUND(AVERAGEIFS(ASSESSMENTS!H:H,ASSESSMENTS!B:B,A421,ASSESSMENTS!E:E,"English"),1),""))</f>
        <v/>
      </c>
      <c r="L421" s="5" t="str">
        <f>IF(A421="","",IFERROR(INDEX(ATTENDANCE_SUMMARY!G:G,MATCH(A421,ATTENDANCE_SUMMARY!A:A,0)),""))</f>
        <v/>
      </c>
      <c r="M421" s="4" t="str">
        <f t="shared" si="6"/>
        <v/>
      </c>
    </row>
    <row r="422" spans="1:13" x14ac:dyDescent="0.3">
      <c r="A422" t="str">
        <f>IF(MASTER_REGISTER!E422="","",MASTER_REGISTER!E422)</f>
        <v/>
      </c>
      <c r="B422" t="str">
        <f>IF(A422="","",MASTER_REGISTER!F422)</f>
        <v/>
      </c>
      <c r="C422" t="str">
        <f>IF(A422="","",MASTER_REGISTER!C422)</f>
        <v/>
      </c>
      <c r="D422" t="str">
        <f>IF(A422="","",COUNTIF(ASSESSMENTS!B:B,A422))</f>
        <v/>
      </c>
      <c r="E422" s="4" t="e">
        <f>IF(D422=0,"",ROUND(AVERAGEIF(ASSESSMENTS!B:B,A422,ASSESSMENTS!H:H),1))</f>
        <v>#DIV/0!</v>
      </c>
      <c r="F422" s="4" t="str">
        <f>IF(A422="","",IFERROR(ROUND(AVERAGEIFS(ASSESSMENTS!H:H,ASSESSMENTS!B:B,A422,ASSESSMENTS!E:E,"Mathematics"),1),""))</f>
        <v/>
      </c>
      <c r="G422" s="4" t="str">
        <f>IF(A422="","",IFERROR(ROUND(AVERAGEIFS(ASSESSMENTS!H:H,ASSESSMENTS!B:B,A422,ASSESSMENTS!E:E,"Mathematical Literacy"),1),""))</f>
        <v/>
      </c>
      <c r="H422" s="4" t="str">
        <f>IF(A422="","",IFERROR(ROUND(AVERAGEIFS(ASSESSMENTS!H:H,ASSESSMENTS!B:B,A422,ASSESSMENTS!E:E,"Physical Sciences"),1),""))</f>
        <v/>
      </c>
      <c r="I422" s="4" t="str">
        <f>IF(A422="","",IFERROR(ROUND(AVERAGEIFS(ASSESSMENTS!H:H,ASSESSMENTS!B:B,A422,ASSESSMENTS!E:E,"Geography"),1),""))</f>
        <v/>
      </c>
      <c r="J422" s="4" t="str">
        <f>IF(A422="","",IFERROR(ROUND(AVERAGEIFS(ASSESSMENTS!H:H,ASSESSMENTS!B:B,A422,ASSESSMENTS!E:E,"Accounting"),1),""))</f>
        <v/>
      </c>
      <c r="K422" s="4" t="str">
        <f>IF(A422="","",IFERROR(ROUND(AVERAGEIFS(ASSESSMENTS!H:H,ASSESSMENTS!B:B,A422,ASSESSMENTS!E:E,"English"),1),""))</f>
        <v/>
      </c>
      <c r="L422" s="5" t="str">
        <f>IF(A422="","",IFERROR(INDEX(ATTENDANCE_SUMMARY!G:G,MATCH(A422,ATTENDANCE_SUMMARY!A:A,0)),""))</f>
        <v/>
      </c>
      <c r="M422" s="4" t="str">
        <f t="shared" si="6"/>
        <v/>
      </c>
    </row>
    <row r="423" spans="1:13" x14ac:dyDescent="0.3">
      <c r="A423" t="str">
        <f>IF(MASTER_REGISTER!E423="","",MASTER_REGISTER!E423)</f>
        <v/>
      </c>
      <c r="B423" t="str">
        <f>IF(A423="","",MASTER_REGISTER!F423)</f>
        <v/>
      </c>
      <c r="C423" t="str">
        <f>IF(A423="","",MASTER_REGISTER!C423)</f>
        <v/>
      </c>
      <c r="D423" t="str">
        <f>IF(A423="","",COUNTIF(ASSESSMENTS!B:B,A423))</f>
        <v/>
      </c>
      <c r="E423" s="4" t="e">
        <f>IF(D423=0,"",ROUND(AVERAGEIF(ASSESSMENTS!B:B,A423,ASSESSMENTS!H:H),1))</f>
        <v>#DIV/0!</v>
      </c>
      <c r="F423" s="4" t="str">
        <f>IF(A423="","",IFERROR(ROUND(AVERAGEIFS(ASSESSMENTS!H:H,ASSESSMENTS!B:B,A423,ASSESSMENTS!E:E,"Mathematics"),1),""))</f>
        <v/>
      </c>
      <c r="G423" s="4" t="str">
        <f>IF(A423="","",IFERROR(ROUND(AVERAGEIFS(ASSESSMENTS!H:H,ASSESSMENTS!B:B,A423,ASSESSMENTS!E:E,"Mathematical Literacy"),1),""))</f>
        <v/>
      </c>
      <c r="H423" s="4" t="str">
        <f>IF(A423="","",IFERROR(ROUND(AVERAGEIFS(ASSESSMENTS!H:H,ASSESSMENTS!B:B,A423,ASSESSMENTS!E:E,"Physical Sciences"),1),""))</f>
        <v/>
      </c>
      <c r="I423" s="4" t="str">
        <f>IF(A423="","",IFERROR(ROUND(AVERAGEIFS(ASSESSMENTS!H:H,ASSESSMENTS!B:B,A423,ASSESSMENTS!E:E,"Geography"),1),""))</f>
        <v/>
      </c>
      <c r="J423" s="4" t="str">
        <f>IF(A423="","",IFERROR(ROUND(AVERAGEIFS(ASSESSMENTS!H:H,ASSESSMENTS!B:B,A423,ASSESSMENTS!E:E,"Accounting"),1),""))</f>
        <v/>
      </c>
      <c r="K423" s="4" t="str">
        <f>IF(A423="","",IFERROR(ROUND(AVERAGEIFS(ASSESSMENTS!H:H,ASSESSMENTS!B:B,A423,ASSESSMENTS!E:E,"English"),1),""))</f>
        <v/>
      </c>
      <c r="L423" s="5" t="str">
        <f>IF(A423="","",IFERROR(INDEX(ATTENDANCE_SUMMARY!G:G,MATCH(A423,ATTENDANCE_SUMMARY!A:A,0)),""))</f>
        <v/>
      </c>
      <c r="M423" s="4" t="str">
        <f t="shared" si="6"/>
        <v/>
      </c>
    </row>
    <row r="424" spans="1:13" x14ac:dyDescent="0.3">
      <c r="A424" t="str">
        <f>IF(MASTER_REGISTER!E424="","",MASTER_REGISTER!E424)</f>
        <v/>
      </c>
      <c r="B424" t="str">
        <f>IF(A424="","",MASTER_REGISTER!F424)</f>
        <v/>
      </c>
      <c r="C424" t="str">
        <f>IF(A424="","",MASTER_REGISTER!C424)</f>
        <v/>
      </c>
      <c r="D424" t="str">
        <f>IF(A424="","",COUNTIF(ASSESSMENTS!B:B,A424))</f>
        <v/>
      </c>
      <c r="E424" s="4" t="e">
        <f>IF(D424=0,"",ROUND(AVERAGEIF(ASSESSMENTS!B:B,A424,ASSESSMENTS!H:H),1))</f>
        <v>#DIV/0!</v>
      </c>
      <c r="F424" s="4" t="str">
        <f>IF(A424="","",IFERROR(ROUND(AVERAGEIFS(ASSESSMENTS!H:H,ASSESSMENTS!B:B,A424,ASSESSMENTS!E:E,"Mathematics"),1),""))</f>
        <v/>
      </c>
      <c r="G424" s="4" t="str">
        <f>IF(A424="","",IFERROR(ROUND(AVERAGEIFS(ASSESSMENTS!H:H,ASSESSMENTS!B:B,A424,ASSESSMENTS!E:E,"Mathematical Literacy"),1),""))</f>
        <v/>
      </c>
      <c r="H424" s="4" t="str">
        <f>IF(A424="","",IFERROR(ROUND(AVERAGEIFS(ASSESSMENTS!H:H,ASSESSMENTS!B:B,A424,ASSESSMENTS!E:E,"Physical Sciences"),1),""))</f>
        <v/>
      </c>
      <c r="I424" s="4" t="str">
        <f>IF(A424="","",IFERROR(ROUND(AVERAGEIFS(ASSESSMENTS!H:H,ASSESSMENTS!B:B,A424,ASSESSMENTS!E:E,"Geography"),1),""))</f>
        <v/>
      </c>
      <c r="J424" s="4" t="str">
        <f>IF(A424="","",IFERROR(ROUND(AVERAGEIFS(ASSESSMENTS!H:H,ASSESSMENTS!B:B,A424,ASSESSMENTS!E:E,"Accounting"),1),""))</f>
        <v/>
      </c>
      <c r="K424" s="4" t="str">
        <f>IF(A424="","",IFERROR(ROUND(AVERAGEIFS(ASSESSMENTS!H:H,ASSESSMENTS!B:B,A424,ASSESSMENTS!E:E,"English"),1),""))</f>
        <v/>
      </c>
      <c r="L424" s="5" t="str">
        <f>IF(A424="","",IFERROR(INDEX(ATTENDANCE_SUMMARY!G:G,MATCH(A424,ATTENDANCE_SUMMARY!A:A,0)),""))</f>
        <v/>
      </c>
      <c r="M424" s="4" t="str">
        <f t="shared" si="6"/>
        <v/>
      </c>
    </row>
    <row r="425" spans="1:13" x14ac:dyDescent="0.3">
      <c r="A425" t="str">
        <f>IF(MASTER_REGISTER!E425="","",MASTER_REGISTER!E425)</f>
        <v/>
      </c>
      <c r="B425" t="str">
        <f>IF(A425="","",MASTER_REGISTER!F425)</f>
        <v/>
      </c>
      <c r="C425" t="str">
        <f>IF(A425="","",MASTER_REGISTER!C425)</f>
        <v/>
      </c>
      <c r="D425" t="str">
        <f>IF(A425="","",COUNTIF(ASSESSMENTS!B:B,A425))</f>
        <v/>
      </c>
      <c r="E425" s="4" t="e">
        <f>IF(D425=0,"",ROUND(AVERAGEIF(ASSESSMENTS!B:B,A425,ASSESSMENTS!H:H),1))</f>
        <v>#DIV/0!</v>
      </c>
      <c r="F425" s="4" t="str">
        <f>IF(A425="","",IFERROR(ROUND(AVERAGEIFS(ASSESSMENTS!H:H,ASSESSMENTS!B:B,A425,ASSESSMENTS!E:E,"Mathematics"),1),""))</f>
        <v/>
      </c>
      <c r="G425" s="4" t="str">
        <f>IF(A425="","",IFERROR(ROUND(AVERAGEIFS(ASSESSMENTS!H:H,ASSESSMENTS!B:B,A425,ASSESSMENTS!E:E,"Mathematical Literacy"),1),""))</f>
        <v/>
      </c>
      <c r="H425" s="4" t="str">
        <f>IF(A425="","",IFERROR(ROUND(AVERAGEIFS(ASSESSMENTS!H:H,ASSESSMENTS!B:B,A425,ASSESSMENTS!E:E,"Physical Sciences"),1),""))</f>
        <v/>
      </c>
      <c r="I425" s="4" t="str">
        <f>IF(A425="","",IFERROR(ROUND(AVERAGEIFS(ASSESSMENTS!H:H,ASSESSMENTS!B:B,A425,ASSESSMENTS!E:E,"Geography"),1),""))</f>
        <v/>
      </c>
      <c r="J425" s="4" t="str">
        <f>IF(A425="","",IFERROR(ROUND(AVERAGEIFS(ASSESSMENTS!H:H,ASSESSMENTS!B:B,A425,ASSESSMENTS!E:E,"Accounting"),1),""))</f>
        <v/>
      </c>
      <c r="K425" s="4" t="str">
        <f>IF(A425="","",IFERROR(ROUND(AVERAGEIFS(ASSESSMENTS!H:H,ASSESSMENTS!B:B,A425,ASSESSMENTS!E:E,"English"),1),""))</f>
        <v/>
      </c>
      <c r="L425" s="5" t="str">
        <f>IF(A425="","",IFERROR(INDEX(ATTENDANCE_SUMMARY!G:G,MATCH(A425,ATTENDANCE_SUMMARY!A:A,0)),""))</f>
        <v/>
      </c>
      <c r="M425" s="4" t="str">
        <f t="shared" si="6"/>
        <v/>
      </c>
    </row>
    <row r="426" spans="1:13" x14ac:dyDescent="0.3">
      <c r="A426" t="str">
        <f>IF(MASTER_REGISTER!E426="","",MASTER_REGISTER!E426)</f>
        <v/>
      </c>
      <c r="B426" t="str">
        <f>IF(A426="","",MASTER_REGISTER!F426)</f>
        <v/>
      </c>
      <c r="C426" t="str">
        <f>IF(A426="","",MASTER_REGISTER!C426)</f>
        <v/>
      </c>
      <c r="D426" t="str">
        <f>IF(A426="","",COUNTIF(ASSESSMENTS!B:B,A426))</f>
        <v/>
      </c>
      <c r="E426" s="4" t="e">
        <f>IF(D426=0,"",ROUND(AVERAGEIF(ASSESSMENTS!B:B,A426,ASSESSMENTS!H:H),1))</f>
        <v>#DIV/0!</v>
      </c>
      <c r="F426" s="4" t="str">
        <f>IF(A426="","",IFERROR(ROUND(AVERAGEIFS(ASSESSMENTS!H:H,ASSESSMENTS!B:B,A426,ASSESSMENTS!E:E,"Mathematics"),1),""))</f>
        <v/>
      </c>
      <c r="G426" s="4" t="str">
        <f>IF(A426="","",IFERROR(ROUND(AVERAGEIFS(ASSESSMENTS!H:H,ASSESSMENTS!B:B,A426,ASSESSMENTS!E:E,"Mathematical Literacy"),1),""))</f>
        <v/>
      </c>
      <c r="H426" s="4" t="str">
        <f>IF(A426="","",IFERROR(ROUND(AVERAGEIFS(ASSESSMENTS!H:H,ASSESSMENTS!B:B,A426,ASSESSMENTS!E:E,"Physical Sciences"),1),""))</f>
        <v/>
      </c>
      <c r="I426" s="4" t="str">
        <f>IF(A426="","",IFERROR(ROUND(AVERAGEIFS(ASSESSMENTS!H:H,ASSESSMENTS!B:B,A426,ASSESSMENTS!E:E,"Geography"),1),""))</f>
        <v/>
      </c>
      <c r="J426" s="4" t="str">
        <f>IF(A426="","",IFERROR(ROUND(AVERAGEIFS(ASSESSMENTS!H:H,ASSESSMENTS!B:B,A426,ASSESSMENTS!E:E,"Accounting"),1),""))</f>
        <v/>
      </c>
      <c r="K426" s="4" t="str">
        <f>IF(A426="","",IFERROR(ROUND(AVERAGEIFS(ASSESSMENTS!H:H,ASSESSMENTS!B:B,A426,ASSESSMENTS!E:E,"English"),1),""))</f>
        <v/>
      </c>
      <c r="L426" s="5" t="str">
        <f>IF(A426="","",IFERROR(INDEX(ATTENDANCE_SUMMARY!G:G,MATCH(A426,ATTENDANCE_SUMMARY!A:A,0)),""))</f>
        <v/>
      </c>
      <c r="M426" s="4" t="str">
        <f t="shared" si="6"/>
        <v/>
      </c>
    </row>
    <row r="427" spans="1:13" x14ac:dyDescent="0.3">
      <c r="A427" t="str">
        <f>IF(MASTER_REGISTER!E427="","",MASTER_REGISTER!E427)</f>
        <v/>
      </c>
      <c r="B427" t="str">
        <f>IF(A427="","",MASTER_REGISTER!F427)</f>
        <v/>
      </c>
      <c r="C427" t="str">
        <f>IF(A427="","",MASTER_REGISTER!C427)</f>
        <v/>
      </c>
      <c r="D427" t="str">
        <f>IF(A427="","",COUNTIF(ASSESSMENTS!B:B,A427))</f>
        <v/>
      </c>
      <c r="E427" s="4" t="e">
        <f>IF(D427=0,"",ROUND(AVERAGEIF(ASSESSMENTS!B:B,A427,ASSESSMENTS!H:H),1))</f>
        <v>#DIV/0!</v>
      </c>
      <c r="F427" s="4" t="str">
        <f>IF(A427="","",IFERROR(ROUND(AVERAGEIFS(ASSESSMENTS!H:H,ASSESSMENTS!B:B,A427,ASSESSMENTS!E:E,"Mathematics"),1),""))</f>
        <v/>
      </c>
      <c r="G427" s="4" t="str">
        <f>IF(A427="","",IFERROR(ROUND(AVERAGEIFS(ASSESSMENTS!H:H,ASSESSMENTS!B:B,A427,ASSESSMENTS!E:E,"Mathematical Literacy"),1),""))</f>
        <v/>
      </c>
      <c r="H427" s="4" t="str">
        <f>IF(A427="","",IFERROR(ROUND(AVERAGEIFS(ASSESSMENTS!H:H,ASSESSMENTS!B:B,A427,ASSESSMENTS!E:E,"Physical Sciences"),1),""))</f>
        <v/>
      </c>
      <c r="I427" s="4" t="str">
        <f>IF(A427="","",IFERROR(ROUND(AVERAGEIFS(ASSESSMENTS!H:H,ASSESSMENTS!B:B,A427,ASSESSMENTS!E:E,"Geography"),1),""))</f>
        <v/>
      </c>
      <c r="J427" s="4" t="str">
        <f>IF(A427="","",IFERROR(ROUND(AVERAGEIFS(ASSESSMENTS!H:H,ASSESSMENTS!B:B,A427,ASSESSMENTS!E:E,"Accounting"),1),""))</f>
        <v/>
      </c>
      <c r="K427" s="4" t="str">
        <f>IF(A427="","",IFERROR(ROUND(AVERAGEIFS(ASSESSMENTS!H:H,ASSESSMENTS!B:B,A427,ASSESSMENTS!E:E,"English"),1),""))</f>
        <v/>
      </c>
      <c r="L427" s="5" t="str">
        <f>IF(A427="","",IFERROR(INDEX(ATTENDANCE_SUMMARY!G:G,MATCH(A427,ATTENDANCE_SUMMARY!A:A,0)),""))</f>
        <v/>
      </c>
      <c r="M427" s="4" t="str">
        <f t="shared" si="6"/>
        <v/>
      </c>
    </row>
    <row r="428" spans="1:13" x14ac:dyDescent="0.3">
      <c r="A428" t="str">
        <f>IF(MASTER_REGISTER!E428="","",MASTER_REGISTER!E428)</f>
        <v/>
      </c>
      <c r="B428" t="str">
        <f>IF(A428="","",MASTER_REGISTER!F428)</f>
        <v/>
      </c>
      <c r="C428" t="str">
        <f>IF(A428="","",MASTER_REGISTER!C428)</f>
        <v/>
      </c>
      <c r="D428" t="str">
        <f>IF(A428="","",COUNTIF(ASSESSMENTS!B:B,A428))</f>
        <v/>
      </c>
      <c r="E428" s="4" t="e">
        <f>IF(D428=0,"",ROUND(AVERAGEIF(ASSESSMENTS!B:B,A428,ASSESSMENTS!H:H),1))</f>
        <v>#DIV/0!</v>
      </c>
      <c r="F428" s="4" t="str">
        <f>IF(A428="","",IFERROR(ROUND(AVERAGEIFS(ASSESSMENTS!H:H,ASSESSMENTS!B:B,A428,ASSESSMENTS!E:E,"Mathematics"),1),""))</f>
        <v/>
      </c>
      <c r="G428" s="4" t="str">
        <f>IF(A428="","",IFERROR(ROUND(AVERAGEIFS(ASSESSMENTS!H:H,ASSESSMENTS!B:B,A428,ASSESSMENTS!E:E,"Mathematical Literacy"),1),""))</f>
        <v/>
      </c>
      <c r="H428" s="4" t="str">
        <f>IF(A428="","",IFERROR(ROUND(AVERAGEIFS(ASSESSMENTS!H:H,ASSESSMENTS!B:B,A428,ASSESSMENTS!E:E,"Physical Sciences"),1),""))</f>
        <v/>
      </c>
      <c r="I428" s="4" t="str">
        <f>IF(A428="","",IFERROR(ROUND(AVERAGEIFS(ASSESSMENTS!H:H,ASSESSMENTS!B:B,A428,ASSESSMENTS!E:E,"Geography"),1),""))</f>
        <v/>
      </c>
      <c r="J428" s="4" t="str">
        <f>IF(A428="","",IFERROR(ROUND(AVERAGEIFS(ASSESSMENTS!H:H,ASSESSMENTS!B:B,A428,ASSESSMENTS!E:E,"Accounting"),1),""))</f>
        <v/>
      </c>
      <c r="K428" s="4" t="str">
        <f>IF(A428="","",IFERROR(ROUND(AVERAGEIFS(ASSESSMENTS!H:H,ASSESSMENTS!B:B,A428,ASSESSMENTS!E:E,"English"),1),""))</f>
        <v/>
      </c>
      <c r="L428" s="5" t="str">
        <f>IF(A428="","",IFERROR(INDEX(ATTENDANCE_SUMMARY!G:G,MATCH(A428,ATTENDANCE_SUMMARY!A:A,0)),""))</f>
        <v/>
      </c>
      <c r="M428" s="4" t="str">
        <f t="shared" si="6"/>
        <v/>
      </c>
    </row>
    <row r="429" spans="1:13" x14ac:dyDescent="0.3">
      <c r="A429" t="str">
        <f>IF(MASTER_REGISTER!E429="","",MASTER_REGISTER!E429)</f>
        <v/>
      </c>
      <c r="B429" t="str">
        <f>IF(A429="","",MASTER_REGISTER!F429)</f>
        <v/>
      </c>
      <c r="C429" t="str">
        <f>IF(A429="","",MASTER_REGISTER!C429)</f>
        <v/>
      </c>
      <c r="D429" t="str">
        <f>IF(A429="","",COUNTIF(ASSESSMENTS!B:B,A429))</f>
        <v/>
      </c>
      <c r="E429" s="4" t="e">
        <f>IF(D429=0,"",ROUND(AVERAGEIF(ASSESSMENTS!B:B,A429,ASSESSMENTS!H:H),1))</f>
        <v>#DIV/0!</v>
      </c>
      <c r="F429" s="4" t="str">
        <f>IF(A429="","",IFERROR(ROUND(AVERAGEIFS(ASSESSMENTS!H:H,ASSESSMENTS!B:B,A429,ASSESSMENTS!E:E,"Mathematics"),1),""))</f>
        <v/>
      </c>
      <c r="G429" s="4" t="str">
        <f>IF(A429="","",IFERROR(ROUND(AVERAGEIFS(ASSESSMENTS!H:H,ASSESSMENTS!B:B,A429,ASSESSMENTS!E:E,"Mathematical Literacy"),1),""))</f>
        <v/>
      </c>
      <c r="H429" s="4" t="str">
        <f>IF(A429="","",IFERROR(ROUND(AVERAGEIFS(ASSESSMENTS!H:H,ASSESSMENTS!B:B,A429,ASSESSMENTS!E:E,"Physical Sciences"),1),""))</f>
        <v/>
      </c>
      <c r="I429" s="4" t="str">
        <f>IF(A429="","",IFERROR(ROUND(AVERAGEIFS(ASSESSMENTS!H:H,ASSESSMENTS!B:B,A429,ASSESSMENTS!E:E,"Geography"),1),""))</f>
        <v/>
      </c>
      <c r="J429" s="4" t="str">
        <f>IF(A429="","",IFERROR(ROUND(AVERAGEIFS(ASSESSMENTS!H:H,ASSESSMENTS!B:B,A429,ASSESSMENTS!E:E,"Accounting"),1),""))</f>
        <v/>
      </c>
      <c r="K429" s="4" t="str">
        <f>IF(A429="","",IFERROR(ROUND(AVERAGEIFS(ASSESSMENTS!H:H,ASSESSMENTS!B:B,A429,ASSESSMENTS!E:E,"English"),1),""))</f>
        <v/>
      </c>
      <c r="L429" s="5" t="str">
        <f>IF(A429="","",IFERROR(INDEX(ATTENDANCE_SUMMARY!G:G,MATCH(A429,ATTENDANCE_SUMMARY!A:A,0)),""))</f>
        <v/>
      </c>
      <c r="M429" s="4" t="str">
        <f t="shared" si="6"/>
        <v/>
      </c>
    </row>
    <row r="430" spans="1:13" x14ac:dyDescent="0.3">
      <c r="A430" t="str">
        <f>IF(MASTER_REGISTER!E430="","",MASTER_REGISTER!E430)</f>
        <v/>
      </c>
      <c r="B430" t="str">
        <f>IF(A430="","",MASTER_REGISTER!F430)</f>
        <v/>
      </c>
      <c r="C430" t="str">
        <f>IF(A430="","",MASTER_REGISTER!C430)</f>
        <v/>
      </c>
      <c r="D430" t="str">
        <f>IF(A430="","",COUNTIF(ASSESSMENTS!B:B,A430))</f>
        <v/>
      </c>
      <c r="E430" s="4" t="e">
        <f>IF(D430=0,"",ROUND(AVERAGEIF(ASSESSMENTS!B:B,A430,ASSESSMENTS!H:H),1))</f>
        <v>#DIV/0!</v>
      </c>
      <c r="F430" s="4" t="str">
        <f>IF(A430="","",IFERROR(ROUND(AVERAGEIFS(ASSESSMENTS!H:H,ASSESSMENTS!B:B,A430,ASSESSMENTS!E:E,"Mathematics"),1),""))</f>
        <v/>
      </c>
      <c r="G430" s="4" t="str">
        <f>IF(A430="","",IFERROR(ROUND(AVERAGEIFS(ASSESSMENTS!H:H,ASSESSMENTS!B:B,A430,ASSESSMENTS!E:E,"Mathematical Literacy"),1),""))</f>
        <v/>
      </c>
      <c r="H430" s="4" t="str">
        <f>IF(A430="","",IFERROR(ROUND(AVERAGEIFS(ASSESSMENTS!H:H,ASSESSMENTS!B:B,A430,ASSESSMENTS!E:E,"Physical Sciences"),1),""))</f>
        <v/>
      </c>
      <c r="I430" s="4" t="str">
        <f>IF(A430="","",IFERROR(ROUND(AVERAGEIFS(ASSESSMENTS!H:H,ASSESSMENTS!B:B,A430,ASSESSMENTS!E:E,"Geography"),1),""))</f>
        <v/>
      </c>
      <c r="J430" s="4" t="str">
        <f>IF(A430="","",IFERROR(ROUND(AVERAGEIFS(ASSESSMENTS!H:H,ASSESSMENTS!B:B,A430,ASSESSMENTS!E:E,"Accounting"),1),""))</f>
        <v/>
      </c>
      <c r="K430" s="4" t="str">
        <f>IF(A430="","",IFERROR(ROUND(AVERAGEIFS(ASSESSMENTS!H:H,ASSESSMENTS!B:B,A430,ASSESSMENTS!E:E,"English"),1),""))</f>
        <v/>
      </c>
      <c r="L430" s="5" t="str">
        <f>IF(A430="","",IFERROR(INDEX(ATTENDANCE_SUMMARY!G:G,MATCH(A430,ATTENDANCE_SUMMARY!A:A,0)),""))</f>
        <v/>
      </c>
      <c r="M430" s="4" t="str">
        <f t="shared" si="6"/>
        <v/>
      </c>
    </row>
    <row r="431" spans="1:13" x14ac:dyDescent="0.3">
      <c r="A431" t="str">
        <f>IF(MASTER_REGISTER!E431="","",MASTER_REGISTER!E431)</f>
        <v/>
      </c>
      <c r="B431" t="str">
        <f>IF(A431="","",MASTER_REGISTER!F431)</f>
        <v/>
      </c>
      <c r="C431" t="str">
        <f>IF(A431="","",MASTER_REGISTER!C431)</f>
        <v/>
      </c>
      <c r="D431" t="str">
        <f>IF(A431="","",COUNTIF(ASSESSMENTS!B:B,A431))</f>
        <v/>
      </c>
      <c r="E431" s="4" t="e">
        <f>IF(D431=0,"",ROUND(AVERAGEIF(ASSESSMENTS!B:B,A431,ASSESSMENTS!H:H),1))</f>
        <v>#DIV/0!</v>
      </c>
      <c r="F431" s="4" t="str">
        <f>IF(A431="","",IFERROR(ROUND(AVERAGEIFS(ASSESSMENTS!H:H,ASSESSMENTS!B:B,A431,ASSESSMENTS!E:E,"Mathematics"),1),""))</f>
        <v/>
      </c>
      <c r="G431" s="4" t="str">
        <f>IF(A431="","",IFERROR(ROUND(AVERAGEIFS(ASSESSMENTS!H:H,ASSESSMENTS!B:B,A431,ASSESSMENTS!E:E,"Mathematical Literacy"),1),""))</f>
        <v/>
      </c>
      <c r="H431" s="4" t="str">
        <f>IF(A431="","",IFERROR(ROUND(AVERAGEIFS(ASSESSMENTS!H:H,ASSESSMENTS!B:B,A431,ASSESSMENTS!E:E,"Physical Sciences"),1),""))</f>
        <v/>
      </c>
      <c r="I431" s="4" t="str">
        <f>IF(A431="","",IFERROR(ROUND(AVERAGEIFS(ASSESSMENTS!H:H,ASSESSMENTS!B:B,A431,ASSESSMENTS!E:E,"Geography"),1),""))</f>
        <v/>
      </c>
      <c r="J431" s="4" t="str">
        <f>IF(A431="","",IFERROR(ROUND(AVERAGEIFS(ASSESSMENTS!H:H,ASSESSMENTS!B:B,A431,ASSESSMENTS!E:E,"Accounting"),1),""))</f>
        <v/>
      </c>
      <c r="K431" s="4" t="str">
        <f>IF(A431="","",IFERROR(ROUND(AVERAGEIFS(ASSESSMENTS!H:H,ASSESSMENTS!B:B,A431,ASSESSMENTS!E:E,"English"),1),""))</f>
        <v/>
      </c>
      <c r="L431" s="5" t="str">
        <f>IF(A431="","",IFERROR(INDEX(ATTENDANCE_SUMMARY!G:G,MATCH(A431,ATTENDANCE_SUMMARY!A:A,0)),""))</f>
        <v/>
      </c>
      <c r="M431" s="4" t="str">
        <f t="shared" si="6"/>
        <v/>
      </c>
    </row>
    <row r="432" spans="1:13" x14ac:dyDescent="0.3">
      <c r="A432" t="str">
        <f>IF(MASTER_REGISTER!E432="","",MASTER_REGISTER!E432)</f>
        <v/>
      </c>
      <c r="B432" t="str">
        <f>IF(A432="","",MASTER_REGISTER!F432)</f>
        <v/>
      </c>
      <c r="C432" t="str">
        <f>IF(A432="","",MASTER_REGISTER!C432)</f>
        <v/>
      </c>
      <c r="D432" t="str">
        <f>IF(A432="","",COUNTIF(ASSESSMENTS!B:B,A432))</f>
        <v/>
      </c>
      <c r="E432" s="4" t="e">
        <f>IF(D432=0,"",ROUND(AVERAGEIF(ASSESSMENTS!B:B,A432,ASSESSMENTS!H:H),1))</f>
        <v>#DIV/0!</v>
      </c>
      <c r="F432" s="4" t="str">
        <f>IF(A432="","",IFERROR(ROUND(AVERAGEIFS(ASSESSMENTS!H:H,ASSESSMENTS!B:B,A432,ASSESSMENTS!E:E,"Mathematics"),1),""))</f>
        <v/>
      </c>
      <c r="G432" s="4" t="str">
        <f>IF(A432="","",IFERROR(ROUND(AVERAGEIFS(ASSESSMENTS!H:H,ASSESSMENTS!B:B,A432,ASSESSMENTS!E:E,"Mathematical Literacy"),1),""))</f>
        <v/>
      </c>
      <c r="H432" s="4" t="str">
        <f>IF(A432="","",IFERROR(ROUND(AVERAGEIFS(ASSESSMENTS!H:H,ASSESSMENTS!B:B,A432,ASSESSMENTS!E:E,"Physical Sciences"),1),""))</f>
        <v/>
      </c>
      <c r="I432" s="4" t="str">
        <f>IF(A432="","",IFERROR(ROUND(AVERAGEIFS(ASSESSMENTS!H:H,ASSESSMENTS!B:B,A432,ASSESSMENTS!E:E,"Geography"),1),""))</f>
        <v/>
      </c>
      <c r="J432" s="4" t="str">
        <f>IF(A432="","",IFERROR(ROUND(AVERAGEIFS(ASSESSMENTS!H:H,ASSESSMENTS!B:B,A432,ASSESSMENTS!E:E,"Accounting"),1),""))</f>
        <v/>
      </c>
      <c r="K432" s="4" t="str">
        <f>IF(A432="","",IFERROR(ROUND(AVERAGEIFS(ASSESSMENTS!H:H,ASSESSMENTS!B:B,A432,ASSESSMENTS!E:E,"English"),1),""))</f>
        <v/>
      </c>
      <c r="L432" s="5" t="str">
        <f>IF(A432="","",IFERROR(INDEX(ATTENDANCE_SUMMARY!G:G,MATCH(A432,ATTENDANCE_SUMMARY!A:A,0)),""))</f>
        <v/>
      </c>
      <c r="M432" s="4" t="str">
        <f t="shared" si="6"/>
        <v/>
      </c>
    </row>
    <row r="433" spans="1:13" x14ac:dyDescent="0.3">
      <c r="A433" t="str">
        <f>IF(MASTER_REGISTER!E433="","",MASTER_REGISTER!E433)</f>
        <v/>
      </c>
      <c r="B433" t="str">
        <f>IF(A433="","",MASTER_REGISTER!F433)</f>
        <v/>
      </c>
      <c r="C433" t="str">
        <f>IF(A433="","",MASTER_REGISTER!C433)</f>
        <v/>
      </c>
      <c r="D433" t="str">
        <f>IF(A433="","",COUNTIF(ASSESSMENTS!B:B,A433))</f>
        <v/>
      </c>
      <c r="E433" s="4" t="e">
        <f>IF(D433=0,"",ROUND(AVERAGEIF(ASSESSMENTS!B:B,A433,ASSESSMENTS!H:H),1))</f>
        <v>#DIV/0!</v>
      </c>
      <c r="F433" s="4" t="str">
        <f>IF(A433="","",IFERROR(ROUND(AVERAGEIFS(ASSESSMENTS!H:H,ASSESSMENTS!B:B,A433,ASSESSMENTS!E:E,"Mathematics"),1),""))</f>
        <v/>
      </c>
      <c r="G433" s="4" t="str">
        <f>IF(A433="","",IFERROR(ROUND(AVERAGEIFS(ASSESSMENTS!H:H,ASSESSMENTS!B:B,A433,ASSESSMENTS!E:E,"Mathematical Literacy"),1),""))</f>
        <v/>
      </c>
      <c r="H433" s="4" t="str">
        <f>IF(A433="","",IFERROR(ROUND(AVERAGEIFS(ASSESSMENTS!H:H,ASSESSMENTS!B:B,A433,ASSESSMENTS!E:E,"Physical Sciences"),1),""))</f>
        <v/>
      </c>
      <c r="I433" s="4" t="str">
        <f>IF(A433="","",IFERROR(ROUND(AVERAGEIFS(ASSESSMENTS!H:H,ASSESSMENTS!B:B,A433,ASSESSMENTS!E:E,"Geography"),1),""))</f>
        <v/>
      </c>
      <c r="J433" s="4" t="str">
        <f>IF(A433="","",IFERROR(ROUND(AVERAGEIFS(ASSESSMENTS!H:H,ASSESSMENTS!B:B,A433,ASSESSMENTS!E:E,"Accounting"),1),""))</f>
        <v/>
      </c>
      <c r="K433" s="4" t="str">
        <f>IF(A433="","",IFERROR(ROUND(AVERAGEIFS(ASSESSMENTS!H:H,ASSESSMENTS!B:B,A433,ASSESSMENTS!E:E,"English"),1),""))</f>
        <v/>
      </c>
      <c r="L433" s="5" t="str">
        <f>IF(A433="","",IFERROR(INDEX(ATTENDANCE_SUMMARY!G:G,MATCH(A433,ATTENDANCE_SUMMARY!A:A,0)),""))</f>
        <v/>
      </c>
      <c r="M433" s="4" t="str">
        <f t="shared" si="6"/>
        <v/>
      </c>
    </row>
    <row r="434" spans="1:13" x14ac:dyDescent="0.3">
      <c r="A434" t="str">
        <f>IF(MASTER_REGISTER!E434="","",MASTER_REGISTER!E434)</f>
        <v/>
      </c>
      <c r="B434" t="str">
        <f>IF(A434="","",MASTER_REGISTER!F434)</f>
        <v/>
      </c>
      <c r="C434" t="str">
        <f>IF(A434="","",MASTER_REGISTER!C434)</f>
        <v/>
      </c>
      <c r="D434" t="str">
        <f>IF(A434="","",COUNTIF(ASSESSMENTS!B:B,A434))</f>
        <v/>
      </c>
      <c r="E434" s="4" t="e">
        <f>IF(D434=0,"",ROUND(AVERAGEIF(ASSESSMENTS!B:B,A434,ASSESSMENTS!H:H),1))</f>
        <v>#DIV/0!</v>
      </c>
      <c r="F434" s="4" t="str">
        <f>IF(A434="","",IFERROR(ROUND(AVERAGEIFS(ASSESSMENTS!H:H,ASSESSMENTS!B:B,A434,ASSESSMENTS!E:E,"Mathematics"),1),""))</f>
        <v/>
      </c>
      <c r="G434" s="4" t="str">
        <f>IF(A434="","",IFERROR(ROUND(AVERAGEIFS(ASSESSMENTS!H:H,ASSESSMENTS!B:B,A434,ASSESSMENTS!E:E,"Mathematical Literacy"),1),""))</f>
        <v/>
      </c>
      <c r="H434" s="4" t="str">
        <f>IF(A434="","",IFERROR(ROUND(AVERAGEIFS(ASSESSMENTS!H:H,ASSESSMENTS!B:B,A434,ASSESSMENTS!E:E,"Physical Sciences"),1),""))</f>
        <v/>
      </c>
      <c r="I434" s="4" t="str">
        <f>IF(A434="","",IFERROR(ROUND(AVERAGEIFS(ASSESSMENTS!H:H,ASSESSMENTS!B:B,A434,ASSESSMENTS!E:E,"Geography"),1),""))</f>
        <v/>
      </c>
      <c r="J434" s="4" t="str">
        <f>IF(A434="","",IFERROR(ROUND(AVERAGEIFS(ASSESSMENTS!H:H,ASSESSMENTS!B:B,A434,ASSESSMENTS!E:E,"Accounting"),1),""))</f>
        <v/>
      </c>
      <c r="K434" s="4" t="str">
        <f>IF(A434="","",IFERROR(ROUND(AVERAGEIFS(ASSESSMENTS!H:H,ASSESSMENTS!B:B,A434,ASSESSMENTS!E:E,"English"),1),""))</f>
        <v/>
      </c>
      <c r="L434" s="5" t="str">
        <f>IF(A434="","",IFERROR(INDEX(ATTENDANCE_SUMMARY!G:G,MATCH(A434,ATTENDANCE_SUMMARY!A:A,0)),""))</f>
        <v/>
      </c>
      <c r="M434" s="4" t="str">
        <f t="shared" si="6"/>
        <v/>
      </c>
    </row>
    <row r="435" spans="1:13" x14ac:dyDescent="0.3">
      <c r="A435" t="str">
        <f>IF(MASTER_REGISTER!E435="","",MASTER_REGISTER!E435)</f>
        <v/>
      </c>
      <c r="B435" t="str">
        <f>IF(A435="","",MASTER_REGISTER!F435)</f>
        <v/>
      </c>
      <c r="C435" t="str">
        <f>IF(A435="","",MASTER_REGISTER!C435)</f>
        <v/>
      </c>
      <c r="D435" t="str">
        <f>IF(A435="","",COUNTIF(ASSESSMENTS!B:B,A435))</f>
        <v/>
      </c>
      <c r="E435" s="4" t="e">
        <f>IF(D435=0,"",ROUND(AVERAGEIF(ASSESSMENTS!B:B,A435,ASSESSMENTS!H:H),1))</f>
        <v>#DIV/0!</v>
      </c>
      <c r="F435" s="4" t="str">
        <f>IF(A435="","",IFERROR(ROUND(AVERAGEIFS(ASSESSMENTS!H:H,ASSESSMENTS!B:B,A435,ASSESSMENTS!E:E,"Mathematics"),1),""))</f>
        <v/>
      </c>
      <c r="G435" s="4" t="str">
        <f>IF(A435="","",IFERROR(ROUND(AVERAGEIFS(ASSESSMENTS!H:H,ASSESSMENTS!B:B,A435,ASSESSMENTS!E:E,"Mathematical Literacy"),1),""))</f>
        <v/>
      </c>
      <c r="H435" s="4" t="str">
        <f>IF(A435="","",IFERROR(ROUND(AVERAGEIFS(ASSESSMENTS!H:H,ASSESSMENTS!B:B,A435,ASSESSMENTS!E:E,"Physical Sciences"),1),""))</f>
        <v/>
      </c>
      <c r="I435" s="4" t="str">
        <f>IF(A435="","",IFERROR(ROUND(AVERAGEIFS(ASSESSMENTS!H:H,ASSESSMENTS!B:B,A435,ASSESSMENTS!E:E,"Geography"),1),""))</f>
        <v/>
      </c>
      <c r="J435" s="4" t="str">
        <f>IF(A435="","",IFERROR(ROUND(AVERAGEIFS(ASSESSMENTS!H:H,ASSESSMENTS!B:B,A435,ASSESSMENTS!E:E,"Accounting"),1),""))</f>
        <v/>
      </c>
      <c r="K435" s="4" t="str">
        <f>IF(A435="","",IFERROR(ROUND(AVERAGEIFS(ASSESSMENTS!H:H,ASSESSMENTS!B:B,A435,ASSESSMENTS!E:E,"English"),1),""))</f>
        <v/>
      </c>
      <c r="L435" s="5" t="str">
        <f>IF(A435="","",IFERROR(INDEX(ATTENDANCE_SUMMARY!G:G,MATCH(A435,ATTENDANCE_SUMMARY!A:A,0)),""))</f>
        <v/>
      </c>
      <c r="M435" s="4" t="str">
        <f t="shared" si="6"/>
        <v/>
      </c>
    </row>
    <row r="436" spans="1:13" x14ac:dyDescent="0.3">
      <c r="A436" t="str">
        <f>IF(MASTER_REGISTER!E436="","",MASTER_REGISTER!E436)</f>
        <v/>
      </c>
      <c r="B436" t="str">
        <f>IF(A436="","",MASTER_REGISTER!F436)</f>
        <v/>
      </c>
      <c r="C436" t="str">
        <f>IF(A436="","",MASTER_REGISTER!C436)</f>
        <v/>
      </c>
      <c r="D436" t="str">
        <f>IF(A436="","",COUNTIF(ASSESSMENTS!B:B,A436))</f>
        <v/>
      </c>
      <c r="E436" s="4" t="e">
        <f>IF(D436=0,"",ROUND(AVERAGEIF(ASSESSMENTS!B:B,A436,ASSESSMENTS!H:H),1))</f>
        <v>#DIV/0!</v>
      </c>
      <c r="F436" s="4" t="str">
        <f>IF(A436="","",IFERROR(ROUND(AVERAGEIFS(ASSESSMENTS!H:H,ASSESSMENTS!B:B,A436,ASSESSMENTS!E:E,"Mathematics"),1),""))</f>
        <v/>
      </c>
      <c r="G436" s="4" t="str">
        <f>IF(A436="","",IFERROR(ROUND(AVERAGEIFS(ASSESSMENTS!H:H,ASSESSMENTS!B:B,A436,ASSESSMENTS!E:E,"Mathematical Literacy"),1),""))</f>
        <v/>
      </c>
      <c r="H436" s="4" t="str">
        <f>IF(A436="","",IFERROR(ROUND(AVERAGEIFS(ASSESSMENTS!H:H,ASSESSMENTS!B:B,A436,ASSESSMENTS!E:E,"Physical Sciences"),1),""))</f>
        <v/>
      </c>
      <c r="I436" s="4" t="str">
        <f>IF(A436="","",IFERROR(ROUND(AVERAGEIFS(ASSESSMENTS!H:H,ASSESSMENTS!B:B,A436,ASSESSMENTS!E:E,"Geography"),1),""))</f>
        <v/>
      </c>
      <c r="J436" s="4" t="str">
        <f>IF(A436="","",IFERROR(ROUND(AVERAGEIFS(ASSESSMENTS!H:H,ASSESSMENTS!B:B,A436,ASSESSMENTS!E:E,"Accounting"),1),""))</f>
        <v/>
      </c>
      <c r="K436" s="4" t="str">
        <f>IF(A436="","",IFERROR(ROUND(AVERAGEIFS(ASSESSMENTS!H:H,ASSESSMENTS!B:B,A436,ASSESSMENTS!E:E,"English"),1),""))</f>
        <v/>
      </c>
      <c r="L436" s="5" t="str">
        <f>IF(A436="","",IFERROR(INDEX(ATTENDANCE_SUMMARY!G:G,MATCH(A436,ATTENDANCE_SUMMARY!A:A,0)),""))</f>
        <v/>
      </c>
      <c r="M436" s="4" t="str">
        <f t="shared" si="6"/>
        <v/>
      </c>
    </row>
    <row r="437" spans="1:13" x14ac:dyDescent="0.3">
      <c r="A437" t="str">
        <f>IF(MASTER_REGISTER!E437="","",MASTER_REGISTER!E437)</f>
        <v/>
      </c>
      <c r="B437" t="str">
        <f>IF(A437="","",MASTER_REGISTER!F437)</f>
        <v/>
      </c>
      <c r="C437" t="str">
        <f>IF(A437="","",MASTER_REGISTER!C437)</f>
        <v/>
      </c>
      <c r="D437" t="str">
        <f>IF(A437="","",COUNTIF(ASSESSMENTS!B:B,A437))</f>
        <v/>
      </c>
      <c r="E437" s="4" t="e">
        <f>IF(D437=0,"",ROUND(AVERAGEIF(ASSESSMENTS!B:B,A437,ASSESSMENTS!H:H),1))</f>
        <v>#DIV/0!</v>
      </c>
      <c r="F437" s="4" t="str">
        <f>IF(A437="","",IFERROR(ROUND(AVERAGEIFS(ASSESSMENTS!H:H,ASSESSMENTS!B:B,A437,ASSESSMENTS!E:E,"Mathematics"),1),""))</f>
        <v/>
      </c>
      <c r="G437" s="4" t="str">
        <f>IF(A437="","",IFERROR(ROUND(AVERAGEIFS(ASSESSMENTS!H:H,ASSESSMENTS!B:B,A437,ASSESSMENTS!E:E,"Mathematical Literacy"),1),""))</f>
        <v/>
      </c>
      <c r="H437" s="4" t="str">
        <f>IF(A437="","",IFERROR(ROUND(AVERAGEIFS(ASSESSMENTS!H:H,ASSESSMENTS!B:B,A437,ASSESSMENTS!E:E,"Physical Sciences"),1),""))</f>
        <v/>
      </c>
      <c r="I437" s="4" t="str">
        <f>IF(A437="","",IFERROR(ROUND(AVERAGEIFS(ASSESSMENTS!H:H,ASSESSMENTS!B:B,A437,ASSESSMENTS!E:E,"Geography"),1),""))</f>
        <v/>
      </c>
      <c r="J437" s="4" t="str">
        <f>IF(A437="","",IFERROR(ROUND(AVERAGEIFS(ASSESSMENTS!H:H,ASSESSMENTS!B:B,A437,ASSESSMENTS!E:E,"Accounting"),1),""))</f>
        <v/>
      </c>
      <c r="K437" s="4" t="str">
        <f>IF(A437="","",IFERROR(ROUND(AVERAGEIFS(ASSESSMENTS!H:H,ASSESSMENTS!B:B,A437,ASSESSMENTS!E:E,"English"),1),""))</f>
        <v/>
      </c>
      <c r="L437" s="5" t="str">
        <f>IF(A437="","",IFERROR(INDEX(ATTENDANCE_SUMMARY!G:G,MATCH(A437,ATTENDANCE_SUMMARY!A:A,0)),""))</f>
        <v/>
      </c>
      <c r="M437" s="4" t="str">
        <f t="shared" si="6"/>
        <v/>
      </c>
    </row>
    <row r="438" spans="1:13" x14ac:dyDescent="0.3">
      <c r="A438" t="str">
        <f>IF(MASTER_REGISTER!E438="","",MASTER_REGISTER!E438)</f>
        <v/>
      </c>
      <c r="B438" t="str">
        <f>IF(A438="","",MASTER_REGISTER!F438)</f>
        <v/>
      </c>
      <c r="C438" t="str">
        <f>IF(A438="","",MASTER_REGISTER!C438)</f>
        <v/>
      </c>
      <c r="D438" t="str">
        <f>IF(A438="","",COUNTIF(ASSESSMENTS!B:B,A438))</f>
        <v/>
      </c>
      <c r="E438" s="4" t="e">
        <f>IF(D438=0,"",ROUND(AVERAGEIF(ASSESSMENTS!B:B,A438,ASSESSMENTS!H:H),1))</f>
        <v>#DIV/0!</v>
      </c>
      <c r="F438" s="4" t="str">
        <f>IF(A438="","",IFERROR(ROUND(AVERAGEIFS(ASSESSMENTS!H:H,ASSESSMENTS!B:B,A438,ASSESSMENTS!E:E,"Mathematics"),1),""))</f>
        <v/>
      </c>
      <c r="G438" s="4" t="str">
        <f>IF(A438="","",IFERROR(ROUND(AVERAGEIFS(ASSESSMENTS!H:H,ASSESSMENTS!B:B,A438,ASSESSMENTS!E:E,"Mathematical Literacy"),1),""))</f>
        <v/>
      </c>
      <c r="H438" s="4" t="str">
        <f>IF(A438="","",IFERROR(ROUND(AVERAGEIFS(ASSESSMENTS!H:H,ASSESSMENTS!B:B,A438,ASSESSMENTS!E:E,"Physical Sciences"),1),""))</f>
        <v/>
      </c>
      <c r="I438" s="4" t="str">
        <f>IF(A438="","",IFERROR(ROUND(AVERAGEIFS(ASSESSMENTS!H:H,ASSESSMENTS!B:B,A438,ASSESSMENTS!E:E,"Geography"),1),""))</f>
        <v/>
      </c>
      <c r="J438" s="4" t="str">
        <f>IF(A438="","",IFERROR(ROUND(AVERAGEIFS(ASSESSMENTS!H:H,ASSESSMENTS!B:B,A438,ASSESSMENTS!E:E,"Accounting"),1),""))</f>
        <v/>
      </c>
      <c r="K438" s="4" t="str">
        <f>IF(A438="","",IFERROR(ROUND(AVERAGEIFS(ASSESSMENTS!H:H,ASSESSMENTS!B:B,A438,ASSESSMENTS!E:E,"English"),1),""))</f>
        <v/>
      </c>
      <c r="L438" s="5" t="str">
        <f>IF(A438="","",IFERROR(INDEX(ATTENDANCE_SUMMARY!G:G,MATCH(A438,ATTENDANCE_SUMMARY!A:A,0)),""))</f>
        <v/>
      </c>
      <c r="M438" s="4" t="str">
        <f t="shared" si="6"/>
        <v/>
      </c>
    </row>
    <row r="439" spans="1:13" x14ac:dyDescent="0.3">
      <c r="A439" t="str">
        <f>IF(MASTER_REGISTER!E439="","",MASTER_REGISTER!E439)</f>
        <v/>
      </c>
      <c r="B439" t="str">
        <f>IF(A439="","",MASTER_REGISTER!F439)</f>
        <v/>
      </c>
      <c r="C439" t="str">
        <f>IF(A439="","",MASTER_REGISTER!C439)</f>
        <v/>
      </c>
      <c r="D439" t="str">
        <f>IF(A439="","",COUNTIF(ASSESSMENTS!B:B,A439))</f>
        <v/>
      </c>
      <c r="E439" s="4" t="e">
        <f>IF(D439=0,"",ROUND(AVERAGEIF(ASSESSMENTS!B:B,A439,ASSESSMENTS!H:H),1))</f>
        <v>#DIV/0!</v>
      </c>
      <c r="F439" s="4" t="str">
        <f>IF(A439="","",IFERROR(ROUND(AVERAGEIFS(ASSESSMENTS!H:H,ASSESSMENTS!B:B,A439,ASSESSMENTS!E:E,"Mathematics"),1),""))</f>
        <v/>
      </c>
      <c r="G439" s="4" t="str">
        <f>IF(A439="","",IFERROR(ROUND(AVERAGEIFS(ASSESSMENTS!H:H,ASSESSMENTS!B:B,A439,ASSESSMENTS!E:E,"Mathematical Literacy"),1),""))</f>
        <v/>
      </c>
      <c r="H439" s="4" t="str">
        <f>IF(A439="","",IFERROR(ROUND(AVERAGEIFS(ASSESSMENTS!H:H,ASSESSMENTS!B:B,A439,ASSESSMENTS!E:E,"Physical Sciences"),1),""))</f>
        <v/>
      </c>
      <c r="I439" s="4" t="str">
        <f>IF(A439="","",IFERROR(ROUND(AVERAGEIFS(ASSESSMENTS!H:H,ASSESSMENTS!B:B,A439,ASSESSMENTS!E:E,"Geography"),1),""))</f>
        <v/>
      </c>
      <c r="J439" s="4" t="str">
        <f>IF(A439="","",IFERROR(ROUND(AVERAGEIFS(ASSESSMENTS!H:H,ASSESSMENTS!B:B,A439,ASSESSMENTS!E:E,"Accounting"),1),""))</f>
        <v/>
      </c>
      <c r="K439" s="4" t="str">
        <f>IF(A439="","",IFERROR(ROUND(AVERAGEIFS(ASSESSMENTS!H:H,ASSESSMENTS!B:B,A439,ASSESSMENTS!E:E,"English"),1),""))</f>
        <v/>
      </c>
      <c r="L439" s="5" t="str">
        <f>IF(A439="","",IFERROR(INDEX(ATTENDANCE_SUMMARY!G:G,MATCH(A439,ATTENDANCE_SUMMARY!A:A,0)),""))</f>
        <v/>
      </c>
      <c r="M439" s="4" t="str">
        <f t="shared" si="6"/>
        <v/>
      </c>
    </row>
    <row r="440" spans="1:13" x14ac:dyDescent="0.3">
      <c r="A440" t="str">
        <f>IF(MASTER_REGISTER!E440="","",MASTER_REGISTER!E440)</f>
        <v/>
      </c>
      <c r="B440" t="str">
        <f>IF(A440="","",MASTER_REGISTER!F440)</f>
        <v/>
      </c>
      <c r="C440" t="str">
        <f>IF(A440="","",MASTER_REGISTER!C440)</f>
        <v/>
      </c>
      <c r="D440" t="str">
        <f>IF(A440="","",COUNTIF(ASSESSMENTS!B:B,A440))</f>
        <v/>
      </c>
      <c r="E440" s="4" t="e">
        <f>IF(D440=0,"",ROUND(AVERAGEIF(ASSESSMENTS!B:B,A440,ASSESSMENTS!H:H),1))</f>
        <v>#DIV/0!</v>
      </c>
      <c r="F440" s="4" t="str">
        <f>IF(A440="","",IFERROR(ROUND(AVERAGEIFS(ASSESSMENTS!H:H,ASSESSMENTS!B:B,A440,ASSESSMENTS!E:E,"Mathematics"),1),""))</f>
        <v/>
      </c>
      <c r="G440" s="4" t="str">
        <f>IF(A440="","",IFERROR(ROUND(AVERAGEIFS(ASSESSMENTS!H:H,ASSESSMENTS!B:B,A440,ASSESSMENTS!E:E,"Mathematical Literacy"),1),""))</f>
        <v/>
      </c>
      <c r="H440" s="4" t="str">
        <f>IF(A440="","",IFERROR(ROUND(AVERAGEIFS(ASSESSMENTS!H:H,ASSESSMENTS!B:B,A440,ASSESSMENTS!E:E,"Physical Sciences"),1),""))</f>
        <v/>
      </c>
      <c r="I440" s="4" t="str">
        <f>IF(A440="","",IFERROR(ROUND(AVERAGEIFS(ASSESSMENTS!H:H,ASSESSMENTS!B:B,A440,ASSESSMENTS!E:E,"Geography"),1),""))</f>
        <v/>
      </c>
      <c r="J440" s="4" t="str">
        <f>IF(A440="","",IFERROR(ROUND(AVERAGEIFS(ASSESSMENTS!H:H,ASSESSMENTS!B:B,A440,ASSESSMENTS!E:E,"Accounting"),1),""))</f>
        <v/>
      </c>
      <c r="K440" s="4" t="str">
        <f>IF(A440="","",IFERROR(ROUND(AVERAGEIFS(ASSESSMENTS!H:H,ASSESSMENTS!B:B,A440,ASSESSMENTS!E:E,"English"),1),""))</f>
        <v/>
      </c>
      <c r="L440" s="5" t="str">
        <f>IF(A440="","",IFERROR(INDEX(ATTENDANCE_SUMMARY!G:G,MATCH(A440,ATTENDANCE_SUMMARY!A:A,0)),""))</f>
        <v/>
      </c>
      <c r="M440" s="4" t="str">
        <f t="shared" si="6"/>
        <v/>
      </c>
    </row>
    <row r="441" spans="1:13" x14ac:dyDescent="0.3">
      <c r="A441" t="str">
        <f>IF(MASTER_REGISTER!E441="","",MASTER_REGISTER!E441)</f>
        <v/>
      </c>
      <c r="B441" t="str">
        <f>IF(A441="","",MASTER_REGISTER!F441)</f>
        <v/>
      </c>
      <c r="C441" t="str">
        <f>IF(A441="","",MASTER_REGISTER!C441)</f>
        <v/>
      </c>
      <c r="D441" t="str">
        <f>IF(A441="","",COUNTIF(ASSESSMENTS!B:B,A441))</f>
        <v/>
      </c>
      <c r="E441" s="4" t="e">
        <f>IF(D441=0,"",ROUND(AVERAGEIF(ASSESSMENTS!B:B,A441,ASSESSMENTS!H:H),1))</f>
        <v>#DIV/0!</v>
      </c>
      <c r="F441" s="4" t="str">
        <f>IF(A441="","",IFERROR(ROUND(AVERAGEIFS(ASSESSMENTS!H:H,ASSESSMENTS!B:B,A441,ASSESSMENTS!E:E,"Mathematics"),1),""))</f>
        <v/>
      </c>
      <c r="G441" s="4" t="str">
        <f>IF(A441="","",IFERROR(ROUND(AVERAGEIFS(ASSESSMENTS!H:H,ASSESSMENTS!B:B,A441,ASSESSMENTS!E:E,"Mathematical Literacy"),1),""))</f>
        <v/>
      </c>
      <c r="H441" s="4" t="str">
        <f>IF(A441="","",IFERROR(ROUND(AVERAGEIFS(ASSESSMENTS!H:H,ASSESSMENTS!B:B,A441,ASSESSMENTS!E:E,"Physical Sciences"),1),""))</f>
        <v/>
      </c>
      <c r="I441" s="4" t="str">
        <f>IF(A441="","",IFERROR(ROUND(AVERAGEIFS(ASSESSMENTS!H:H,ASSESSMENTS!B:B,A441,ASSESSMENTS!E:E,"Geography"),1),""))</f>
        <v/>
      </c>
      <c r="J441" s="4" t="str">
        <f>IF(A441="","",IFERROR(ROUND(AVERAGEIFS(ASSESSMENTS!H:H,ASSESSMENTS!B:B,A441,ASSESSMENTS!E:E,"Accounting"),1),""))</f>
        <v/>
      </c>
      <c r="K441" s="4" t="str">
        <f>IF(A441="","",IFERROR(ROUND(AVERAGEIFS(ASSESSMENTS!H:H,ASSESSMENTS!B:B,A441,ASSESSMENTS!E:E,"English"),1),""))</f>
        <v/>
      </c>
      <c r="L441" s="5" t="str">
        <f>IF(A441="","",IFERROR(INDEX(ATTENDANCE_SUMMARY!G:G,MATCH(A441,ATTENDANCE_SUMMARY!A:A,0)),""))</f>
        <v/>
      </c>
      <c r="M441" s="4" t="str">
        <f t="shared" si="6"/>
        <v/>
      </c>
    </row>
    <row r="442" spans="1:13" x14ac:dyDescent="0.3">
      <c r="A442" t="str">
        <f>IF(MASTER_REGISTER!E442="","",MASTER_REGISTER!E442)</f>
        <v/>
      </c>
      <c r="B442" t="str">
        <f>IF(A442="","",MASTER_REGISTER!F442)</f>
        <v/>
      </c>
      <c r="C442" t="str">
        <f>IF(A442="","",MASTER_REGISTER!C442)</f>
        <v/>
      </c>
      <c r="D442" t="str">
        <f>IF(A442="","",COUNTIF(ASSESSMENTS!B:B,A442))</f>
        <v/>
      </c>
      <c r="E442" s="4" t="e">
        <f>IF(D442=0,"",ROUND(AVERAGEIF(ASSESSMENTS!B:B,A442,ASSESSMENTS!H:H),1))</f>
        <v>#DIV/0!</v>
      </c>
      <c r="F442" s="4" t="str">
        <f>IF(A442="","",IFERROR(ROUND(AVERAGEIFS(ASSESSMENTS!H:H,ASSESSMENTS!B:B,A442,ASSESSMENTS!E:E,"Mathematics"),1),""))</f>
        <v/>
      </c>
      <c r="G442" s="4" t="str">
        <f>IF(A442="","",IFERROR(ROUND(AVERAGEIFS(ASSESSMENTS!H:H,ASSESSMENTS!B:B,A442,ASSESSMENTS!E:E,"Mathematical Literacy"),1),""))</f>
        <v/>
      </c>
      <c r="H442" s="4" t="str">
        <f>IF(A442="","",IFERROR(ROUND(AVERAGEIFS(ASSESSMENTS!H:H,ASSESSMENTS!B:B,A442,ASSESSMENTS!E:E,"Physical Sciences"),1),""))</f>
        <v/>
      </c>
      <c r="I442" s="4" t="str">
        <f>IF(A442="","",IFERROR(ROUND(AVERAGEIFS(ASSESSMENTS!H:H,ASSESSMENTS!B:B,A442,ASSESSMENTS!E:E,"Geography"),1),""))</f>
        <v/>
      </c>
      <c r="J442" s="4" t="str">
        <f>IF(A442="","",IFERROR(ROUND(AVERAGEIFS(ASSESSMENTS!H:H,ASSESSMENTS!B:B,A442,ASSESSMENTS!E:E,"Accounting"),1),""))</f>
        <v/>
      </c>
      <c r="K442" s="4" t="str">
        <f>IF(A442="","",IFERROR(ROUND(AVERAGEIFS(ASSESSMENTS!H:H,ASSESSMENTS!B:B,A442,ASSESSMENTS!E:E,"English"),1),""))</f>
        <v/>
      </c>
      <c r="L442" s="5" t="str">
        <f>IF(A442="","",IFERROR(INDEX(ATTENDANCE_SUMMARY!G:G,MATCH(A442,ATTENDANCE_SUMMARY!A:A,0)),""))</f>
        <v/>
      </c>
      <c r="M442" s="4" t="str">
        <f t="shared" si="6"/>
        <v/>
      </c>
    </row>
    <row r="443" spans="1:13" x14ac:dyDescent="0.3">
      <c r="A443" t="str">
        <f>IF(MASTER_REGISTER!E443="","",MASTER_REGISTER!E443)</f>
        <v/>
      </c>
      <c r="B443" t="str">
        <f>IF(A443="","",MASTER_REGISTER!F443)</f>
        <v/>
      </c>
      <c r="C443" t="str">
        <f>IF(A443="","",MASTER_REGISTER!C443)</f>
        <v/>
      </c>
      <c r="D443" t="str">
        <f>IF(A443="","",COUNTIF(ASSESSMENTS!B:B,A443))</f>
        <v/>
      </c>
      <c r="E443" s="4" t="e">
        <f>IF(D443=0,"",ROUND(AVERAGEIF(ASSESSMENTS!B:B,A443,ASSESSMENTS!H:H),1))</f>
        <v>#DIV/0!</v>
      </c>
      <c r="F443" s="4" t="str">
        <f>IF(A443="","",IFERROR(ROUND(AVERAGEIFS(ASSESSMENTS!H:H,ASSESSMENTS!B:B,A443,ASSESSMENTS!E:E,"Mathematics"),1),""))</f>
        <v/>
      </c>
      <c r="G443" s="4" t="str">
        <f>IF(A443="","",IFERROR(ROUND(AVERAGEIFS(ASSESSMENTS!H:H,ASSESSMENTS!B:B,A443,ASSESSMENTS!E:E,"Mathematical Literacy"),1),""))</f>
        <v/>
      </c>
      <c r="H443" s="4" t="str">
        <f>IF(A443="","",IFERROR(ROUND(AVERAGEIFS(ASSESSMENTS!H:H,ASSESSMENTS!B:B,A443,ASSESSMENTS!E:E,"Physical Sciences"),1),""))</f>
        <v/>
      </c>
      <c r="I443" s="4" t="str">
        <f>IF(A443="","",IFERROR(ROUND(AVERAGEIFS(ASSESSMENTS!H:H,ASSESSMENTS!B:B,A443,ASSESSMENTS!E:E,"Geography"),1),""))</f>
        <v/>
      </c>
      <c r="J443" s="4" t="str">
        <f>IF(A443="","",IFERROR(ROUND(AVERAGEIFS(ASSESSMENTS!H:H,ASSESSMENTS!B:B,A443,ASSESSMENTS!E:E,"Accounting"),1),""))</f>
        <v/>
      </c>
      <c r="K443" s="4" t="str">
        <f>IF(A443="","",IFERROR(ROUND(AVERAGEIFS(ASSESSMENTS!H:H,ASSESSMENTS!B:B,A443,ASSESSMENTS!E:E,"English"),1),""))</f>
        <v/>
      </c>
      <c r="L443" s="5" t="str">
        <f>IF(A443="","",IFERROR(INDEX(ATTENDANCE_SUMMARY!G:G,MATCH(A443,ATTENDANCE_SUMMARY!A:A,0)),""))</f>
        <v/>
      </c>
      <c r="M443" s="4" t="str">
        <f t="shared" si="6"/>
        <v/>
      </c>
    </row>
    <row r="444" spans="1:13" x14ac:dyDescent="0.3">
      <c r="A444" t="str">
        <f>IF(MASTER_REGISTER!E444="","",MASTER_REGISTER!E444)</f>
        <v/>
      </c>
      <c r="B444" t="str">
        <f>IF(A444="","",MASTER_REGISTER!F444)</f>
        <v/>
      </c>
      <c r="C444" t="str">
        <f>IF(A444="","",MASTER_REGISTER!C444)</f>
        <v/>
      </c>
      <c r="D444" t="str">
        <f>IF(A444="","",COUNTIF(ASSESSMENTS!B:B,A444))</f>
        <v/>
      </c>
      <c r="E444" s="4" t="e">
        <f>IF(D444=0,"",ROUND(AVERAGEIF(ASSESSMENTS!B:B,A444,ASSESSMENTS!H:H),1))</f>
        <v>#DIV/0!</v>
      </c>
      <c r="F444" s="4" t="str">
        <f>IF(A444="","",IFERROR(ROUND(AVERAGEIFS(ASSESSMENTS!H:H,ASSESSMENTS!B:B,A444,ASSESSMENTS!E:E,"Mathematics"),1),""))</f>
        <v/>
      </c>
      <c r="G444" s="4" t="str">
        <f>IF(A444="","",IFERROR(ROUND(AVERAGEIFS(ASSESSMENTS!H:H,ASSESSMENTS!B:B,A444,ASSESSMENTS!E:E,"Mathematical Literacy"),1),""))</f>
        <v/>
      </c>
      <c r="H444" s="4" t="str">
        <f>IF(A444="","",IFERROR(ROUND(AVERAGEIFS(ASSESSMENTS!H:H,ASSESSMENTS!B:B,A444,ASSESSMENTS!E:E,"Physical Sciences"),1),""))</f>
        <v/>
      </c>
      <c r="I444" s="4" t="str">
        <f>IF(A444="","",IFERROR(ROUND(AVERAGEIFS(ASSESSMENTS!H:H,ASSESSMENTS!B:B,A444,ASSESSMENTS!E:E,"Geography"),1),""))</f>
        <v/>
      </c>
      <c r="J444" s="4" t="str">
        <f>IF(A444="","",IFERROR(ROUND(AVERAGEIFS(ASSESSMENTS!H:H,ASSESSMENTS!B:B,A444,ASSESSMENTS!E:E,"Accounting"),1),""))</f>
        <v/>
      </c>
      <c r="K444" s="4" t="str">
        <f>IF(A444="","",IFERROR(ROUND(AVERAGEIFS(ASSESSMENTS!H:H,ASSESSMENTS!B:B,A444,ASSESSMENTS!E:E,"English"),1),""))</f>
        <v/>
      </c>
      <c r="L444" s="5" t="str">
        <f>IF(A444="","",IFERROR(INDEX(ATTENDANCE_SUMMARY!G:G,MATCH(A444,ATTENDANCE_SUMMARY!A:A,0)),""))</f>
        <v/>
      </c>
      <c r="M444" s="4" t="str">
        <f t="shared" si="6"/>
        <v/>
      </c>
    </row>
    <row r="445" spans="1:13" x14ac:dyDescent="0.3">
      <c r="A445" t="str">
        <f>IF(MASTER_REGISTER!E445="","",MASTER_REGISTER!E445)</f>
        <v/>
      </c>
      <c r="B445" t="str">
        <f>IF(A445="","",MASTER_REGISTER!F445)</f>
        <v/>
      </c>
      <c r="C445" t="str">
        <f>IF(A445="","",MASTER_REGISTER!C445)</f>
        <v/>
      </c>
      <c r="D445" t="str">
        <f>IF(A445="","",COUNTIF(ASSESSMENTS!B:B,A445))</f>
        <v/>
      </c>
      <c r="E445" s="4" t="e">
        <f>IF(D445=0,"",ROUND(AVERAGEIF(ASSESSMENTS!B:B,A445,ASSESSMENTS!H:H),1))</f>
        <v>#DIV/0!</v>
      </c>
      <c r="F445" s="4" t="str">
        <f>IF(A445="","",IFERROR(ROUND(AVERAGEIFS(ASSESSMENTS!H:H,ASSESSMENTS!B:B,A445,ASSESSMENTS!E:E,"Mathematics"),1),""))</f>
        <v/>
      </c>
      <c r="G445" s="4" t="str">
        <f>IF(A445="","",IFERROR(ROUND(AVERAGEIFS(ASSESSMENTS!H:H,ASSESSMENTS!B:B,A445,ASSESSMENTS!E:E,"Mathematical Literacy"),1),""))</f>
        <v/>
      </c>
      <c r="H445" s="4" t="str">
        <f>IF(A445="","",IFERROR(ROUND(AVERAGEIFS(ASSESSMENTS!H:H,ASSESSMENTS!B:B,A445,ASSESSMENTS!E:E,"Physical Sciences"),1),""))</f>
        <v/>
      </c>
      <c r="I445" s="4" t="str">
        <f>IF(A445="","",IFERROR(ROUND(AVERAGEIFS(ASSESSMENTS!H:H,ASSESSMENTS!B:B,A445,ASSESSMENTS!E:E,"Geography"),1),""))</f>
        <v/>
      </c>
      <c r="J445" s="4" t="str">
        <f>IF(A445="","",IFERROR(ROUND(AVERAGEIFS(ASSESSMENTS!H:H,ASSESSMENTS!B:B,A445,ASSESSMENTS!E:E,"Accounting"),1),""))</f>
        <v/>
      </c>
      <c r="K445" s="4" t="str">
        <f>IF(A445="","",IFERROR(ROUND(AVERAGEIFS(ASSESSMENTS!H:H,ASSESSMENTS!B:B,A445,ASSESSMENTS!E:E,"English"),1),""))</f>
        <v/>
      </c>
      <c r="L445" s="5" t="str">
        <f>IF(A445="","",IFERROR(INDEX(ATTENDANCE_SUMMARY!G:G,MATCH(A445,ATTENDANCE_SUMMARY!A:A,0)),""))</f>
        <v/>
      </c>
      <c r="M445" s="4" t="str">
        <f t="shared" si="6"/>
        <v/>
      </c>
    </row>
    <row r="446" spans="1:13" x14ac:dyDescent="0.3">
      <c r="A446" t="str">
        <f>IF(MASTER_REGISTER!E446="","",MASTER_REGISTER!E446)</f>
        <v/>
      </c>
      <c r="B446" t="str">
        <f>IF(A446="","",MASTER_REGISTER!F446)</f>
        <v/>
      </c>
      <c r="C446" t="str">
        <f>IF(A446="","",MASTER_REGISTER!C446)</f>
        <v/>
      </c>
      <c r="D446" t="str">
        <f>IF(A446="","",COUNTIF(ASSESSMENTS!B:B,A446))</f>
        <v/>
      </c>
      <c r="E446" s="4" t="e">
        <f>IF(D446=0,"",ROUND(AVERAGEIF(ASSESSMENTS!B:B,A446,ASSESSMENTS!H:H),1))</f>
        <v>#DIV/0!</v>
      </c>
      <c r="F446" s="4" t="str">
        <f>IF(A446="","",IFERROR(ROUND(AVERAGEIFS(ASSESSMENTS!H:H,ASSESSMENTS!B:B,A446,ASSESSMENTS!E:E,"Mathematics"),1),""))</f>
        <v/>
      </c>
      <c r="G446" s="4" t="str">
        <f>IF(A446="","",IFERROR(ROUND(AVERAGEIFS(ASSESSMENTS!H:H,ASSESSMENTS!B:B,A446,ASSESSMENTS!E:E,"Mathematical Literacy"),1),""))</f>
        <v/>
      </c>
      <c r="H446" s="4" t="str">
        <f>IF(A446="","",IFERROR(ROUND(AVERAGEIFS(ASSESSMENTS!H:H,ASSESSMENTS!B:B,A446,ASSESSMENTS!E:E,"Physical Sciences"),1),""))</f>
        <v/>
      </c>
      <c r="I446" s="4" t="str">
        <f>IF(A446="","",IFERROR(ROUND(AVERAGEIFS(ASSESSMENTS!H:H,ASSESSMENTS!B:B,A446,ASSESSMENTS!E:E,"Geography"),1),""))</f>
        <v/>
      </c>
      <c r="J446" s="4" t="str">
        <f>IF(A446="","",IFERROR(ROUND(AVERAGEIFS(ASSESSMENTS!H:H,ASSESSMENTS!B:B,A446,ASSESSMENTS!E:E,"Accounting"),1),""))</f>
        <v/>
      </c>
      <c r="K446" s="4" t="str">
        <f>IF(A446="","",IFERROR(ROUND(AVERAGEIFS(ASSESSMENTS!H:H,ASSESSMENTS!B:B,A446,ASSESSMENTS!E:E,"English"),1),""))</f>
        <v/>
      </c>
      <c r="L446" s="5" t="str">
        <f>IF(A446="","",IFERROR(INDEX(ATTENDANCE_SUMMARY!G:G,MATCH(A446,ATTENDANCE_SUMMARY!A:A,0)),""))</f>
        <v/>
      </c>
      <c r="M446" s="4" t="str">
        <f t="shared" si="6"/>
        <v/>
      </c>
    </row>
    <row r="447" spans="1:13" x14ac:dyDescent="0.3">
      <c r="A447" t="str">
        <f>IF(MASTER_REGISTER!E447="","",MASTER_REGISTER!E447)</f>
        <v/>
      </c>
      <c r="B447" t="str">
        <f>IF(A447="","",MASTER_REGISTER!F447)</f>
        <v/>
      </c>
      <c r="C447" t="str">
        <f>IF(A447="","",MASTER_REGISTER!C447)</f>
        <v/>
      </c>
      <c r="D447" t="str">
        <f>IF(A447="","",COUNTIF(ASSESSMENTS!B:B,A447))</f>
        <v/>
      </c>
      <c r="E447" s="4" t="e">
        <f>IF(D447=0,"",ROUND(AVERAGEIF(ASSESSMENTS!B:B,A447,ASSESSMENTS!H:H),1))</f>
        <v>#DIV/0!</v>
      </c>
      <c r="F447" s="4" t="str">
        <f>IF(A447="","",IFERROR(ROUND(AVERAGEIFS(ASSESSMENTS!H:H,ASSESSMENTS!B:B,A447,ASSESSMENTS!E:E,"Mathematics"),1),""))</f>
        <v/>
      </c>
      <c r="G447" s="4" t="str">
        <f>IF(A447="","",IFERROR(ROUND(AVERAGEIFS(ASSESSMENTS!H:H,ASSESSMENTS!B:B,A447,ASSESSMENTS!E:E,"Mathematical Literacy"),1),""))</f>
        <v/>
      </c>
      <c r="H447" s="4" t="str">
        <f>IF(A447="","",IFERROR(ROUND(AVERAGEIFS(ASSESSMENTS!H:H,ASSESSMENTS!B:B,A447,ASSESSMENTS!E:E,"Physical Sciences"),1),""))</f>
        <v/>
      </c>
      <c r="I447" s="4" t="str">
        <f>IF(A447="","",IFERROR(ROUND(AVERAGEIFS(ASSESSMENTS!H:H,ASSESSMENTS!B:B,A447,ASSESSMENTS!E:E,"Geography"),1),""))</f>
        <v/>
      </c>
      <c r="J447" s="4" t="str">
        <f>IF(A447="","",IFERROR(ROUND(AVERAGEIFS(ASSESSMENTS!H:H,ASSESSMENTS!B:B,A447,ASSESSMENTS!E:E,"Accounting"),1),""))</f>
        <v/>
      </c>
      <c r="K447" s="4" t="str">
        <f>IF(A447="","",IFERROR(ROUND(AVERAGEIFS(ASSESSMENTS!H:H,ASSESSMENTS!B:B,A447,ASSESSMENTS!E:E,"English"),1),""))</f>
        <v/>
      </c>
      <c r="L447" s="5" t="str">
        <f>IF(A447="","",IFERROR(INDEX(ATTENDANCE_SUMMARY!G:G,MATCH(A447,ATTENDANCE_SUMMARY!A:A,0)),""))</f>
        <v/>
      </c>
      <c r="M447" s="4" t="str">
        <f t="shared" si="6"/>
        <v/>
      </c>
    </row>
    <row r="448" spans="1:13" x14ac:dyDescent="0.3">
      <c r="A448" t="str">
        <f>IF(MASTER_REGISTER!E448="","",MASTER_REGISTER!E448)</f>
        <v/>
      </c>
      <c r="B448" t="str">
        <f>IF(A448="","",MASTER_REGISTER!F448)</f>
        <v/>
      </c>
      <c r="C448" t="str">
        <f>IF(A448="","",MASTER_REGISTER!C448)</f>
        <v/>
      </c>
      <c r="D448" t="str">
        <f>IF(A448="","",COUNTIF(ASSESSMENTS!B:B,A448))</f>
        <v/>
      </c>
      <c r="E448" s="4" t="e">
        <f>IF(D448=0,"",ROUND(AVERAGEIF(ASSESSMENTS!B:B,A448,ASSESSMENTS!H:H),1))</f>
        <v>#DIV/0!</v>
      </c>
      <c r="F448" s="4" t="str">
        <f>IF(A448="","",IFERROR(ROUND(AVERAGEIFS(ASSESSMENTS!H:H,ASSESSMENTS!B:B,A448,ASSESSMENTS!E:E,"Mathematics"),1),""))</f>
        <v/>
      </c>
      <c r="G448" s="4" t="str">
        <f>IF(A448="","",IFERROR(ROUND(AVERAGEIFS(ASSESSMENTS!H:H,ASSESSMENTS!B:B,A448,ASSESSMENTS!E:E,"Mathematical Literacy"),1),""))</f>
        <v/>
      </c>
      <c r="H448" s="4" t="str">
        <f>IF(A448="","",IFERROR(ROUND(AVERAGEIFS(ASSESSMENTS!H:H,ASSESSMENTS!B:B,A448,ASSESSMENTS!E:E,"Physical Sciences"),1),""))</f>
        <v/>
      </c>
      <c r="I448" s="4" t="str">
        <f>IF(A448="","",IFERROR(ROUND(AVERAGEIFS(ASSESSMENTS!H:H,ASSESSMENTS!B:B,A448,ASSESSMENTS!E:E,"Geography"),1),""))</f>
        <v/>
      </c>
      <c r="J448" s="4" t="str">
        <f>IF(A448="","",IFERROR(ROUND(AVERAGEIFS(ASSESSMENTS!H:H,ASSESSMENTS!B:B,A448,ASSESSMENTS!E:E,"Accounting"),1),""))</f>
        <v/>
      </c>
      <c r="K448" s="4" t="str">
        <f>IF(A448="","",IFERROR(ROUND(AVERAGEIFS(ASSESSMENTS!H:H,ASSESSMENTS!B:B,A448,ASSESSMENTS!E:E,"English"),1),""))</f>
        <v/>
      </c>
      <c r="L448" s="5" t="str">
        <f>IF(A448="","",IFERROR(INDEX(ATTENDANCE_SUMMARY!G:G,MATCH(A448,ATTENDANCE_SUMMARY!A:A,0)),""))</f>
        <v/>
      </c>
      <c r="M448" s="4" t="str">
        <f t="shared" si="6"/>
        <v/>
      </c>
    </row>
    <row r="449" spans="1:13" x14ac:dyDescent="0.3">
      <c r="A449" t="str">
        <f>IF(MASTER_REGISTER!E449="","",MASTER_REGISTER!E449)</f>
        <v/>
      </c>
      <c r="B449" t="str">
        <f>IF(A449="","",MASTER_REGISTER!F449)</f>
        <v/>
      </c>
      <c r="C449" t="str">
        <f>IF(A449="","",MASTER_REGISTER!C449)</f>
        <v/>
      </c>
      <c r="D449" t="str">
        <f>IF(A449="","",COUNTIF(ASSESSMENTS!B:B,A449))</f>
        <v/>
      </c>
      <c r="E449" s="4" t="e">
        <f>IF(D449=0,"",ROUND(AVERAGEIF(ASSESSMENTS!B:B,A449,ASSESSMENTS!H:H),1))</f>
        <v>#DIV/0!</v>
      </c>
      <c r="F449" s="4" t="str">
        <f>IF(A449="","",IFERROR(ROUND(AVERAGEIFS(ASSESSMENTS!H:H,ASSESSMENTS!B:B,A449,ASSESSMENTS!E:E,"Mathematics"),1),""))</f>
        <v/>
      </c>
      <c r="G449" s="4" t="str">
        <f>IF(A449="","",IFERROR(ROUND(AVERAGEIFS(ASSESSMENTS!H:H,ASSESSMENTS!B:B,A449,ASSESSMENTS!E:E,"Mathematical Literacy"),1),""))</f>
        <v/>
      </c>
      <c r="H449" s="4" t="str">
        <f>IF(A449="","",IFERROR(ROUND(AVERAGEIFS(ASSESSMENTS!H:H,ASSESSMENTS!B:B,A449,ASSESSMENTS!E:E,"Physical Sciences"),1),""))</f>
        <v/>
      </c>
      <c r="I449" s="4" t="str">
        <f>IF(A449="","",IFERROR(ROUND(AVERAGEIFS(ASSESSMENTS!H:H,ASSESSMENTS!B:B,A449,ASSESSMENTS!E:E,"Geography"),1),""))</f>
        <v/>
      </c>
      <c r="J449" s="4" t="str">
        <f>IF(A449="","",IFERROR(ROUND(AVERAGEIFS(ASSESSMENTS!H:H,ASSESSMENTS!B:B,A449,ASSESSMENTS!E:E,"Accounting"),1),""))</f>
        <v/>
      </c>
      <c r="K449" s="4" t="str">
        <f>IF(A449="","",IFERROR(ROUND(AVERAGEIFS(ASSESSMENTS!H:H,ASSESSMENTS!B:B,A449,ASSESSMENTS!E:E,"English"),1),""))</f>
        <v/>
      </c>
      <c r="L449" s="5" t="str">
        <f>IF(A449="","",IFERROR(INDEX(ATTENDANCE_SUMMARY!G:G,MATCH(A449,ATTENDANCE_SUMMARY!A:A,0)),""))</f>
        <v/>
      </c>
      <c r="M449" s="4" t="str">
        <f t="shared" si="6"/>
        <v/>
      </c>
    </row>
    <row r="450" spans="1:13" x14ac:dyDescent="0.3">
      <c r="A450" t="str">
        <f>IF(MASTER_REGISTER!E450="","",MASTER_REGISTER!E450)</f>
        <v/>
      </c>
      <c r="B450" t="str">
        <f>IF(A450="","",MASTER_REGISTER!F450)</f>
        <v/>
      </c>
      <c r="C450" t="str">
        <f>IF(A450="","",MASTER_REGISTER!C450)</f>
        <v/>
      </c>
      <c r="D450" t="str">
        <f>IF(A450="","",COUNTIF(ASSESSMENTS!B:B,A450))</f>
        <v/>
      </c>
      <c r="E450" s="4" t="e">
        <f>IF(D450=0,"",ROUND(AVERAGEIF(ASSESSMENTS!B:B,A450,ASSESSMENTS!H:H),1))</f>
        <v>#DIV/0!</v>
      </c>
      <c r="F450" s="4" t="str">
        <f>IF(A450="","",IFERROR(ROUND(AVERAGEIFS(ASSESSMENTS!H:H,ASSESSMENTS!B:B,A450,ASSESSMENTS!E:E,"Mathematics"),1),""))</f>
        <v/>
      </c>
      <c r="G450" s="4" t="str">
        <f>IF(A450="","",IFERROR(ROUND(AVERAGEIFS(ASSESSMENTS!H:H,ASSESSMENTS!B:B,A450,ASSESSMENTS!E:E,"Mathematical Literacy"),1),""))</f>
        <v/>
      </c>
      <c r="H450" s="4" t="str">
        <f>IF(A450="","",IFERROR(ROUND(AVERAGEIFS(ASSESSMENTS!H:H,ASSESSMENTS!B:B,A450,ASSESSMENTS!E:E,"Physical Sciences"),1),""))</f>
        <v/>
      </c>
      <c r="I450" s="4" t="str">
        <f>IF(A450="","",IFERROR(ROUND(AVERAGEIFS(ASSESSMENTS!H:H,ASSESSMENTS!B:B,A450,ASSESSMENTS!E:E,"Geography"),1),""))</f>
        <v/>
      </c>
      <c r="J450" s="4" t="str">
        <f>IF(A450="","",IFERROR(ROUND(AVERAGEIFS(ASSESSMENTS!H:H,ASSESSMENTS!B:B,A450,ASSESSMENTS!E:E,"Accounting"),1),""))</f>
        <v/>
      </c>
      <c r="K450" s="4" t="str">
        <f>IF(A450="","",IFERROR(ROUND(AVERAGEIFS(ASSESSMENTS!H:H,ASSESSMENTS!B:B,A450,ASSESSMENTS!E:E,"English"),1),""))</f>
        <v/>
      </c>
      <c r="L450" s="5" t="str">
        <f>IF(A450="","",IFERROR(INDEX(ATTENDANCE_SUMMARY!G:G,MATCH(A450,ATTENDANCE_SUMMARY!A:A,0)),""))</f>
        <v/>
      </c>
      <c r="M450" s="4" t="str">
        <f t="shared" ref="M450:M513" si="7">IF(A450="","",IF(OR(E450&lt;50,AND(L450&lt;0.75,L450&lt;&gt;"" )),"At Risk","On Track"))</f>
        <v/>
      </c>
    </row>
    <row r="451" spans="1:13" x14ac:dyDescent="0.3">
      <c r="A451" t="str">
        <f>IF(MASTER_REGISTER!E451="","",MASTER_REGISTER!E451)</f>
        <v/>
      </c>
      <c r="B451" t="str">
        <f>IF(A451="","",MASTER_REGISTER!F451)</f>
        <v/>
      </c>
      <c r="C451" t="str">
        <f>IF(A451="","",MASTER_REGISTER!C451)</f>
        <v/>
      </c>
      <c r="D451" t="str">
        <f>IF(A451="","",COUNTIF(ASSESSMENTS!B:B,A451))</f>
        <v/>
      </c>
      <c r="E451" s="4" t="e">
        <f>IF(D451=0,"",ROUND(AVERAGEIF(ASSESSMENTS!B:B,A451,ASSESSMENTS!H:H),1))</f>
        <v>#DIV/0!</v>
      </c>
      <c r="F451" s="4" t="str">
        <f>IF(A451="","",IFERROR(ROUND(AVERAGEIFS(ASSESSMENTS!H:H,ASSESSMENTS!B:B,A451,ASSESSMENTS!E:E,"Mathematics"),1),""))</f>
        <v/>
      </c>
      <c r="G451" s="4" t="str">
        <f>IF(A451="","",IFERROR(ROUND(AVERAGEIFS(ASSESSMENTS!H:H,ASSESSMENTS!B:B,A451,ASSESSMENTS!E:E,"Mathematical Literacy"),1),""))</f>
        <v/>
      </c>
      <c r="H451" s="4" t="str">
        <f>IF(A451="","",IFERROR(ROUND(AVERAGEIFS(ASSESSMENTS!H:H,ASSESSMENTS!B:B,A451,ASSESSMENTS!E:E,"Physical Sciences"),1),""))</f>
        <v/>
      </c>
      <c r="I451" s="4" t="str">
        <f>IF(A451="","",IFERROR(ROUND(AVERAGEIFS(ASSESSMENTS!H:H,ASSESSMENTS!B:B,A451,ASSESSMENTS!E:E,"Geography"),1),""))</f>
        <v/>
      </c>
      <c r="J451" s="4" t="str">
        <f>IF(A451="","",IFERROR(ROUND(AVERAGEIFS(ASSESSMENTS!H:H,ASSESSMENTS!B:B,A451,ASSESSMENTS!E:E,"Accounting"),1),""))</f>
        <v/>
      </c>
      <c r="K451" s="4" t="str">
        <f>IF(A451="","",IFERROR(ROUND(AVERAGEIFS(ASSESSMENTS!H:H,ASSESSMENTS!B:B,A451,ASSESSMENTS!E:E,"English"),1),""))</f>
        <v/>
      </c>
      <c r="L451" s="5" t="str">
        <f>IF(A451="","",IFERROR(INDEX(ATTENDANCE_SUMMARY!G:G,MATCH(A451,ATTENDANCE_SUMMARY!A:A,0)),""))</f>
        <v/>
      </c>
      <c r="M451" s="4" t="str">
        <f t="shared" si="7"/>
        <v/>
      </c>
    </row>
    <row r="452" spans="1:13" x14ac:dyDescent="0.3">
      <c r="A452" t="str">
        <f>IF(MASTER_REGISTER!E452="","",MASTER_REGISTER!E452)</f>
        <v/>
      </c>
      <c r="B452" t="str">
        <f>IF(A452="","",MASTER_REGISTER!F452)</f>
        <v/>
      </c>
      <c r="C452" t="str">
        <f>IF(A452="","",MASTER_REGISTER!C452)</f>
        <v/>
      </c>
      <c r="D452" t="str">
        <f>IF(A452="","",COUNTIF(ASSESSMENTS!B:B,A452))</f>
        <v/>
      </c>
      <c r="E452" s="4" t="e">
        <f>IF(D452=0,"",ROUND(AVERAGEIF(ASSESSMENTS!B:B,A452,ASSESSMENTS!H:H),1))</f>
        <v>#DIV/0!</v>
      </c>
      <c r="F452" s="4" t="str">
        <f>IF(A452="","",IFERROR(ROUND(AVERAGEIFS(ASSESSMENTS!H:H,ASSESSMENTS!B:B,A452,ASSESSMENTS!E:E,"Mathematics"),1),""))</f>
        <v/>
      </c>
      <c r="G452" s="4" t="str">
        <f>IF(A452="","",IFERROR(ROUND(AVERAGEIFS(ASSESSMENTS!H:H,ASSESSMENTS!B:B,A452,ASSESSMENTS!E:E,"Mathematical Literacy"),1),""))</f>
        <v/>
      </c>
      <c r="H452" s="4" t="str">
        <f>IF(A452="","",IFERROR(ROUND(AVERAGEIFS(ASSESSMENTS!H:H,ASSESSMENTS!B:B,A452,ASSESSMENTS!E:E,"Physical Sciences"),1),""))</f>
        <v/>
      </c>
      <c r="I452" s="4" t="str">
        <f>IF(A452="","",IFERROR(ROUND(AVERAGEIFS(ASSESSMENTS!H:H,ASSESSMENTS!B:B,A452,ASSESSMENTS!E:E,"Geography"),1),""))</f>
        <v/>
      </c>
      <c r="J452" s="4" t="str">
        <f>IF(A452="","",IFERROR(ROUND(AVERAGEIFS(ASSESSMENTS!H:H,ASSESSMENTS!B:B,A452,ASSESSMENTS!E:E,"Accounting"),1),""))</f>
        <v/>
      </c>
      <c r="K452" s="4" t="str">
        <f>IF(A452="","",IFERROR(ROUND(AVERAGEIFS(ASSESSMENTS!H:H,ASSESSMENTS!B:B,A452,ASSESSMENTS!E:E,"English"),1),""))</f>
        <v/>
      </c>
      <c r="L452" s="5" t="str">
        <f>IF(A452="","",IFERROR(INDEX(ATTENDANCE_SUMMARY!G:G,MATCH(A452,ATTENDANCE_SUMMARY!A:A,0)),""))</f>
        <v/>
      </c>
      <c r="M452" s="4" t="str">
        <f t="shared" si="7"/>
        <v/>
      </c>
    </row>
    <row r="453" spans="1:13" x14ac:dyDescent="0.3">
      <c r="A453" t="str">
        <f>IF(MASTER_REGISTER!E453="","",MASTER_REGISTER!E453)</f>
        <v/>
      </c>
      <c r="B453" t="str">
        <f>IF(A453="","",MASTER_REGISTER!F453)</f>
        <v/>
      </c>
      <c r="C453" t="str">
        <f>IF(A453="","",MASTER_REGISTER!C453)</f>
        <v/>
      </c>
      <c r="D453" t="str">
        <f>IF(A453="","",COUNTIF(ASSESSMENTS!B:B,A453))</f>
        <v/>
      </c>
      <c r="E453" s="4" t="e">
        <f>IF(D453=0,"",ROUND(AVERAGEIF(ASSESSMENTS!B:B,A453,ASSESSMENTS!H:H),1))</f>
        <v>#DIV/0!</v>
      </c>
      <c r="F453" s="4" t="str">
        <f>IF(A453="","",IFERROR(ROUND(AVERAGEIFS(ASSESSMENTS!H:H,ASSESSMENTS!B:B,A453,ASSESSMENTS!E:E,"Mathematics"),1),""))</f>
        <v/>
      </c>
      <c r="G453" s="4" t="str">
        <f>IF(A453="","",IFERROR(ROUND(AVERAGEIFS(ASSESSMENTS!H:H,ASSESSMENTS!B:B,A453,ASSESSMENTS!E:E,"Mathematical Literacy"),1),""))</f>
        <v/>
      </c>
      <c r="H453" s="4" t="str">
        <f>IF(A453="","",IFERROR(ROUND(AVERAGEIFS(ASSESSMENTS!H:H,ASSESSMENTS!B:B,A453,ASSESSMENTS!E:E,"Physical Sciences"),1),""))</f>
        <v/>
      </c>
      <c r="I453" s="4" t="str">
        <f>IF(A453="","",IFERROR(ROUND(AVERAGEIFS(ASSESSMENTS!H:H,ASSESSMENTS!B:B,A453,ASSESSMENTS!E:E,"Geography"),1),""))</f>
        <v/>
      </c>
      <c r="J453" s="4" t="str">
        <f>IF(A453="","",IFERROR(ROUND(AVERAGEIFS(ASSESSMENTS!H:H,ASSESSMENTS!B:B,A453,ASSESSMENTS!E:E,"Accounting"),1),""))</f>
        <v/>
      </c>
      <c r="K453" s="4" t="str">
        <f>IF(A453="","",IFERROR(ROUND(AVERAGEIFS(ASSESSMENTS!H:H,ASSESSMENTS!B:B,A453,ASSESSMENTS!E:E,"English"),1),""))</f>
        <v/>
      </c>
      <c r="L453" s="5" t="str">
        <f>IF(A453="","",IFERROR(INDEX(ATTENDANCE_SUMMARY!G:G,MATCH(A453,ATTENDANCE_SUMMARY!A:A,0)),""))</f>
        <v/>
      </c>
      <c r="M453" s="4" t="str">
        <f t="shared" si="7"/>
        <v/>
      </c>
    </row>
    <row r="454" spans="1:13" x14ac:dyDescent="0.3">
      <c r="A454" t="str">
        <f>IF(MASTER_REGISTER!E454="","",MASTER_REGISTER!E454)</f>
        <v/>
      </c>
      <c r="B454" t="str">
        <f>IF(A454="","",MASTER_REGISTER!F454)</f>
        <v/>
      </c>
      <c r="C454" t="str">
        <f>IF(A454="","",MASTER_REGISTER!C454)</f>
        <v/>
      </c>
      <c r="D454" t="str">
        <f>IF(A454="","",COUNTIF(ASSESSMENTS!B:B,A454))</f>
        <v/>
      </c>
      <c r="E454" s="4" t="e">
        <f>IF(D454=0,"",ROUND(AVERAGEIF(ASSESSMENTS!B:B,A454,ASSESSMENTS!H:H),1))</f>
        <v>#DIV/0!</v>
      </c>
      <c r="F454" s="4" t="str">
        <f>IF(A454="","",IFERROR(ROUND(AVERAGEIFS(ASSESSMENTS!H:H,ASSESSMENTS!B:B,A454,ASSESSMENTS!E:E,"Mathematics"),1),""))</f>
        <v/>
      </c>
      <c r="G454" s="4" t="str">
        <f>IF(A454="","",IFERROR(ROUND(AVERAGEIFS(ASSESSMENTS!H:H,ASSESSMENTS!B:B,A454,ASSESSMENTS!E:E,"Mathematical Literacy"),1),""))</f>
        <v/>
      </c>
      <c r="H454" s="4" t="str">
        <f>IF(A454="","",IFERROR(ROUND(AVERAGEIFS(ASSESSMENTS!H:H,ASSESSMENTS!B:B,A454,ASSESSMENTS!E:E,"Physical Sciences"),1),""))</f>
        <v/>
      </c>
      <c r="I454" s="4" t="str">
        <f>IF(A454="","",IFERROR(ROUND(AVERAGEIFS(ASSESSMENTS!H:H,ASSESSMENTS!B:B,A454,ASSESSMENTS!E:E,"Geography"),1),""))</f>
        <v/>
      </c>
      <c r="J454" s="4" t="str">
        <f>IF(A454="","",IFERROR(ROUND(AVERAGEIFS(ASSESSMENTS!H:H,ASSESSMENTS!B:B,A454,ASSESSMENTS!E:E,"Accounting"),1),""))</f>
        <v/>
      </c>
      <c r="K454" s="4" t="str">
        <f>IF(A454="","",IFERROR(ROUND(AVERAGEIFS(ASSESSMENTS!H:H,ASSESSMENTS!B:B,A454,ASSESSMENTS!E:E,"English"),1),""))</f>
        <v/>
      </c>
      <c r="L454" s="5" t="str">
        <f>IF(A454="","",IFERROR(INDEX(ATTENDANCE_SUMMARY!G:G,MATCH(A454,ATTENDANCE_SUMMARY!A:A,0)),""))</f>
        <v/>
      </c>
      <c r="M454" s="4" t="str">
        <f t="shared" si="7"/>
        <v/>
      </c>
    </row>
    <row r="455" spans="1:13" x14ac:dyDescent="0.3">
      <c r="A455" t="str">
        <f>IF(MASTER_REGISTER!E455="","",MASTER_REGISTER!E455)</f>
        <v/>
      </c>
      <c r="B455" t="str">
        <f>IF(A455="","",MASTER_REGISTER!F455)</f>
        <v/>
      </c>
      <c r="C455" t="str">
        <f>IF(A455="","",MASTER_REGISTER!C455)</f>
        <v/>
      </c>
      <c r="D455" t="str">
        <f>IF(A455="","",COUNTIF(ASSESSMENTS!B:B,A455))</f>
        <v/>
      </c>
      <c r="E455" s="4" t="e">
        <f>IF(D455=0,"",ROUND(AVERAGEIF(ASSESSMENTS!B:B,A455,ASSESSMENTS!H:H),1))</f>
        <v>#DIV/0!</v>
      </c>
      <c r="F455" s="4" t="str">
        <f>IF(A455="","",IFERROR(ROUND(AVERAGEIFS(ASSESSMENTS!H:H,ASSESSMENTS!B:B,A455,ASSESSMENTS!E:E,"Mathematics"),1),""))</f>
        <v/>
      </c>
      <c r="G455" s="4" t="str">
        <f>IF(A455="","",IFERROR(ROUND(AVERAGEIFS(ASSESSMENTS!H:H,ASSESSMENTS!B:B,A455,ASSESSMENTS!E:E,"Mathematical Literacy"),1),""))</f>
        <v/>
      </c>
      <c r="H455" s="4" t="str">
        <f>IF(A455="","",IFERROR(ROUND(AVERAGEIFS(ASSESSMENTS!H:H,ASSESSMENTS!B:B,A455,ASSESSMENTS!E:E,"Physical Sciences"),1),""))</f>
        <v/>
      </c>
      <c r="I455" s="4" t="str">
        <f>IF(A455="","",IFERROR(ROUND(AVERAGEIFS(ASSESSMENTS!H:H,ASSESSMENTS!B:B,A455,ASSESSMENTS!E:E,"Geography"),1),""))</f>
        <v/>
      </c>
      <c r="J455" s="4" t="str">
        <f>IF(A455="","",IFERROR(ROUND(AVERAGEIFS(ASSESSMENTS!H:H,ASSESSMENTS!B:B,A455,ASSESSMENTS!E:E,"Accounting"),1),""))</f>
        <v/>
      </c>
      <c r="K455" s="4" t="str">
        <f>IF(A455="","",IFERROR(ROUND(AVERAGEIFS(ASSESSMENTS!H:H,ASSESSMENTS!B:B,A455,ASSESSMENTS!E:E,"English"),1),""))</f>
        <v/>
      </c>
      <c r="L455" s="5" t="str">
        <f>IF(A455="","",IFERROR(INDEX(ATTENDANCE_SUMMARY!G:G,MATCH(A455,ATTENDANCE_SUMMARY!A:A,0)),""))</f>
        <v/>
      </c>
      <c r="M455" s="4" t="str">
        <f t="shared" si="7"/>
        <v/>
      </c>
    </row>
    <row r="456" spans="1:13" x14ac:dyDescent="0.3">
      <c r="A456" t="str">
        <f>IF(MASTER_REGISTER!E456="","",MASTER_REGISTER!E456)</f>
        <v/>
      </c>
      <c r="B456" t="str">
        <f>IF(A456="","",MASTER_REGISTER!F456)</f>
        <v/>
      </c>
      <c r="C456" t="str">
        <f>IF(A456="","",MASTER_REGISTER!C456)</f>
        <v/>
      </c>
      <c r="D456" t="str">
        <f>IF(A456="","",COUNTIF(ASSESSMENTS!B:B,A456))</f>
        <v/>
      </c>
      <c r="E456" s="4" t="e">
        <f>IF(D456=0,"",ROUND(AVERAGEIF(ASSESSMENTS!B:B,A456,ASSESSMENTS!H:H),1))</f>
        <v>#DIV/0!</v>
      </c>
      <c r="F456" s="4" t="str">
        <f>IF(A456="","",IFERROR(ROUND(AVERAGEIFS(ASSESSMENTS!H:H,ASSESSMENTS!B:B,A456,ASSESSMENTS!E:E,"Mathematics"),1),""))</f>
        <v/>
      </c>
      <c r="G456" s="4" t="str">
        <f>IF(A456="","",IFERROR(ROUND(AVERAGEIFS(ASSESSMENTS!H:H,ASSESSMENTS!B:B,A456,ASSESSMENTS!E:E,"Mathematical Literacy"),1),""))</f>
        <v/>
      </c>
      <c r="H456" s="4" t="str">
        <f>IF(A456="","",IFERROR(ROUND(AVERAGEIFS(ASSESSMENTS!H:H,ASSESSMENTS!B:B,A456,ASSESSMENTS!E:E,"Physical Sciences"),1),""))</f>
        <v/>
      </c>
      <c r="I456" s="4" t="str">
        <f>IF(A456="","",IFERROR(ROUND(AVERAGEIFS(ASSESSMENTS!H:H,ASSESSMENTS!B:B,A456,ASSESSMENTS!E:E,"Geography"),1),""))</f>
        <v/>
      </c>
      <c r="J456" s="4" t="str">
        <f>IF(A456="","",IFERROR(ROUND(AVERAGEIFS(ASSESSMENTS!H:H,ASSESSMENTS!B:B,A456,ASSESSMENTS!E:E,"Accounting"),1),""))</f>
        <v/>
      </c>
      <c r="K456" s="4" t="str">
        <f>IF(A456="","",IFERROR(ROUND(AVERAGEIFS(ASSESSMENTS!H:H,ASSESSMENTS!B:B,A456,ASSESSMENTS!E:E,"English"),1),""))</f>
        <v/>
      </c>
      <c r="L456" s="5" t="str">
        <f>IF(A456="","",IFERROR(INDEX(ATTENDANCE_SUMMARY!G:G,MATCH(A456,ATTENDANCE_SUMMARY!A:A,0)),""))</f>
        <v/>
      </c>
      <c r="M456" s="4" t="str">
        <f t="shared" si="7"/>
        <v/>
      </c>
    </row>
    <row r="457" spans="1:13" x14ac:dyDescent="0.3">
      <c r="A457" t="str">
        <f>IF(MASTER_REGISTER!E457="","",MASTER_REGISTER!E457)</f>
        <v/>
      </c>
      <c r="B457" t="str">
        <f>IF(A457="","",MASTER_REGISTER!F457)</f>
        <v/>
      </c>
      <c r="C457" t="str">
        <f>IF(A457="","",MASTER_REGISTER!C457)</f>
        <v/>
      </c>
      <c r="D457" t="str">
        <f>IF(A457="","",COUNTIF(ASSESSMENTS!B:B,A457))</f>
        <v/>
      </c>
      <c r="E457" s="4" t="e">
        <f>IF(D457=0,"",ROUND(AVERAGEIF(ASSESSMENTS!B:B,A457,ASSESSMENTS!H:H),1))</f>
        <v>#DIV/0!</v>
      </c>
      <c r="F457" s="4" t="str">
        <f>IF(A457="","",IFERROR(ROUND(AVERAGEIFS(ASSESSMENTS!H:H,ASSESSMENTS!B:B,A457,ASSESSMENTS!E:E,"Mathematics"),1),""))</f>
        <v/>
      </c>
      <c r="G457" s="4" t="str">
        <f>IF(A457="","",IFERROR(ROUND(AVERAGEIFS(ASSESSMENTS!H:H,ASSESSMENTS!B:B,A457,ASSESSMENTS!E:E,"Mathematical Literacy"),1),""))</f>
        <v/>
      </c>
      <c r="H457" s="4" t="str">
        <f>IF(A457="","",IFERROR(ROUND(AVERAGEIFS(ASSESSMENTS!H:H,ASSESSMENTS!B:B,A457,ASSESSMENTS!E:E,"Physical Sciences"),1),""))</f>
        <v/>
      </c>
      <c r="I457" s="4" t="str">
        <f>IF(A457="","",IFERROR(ROUND(AVERAGEIFS(ASSESSMENTS!H:H,ASSESSMENTS!B:B,A457,ASSESSMENTS!E:E,"Geography"),1),""))</f>
        <v/>
      </c>
      <c r="J457" s="4" t="str">
        <f>IF(A457="","",IFERROR(ROUND(AVERAGEIFS(ASSESSMENTS!H:H,ASSESSMENTS!B:B,A457,ASSESSMENTS!E:E,"Accounting"),1),""))</f>
        <v/>
      </c>
      <c r="K457" s="4" t="str">
        <f>IF(A457="","",IFERROR(ROUND(AVERAGEIFS(ASSESSMENTS!H:H,ASSESSMENTS!B:B,A457,ASSESSMENTS!E:E,"English"),1),""))</f>
        <v/>
      </c>
      <c r="L457" s="5" t="str">
        <f>IF(A457="","",IFERROR(INDEX(ATTENDANCE_SUMMARY!G:G,MATCH(A457,ATTENDANCE_SUMMARY!A:A,0)),""))</f>
        <v/>
      </c>
      <c r="M457" s="4" t="str">
        <f t="shared" si="7"/>
        <v/>
      </c>
    </row>
    <row r="458" spans="1:13" x14ac:dyDescent="0.3">
      <c r="A458" t="str">
        <f>IF(MASTER_REGISTER!E458="","",MASTER_REGISTER!E458)</f>
        <v/>
      </c>
      <c r="B458" t="str">
        <f>IF(A458="","",MASTER_REGISTER!F458)</f>
        <v/>
      </c>
      <c r="C458" t="str">
        <f>IF(A458="","",MASTER_REGISTER!C458)</f>
        <v/>
      </c>
      <c r="D458" t="str">
        <f>IF(A458="","",COUNTIF(ASSESSMENTS!B:B,A458))</f>
        <v/>
      </c>
      <c r="E458" s="4" t="e">
        <f>IF(D458=0,"",ROUND(AVERAGEIF(ASSESSMENTS!B:B,A458,ASSESSMENTS!H:H),1))</f>
        <v>#DIV/0!</v>
      </c>
      <c r="F458" s="4" t="str">
        <f>IF(A458="","",IFERROR(ROUND(AVERAGEIFS(ASSESSMENTS!H:H,ASSESSMENTS!B:B,A458,ASSESSMENTS!E:E,"Mathematics"),1),""))</f>
        <v/>
      </c>
      <c r="G458" s="4" t="str">
        <f>IF(A458="","",IFERROR(ROUND(AVERAGEIFS(ASSESSMENTS!H:H,ASSESSMENTS!B:B,A458,ASSESSMENTS!E:E,"Mathematical Literacy"),1),""))</f>
        <v/>
      </c>
      <c r="H458" s="4" t="str">
        <f>IF(A458="","",IFERROR(ROUND(AVERAGEIFS(ASSESSMENTS!H:H,ASSESSMENTS!B:B,A458,ASSESSMENTS!E:E,"Physical Sciences"),1),""))</f>
        <v/>
      </c>
      <c r="I458" s="4" t="str">
        <f>IF(A458="","",IFERROR(ROUND(AVERAGEIFS(ASSESSMENTS!H:H,ASSESSMENTS!B:B,A458,ASSESSMENTS!E:E,"Geography"),1),""))</f>
        <v/>
      </c>
      <c r="J458" s="4" t="str">
        <f>IF(A458="","",IFERROR(ROUND(AVERAGEIFS(ASSESSMENTS!H:H,ASSESSMENTS!B:B,A458,ASSESSMENTS!E:E,"Accounting"),1),""))</f>
        <v/>
      </c>
      <c r="K458" s="4" t="str">
        <f>IF(A458="","",IFERROR(ROUND(AVERAGEIFS(ASSESSMENTS!H:H,ASSESSMENTS!B:B,A458,ASSESSMENTS!E:E,"English"),1),""))</f>
        <v/>
      </c>
      <c r="L458" s="5" t="str">
        <f>IF(A458="","",IFERROR(INDEX(ATTENDANCE_SUMMARY!G:G,MATCH(A458,ATTENDANCE_SUMMARY!A:A,0)),""))</f>
        <v/>
      </c>
      <c r="M458" s="4" t="str">
        <f t="shared" si="7"/>
        <v/>
      </c>
    </row>
    <row r="459" spans="1:13" x14ac:dyDescent="0.3">
      <c r="A459" t="str">
        <f>IF(MASTER_REGISTER!E459="","",MASTER_REGISTER!E459)</f>
        <v/>
      </c>
      <c r="B459" t="str">
        <f>IF(A459="","",MASTER_REGISTER!F459)</f>
        <v/>
      </c>
      <c r="C459" t="str">
        <f>IF(A459="","",MASTER_REGISTER!C459)</f>
        <v/>
      </c>
      <c r="D459" t="str">
        <f>IF(A459="","",COUNTIF(ASSESSMENTS!B:B,A459))</f>
        <v/>
      </c>
      <c r="E459" s="4" t="e">
        <f>IF(D459=0,"",ROUND(AVERAGEIF(ASSESSMENTS!B:B,A459,ASSESSMENTS!H:H),1))</f>
        <v>#DIV/0!</v>
      </c>
      <c r="F459" s="4" t="str">
        <f>IF(A459="","",IFERROR(ROUND(AVERAGEIFS(ASSESSMENTS!H:H,ASSESSMENTS!B:B,A459,ASSESSMENTS!E:E,"Mathematics"),1),""))</f>
        <v/>
      </c>
      <c r="G459" s="4" t="str">
        <f>IF(A459="","",IFERROR(ROUND(AVERAGEIFS(ASSESSMENTS!H:H,ASSESSMENTS!B:B,A459,ASSESSMENTS!E:E,"Mathematical Literacy"),1),""))</f>
        <v/>
      </c>
      <c r="H459" s="4" t="str">
        <f>IF(A459="","",IFERROR(ROUND(AVERAGEIFS(ASSESSMENTS!H:H,ASSESSMENTS!B:B,A459,ASSESSMENTS!E:E,"Physical Sciences"),1),""))</f>
        <v/>
      </c>
      <c r="I459" s="4" t="str">
        <f>IF(A459="","",IFERROR(ROUND(AVERAGEIFS(ASSESSMENTS!H:H,ASSESSMENTS!B:B,A459,ASSESSMENTS!E:E,"Geography"),1),""))</f>
        <v/>
      </c>
      <c r="J459" s="4" t="str">
        <f>IF(A459="","",IFERROR(ROUND(AVERAGEIFS(ASSESSMENTS!H:H,ASSESSMENTS!B:B,A459,ASSESSMENTS!E:E,"Accounting"),1),""))</f>
        <v/>
      </c>
      <c r="K459" s="4" t="str">
        <f>IF(A459="","",IFERROR(ROUND(AVERAGEIFS(ASSESSMENTS!H:H,ASSESSMENTS!B:B,A459,ASSESSMENTS!E:E,"English"),1),""))</f>
        <v/>
      </c>
      <c r="L459" s="5" t="str">
        <f>IF(A459="","",IFERROR(INDEX(ATTENDANCE_SUMMARY!G:G,MATCH(A459,ATTENDANCE_SUMMARY!A:A,0)),""))</f>
        <v/>
      </c>
      <c r="M459" s="4" t="str">
        <f t="shared" si="7"/>
        <v/>
      </c>
    </row>
    <row r="460" spans="1:13" x14ac:dyDescent="0.3">
      <c r="A460" t="str">
        <f>IF(MASTER_REGISTER!E460="","",MASTER_REGISTER!E460)</f>
        <v/>
      </c>
      <c r="B460" t="str">
        <f>IF(A460="","",MASTER_REGISTER!F460)</f>
        <v/>
      </c>
      <c r="C460" t="str">
        <f>IF(A460="","",MASTER_REGISTER!C460)</f>
        <v/>
      </c>
      <c r="D460" t="str">
        <f>IF(A460="","",COUNTIF(ASSESSMENTS!B:B,A460))</f>
        <v/>
      </c>
      <c r="E460" s="4" t="e">
        <f>IF(D460=0,"",ROUND(AVERAGEIF(ASSESSMENTS!B:B,A460,ASSESSMENTS!H:H),1))</f>
        <v>#DIV/0!</v>
      </c>
      <c r="F460" s="4" t="str">
        <f>IF(A460="","",IFERROR(ROUND(AVERAGEIFS(ASSESSMENTS!H:H,ASSESSMENTS!B:B,A460,ASSESSMENTS!E:E,"Mathematics"),1),""))</f>
        <v/>
      </c>
      <c r="G460" s="4" t="str">
        <f>IF(A460="","",IFERROR(ROUND(AVERAGEIFS(ASSESSMENTS!H:H,ASSESSMENTS!B:B,A460,ASSESSMENTS!E:E,"Mathematical Literacy"),1),""))</f>
        <v/>
      </c>
      <c r="H460" s="4" t="str">
        <f>IF(A460="","",IFERROR(ROUND(AVERAGEIFS(ASSESSMENTS!H:H,ASSESSMENTS!B:B,A460,ASSESSMENTS!E:E,"Physical Sciences"),1),""))</f>
        <v/>
      </c>
      <c r="I460" s="4" t="str">
        <f>IF(A460="","",IFERROR(ROUND(AVERAGEIFS(ASSESSMENTS!H:H,ASSESSMENTS!B:B,A460,ASSESSMENTS!E:E,"Geography"),1),""))</f>
        <v/>
      </c>
      <c r="J460" s="4" t="str">
        <f>IF(A460="","",IFERROR(ROUND(AVERAGEIFS(ASSESSMENTS!H:H,ASSESSMENTS!B:B,A460,ASSESSMENTS!E:E,"Accounting"),1),""))</f>
        <v/>
      </c>
      <c r="K460" s="4" t="str">
        <f>IF(A460="","",IFERROR(ROUND(AVERAGEIFS(ASSESSMENTS!H:H,ASSESSMENTS!B:B,A460,ASSESSMENTS!E:E,"English"),1),""))</f>
        <v/>
      </c>
      <c r="L460" s="5" t="str">
        <f>IF(A460="","",IFERROR(INDEX(ATTENDANCE_SUMMARY!G:G,MATCH(A460,ATTENDANCE_SUMMARY!A:A,0)),""))</f>
        <v/>
      </c>
      <c r="M460" s="4" t="str">
        <f t="shared" si="7"/>
        <v/>
      </c>
    </row>
    <row r="461" spans="1:13" x14ac:dyDescent="0.3">
      <c r="A461" t="str">
        <f>IF(MASTER_REGISTER!E461="","",MASTER_REGISTER!E461)</f>
        <v/>
      </c>
      <c r="B461" t="str">
        <f>IF(A461="","",MASTER_REGISTER!F461)</f>
        <v/>
      </c>
      <c r="C461" t="str">
        <f>IF(A461="","",MASTER_REGISTER!C461)</f>
        <v/>
      </c>
      <c r="D461" t="str">
        <f>IF(A461="","",COUNTIF(ASSESSMENTS!B:B,A461))</f>
        <v/>
      </c>
      <c r="E461" s="4" t="e">
        <f>IF(D461=0,"",ROUND(AVERAGEIF(ASSESSMENTS!B:B,A461,ASSESSMENTS!H:H),1))</f>
        <v>#DIV/0!</v>
      </c>
      <c r="F461" s="4" t="str">
        <f>IF(A461="","",IFERROR(ROUND(AVERAGEIFS(ASSESSMENTS!H:H,ASSESSMENTS!B:B,A461,ASSESSMENTS!E:E,"Mathematics"),1),""))</f>
        <v/>
      </c>
      <c r="G461" s="4" t="str">
        <f>IF(A461="","",IFERROR(ROUND(AVERAGEIFS(ASSESSMENTS!H:H,ASSESSMENTS!B:B,A461,ASSESSMENTS!E:E,"Mathematical Literacy"),1),""))</f>
        <v/>
      </c>
      <c r="H461" s="4" t="str">
        <f>IF(A461="","",IFERROR(ROUND(AVERAGEIFS(ASSESSMENTS!H:H,ASSESSMENTS!B:B,A461,ASSESSMENTS!E:E,"Physical Sciences"),1),""))</f>
        <v/>
      </c>
      <c r="I461" s="4" t="str">
        <f>IF(A461="","",IFERROR(ROUND(AVERAGEIFS(ASSESSMENTS!H:H,ASSESSMENTS!B:B,A461,ASSESSMENTS!E:E,"Geography"),1),""))</f>
        <v/>
      </c>
      <c r="J461" s="4" t="str">
        <f>IF(A461="","",IFERROR(ROUND(AVERAGEIFS(ASSESSMENTS!H:H,ASSESSMENTS!B:B,A461,ASSESSMENTS!E:E,"Accounting"),1),""))</f>
        <v/>
      </c>
      <c r="K461" s="4" t="str">
        <f>IF(A461="","",IFERROR(ROUND(AVERAGEIFS(ASSESSMENTS!H:H,ASSESSMENTS!B:B,A461,ASSESSMENTS!E:E,"English"),1),""))</f>
        <v/>
      </c>
      <c r="L461" s="5" t="str">
        <f>IF(A461="","",IFERROR(INDEX(ATTENDANCE_SUMMARY!G:G,MATCH(A461,ATTENDANCE_SUMMARY!A:A,0)),""))</f>
        <v/>
      </c>
      <c r="M461" s="4" t="str">
        <f t="shared" si="7"/>
        <v/>
      </c>
    </row>
    <row r="462" spans="1:13" x14ac:dyDescent="0.3">
      <c r="A462" t="str">
        <f>IF(MASTER_REGISTER!E462="","",MASTER_REGISTER!E462)</f>
        <v/>
      </c>
      <c r="B462" t="str">
        <f>IF(A462="","",MASTER_REGISTER!F462)</f>
        <v/>
      </c>
      <c r="C462" t="str">
        <f>IF(A462="","",MASTER_REGISTER!C462)</f>
        <v/>
      </c>
      <c r="D462" t="str">
        <f>IF(A462="","",COUNTIF(ASSESSMENTS!B:B,A462))</f>
        <v/>
      </c>
      <c r="E462" s="4" t="e">
        <f>IF(D462=0,"",ROUND(AVERAGEIF(ASSESSMENTS!B:B,A462,ASSESSMENTS!H:H),1))</f>
        <v>#DIV/0!</v>
      </c>
      <c r="F462" s="4" t="str">
        <f>IF(A462="","",IFERROR(ROUND(AVERAGEIFS(ASSESSMENTS!H:H,ASSESSMENTS!B:B,A462,ASSESSMENTS!E:E,"Mathematics"),1),""))</f>
        <v/>
      </c>
      <c r="G462" s="4" t="str">
        <f>IF(A462="","",IFERROR(ROUND(AVERAGEIFS(ASSESSMENTS!H:H,ASSESSMENTS!B:B,A462,ASSESSMENTS!E:E,"Mathematical Literacy"),1),""))</f>
        <v/>
      </c>
      <c r="H462" s="4" t="str">
        <f>IF(A462="","",IFERROR(ROUND(AVERAGEIFS(ASSESSMENTS!H:H,ASSESSMENTS!B:B,A462,ASSESSMENTS!E:E,"Physical Sciences"),1),""))</f>
        <v/>
      </c>
      <c r="I462" s="4" t="str">
        <f>IF(A462="","",IFERROR(ROUND(AVERAGEIFS(ASSESSMENTS!H:H,ASSESSMENTS!B:B,A462,ASSESSMENTS!E:E,"Geography"),1),""))</f>
        <v/>
      </c>
      <c r="J462" s="4" t="str">
        <f>IF(A462="","",IFERROR(ROUND(AVERAGEIFS(ASSESSMENTS!H:H,ASSESSMENTS!B:B,A462,ASSESSMENTS!E:E,"Accounting"),1),""))</f>
        <v/>
      </c>
      <c r="K462" s="4" t="str">
        <f>IF(A462="","",IFERROR(ROUND(AVERAGEIFS(ASSESSMENTS!H:H,ASSESSMENTS!B:B,A462,ASSESSMENTS!E:E,"English"),1),""))</f>
        <v/>
      </c>
      <c r="L462" s="5" t="str">
        <f>IF(A462="","",IFERROR(INDEX(ATTENDANCE_SUMMARY!G:G,MATCH(A462,ATTENDANCE_SUMMARY!A:A,0)),""))</f>
        <v/>
      </c>
      <c r="M462" s="4" t="str">
        <f t="shared" si="7"/>
        <v/>
      </c>
    </row>
    <row r="463" spans="1:13" x14ac:dyDescent="0.3">
      <c r="A463" t="str">
        <f>IF(MASTER_REGISTER!E463="","",MASTER_REGISTER!E463)</f>
        <v/>
      </c>
      <c r="B463" t="str">
        <f>IF(A463="","",MASTER_REGISTER!F463)</f>
        <v/>
      </c>
      <c r="C463" t="str">
        <f>IF(A463="","",MASTER_REGISTER!C463)</f>
        <v/>
      </c>
      <c r="D463" t="str">
        <f>IF(A463="","",COUNTIF(ASSESSMENTS!B:B,A463))</f>
        <v/>
      </c>
      <c r="E463" s="4" t="e">
        <f>IF(D463=0,"",ROUND(AVERAGEIF(ASSESSMENTS!B:B,A463,ASSESSMENTS!H:H),1))</f>
        <v>#DIV/0!</v>
      </c>
      <c r="F463" s="4" t="str">
        <f>IF(A463="","",IFERROR(ROUND(AVERAGEIFS(ASSESSMENTS!H:H,ASSESSMENTS!B:B,A463,ASSESSMENTS!E:E,"Mathematics"),1),""))</f>
        <v/>
      </c>
      <c r="G463" s="4" t="str">
        <f>IF(A463="","",IFERROR(ROUND(AVERAGEIFS(ASSESSMENTS!H:H,ASSESSMENTS!B:B,A463,ASSESSMENTS!E:E,"Mathematical Literacy"),1),""))</f>
        <v/>
      </c>
      <c r="H463" s="4" t="str">
        <f>IF(A463="","",IFERROR(ROUND(AVERAGEIFS(ASSESSMENTS!H:H,ASSESSMENTS!B:B,A463,ASSESSMENTS!E:E,"Physical Sciences"),1),""))</f>
        <v/>
      </c>
      <c r="I463" s="4" t="str">
        <f>IF(A463="","",IFERROR(ROUND(AVERAGEIFS(ASSESSMENTS!H:H,ASSESSMENTS!B:B,A463,ASSESSMENTS!E:E,"Geography"),1),""))</f>
        <v/>
      </c>
      <c r="J463" s="4" t="str">
        <f>IF(A463="","",IFERROR(ROUND(AVERAGEIFS(ASSESSMENTS!H:H,ASSESSMENTS!B:B,A463,ASSESSMENTS!E:E,"Accounting"),1),""))</f>
        <v/>
      </c>
      <c r="K463" s="4" t="str">
        <f>IF(A463="","",IFERROR(ROUND(AVERAGEIFS(ASSESSMENTS!H:H,ASSESSMENTS!B:B,A463,ASSESSMENTS!E:E,"English"),1),""))</f>
        <v/>
      </c>
      <c r="L463" s="5" t="str">
        <f>IF(A463="","",IFERROR(INDEX(ATTENDANCE_SUMMARY!G:G,MATCH(A463,ATTENDANCE_SUMMARY!A:A,0)),""))</f>
        <v/>
      </c>
      <c r="M463" s="4" t="str">
        <f t="shared" si="7"/>
        <v/>
      </c>
    </row>
    <row r="464" spans="1:13" x14ac:dyDescent="0.3">
      <c r="A464" t="str">
        <f>IF(MASTER_REGISTER!E464="","",MASTER_REGISTER!E464)</f>
        <v/>
      </c>
      <c r="B464" t="str">
        <f>IF(A464="","",MASTER_REGISTER!F464)</f>
        <v/>
      </c>
      <c r="C464" t="str">
        <f>IF(A464="","",MASTER_REGISTER!C464)</f>
        <v/>
      </c>
      <c r="D464" t="str">
        <f>IF(A464="","",COUNTIF(ASSESSMENTS!B:B,A464))</f>
        <v/>
      </c>
      <c r="E464" s="4" t="e">
        <f>IF(D464=0,"",ROUND(AVERAGEIF(ASSESSMENTS!B:B,A464,ASSESSMENTS!H:H),1))</f>
        <v>#DIV/0!</v>
      </c>
      <c r="F464" s="4" t="str">
        <f>IF(A464="","",IFERROR(ROUND(AVERAGEIFS(ASSESSMENTS!H:H,ASSESSMENTS!B:B,A464,ASSESSMENTS!E:E,"Mathematics"),1),""))</f>
        <v/>
      </c>
      <c r="G464" s="4" t="str">
        <f>IF(A464="","",IFERROR(ROUND(AVERAGEIFS(ASSESSMENTS!H:H,ASSESSMENTS!B:B,A464,ASSESSMENTS!E:E,"Mathematical Literacy"),1),""))</f>
        <v/>
      </c>
      <c r="H464" s="4" t="str">
        <f>IF(A464="","",IFERROR(ROUND(AVERAGEIFS(ASSESSMENTS!H:H,ASSESSMENTS!B:B,A464,ASSESSMENTS!E:E,"Physical Sciences"),1),""))</f>
        <v/>
      </c>
      <c r="I464" s="4" t="str">
        <f>IF(A464="","",IFERROR(ROUND(AVERAGEIFS(ASSESSMENTS!H:H,ASSESSMENTS!B:B,A464,ASSESSMENTS!E:E,"Geography"),1),""))</f>
        <v/>
      </c>
      <c r="J464" s="4" t="str">
        <f>IF(A464="","",IFERROR(ROUND(AVERAGEIFS(ASSESSMENTS!H:H,ASSESSMENTS!B:B,A464,ASSESSMENTS!E:E,"Accounting"),1),""))</f>
        <v/>
      </c>
      <c r="K464" s="4" t="str">
        <f>IF(A464="","",IFERROR(ROUND(AVERAGEIFS(ASSESSMENTS!H:H,ASSESSMENTS!B:B,A464,ASSESSMENTS!E:E,"English"),1),""))</f>
        <v/>
      </c>
      <c r="L464" s="5" t="str">
        <f>IF(A464="","",IFERROR(INDEX(ATTENDANCE_SUMMARY!G:G,MATCH(A464,ATTENDANCE_SUMMARY!A:A,0)),""))</f>
        <v/>
      </c>
      <c r="M464" s="4" t="str">
        <f t="shared" si="7"/>
        <v/>
      </c>
    </row>
    <row r="465" spans="1:13" x14ac:dyDescent="0.3">
      <c r="A465" t="str">
        <f>IF(MASTER_REGISTER!E465="","",MASTER_REGISTER!E465)</f>
        <v/>
      </c>
      <c r="B465" t="str">
        <f>IF(A465="","",MASTER_REGISTER!F465)</f>
        <v/>
      </c>
      <c r="C465" t="str">
        <f>IF(A465="","",MASTER_REGISTER!C465)</f>
        <v/>
      </c>
      <c r="D465" t="str">
        <f>IF(A465="","",COUNTIF(ASSESSMENTS!B:B,A465))</f>
        <v/>
      </c>
      <c r="E465" s="4" t="e">
        <f>IF(D465=0,"",ROUND(AVERAGEIF(ASSESSMENTS!B:B,A465,ASSESSMENTS!H:H),1))</f>
        <v>#DIV/0!</v>
      </c>
      <c r="F465" s="4" t="str">
        <f>IF(A465="","",IFERROR(ROUND(AVERAGEIFS(ASSESSMENTS!H:H,ASSESSMENTS!B:B,A465,ASSESSMENTS!E:E,"Mathematics"),1),""))</f>
        <v/>
      </c>
      <c r="G465" s="4" t="str">
        <f>IF(A465="","",IFERROR(ROUND(AVERAGEIFS(ASSESSMENTS!H:H,ASSESSMENTS!B:B,A465,ASSESSMENTS!E:E,"Mathematical Literacy"),1),""))</f>
        <v/>
      </c>
      <c r="H465" s="4" t="str">
        <f>IF(A465="","",IFERROR(ROUND(AVERAGEIFS(ASSESSMENTS!H:H,ASSESSMENTS!B:B,A465,ASSESSMENTS!E:E,"Physical Sciences"),1),""))</f>
        <v/>
      </c>
      <c r="I465" s="4" t="str">
        <f>IF(A465="","",IFERROR(ROUND(AVERAGEIFS(ASSESSMENTS!H:H,ASSESSMENTS!B:B,A465,ASSESSMENTS!E:E,"Geography"),1),""))</f>
        <v/>
      </c>
      <c r="J465" s="4" t="str">
        <f>IF(A465="","",IFERROR(ROUND(AVERAGEIFS(ASSESSMENTS!H:H,ASSESSMENTS!B:B,A465,ASSESSMENTS!E:E,"Accounting"),1),""))</f>
        <v/>
      </c>
      <c r="K465" s="4" t="str">
        <f>IF(A465="","",IFERROR(ROUND(AVERAGEIFS(ASSESSMENTS!H:H,ASSESSMENTS!B:B,A465,ASSESSMENTS!E:E,"English"),1),""))</f>
        <v/>
      </c>
      <c r="L465" s="5" t="str">
        <f>IF(A465="","",IFERROR(INDEX(ATTENDANCE_SUMMARY!G:G,MATCH(A465,ATTENDANCE_SUMMARY!A:A,0)),""))</f>
        <v/>
      </c>
      <c r="M465" s="4" t="str">
        <f t="shared" si="7"/>
        <v/>
      </c>
    </row>
    <row r="466" spans="1:13" x14ac:dyDescent="0.3">
      <c r="A466" t="str">
        <f>IF(MASTER_REGISTER!E466="","",MASTER_REGISTER!E466)</f>
        <v/>
      </c>
      <c r="B466" t="str">
        <f>IF(A466="","",MASTER_REGISTER!F466)</f>
        <v/>
      </c>
      <c r="C466" t="str">
        <f>IF(A466="","",MASTER_REGISTER!C466)</f>
        <v/>
      </c>
      <c r="D466" t="str">
        <f>IF(A466="","",COUNTIF(ASSESSMENTS!B:B,A466))</f>
        <v/>
      </c>
      <c r="E466" s="4" t="e">
        <f>IF(D466=0,"",ROUND(AVERAGEIF(ASSESSMENTS!B:B,A466,ASSESSMENTS!H:H),1))</f>
        <v>#DIV/0!</v>
      </c>
      <c r="F466" s="4" t="str">
        <f>IF(A466="","",IFERROR(ROUND(AVERAGEIFS(ASSESSMENTS!H:H,ASSESSMENTS!B:B,A466,ASSESSMENTS!E:E,"Mathematics"),1),""))</f>
        <v/>
      </c>
      <c r="G466" s="4" t="str">
        <f>IF(A466="","",IFERROR(ROUND(AVERAGEIFS(ASSESSMENTS!H:H,ASSESSMENTS!B:B,A466,ASSESSMENTS!E:E,"Mathematical Literacy"),1),""))</f>
        <v/>
      </c>
      <c r="H466" s="4" t="str">
        <f>IF(A466="","",IFERROR(ROUND(AVERAGEIFS(ASSESSMENTS!H:H,ASSESSMENTS!B:B,A466,ASSESSMENTS!E:E,"Physical Sciences"),1),""))</f>
        <v/>
      </c>
      <c r="I466" s="4" t="str">
        <f>IF(A466="","",IFERROR(ROUND(AVERAGEIFS(ASSESSMENTS!H:H,ASSESSMENTS!B:B,A466,ASSESSMENTS!E:E,"Geography"),1),""))</f>
        <v/>
      </c>
      <c r="J466" s="4" t="str">
        <f>IF(A466="","",IFERROR(ROUND(AVERAGEIFS(ASSESSMENTS!H:H,ASSESSMENTS!B:B,A466,ASSESSMENTS!E:E,"Accounting"),1),""))</f>
        <v/>
      </c>
      <c r="K466" s="4" t="str">
        <f>IF(A466="","",IFERROR(ROUND(AVERAGEIFS(ASSESSMENTS!H:H,ASSESSMENTS!B:B,A466,ASSESSMENTS!E:E,"English"),1),""))</f>
        <v/>
      </c>
      <c r="L466" s="5" t="str">
        <f>IF(A466="","",IFERROR(INDEX(ATTENDANCE_SUMMARY!G:G,MATCH(A466,ATTENDANCE_SUMMARY!A:A,0)),""))</f>
        <v/>
      </c>
      <c r="M466" s="4" t="str">
        <f t="shared" si="7"/>
        <v/>
      </c>
    </row>
    <row r="467" spans="1:13" x14ac:dyDescent="0.3">
      <c r="A467" t="str">
        <f>IF(MASTER_REGISTER!E467="","",MASTER_REGISTER!E467)</f>
        <v/>
      </c>
      <c r="B467" t="str">
        <f>IF(A467="","",MASTER_REGISTER!F467)</f>
        <v/>
      </c>
      <c r="C467" t="str">
        <f>IF(A467="","",MASTER_REGISTER!C467)</f>
        <v/>
      </c>
      <c r="D467" t="str">
        <f>IF(A467="","",COUNTIF(ASSESSMENTS!B:B,A467))</f>
        <v/>
      </c>
      <c r="E467" s="4" t="e">
        <f>IF(D467=0,"",ROUND(AVERAGEIF(ASSESSMENTS!B:B,A467,ASSESSMENTS!H:H),1))</f>
        <v>#DIV/0!</v>
      </c>
      <c r="F467" s="4" t="str">
        <f>IF(A467="","",IFERROR(ROUND(AVERAGEIFS(ASSESSMENTS!H:H,ASSESSMENTS!B:B,A467,ASSESSMENTS!E:E,"Mathematics"),1),""))</f>
        <v/>
      </c>
      <c r="G467" s="4" t="str">
        <f>IF(A467="","",IFERROR(ROUND(AVERAGEIFS(ASSESSMENTS!H:H,ASSESSMENTS!B:B,A467,ASSESSMENTS!E:E,"Mathematical Literacy"),1),""))</f>
        <v/>
      </c>
      <c r="H467" s="4" t="str">
        <f>IF(A467="","",IFERROR(ROUND(AVERAGEIFS(ASSESSMENTS!H:H,ASSESSMENTS!B:B,A467,ASSESSMENTS!E:E,"Physical Sciences"),1),""))</f>
        <v/>
      </c>
      <c r="I467" s="4" t="str">
        <f>IF(A467="","",IFERROR(ROUND(AVERAGEIFS(ASSESSMENTS!H:H,ASSESSMENTS!B:B,A467,ASSESSMENTS!E:E,"Geography"),1),""))</f>
        <v/>
      </c>
      <c r="J467" s="4" t="str">
        <f>IF(A467="","",IFERROR(ROUND(AVERAGEIFS(ASSESSMENTS!H:H,ASSESSMENTS!B:B,A467,ASSESSMENTS!E:E,"Accounting"),1),""))</f>
        <v/>
      </c>
      <c r="K467" s="4" t="str">
        <f>IF(A467="","",IFERROR(ROUND(AVERAGEIFS(ASSESSMENTS!H:H,ASSESSMENTS!B:B,A467,ASSESSMENTS!E:E,"English"),1),""))</f>
        <v/>
      </c>
      <c r="L467" s="5" t="str">
        <f>IF(A467="","",IFERROR(INDEX(ATTENDANCE_SUMMARY!G:G,MATCH(A467,ATTENDANCE_SUMMARY!A:A,0)),""))</f>
        <v/>
      </c>
      <c r="M467" s="4" t="str">
        <f t="shared" si="7"/>
        <v/>
      </c>
    </row>
    <row r="468" spans="1:13" x14ac:dyDescent="0.3">
      <c r="A468" t="str">
        <f>IF(MASTER_REGISTER!E468="","",MASTER_REGISTER!E468)</f>
        <v/>
      </c>
      <c r="B468" t="str">
        <f>IF(A468="","",MASTER_REGISTER!F468)</f>
        <v/>
      </c>
      <c r="C468" t="str">
        <f>IF(A468="","",MASTER_REGISTER!C468)</f>
        <v/>
      </c>
      <c r="D468" t="str">
        <f>IF(A468="","",COUNTIF(ASSESSMENTS!B:B,A468))</f>
        <v/>
      </c>
      <c r="E468" s="4" t="e">
        <f>IF(D468=0,"",ROUND(AVERAGEIF(ASSESSMENTS!B:B,A468,ASSESSMENTS!H:H),1))</f>
        <v>#DIV/0!</v>
      </c>
      <c r="F468" s="4" t="str">
        <f>IF(A468="","",IFERROR(ROUND(AVERAGEIFS(ASSESSMENTS!H:H,ASSESSMENTS!B:B,A468,ASSESSMENTS!E:E,"Mathematics"),1),""))</f>
        <v/>
      </c>
      <c r="G468" s="4" t="str">
        <f>IF(A468="","",IFERROR(ROUND(AVERAGEIFS(ASSESSMENTS!H:H,ASSESSMENTS!B:B,A468,ASSESSMENTS!E:E,"Mathematical Literacy"),1),""))</f>
        <v/>
      </c>
      <c r="H468" s="4" t="str">
        <f>IF(A468="","",IFERROR(ROUND(AVERAGEIFS(ASSESSMENTS!H:H,ASSESSMENTS!B:B,A468,ASSESSMENTS!E:E,"Physical Sciences"),1),""))</f>
        <v/>
      </c>
      <c r="I468" s="4" t="str">
        <f>IF(A468="","",IFERROR(ROUND(AVERAGEIFS(ASSESSMENTS!H:H,ASSESSMENTS!B:B,A468,ASSESSMENTS!E:E,"Geography"),1),""))</f>
        <v/>
      </c>
      <c r="J468" s="4" t="str">
        <f>IF(A468="","",IFERROR(ROUND(AVERAGEIFS(ASSESSMENTS!H:H,ASSESSMENTS!B:B,A468,ASSESSMENTS!E:E,"Accounting"),1),""))</f>
        <v/>
      </c>
      <c r="K468" s="4" t="str">
        <f>IF(A468="","",IFERROR(ROUND(AVERAGEIFS(ASSESSMENTS!H:H,ASSESSMENTS!B:B,A468,ASSESSMENTS!E:E,"English"),1),""))</f>
        <v/>
      </c>
      <c r="L468" s="5" t="str">
        <f>IF(A468="","",IFERROR(INDEX(ATTENDANCE_SUMMARY!G:G,MATCH(A468,ATTENDANCE_SUMMARY!A:A,0)),""))</f>
        <v/>
      </c>
      <c r="M468" s="4" t="str">
        <f t="shared" si="7"/>
        <v/>
      </c>
    </row>
    <row r="469" spans="1:13" x14ac:dyDescent="0.3">
      <c r="A469" t="str">
        <f>IF(MASTER_REGISTER!E469="","",MASTER_REGISTER!E469)</f>
        <v/>
      </c>
      <c r="B469" t="str">
        <f>IF(A469="","",MASTER_REGISTER!F469)</f>
        <v/>
      </c>
      <c r="C469" t="str">
        <f>IF(A469="","",MASTER_REGISTER!C469)</f>
        <v/>
      </c>
      <c r="D469" t="str">
        <f>IF(A469="","",COUNTIF(ASSESSMENTS!B:B,A469))</f>
        <v/>
      </c>
      <c r="E469" s="4" t="e">
        <f>IF(D469=0,"",ROUND(AVERAGEIF(ASSESSMENTS!B:B,A469,ASSESSMENTS!H:H),1))</f>
        <v>#DIV/0!</v>
      </c>
      <c r="F469" s="4" t="str">
        <f>IF(A469="","",IFERROR(ROUND(AVERAGEIFS(ASSESSMENTS!H:H,ASSESSMENTS!B:B,A469,ASSESSMENTS!E:E,"Mathematics"),1),""))</f>
        <v/>
      </c>
      <c r="G469" s="4" t="str">
        <f>IF(A469="","",IFERROR(ROUND(AVERAGEIFS(ASSESSMENTS!H:H,ASSESSMENTS!B:B,A469,ASSESSMENTS!E:E,"Mathematical Literacy"),1),""))</f>
        <v/>
      </c>
      <c r="H469" s="4" t="str">
        <f>IF(A469="","",IFERROR(ROUND(AVERAGEIFS(ASSESSMENTS!H:H,ASSESSMENTS!B:B,A469,ASSESSMENTS!E:E,"Physical Sciences"),1),""))</f>
        <v/>
      </c>
      <c r="I469" s="4" t="str">
        <f>IF(A469="","",IFERROR(ROUND(AVERAGEIFS(ASSESSMENTS!H:H,ASSESSMENTS!B:B,A469,ASSESSMENTS!E:E,"Geography"),1),""))</f>
        <v/>
      </c>
      <c r="J469" s="4" t="str">
        <f>IF(A469="","",IFERROR(ROUND(AVERAGEIFS(ASSESSMENTS!H:H,ASSESSMENTS!B:B,A469,ASSESSMENTS!E:E,"Accounting"),1),""))</f>
        <v/>
      </c>
      <c r="K469" s="4" t="str">
        <f>IF(A469="","",IFERROR(ROUND(AVERAGEIFS(ASSESSMENTS!H:H,ASSESSMENTS!B:B,A469,ASSESSMENTS!E:E,"English"),1),""))</f>
        <v/>
      </c>
      <c r="L469" s="5" t="str">
        <f>IF(A469="","",IFERROR(INDEX(ATTENDANCE_SUMMARY!G:G,MATCH(A469,ATTENDANCE_SUMMARY!A:A,0)),""))</f>
        <v/>
      </c>
      <c r="M469" s="4" t="str">
        <f t="shared" si="7"/>
        <v/>
      </c>
    </row>
    <row r="470" spans="1:13" x14ac:dyDescent="0.3">
      <c r="A470" t="str">
        <f>IF(MASTER_REGISTER!E470="","",MASTER_REGISTER!E470)</f>
        <v/>
      </c>
      <c r="B470" t="str">
        <f>IF(A470="","",MASTER_REGISTER!F470)</f>
        <v/>
      </c>
      <c r="C470" t="str">
        <f>IF(A470="","",MASTER_REGISTER!C470)</f>
        <v/>
      </c>
      <c r="D470" t="str">
        <f>IF(A470="","",COUNTIF(ASSESSMENTS!B:B,A470))</f>
        <v/>
      </c>
      <c r="E470" s="4" t="e">
        <f>IF(D470=0,"",ROUND(AVERAGEIF(ASSESSMENTS!B:B,A470,ASSESSMENTS!H:H),1))</f>
        <v>#DIV/0!</v>
      </c>
      <c r="F470" s="4" t="str">
        <f>IF(A470="","",IFERROR(ROUND(AVERAGEIFS(ASSESSMENTS!H:H,ASSESSMENTS!B:B,A470,ASSESSMENTS!E:E,"Mathematics"),1),""))</f>
        <v/>
      </c>
      <c r="G470" s="4" t="str">
        <f>IF(A470="","",IFERROR(ROUND(AVERAGEIFS(ASSESSMENTS!H:H,ASSESSMENTS!B:B,A470,ASSESSMENTS!E:E,"Mathematical Literacy"),1),""))</f>
        <v/>
      </c>
      <c r="H470" s="4" t="str">
        <f>IF(A470="","",IFERROR(ROUND(AVERAGEIFS(ASSESSMENTS!H:H,ASSESSMENTS!B:B,A470,ASSESSMENTS!E:E,"Physical Sciences"),1),""))</f>
        <v/>
      </c>
      <c r="I470" s="4" t="str">
        <f>IF(A470="","",IFERROR(ROUND(AVERAGEIFS(ASSESSMENTS!H:H,ASSESSMENTS!B:B,A470,ASSESSMENTS!E:E,"Geography"),1),""))</f>
        <v/>
      </c>
      <c r="J470" s="4" t="str">
        <f>IF(A470="","",IFERROR(ROUND(AVERAGEIFS(ASSESSMENTS!H:H,ASSESSMENTS!B:B,A470,ASSESSMENTS!E:E,"Accounting"),1),""))</f>
        <v/>
      </c>
      <c r="K470" s="4" t="str">
        <f>IF(A470="","",IFERROR(ROUND(AVERAGEIFS(ASSESSMENTS!H:H,ASSESSMENTS!B:B,A470,ASSESSMENTS!E:E,"English"),1),""))</f>
        <v/>
      </c>
      <c r="L470" s="5" t="str">
        <f>IF(A470="","",IFERROR(INDEX(ATTENDANCE_SUMMARY!G:G,MATCH(A470,ATTENDANCE_SUMMARY!A:A,0)),""))</f>
        <v/>
      </c>
      <c r="M470" s="4" t="str">
        <f t="shared" si="7"/>
        <v/>
      </c>
    </row>
    <row r="471" spans="1:13" x14ac:dyDescent="0.3">
      <c r="A471" t="str">
        <f>IF(MASTER_REGISTER!E471="","",MASTER_REGISTER!E471)</f>
        <v/>
      </c>
      <c r="B471" t="str">
        <f>IF(A471="","",MASTER_REGISTER!F471)</f>
        <v/>
      </c>
      <c r="C471" t="str">
        <f>IF(A471="","",MASTER_REGISTER!C471)</f>
        <v/>
      </c>
      <c r="D471" t="str">
        <f>IF(A471="","",COUNTIF(ASSESSMENTS!B:B,A471))</f>
        <v/>
      </c>
      <c r="E471" s="4" t="e">
        <f>IF(D471=0,"",ROUND(AVERAGEIF(ASSESSMENTS!B:B,A471,ASSESSMENTS!H:H),1))</f>
        <v>#DIV/0!</v>
      </c>
      <c r="F471" s="4" t="str">
        <f>IF(A471="","",IFERROR(ROUND(AVERAGEIFS(ASSESSMENTS!H:H,ASSESSMENTS!B:B,A471,ASSESSMENTS!E:E,"Mathematics"),1),""))</f>
        <v/>
      </c>
      <c r="G471" s="4" t="str">
        <f>IF(A471="","",IFERROR(ROUND(AVERAGEIFS(ASSESSMENTS!H:H,ASSESSMENTS!B:B,A471,ASSESSMENTS!E:E,"Mathematical Literacy"),1),""))</f>
        <v/>
      </c>
      <c r="H471" s="4" t="str">
        <f>IF(A471="","",IFERROR(ROUND(AVERAGEIFS(ASSESSMENTS!H:H,ASSESSMENTS!B:B,A471,ASSESSMENTS!E:E,"Physical Sciences"),1),""))</f>
        <v/>
      </c>
      <c r="I471" s="4" t="str">
        <f>IF(A471="","",IFERROR(ROUND(AVERAGEIFS(ASSESSMENTS!H:H,ASSESSMENTS!B:B,A471,ASSESSMENTS!E:E,"Geography"),1),""))</f>
        <v/>
      </c>
      <c r="J471" s="4" t="str">
        <f>IF(A471="","",IFERROR(ROUND(AVERAGEIFS(ASSESSMENTS!H:H,ASSESSMENTS!B:B,A471,ASSESSMENTS!E:E,"Accounting"),1),""))</f>
        <v/>
      </c>
      <c r="K471" s="4" t="str">
        <f>IF(A471="","",IFERROR(ROUND(AVERAGEIFS(ASSESSMENTS!H:H,ASSESSMENTS!B:B,A471,ASSESSMENTS!E:E,"English"),1),""))</f>
        <v/>
      </c>
      <c r="L471" s="5" t="str">
        <f>IF(A471="","",IFERROR(INDEX(ATTENDANCE_SUMMARY!G:G,MATCH(A471,ATTENDANCE_SUMMARY!A:A,0)),""))</f>
        <v/>
      </c>
      <c r="M471" s="4" t="str">
        <f t="shared" si="7"/>
        <v/>
      </c>
    </row>
    <row r="472" spans="1:13" x14ac:dyDescent="0.3">
      <c r="A472" t="str">
        <f>IF(MASTER_REGISTER!E472="","",MASTER_REGISTER!E472)</f>
        <v/>
      </c>
      <c r="B472" t="str">
        <f>IF(A472="","",MASTER_REGISTER!F472)</f>
        <v/>
      </c>
      <c r="C472" t="str">
        <f>IF(A472="","",MASTER_REGISTER!C472)</f>
        <v/>
      </c>
      <c r="D472" t="str">
        <f>IF(A472="","",COUNTIF(ASSESSMENTS!B:B,A472))</f>
        <v/>
      </c>
      <c r="E472" s="4" t="e">
        <f>IF(D472=0,"",ROUND(AVERAGEIF(ASSESSMENTS!B:B,A472,ASSESSMENTS!H:H),1))</f>
        <v>#DIV/0!</v>
      </c>
      <c r="F472" s="4" t="str">
        <f>IF(A472="","",IFERROR(ROUND(AVERAGEIFS(ASSESSMENTS!H:H,ASSESSMENTS!B:B,A472,ASSESSMENTS!E:E,"Mathematics"),1),""))</f>
        <v/>
      </c>
      <c r="G472" s="4" t="str">
        <f>IF(A472="","",IFERROR(ROUND(AVERAGEIFS(ASSESSMENTS!H:H,ASSESSMENTS!B:B,A472,ASSESSMENTS!E:E,"Mathematical Literacy"),1),""))</f>
        <v/>
      </c>
      <c r="H472" s="4" t="str">
        <f>IF(A472="","",IFERROR(ROUND(AVERAGEIFS(ASSESSMENTS!H:H,ASSESSMENTS!B:B,A472,ASSESSMENTS!E:E,"Physical Sciences"),1),""))</f>
        <v/>
      </c>
      <c r="I472" s="4" t="str">
        <f>IF(A472="","",IFERROR(ROUND(AVERAGEIFS(ASSESSMENTS!H:H,ASSESSMENTS!B:B,A472,ASSESSMENTS!E:E,"Geography"),1),""))</f>
        <v/>
      </c>
      <c r="J472" s="4" t="str">
        <f>IF(A472="","",IFERROR(ROUND(AVERAGEIFS(ASSESSMENTS!H:H,ASSESSMENTS!B:B,A472,ASSESSMENTS!E:E,"Accounting"),1),""))</f>
        <v/>
      </c>
      <c r="K472" s="4" t="str">
        <f>IF(A472="","",IFERROR(ROUND(AVERAGEIFS(ASSESSMENTS!H:H,ASSESSMENTS!B:B,A472,ASSESSMENTS!E:E,"English"),1),""))</f>
        <v/>
      </c>
      <c r="L472" s="5" t="str">
        <f>IF(A472="","",IFERROR(INDEX(ATTENDANCE_SUMMARY!G:G,MATCH(A472,ATTENDANCE_SUMMARY!A:A,0)),""))</f>
        <v/>
      </c>
      <c r="M472" s="4" t="str">
        <f t="shared" si="7"/>
        <v/>
      </c>
    </row>
    <row r="473" spans="1:13" x14ac:dyDescent="0.3">
      <c r="A473" t="str">
        <f>IF(MASTER_REGISTER!E473="","",MASTER_REGISTER!E473)</f>
        <v/>
      </c>
      <c r="B473" t="str">
        <f>IF(A473="","",MASTER_REGISTER!F473)</f>
        <v/>
      </c>
      <c r="C473" t="str">
        <f>IF(A473="","",MASTER_REGISTER!C473)</f>
        <v/>
      </c>
      <c r="D473" t="str">
        <f>IF(A473="","",COUNTIF(ASSESSMENTS!B:B,A473))</f>
        <v/>
      </c>
      <c r="E473" s="4" t="e">
        <f>IF(D473=0,"",ROUND(AVERAGEIF(ASSESSMENTS!B:B,A473,ASSESSMENTS!H:H),1))</f>
        <v>#DIV/0!</v>
      </c>
      <c r="F473" s="4" t="str">
        <f>IF(A473="","",IFERROR(ROUND(AVERAGEIFS(ASSESSMENTS!H:H,ASSESSMENTS!B:B,A473,ASSESSMENTS!E:E,"Mathematics"),1),""))</f>
        <v/>
      </c>
      <c r="G473" s="4" t="str">
        <f>IF(A473="","",IFERROR(ROUND(AVERAGEIFS(ASSESSMENTS!H:H,ASSESSMENTS!B:B,A473,ASSESSMENTS!E:E,"Mathematical Literacy"),1),""))</f>
        <v/>
      </c>
      <c r="H473" s="4" t="str">
        <f>IF(A473="","",IFERROR(ROUND(AVERAGEIFS(ASSESSMENTS!H:H,ASSESSMENTS!B:B,A473,ASSESSMENTS!E:E,"Physical Sciences"),1),""))</f>
        <v/>
      </c>
      <c r="I473" s="4" t="str">
        <f>IF(A473="","",IFERROR(ROUND(AVERAGEIFS(ASSESSMENTS!H:H,ASSESSMENTS!B:B,A473,ASSESSMENTS!E:E,"Geography"),1),""))</f>
        <v/>
      </c>
      <c r="J473" s="4" t="str">
        <f>IF(A473="","",IFERROR(ROUND(AVERAGEIFS(ASSESSMENTS!H:H,ASSESSMENTS!B:B,A473,ASSESSMENTS!E:E,"Accounting"),1),""))</f>
        <v/>
      </c>
      <c r="K473" s="4" t="str">
        <f>IF(A473="","",IFERROR(ROUND(AVERAGEIFS(ASSESSMENTS!H:H,ASSESSMENTS!B:B,A473,ASSESSMENTS!E:E,"English"),1),""))</f>
        <v/>
      </c>
      <c r="L473" s="5" t="str">
        <f>IF(A473="","",IFERROR(INDEX(ATTENDANCE_SUMMARY!G:G,MATCH(A473,ATTENDANCE_SUMMARY!A:A,0)),""))</f>
        <v/>
      </c>
      <c r="M473" s="4" t="str">
        <f t="shared" si="7"/>
        <v/>
      </c>
    </row>
    <row r="474" spans="1:13" x14ac:dyDescent="0.3">
      <c r="A474" t="str">
        <f>IF(MASTER_REGISTER!E474="","",MASTER_REGISTER!E474)</f>
        <v/>
      </c>
      <c r="B474" t="str">
        <f>IF(A474="","",MASTER_REGISTER!F474)</f>
        <v/>
      </c>
      <c r="C474" t="str">
        <f>IF(A474="","",MASTER_REGISTER!C474)</f>
        <v/>
      </c>
      <c r="D474" t="str">
        <f>IF(A474="","",COUNTIF(ASSESSMENTS!B:B,A474))</f>
        <v/>
      </c>
      <c r="E474" s="4" t="e">
        <f>IF(D474=0,"",ROUND(AVERAGEIF(ASSESSMENTS!B:B,A474,ASSESSMENTS!H:H),1))</f>
        <v>#DIV/0!</v>
      </c>
      <c r="F474" s="4" t="str">
        <f>IF(A474="","",IFERROR(ROUND(AVERAGEIFS(ASSESSMENTS!H:H,ASSESSMENTS!B:B,A474,ASSESSMENTS!E:E,"Mathematics"),1),""))</f>
        <v/>
      </c>
      <c r="G474" s="4" t="str">
        <f>IF(A474="","",IFERROR(ROUND(AVERAGEIFS(ASSESSMENTS!H:H,ASSESSMENTS!B:B,A474,ASSESSMENTS!E:E,"Mathematical Literacy"),1),""))</f>
        <v/>
      </c>
      <c r="H474" s="4" t="str">
        <f>IF(A474="","",IFERROR(ROUND(AVERAGEIFS(ASSESSMENTS!H:H,ASSESSMENTS!B:B,A474,ASSESSMENTS!E:E,"Physical Sciences"),1),""))</f>
        <v/>
      </c>
      <c r="I474" s="4" t="str">
        <f>IF(A474="","",IFERROR(ROUND(AVERAGEIFS(ASSESSMENTS!H:H,ASSESSMENTS!B:B,A474,ASSESSMENTS!E:E,"Geography"),1),""))</f>
        <v/>
      </c>
      <c r="J474" s="4" t="str">
        <f>IF(A474="","",IFERROR(ROUND(AVERAGEIFS(ASSESSMENTS!H:H,ASSESSMENTS!B:B,A474,ASSESSMENTS!E:E,"Accounting"),1),""))</f>
        <v/>
      </c>
      <c r="K474" s="4" t="str">
        <f>IF(A474="","",IFERROR(ROUND(AVERAGEIFS(ASSESSMENTS!H:H,ASSESSMENTS!B:B,A474,ASSESSMENTS!E:E,"English"),1),""))</f>
        <v/>
      </c>
      <c r="L474" s="5" t="str">
        <f>IF(A474="","",IFERROR(INDEX(ATTENDANCE_SUMMARY!G:G,MATCH(A474,ATTENDANCE_SUMMARY!A:A,0)),""))</f>
        <v/>
      </c>
      <c r="M474" s="4" t="str">
        <f t="shared" si="7"/>
        <v/>
      </c>
    </row>
    <row r="475" spans="1:13" x14ac:dyDescent="0.3">
      <c r="A475" t="str">
        <f>IF(MASTER_REGISTER!E475="","",MASTER_REGISTER!E475)</f>
        <v/>
      </c>
      <c r="B475" t="str">
        <f>IF(A475="","",MASTER_REGISTER!F475)</f>
        <v/>
      </c>
      <c r="C475" t="str">
        <f>IF(A475="","",MASTER_REGISTER!C475)</f>
        <v/>
      </c>
      <c r="D475" t="str">
        <f>IF(A475="","",COUNTIF(ASSESSMENTS!B:B,A475))</f>
        <v/>
      </c>
      <c r="E475" s="4" t="e">
        <f>IF(D475=0,"",ROUND(AVERAGEIF(ASSESSMENTS!B:B,A475,ASSESSMENTS!H:H),1))</f>
        <v>#DIV/0!</v>
      </c>
      <c r="F475" s="4" t="str">
        <f>IF(A475="","",IFERROR(ROUND(AVERAGEIFS(ASSESSMENTS!H:H,ASSESSMENTS!B:B,A475,ASSESSMENTS!E:E,"Mathematics"),1),""))</f>
        <v/>
      </c>
      <c r="G475" s="4" t="str">
        <f>IF(A475="","",IFERROR(ROUND(AVERAGEIFS(ASSESSMENTS!H:H,ASSESSMENTS!B:B,A475,ASSESSMENTS!E:E,"Mathematical Literacy"),1),""))</f>
        <v/>
      </c>
      <c r="H475" s="4" t="str">
        <f>IF(A475="","",IFERROR(ROUND(AVERAGEIFS(ASSESSMENTS!H:H,ASSESSMENTS!B:B,A475,ASSESSMENTS!E:E,"Physical Sciences"),1),""))</f>
        <v/>
      </c>
      <c r="I475" s="4" t="str">
        <f>IF(A475="","",IFERROR(ROUND(AVERAGEIFS(ASSESSMENTS!H:H,ASSESSMENTS!B:B,A475,ASSESSMENTS!E:E,"Geography"),1),""))</f>
        <v/>
      </c>
      <c r="J475" s="4" t="str">
        <f>IF(A475="","",IFERROR(ROUND(AVERAGEIFS(ASSESSMENTS!H:H,ASSESSMENTS!B:B,A475,ASSESSMENTS!E:E,"Accounting"),1),""))</f>
        <v/>
      </c>
      <c r="K475" s="4" t="str">
        <f>IF(A475="","",IFERROR(ROUND(AVERAGEIFS(ASSESSMENTS!H:H,ASSESSMENTS!B:B,A475,ASSESSMENTS!E:E,"English"),1),""))</f>
        <v/>
      </c>
      <c r="L475" s="5" t="str">
        <f>IF(A475="","",IFERROR(INDEX(ATTENDANCE_SUMMARY!G:G,MATCH(A475,ATTENDANCE_SUMMARY!A:A,0)),""))</f>
        <v/>
      </c>
      <c r="M475" s="4" t="str">
        <f t="shared" si="7"/>
        <v/>
      </c>
    </row>
    <row r="476" spans="1:13" x14ac:dyDescent="0.3">
      <c r="A476" t="str">
        <f>IF(MASTER_REGISTER!E476="","",MASTER_REGISTER!E476)</f>
        <v/>
      </c>
      <c r="B476" t="str">
        <f>IF(A476="","",MASTER_REGISTER!F476)</f>
        <v/>
      </c>
      <c r="C476" t="str">
        <f>IF(A476="","",MASTER_REGISTER!C476)</f>
        <v/>
      </c>
      <c r="D476" t="str">
        <f>IF(A476="","",COUNTIF(ASSESSMENTS!B:B,A476))</f>
        <v/>
      </c>
      <c r="E476" s="4" t="e">
        <f>IF(D476=0,"",ROUND(AVERAGEIF(ASSESSMENTS!B:B,A476,ASSESSMENTS!H:H),1))</f>
        <v>#DIV/0!</v>
      </c>
      <c r="F476" s="4" t="str">
        <f>IF(A476="","",IFERROR(ROUND(AVERAGEIFS(ASSESSMENTS!H:H,ASSESSMENTS!B:B,A476,ASSESSMENTS!E:E,"Mathematics"),1),""))</f>
        <v/>
      </c>
      <c r="G476" s="4" t="str">
        <f>IF(A476="","",IFERROR(ROUND(AVERAGEIFS(ASSESSMENTS!H:H,ASSESSMENTS!B:B,A476,ASSESSMENTS!E:E,"Mathematical Literacy"),1),""))</f>
        <v/>
      </c>
      <c r="H476" s="4" t="str">
        <f>IF(A476="","",IFERROR(ROUND(AVERAGEIFS(ASSESSMENTS!H:H,ASSESSMENTS!B:B,A476,ASSESSMENTS!E:E,"Physical Sciences"),1),""))</f>
        <v/>
      </c>
      <c r="I476" s="4" t="str">
        <f>IF(A476="","",IFERROR(ROUND(AVERAGEIFS(ASSESSMENTS!H:H,ASSESSMENTS!B:B,A476,ASSESSMENTS!E:E,"Geography"),1),""))</f>
        <v/>
      </c>
      <c r="J476" s="4" t="str">
        <f>IF(A476="","",IFERROR(ROUND(AVERAGEIFS(ASSESSMENTS!H:H,ASSESSMENTS!B:B,A476,ASSESSMENTS!E:E,"Accounting"),1),""))</f>
        <v/>
      </c>
      <c r="K476" s="4" t="str">
        <f>IF(A476="","",IFERROR(ROUND(AVERAGEIFS(ASSESSMENTS!H:H,ASSESSMENTS!B:B,A476,ASSESSMENTS!E:E,"English"),1),""))</f>
        <v/>
      </c>
      <c r="L476" s="5" t="str">
        <f>IF(A476="","",IFERROR(INDEX(ATTENDANCE_SUMMARY!G:G,MATCH(A476,ATTENDANCE_SUMMARY!A:A,0)),""))</f>
        <v/>
      </c>
      <c r="M476" s="4" t="str">
        <f t="shared" si="7"/>
        <v/>
      </c>
    </row>
    <row r="477" spans="1:13" x14ac:dyDescent="0.3">
      <c r="A477" t="str">
        <f>IF(MASTER_REGISTER!E477="","",MASTER_REGISTER!E477)</f>
        <v/>
      </c>
      <c r="B477" t="str">
        <f>IF(A477="","",MASTER_REGISTER!F477)</f>
        <v/>
      </c>
      <c r="C477" t="str">
        <f>IF(A477="","",MASTER_REGISTER!C477)</f>
        <v/>
      </c>
      <c r="D477" t="str">
        <f>IF(A477="","",COUNTIF(ASSESSMENTS!B:B,A477))</f>
        <v/>
      </c>
      <c r="E477" s="4" t="e">
        <f>IF(D477=0,"",ROUND(AVERAGEIF(ASSESSMENTS!B:B,A477,ASSESSMENTS!H:H),1))</f>
        <v>#DIV/0!</v>
      </c>
      <c r="F477" s="4" t="str">
        <f>IF(A477="","",IFERROR(ROUND(AVERAGEIFS(ASSESSMENTS!H:H,ASSESSMENTS!B:B,A477,ASSESSMENTS!E:E,"Mathematics"),1),""))</f>
        <v/>
      </c>
      <c r="G477" s="4" t="str">
        <f>IF(A477="","",IFERROR(ROUND(AVERAGEIFS(ASSESSMENTS!H:H,ASSESSMENTS!B:B,A477,ASSESSMENTS!E:E,"Mathematical Literacy"),1),""))</f>
        <v/>
      </c>
      <c r="H477" s="4" t="str">
        <f>IF(A477="","",IFERROR(ROUND(AVERAGEIFS(ASSESSMENTS!H:H,ASSESSMENTS!B:B,A477,ASSESSMENTS!E:E,"Physical Sciences"),1),""))</f>
        <v/>
      </c>
      <c r="I477" s="4" t="str">
        <f>IF(A477="","",IFERROR(ROUND(AVERAGEIFS(ASSESSMENTS!H:H,ASSESSMENTS!B:B,A477,ASSESSMENTS!E:E,"Geography"),1),""))</f>
        <v/>
      </c>
      <c r="J477" s="4" t="str">
        <f>IF(A477="","",IFERROR(ROUND(AVERAGEIFS(ASSESSMENTS!H:H,ASSESSMENTS!B:B,A477,ASSESSMENTS!E:E,"Accounting"),1),""))</f>
        <v/>
      </c>
      <c r="K477" s="4" t="str">
        <f>IF(A477="","",IFERROR(ROUND(AVERAGEIFS(ASSESSMENTS!H:H,ASSESSMENTS!B:B,A477,ASSESSMENTS!E:E,"English"),1),""))</f>
        <v/>
      </c>
      <c r="L477" s="5" t="str">
        <f>IF(A477="","",IFERROR(INDEX(ATTENDANCE_SUMMARY!G:G,MATCH(A477,ATTENDANCE_SUMMARY!A:A,0)),""))</f>
        <v/>
      </c>
      <c r="M477" s="4" t="str">
        <f t="shared" si="7"/>
        <v/>
      </c>
    </row>
    <row r="478" spans="1:13" x14ac:dyDescent="0.3">
      <c r="A478" t="str">
        <f>IF(MASTER_REGISTER!E478="","",MASTER_REGISTER!E478)</f>
        <v/>
      </c>
      <c r="B478" t="str">
        <f>IF(A478="","",MASTER_REGISTER!F478)</f>
        <v/>
      </c>
      <c r="C478" t="str">
        <f>IF(A478="","",MASTER_REGISTER!C478)</f>
        <v/>
      </c>
      <c r="D478" t="str">
        <f>IF(A478="","",COUNTIF(ASSESSMENTS!B:B,A478))</f>
        <v/>
      </c>
      <c r="E478" s="4" t="e">
        <f>IF(D478=0,"",ROUND(AVERAGEIF(ASSESSMENTS!B:B,A478,ASSESSMENTS!H:H),1))</f>
        <v>#DIV/0!</v>
      </c>
      <c r="F478" s="4" t="str">
        <f>IF(A478="","",IFERROR(ROUND(AVERAGEIFS(ASSESSMENTS!H:H,ASSESSMENTS!B:B,A478,ASSESSMENTS!E:E,"Mathematics"),1),""))</f>
        <v/>
      </c>
      <c r="G478" s="4" t="str">
        <f>IF(A478="","",IFERROR(ROUND(AVERAGEIFS(ASSESSMENTS!H:H,ASSESSMENTS!B:B,A478,ASSESSMENTS!E:E,"Mathematical Literacy"),1),""))</f>
        <v/>
      </c>
      <c r="H478" s="4" t="str">
        <f>IF(A478="","",IFERROR(ROUND(AVERAGEIFS(ASSESSMENTS!H:H,ASSESSMENTS!B:B,A478,ASSESSMENTS!E:E,"Physical Sciences"),1),""))</f>
        <v/>
      </c>
      <c r="I478" s="4" t="str">
        <f>IF(A478="","",IFERROR(ROUND(AVERAGEIFS(ASSESSMENTS!H:H,ASSESSMENTS!B:B,A478,ASSESSMENTS!E:E,"Geography"),1),""))</f>
        <v/>
      </c>
      <c r="J478" s="4" t="str">
        <f>IF(A478="","",IFERROR(ROUND(AVERAGEIFS(ASSESSMENTS!H:H,ASSESSMENTS!B:B,A478,ASSESSMENTS!E:E,"Accounting"),1),""))</f>
        <v/>
      </c>
      <c r="K478" s="4" t="str">
        <f>IF(A478="","",IFERROR(ROUND(AVERAGEIFS(ASSESSMENTS!H:H,ASSESSMENTS!B:B,A478,ASSESSMENTS!E:E,"English"),1),""))</f>
        <v/>
      </c>
      <c r="L478" s="5" t="str">
        <f>IF(A478="","",IFERROR(INDEX(ATTENDANCE_SUMMARY!G:G,MATCH(A478,ATTENDANCE_SUMMARY!A:A,0)),""))</f>
        <v/>
      </c>
      <c r="M478" s="4" t="str">
        <f t="shared" si="7"/>
        <v/>
      </c>
    </row>
    <row r="479" spans="1:13" x14ac:dyDescent="0.3">
      <c r="A479" t="str">
        <f>IF(MASTER_REGISTER!E479="","",MASTER_REGISTER!E479)</f>
        <v/>
      </c>
      <c r="B479" t="str">
        <f>IF(A479="","",MASTER_REGISTER!F479)</f>
        <v/>
      </c>
      <c r="C479" t="str">
        <f>IF(A479="","",MASTER_REGISTER!C479)</f>
        <v/>
      </c>
      <c r="D479" t="str">
        <f>IF(A479="","",COUNTIF(ASSESSMENTS!B:B,A479))</f>
        <v/>
      </c>
      <c r="E479" s="4" t="e">
        <f>IF(D479=0,"",ROUND(AVERAGEIF(ASSESSMENTS!B:B,A479,ASSESSMENTS!H:H),1))</f>
        <v>#DIV/0!</v>
      </c>
      <c r="F479" s="4" t="str">
        <f>IF(A479="","",IFERROR(ROUND(AVERAGEIFS(ASSESSMENTS!H:H,ASSESSMENTS!B:B,A479,ASSESSMENTS!E:E,"Mathematics"),1),""))</f>
        <v/>
      </c>
      <c r="G479" s="4" t="str">
        <f>IF(A479="","",IFERROR(ROUND(AVERAGEIFS(ASSESSMENTS!H:H,ASSESSMENTS!B:B,A479,ASSESSMENTS!E:E,"Mathematical Literacy"),1),""))</f>
        <v/>
      </c>
      <c r="H479" s="4" t="str">
        <f>IF(A479="","",IFERROR(ROUND(AVERAGEIFS(ASSESSMENTS!H:H,ASSESSMENTS!B:B,A479,ASSESSMENTS!E:E,"Physical Sciences"),1),""))</f>
        <v/>
      </c>
      <c r="I479" s="4" t="str">
        <f>IF(A479="","",IFERROR(ROUND(AVERAGEIFS(ASSESSMENTS!H:H,ASSESSMENTS!B:B,A479,ASSESSMENTS!E:E,"Geography"),1),""))</f>
        <v/>
      </c>
      <c r="J479" s="4" t="str">
        <f>IF(A479="","",IFERROR(ROUND(AVERAGEIFS(ASSESSMENTS!H:H,ASSESSMENTS!B:B,A479,ASSESSMENTS!E:E,"Accounting"),1),""))</f>
        <v/>
      </c>
      <c r="K479" s="4" t="str">
        <f>IF(A479="","",IFERROR(ROUND(AVERAGEIFS(ASSESSMENTS!H:H,ASSESSMENTS!B:B,A479,ASSESSMENTS!E:E,"English"),1),""))</f>
        <v/>
      </c>
      <c r="L479" s="5" t="str">
        <f>IF(A479="","",IFERROR(INDEX(ATTENDANCE_SUMMARY!G:G,MATCH(A479,ATTENDANCE_SUMMARY!A:A,0)),""))</f>
        <v/>
      </c>
      <c r="M479" s="4" t="str">
        <f t="shared" si="7"/>
        <v/>
      </c>
    </row>
    <row r="480" spans="1:13" x14ac:dyDescent="0.3">
      <c r="A480" t="str">
        <f>IF(MASTER_REGISTER!E480="","",MASTER_REGISTER!E480)</f>
        <v/>
      </c>
      <c r="B480" t="str">
        <f>IF(A480="","",MASTER_REGISTER!F480)</f>
        <v/>
      </c>
      <c r="C480" t="str">
        <f>IF(A480="","",MASTER_REGISTER!C480)</f>
        <v/>
      </c>
      <c r="D480" t="str">
        <f>IF(A480="","",COUNTIF(ASSESSMENTS!B:B,A480))</f>
        <v/>
      </c>
      <c r="E480" s="4" t="e">
        <f>IF(D480=0,"",ROUND(AVERAGEIF(ASSESSMENTS!B:B,A480,ASSESSMENTS!H:H),1))</f>
        <v>#DIV/0!</v>
      </c>
      <c r="F480" s="4" t="str">
        <f>IF(A480="","",IFERROR(ROUND(AVERAGEIFS(ASSESSMENTS!H:H,ASSESSMENTS!B:B,A480,ASSESSMENTS!E:E,"Mathematics"),1),""))</f>
        <v/>
      </c>
      <c r="G480" s="4" t="str">
        <f>IF(A480="","",IFERROR(ROUND(AVERAGEIFS(ASSESSMENTS!H:H,ASSESSMENTS!B:B,A480,ASSESSMENTS!E:E,"Mathematical Literacy"),1),""))</f>
        <v/>
      </c>
      <c r="H480" s="4" t="str">
        <f>IF(A480="","",IFERROR(ROUND(AVERAGEIFS(ASSESSMENTS!H:H,ASSESSMENTS!B:B,A480,ASSESSMENTS!E:E,"Physical Sciences"),1),""))</f>
        <v/>
      </c>
      <c r="I480" s="4" t="str">
        <f>IF(A480="","",IFERROR(ROUND(AVERAGEIFS(ASSESSMENTS!H:H,ASSESSMENTS!B:B,A480,ASSESSMENTS!E:E,"Geography"),1),""))</f>
        <v/>
      </c>
      <c r="J480" s="4" t="str">
        <f>IF(A480="","",IFERROR(ROUND(AVERAGEIFS(ASSESSMENTS!H:H,ASSESSMENTS!B:B,A480,ASSESSMENTS!E:E,"Accounting"),1),""))</f>
        <v/>
      </c>
      <c r="K480" s="4" t="str">
        <f>IF(A480="","",IFERROR(ROUND(AVERAGEIFS(ASSESSMENTS!H:H,ASSESSMENTS!B:B,A480,ASSESSMENTS!E:E,"English"),1),""))</f>
        <v/>
      </c>
      <c r="L480" s="5" t="str">
        <f>IF(A480="","",IFERROR(INDEX(ATTENDANCE_SUMMARY!G:G,MATCH(A480,ATTENDANCE_SUMMARY!A:A,0)),""))</f>
        <v/>
      </c>
      <c r="M480" s="4" t="str">
        <f t="shared" si="7"/>
        <v/>
      </c>
    </row>
    <row r="481" spans="1:13" x14ac:dyDescent="0.3">
      <c r="A481" t="str">
        <f>IF(MASTER_REGISTER!E481="","",MASTER_REGISTER!E481)</f>
        <v/>
      </c>
      <c r="B481" t="str">
        <f>IF(A481="","",MASTER_REGISTER!F481)</f>
        <v/>
      </c>
      <c r="C481" t="str">
        <f>IF(A481="","",MASTER_REGISTER!C481)</f>
        <v/>
      </c>
      <c r="D481" t="str">
        <f>IF(A481="","",COUNTIF(ASSESSMENTS!B:B,A481))</f>
        <v/>
      </c>
      <c r="E481" s="4" t="e">
        <f>IF(D481=0,"",ROUND(AVERAGEIF(ASSESSMENTS!B:B,A481,ASSESSMENTS!H:H),1))</f>
        <v>#DIV/0!</v>
      </c>
      <c r="F481" s="4" t="str">
        <f>IF(A481="","",IFERROR(ROUND(AVERAGEIFS(ASSESSMENTS!H:H,ASSESSMENTS!B:B,A481,ASSESSMENTS!E:E,"Mathematics"),1),""))</f>
        <v/>
      </c>
      <c r="G481" s="4" t="str">
        <f>IF(A481="","",IFERROR(ROUND(AVERAGEIFS(ASSESSMENTS!H:H,ASSESSMENTS!B:B,A481,ASSESSMENTS!E:E,"Mathematical Literacy"),1),""))</f>
        <v/>
      </c>
      <c r="H481" s="4" t="str">
        <f>IF(A481="","",IFERROR(ROUND(AVERAGEIFS(ASSESSMENTS!H:H,ASSESSMENTS!B:B,A481,ASSESSMENTS!E:E,"Physical Sciences"),1),""))</f>
        <v/>
      </c>
      <c r="I481" s="4" t="str">
        <f>IF(A481="","",IFERROR(ROUND(AVERAGEIFS(ASSESSMENTS!H:H,ASSESSMENTS!B:B,A481,ASSESSMENTS!E:E,"Geography"),1),""))</f>
        <v/>
      </c>
      <c r="J481" s="4" t="str">
        <f>IF(A481="","",IFERROR(ROUND(AVERAGEIFS(ASSESSMENTS!H:H,ASSESSMENTS!B:B,A481,ASSESSMENTS!E:E,"Accounting"),1),""))</f>
        <v/>
      </c>
      <c r="K481" s="4" t="str">
        <f>IF(A481="","",IFERROR(ROUND(AVERAGEIFS(ASSESSMENTS!H:H,ASSESSMENTS!B:B,A481,ASSESSMENTS!E:E,"English"),1),""))</f>
        <v/>
      </c>
      <c r="L481" s="5" t="str">
        <f>IF(A481="","",IFERROR(INDEX(ATTENDANCE_SUMMARY!G:G,MATCH(A481,ATTENDANCE_SUMMARY!A:A,0)),""))</f>
        <v/>
      </c>
      <c r="M481" s="4" t="str">
        <f t="shared" si="7"/>
        <v/>
      </c>
    </row>
    <row r="482" spans="1:13" x14ac:dyDescent="0.3">
      <c r="A482" t="str">
        <f>IF(MASTER_REGISTER!E482="","",MASTER_REGISTER!E482)</f>
        <v/>
      </c>
      <c r="B482" t="str">
        <f>IF(A482="","",MASTER_REGISTER!F482)</f>
        <v/>
      </c>
      <c r="C482" t="str">
        <f>IF(A482="","",MASTER_REGISTER!C482)</f>
        <v/>
      </c>
      <c r="D482" t="str">
        <f>IF(A482="","",COUNTIF(ASSESSMENTS!B:B,A482))</f>
        <v/>
      </c>
      <c r="E482" s="4" t="e">
        <f>IF(D482=0,"",ROUND(AVERAGEIF(ASSESSMENTS!B:B,A482,ASSESSMENTS!H:H),1))</f>
        <v>#DIV/0!</v>
      </c>
      <c r="F482" s="4" t="str">
        <f>IF(A482="","",IFERROR(ROUND(AVERAGEIFS(ASSESSMENTS!H:H,ASSESSMENTS!B:B,A482,ASSESSMENTS!E:E,"Mathematics"),1),""))</f>
        <v/>
      </c>
      <c r="G482" s="4" t="str">
        <f>IF(A482="","",IFERROR(ROUND(AVERAGEIFS(ASSESSMENTS!H:H,ASSESSMENTS!B:B,A482,ASSESSMENTS!E:E,"Mathematical Literacy"),1),""))</f>
        <v/>
      </c>
      <c r="H482" s="4" t="str">
        <f>IF(A482="","",IFERROR(ROUND(AVERAGEIFS(ASSESSMENTS!H:H,ASSESSMENTS!B:B,A482,ASSESSMENTS!E:E,"Physical Sciences"),1),""))</f>
        <v/>
      </c>
      <c r="I482" s="4" t="str">
        <f>IF(A482="","",IFERROR(ROUND(AVERAGEIFS(ASSESSMENTS!H:H,ASSESSMENTS!B:B,A482,ASSESSMENTS!E:E,"Geography"),1),""))</f>
        <v/>
      </c>
      <c r="J482" s="4" t="str">
        <f>IF(A482="","",IFERROR(ROUND(AVERAGEIFS(ASSESSMENTS!H:H,ASSESSMENTS!B:B,A482,ASSESSMENTS!E:E,"Accounting"),1),""))</f>
        <v/>
      </c>
      <c r="K482" s="4" t="str">
        <f>IF(A482="","",IFERROR(ROUND(AVERAGEIFS(ASSESSMENTS!H:H,ASSESSMENTS!B:B,A482,ASSESSMENTS!E:E,"English"),1),""))</f>
        <v/>
      </c>
      <c r="L482" s="5" t="str">
        <f>IF(A482="","",IFERROR(INDEX(ATTENDANCE_SUMMARY!G:G,MATCH(A482,ATTENDANCE_SUMMARY!A:A,0)),""))</f>
        <v/>
      </c>
      <c r="M482" s="4" t="str">
        <f t="shared" si="7"/>
        <v/>
      </c>
    </row>
    <row r="483" spans="1:13" x14ac:dyDescent="0.3">
      <c r="A483" t="str">
        <f>IF(MASTER_REGISTER!E483="","",MASTER_REGISTER!E483)</f>
        <v/>
      </c>
      <c r="B483" t="str">
        <f>IF(A483="","",MASTER_REGISTER!F483)</f>
        <v/>
      </c>
      <c r="C483" t="str">
        <f>IF(A483="","",MASTER_REGISTER!C483)</f>
        <v/>
      </c>
      <c r="D483" t="str">
        <f>IF(A483="","",COUNTIF(ASSESSMENTS!B:B,A483))</f>
        <v/>
      </c>
      <c r="E483" s="4" t="e">
        <f>IF(D483=0,"",ROUND(AVERAGEIF(ASSESSMENTS!B:B,A483,ASSESSMENTS!H:H),1))</f>
        <v>#DIV/0!</v>
      </c>
      <c r="F483" s="4" t="str">
        <f>IF(A483="","",IFERROR(ROUND(AVERAGEIFS(ASSESSMENTS!H:H,ASSESSMENTS!B:B,A483,ASSESSMENTS!E:E,"Mathematics"),1),""))</f>
        <v/>
      </c>
      <c r="G483" s="4" t="str">
        <f>IF(A483="","",IFERROR(ROUND(AVERAGEIFS(ASSESSMENTS!H:H,ASSESSMENTS!B:B,A483,ASSESSMENTS!E:E,"Mathematical Literacy"),1),""))</f>
        <v/>
      </c>
      <c r="H483" s="4" t="str">
        <f>IF(A483="","",IFERROR(ROUND(AVERAGEIFS(ASSESSMENTS!H:H,ASSESSMENTS!B:B,A483,ASSESSMENTS!E:E,"Physical Sciences"),1),""))</f>
        <v/>
      </c>
      <c r="I483" s="4" t="str">
        <f>IF(A483="","",IFERROR(ROUND(AVERAGEIFS(ASSESSMENTS!H:H,ASSESSMENTS!B:B,A483,ASSESSMENTS!E:E,"Geography"),1),""))</f>
        <v/>
      </c>
      <c r="J483" s="4" t="str">
        <f>IF(A483="","",IFERROR(ROUND(AVERAGEIFS(ASSESSMENTS!H:H,ASSESSMENTS!B:B,A483,ASSESSMENTS!E:E,"Accounting"),1),""))</f>
        <v/>
      </c>
      <c r="K483" s="4" t="str">
        <f>IF(A483="","",IFERROR(ROUND(AVERAGEIFS(ASSESSMENTS!H:H,ASSESSMENTS!B:B,A483,ASSESSMENTS!E:E,"English"),1),""))</f>
        <v/>
      </c>
      <c r="L483" s="5" t="str">
        <f>IF(A483="","",IFERROR(INDEX(ATTENDANCE_SUMMARY!G:G,MATCH(A483,ATTENDANCE_SUMMARY!A:A,0)),""))</f>
        <v/>
      </c>
      <c r="M483" s="4" t="str">
        <f t="shared" si="7"/>
        <v/>
      </c>
    </row>
    <row r="484" spans="1:13" x14ac:dyDescent="0.3">
      <c r="A484" t="str">
        <f>IF(MASTER_REGISTER!E484="","",MASTER_REGISTER!E484)</f>
        <v/>
      </c>
      <c r="B484" t="str">
        <f>IF(A484="","",MASTER_REGISTER!F484)</f>
        <v/>
      </c>
      <c r="C484" t="str">
        <f>IF(A484="","",MASTER_REGISTER!C484)</f>
        <v/>
      </c>
      <c r="D484" t="str">
        <f>IF(A484="","",COUNTIF(ASSESSMENTS!B:B,A484))</f>
        <v/>
      </c>
      <c r="E484" s="4" t="e">
        <f>IF(D484=0,"",ROUND(AVERAGEIF(ASSESSMENTS!B:B,A484,ASSESSMENTS!H:H),1))</f>
        <v>#DIV/0!</v>
      </c>
      <c r="F484" s="4" t="str">
        <f>IF(A484="","",IFERROR(ROUND(AVERAGEIFS(ASSESSMENTS!H:H,ASSESSMENTS!B:B,A484,ASSESSMENTS!E:E,"Mathematics"),1),""))</f>
        <v/>
      </c>
      <c r="G484" s="4" t="str">
        <f>IF(A484="","",IFERROR(ROUND(AVERAGEIFS(ASSESSMENTS!H:H,ASSESSMENTS!B:B,A484,ASSESSMENTS!E:E,"Mathematical Literacy"),1),""))</f>
        <v/>
      </c>
      <c r="H484" s="4" t="str">
        <f>IF(A484="","",IFERROR(ROUND(AVERAGEIFS(ASSESSMENTS!H:H,ASSESSMENTS!B:B,A484,ASSESSMENTS!E:E,"Physical Sciences"),1),""))</f>
        <v/>
      </c>
      <c r="I484" s="4" t="str">
        <f>IF(A484="","",IFERROR(ROUND(AVERAGEIFS(ASSESSMENTS!H:H,ASSESSMENTS!B:B,A484,ASSESSMENTS!E:E,"Geography"),1),""))</f>
        <v/>
      </c>
      <c r="J484" s="4" t="str">
        <f>IF(A484="","",IFERROR(ROUND(AVERAGEIFS(ASSESSMENTS!H:H,ASSESSMENTS!B:B,A484,ASSESSMENTS!E:E,"Accounting"),1),""))</f>
        <v/>
      </c>
      <c r="K484" s="4" t="str">
        <f>IF(A484="","",IFERROR(ROUND(AVERAGEIFS(ASSESSMENTS!H:H,ASSESSMENTS!B:B,A484,ASSESSMENTS!E:E,"English"),1),""))</f>
        <v/>
      </c>
      <c r="L484" s="5" t="str">
        <f>IF(A484="","",IFERROR(INDEX(ATTENDANCE_SUMMARY!G:G,MATCH(A484,ATTENDANCE_SUMMARY!A:A,0)),""))</f>
        <v/>
      </c>
      <c r="M484" s="4" t="str">
        <f t="shared" si="7"/>
        <v/>
      </c>
    </row>
    <row r="485" spans="1:13" x14ac:dyDescent="0.3">
      <c r="A485" t="str">
        <f>IF(MASTER_REGISTER!E485="","",MASTER_REGISTER!E485)</f>
        <v/>
      </c>
      <c r="B485" t="str">
        <f>IF(A485="","",MASTER_REGISTER!F485)</f>
        <v/>
      </c>
      <c r="C485" t="str">
        <f>IF(A485="","",MASTER_REGISTER!C485)</f>
        <v/>
      </c>
      <c r="D485" t="str">
        <f>IF(A485="","",COUNTIF(ASSESSMENTS!B:B,A485))</f>
        <v/>
      </c>
      <c r="E485" s="4" t="e">
        <f>IF(D485=0,"",ROUND(AVERAGEIF(ASSESSMENTS!B:B,A485,ASSESSMENTS!H:H),1))</f>
        <v>#DIV/0!</v>
      </c>
      <c r="F485" s="4" t="str">
        <f>IF(A485="","",IFERROR(ROUND(AVERAGEIFS(ASSESSMENTS!H:H,ASSESSMENTS!B:B,A485,ASSESSMENTS!E:E,"Mathematics"),1),""))</f>
        <v/>
      </c>
      <c r="G485" s="4" t="str">
        <f>IF(A485="","",IFERROR(ROUND(AVERAGEIFS(ASSESSMENTS!H:H,ASSESSMENTS!B:B,A485,ASSESSMENTS!E:E,"Mathematical Literacy"),1),""))</f>
        <v/>
      </c>
      <c r="H485" s="4" t="str">
        <f>IF(A485="","",IFERROR(ROUND(AVERAGEIFS(ASSESSMENTS!H:H,ASSESSMENTS!B:B,A485,ASSESSMENTS!E:E,"Physical Sciences"),1),""))</f>
        <v/>
      </c>
      <c r="I485" s="4" t="str">
        <f>IF(A485="","",IFERROR(ROUND(AVERAGEIFS(ASSESSMENTS!H:H,ASSESSMENTS!B:B,A485,ASSESSMENTS!E:E,"Geography"),1),""))</f>
        <v/>
      </c>
      <c r="J485" s="4" t="str">
        <f>IF(A485="","",IFERROR(ROUND(AVERAGEIFS(ASSESSMENTS!H:H,ASSESSMENTS!B:B,A485,ASSESSMENTS!E:E,"Accounting"),1),""))</f>
        <v/>
      </c>
      <c r="K485" s="4" t="str">
        <f>IF(A485="","",IFERROR(ROUND(AVERAGEIFS(ASSESSMENTS!H:H,ASSESSMENTS!B:B,A485,ASSESSMENTS!E:E,"English"),1),""))</f>
        <v/>
      </c>
      <c r="L485" s="5" t="str">
        <f>IF(A485="","",IFERROR(INDEX(ATTENDANCE_SUMMARY!G:G,MATCH(A485,ATTENDANCE_SUMMARY!A:A,0)),""))</f>
        <v/>
      </c>
      <c r="M485" s="4" t="str">
        <f t="shared" si="7"/>
        <v/>
      </c>
    </row>
    <row r="486" spans="1:13" x14ac:dyDescent="0.3">
      <c r="A486" t="str">
        <f>IF(MASTER_REGISTER!E486="","",MASTER_REGISTER!E486)</f>
        <v/>
      </c>
      <c r="B486" t="str">
        <f>IF(A486="","",MASTER_REGISTER!F486)</f>
        <v/>
      </c>
      <c r="C486" t="str">
        <f>IF(A486="","",MASTER_REGISTER!C486)</f>
        <v/>
      </c>
      <c r="D486" t="str">
        <f>IF(A486="","",COUNTIF(ASSESSMENTS!B:B,A486))</f>
        <v/>
      </c>
      <c r="E486" s="4" t="e">
        <f>IF(D486=0,"",ROUND(AVERAGEIF(ASSESSMENTS!B:B,A486,ASSESSMENTS!H:H),1))</f>
        <v>#DIV/0!</v>
      </c>
      <c r="F486" s="4" t="str">
        <f>IF(A486="","",IFERROR(ROUND(AVERAGEIFS(ASSESSMENTS!H:H,ASSESSMENTS!B:B,A486,ASSESSMENTS!E:E,"Mathematics"),1),""))</f>
        <v/>
      </c>
      <c r="G486" s="4" t="str">
        <f>IF(A486="","",IFERROR(ROUND(AVERAGEIFS(ASSESSMENTS!H:H,ASSESSMENTS!B:B,A486,ASSESSMENTS!E:E,"Mathematical Literacy"),1),""))</f>
        <v/>
      </c>
      <c r="H486" s="4" t="str">
        <f>IF(A486="","",IFERROR(ROUND(AVERAGEIFS(ASSESSMENTS!H:H,ASSESSMENTS!B:B,A486,ASSESSMENTS!E:E,"Physical Sciences"),1),""))</f>
        <v/>
      </c>
      <c r="I486" s="4" t="str">
        <f>IF(A486="","",IFERROR(ROUND(AVERAGEIFS(ASSESSMENTS!H:H,ASSESSMENTS!B:B,A486,ASSESSMENTS!E:E,"Geography"),1),""))</f>
        <v/>
      </c>
      <c r="J486" s="4" t="str">
        <f>IF(A486="","",IFERROR(ROUND(AVERAGEIFS(ASSESSMENTS!H:H,ASSESSMENTS!B:B,A486,ASSESSMENTS!E:E,"Accounting"),1),""))</f>
        <v/>
      </c>
      <c r="K486" s="4" t="str">
        <f>IF(A486="","",IFERROR(ROUND(AVERAGEIFS(ASSESSMENTS!H:H,ASSESSMENTS!B:B,A486,ASSESSMENTS!E:E,"English"),1),""))</f>
        <v/>
      </c>
      <c r="L486" s="5" t="str">
        <f>IF(A486="","",IFERROR(INDEX(ATTENDANCE_SUMMARY!G:G,MATCH(A486,ATTENDANCE_SUMMARY!A:A,0)),""))</f>
        <v/>
      </c>
      <c r="M486" s="4" t="str">
        <f t="shared" si="7"/>
        <v/>
      </c>
    </row>
    <row r="487" spans="1:13" x14ac:dyDescent="0.3">
      <c r="A487" t="str">
        <f>IF(MASTER_REGISTER!E487="","",MASTER_REGISTER!E487)</f>
        <v/>
      </c>
      <c r="B487" t="str">
        <f>IF(A487="","",MASTER_REGISTER!F487)</f>
        <v/>
      </c>
      <c r="C487" t="str">
        <f>IF(A487="","",MASTER_REGISTER!C487)</f>
        <v/>
      </c>
      <c r="D487" t="str">
        <f>IF(A487="","",COUNTIF(ASSESSMENTS!B:B,A487))</f>
        <v/>
      </c>
      <c r="E487" s="4" t="e">
        <f>IF(D487=0,"",ROUND(AVERAGEIF(ASSESSMENTS!B:B,A487,ASSESSMENTS!H:H),1))</f>
        <v>#DIV/0!</v>
      </c>
      <c r="F487" s="4" t="str">
        <f>IF(A487="","",IFERROR(ROUND(AVERAGEIFS(ASSESSMENTS!H:H,ASSESSMENTS!B:B,A487,ASSESSMENTS!E:E,"Mathematics"),1),""))</f>
        <v/>
      </c>
      <c r="G487" s="4" t="str">
        <f>IF(A487="","",IFERROR(ROUND(AVERAGEIFS(ASSESSMENTS!H:H,ASSESSMENTS!B:B,A487,ASSESSMENTS!E:E,"Mathematical Literacy"),1),""))</f>
        <v/>
      </c>
      <c r="H487" s="4" t="str">
        <f>IF(A487="","",IFERROR(ROUND(AVERAGEIFS(ASSESSMENTS!H:H,ASSESSMENTS!B:B,A487,ASSESSMENTS!E:E,"Physical Sciences"),1),""))</f>
        <v/>
      </c>
      <c r="I487" s="4" t="str">
        <f>IF(A487="","",IFERROR(ROUND(AVERAGEIFS(ASSESSMENTS!H:H,ASSESSMENTS!B:B,A487,ASSESSMENTS!E:E,"Geography"),1),""))</f>
        <v/>
      </c>
      <c r="J487" s="4" t="str">
        <f>IF(A487="","",IFERROR(ROUND(AVERAGEIFS(ASSESSMENTS!H:H,ASSESSMENTS!B:B,A487,ASSESSMENTS!E:E,"Accounting"),1),""))</f>
        <v/>
      </c>
      <c r="K487" s="4" t="str">
        <f>IF(A487="","",IFERROR(ROUND(AVERAGEIFS(ASSESSMENTS!H:H,ASSESSMENTS!B:B,A487,ASSESSMENTS!E:E,"English"),1),""))</f>
        <v/>
      </c>
      <c r="L487" s="5" t="str">
        <f>IF(A487="","",IFERROR(INDEX(ATTENDANCE_SUMMARY!G:G,MATCH(A487,ATTENDANCE_SUMMARY!A:A,0)),""))</f>
        <v/>
      </c>
      <c r="M487" s="4" t="str">
        <f t="shared" si="7"/>
        <v/>
      </c>
    </row>
    <row r="488" spans="1:13" x14ac:dyDescent="0.3">
      <c r="A488" t="str">
        <f>IF(MASTER_REGISTER!E488="","",MASTER_REGISTER!E488)</f>
        <v/>
      </c>
      <c r="B488" t="str">
        <f>IF(A488="","",MASTER_REGISTER!F488)</f>
        <v/>
      </c>
      <c r="C488" t="str">
        <f>IF(A488="","",MASTER_REGISTER!C488)</f>
        <v/>
      </c>
      <c r="D488" t="str">
        <f>IF(A488="","",COUNTIF(ASSESSMENTS!B:B,A488))</f>
        <v/>
      </c>
      <c r="E488" s="4" t="e">
        <f>IF(D488=0,"",ROUND(AVERAGEIF(ASSESSMENTS!B:B,A488,ASSESSMENTS!H:H),1))</f>
        <v>#DIV/0!</v>
      </c>
      <c r="F488" s="4" t="str">
        <f>IF(A488="","",IFERROR(ROUND(AVERAGEIFS(ASSESSMENTS!H:H,ASSESSMENTS!B:B,A488,ASSESSMENTS!E:E,"Mathematics"),1),""))</f>
        <v/>
      </c>
      <c r="G488" s="4" t="str">
        <f>IF(A488="","",IFERROR(ROUND(AVERAGEIFS(ASSESSMENTS!H:H,ASSESSMENTS!B:B,A488,ASSESSMENTS!E:E,"Mathematical Literacy"),1),""))</f>
        <v/>
      </c>
      <c r="H488" s="4" t="str">
        <f>IF(A488="","",IFERROR(ROUND(AVERAGEIFS(ASSESSMENTS!H:H,ASSESSMENTS!B:B,A488,ASSESSMENTS!E:E,"Physical Sciences"),1),""))</f>
        <v/>
      </c>
      <c r="I488" s="4" t="str">
        <f>IF(A488="","",IFERROR(ROUND(AVERAGEIFS(ASSESSMENTS!H:H,ASSESSMENTS!B:B,A488,ASSESSMENTS!E:E,"Geography"),1),""))</f>
        <v/>
      </c>
      <c r="J488" s="4" t="str">
        <f>IF(A488="","",IFERROR(ROUND(AVERAGEIFS(ASSESSMENTS!H:H,ASSESSMENTS!B:B,A488,ASSESSMENTS!E:E,"Accounting"),1),""))</f>
        <v/>
      </c>
      <c r="K488" s="4" t="str">
        <f>IF(A488="","",IFERROR(ROUND(AVERAGEIFS(ASSESSMENTS!H:H,ASSESSMENTS!B:B,A488,ASSESSMENTS!E:E,"English"),1),""))</f>
        <v/>
      </c>
      <c r="L488" s="5" t="str">
        <f>IF(A488="","",IFERROR(INDEX(ATTENDANCE_SUMMARY!G:G,MATCH(A488,ATTENDANCE_SUMMARY!A:A,0)),""))</f>
        <v/>
      </c>
      <c r="M488" s="4" t="str">
        <f t="shared" si="7"/>
        <v/>
      </c>
    </row>
    <row r="489" spans="1:13" x14ac:dyDescent="0.3">
      <c r="A489" t="str">
        <f>IF(MASTER_REGISTER!E489="","",MASTER_REGISTER!E489)</f>
        <v/>
      </c>
      <c r="B489" t="str">
        <f>IF(A489="","",MASTER_REGISTER!F489)</f>
        <v/>
      </c>
      <c r="C489" t="str">
        <f>IF(A489="","",MASTER_REGISTER!C489)</f>
        <v/>
      </c>
      <c r="D489" t="str">
        <f>IF(A489="","",COUNTIF(ASSESSMENTS!B:B,A489))</f>
        <v/>
      </c>
      <c r="E489" s="4" t="e">
        <f>IF(D489=0,"",ROUND(AVERAGEIF(ASSESSMENTS!B:B,A489,ASSESSMENTS!H:H),1))</f>
        <v>#DIV/0!</v>
      </c>
      <c r="F489" s="4" t="str">
        <f>IF(A489="","",IFERROR(ROUND(AVERAGEIFS(ASSESSMENTS!H:H,ASSESSMENTS!B:B,A489,ASSESSMENTS!E:E,"Mathematics"),1),""))</f>
        <v/>
      </c>
      <c r="G489" s="4" t="str">
        <f>IF(A489="","",IFERROR(ROUND(AVERAGEIFS(ASSESSMENTS!H:H,ASSESSMENTS!B:B,A489,ASSESSMENTS!E:E,"Mathematical Literacy"),1),""))</f>
        <v/>
      </c>
      <c r="H489" s="4" t="str">
        <f>IF(A489="","",IFERROR(ROUND(AVERAGEIFS(ASSESSMENTS!H:H,ASSESSMENTS!B:B,A489,ASSESSMENTS!E:E,"Physical Sciences"),1),""))</f>
        <v/>
      </c>
      <c r="I489" s="4" t="str">
        <f>IF(A489="","",IFERROR(ROUND(AVERAGEIFS(ASSESSMENTS!H:H,ASSESSMENTS!B:B,A489,ASSESSMENTS!E:E,"Geography"),1),""))</f>
        <v/>
      </c>
      <c r="J489" s="4" t="str">
        <f>IF(A489="","",IFERROR(ROUND(AVERAGEIFS(ASSESSMENTS!H:H,ASSESSMENTS!B:B,A489,ASSESSMENTS!E:E,"Accounting"),1),""))</f>
        <v/>
      </c>
      <c r="K489" s="4" t="str">
        <f>IF(A489="","",IFERROR(ROUND(AVERAGEIFS(ASSESSMENTS!H:H,ASSESSMENTS!B:B,A489,ASSESSMENTS!E:E,"English"),1),""))</f>
        <v/>
      </c>
      <c r="L489" s="5" t="str">
        <f>IF(A489="","",IFERROR(INDEX(ATTENDANCE_SUMMARY!G:G,MATCH(A489,ATTENDANCE_SUMMARY!A:A,0)),""))</f>
        <v/>
      </c>
      <c r="M489" s="4" t="str">
        <f t="shared" si="7"/>
        <v/>
      </c>
    </row>
    <row r="490" spans="1:13" x14ac:dyDescent="0.3">
      <c r="A490" t="str">
        <f>IF(MASTER_REGISTER!E490="","",MASTER_REGISTER!E490)</f>
        <v/>
      </c>
      <c r="B490" t="str">
        <f>IF(A490="","",MASTER_REGISTER!F490)</f>
        <v/>
      </c>
      <c r="C490" t="str">
        <f>IF(A490="","",MASTER_REGISTER!C490)</f>
        <v/>
      </c>
      <c r="D490" t="str">
        <f>IF(A490="","",COUNTIF(ASSESSMENTS!B:B,A490))</f>
        <v/>
      </c>
      <c r="E490" s="4" t="e">
        <f>IF(D490=0,"",ROUND(AVERAGEIF(ASSESSMENTS!B:B,A490,ASSESSMENTS!H:H),1))</f>
        <v>#DIV/0!</v>
      </c>
      <c r="F490" s="4" t="str">
        <f>IF(A490="","",IFERROR(ROUND(AVERAGEIFS(ASSESSMENTS!H:H,ASSESSMENTS!B:B,A490,ASSESSMENTS!E:E,"Mathematics"),1),""))</f>
        <v/>
      </c>
      <c r="G490" s="4" t="str">
        <f>IF(A490="","",IFERROR(ROUND(AVERAGEIFS(ASSESSMENTS!H:H,ASSESSMENTS!B:B,A490,ASSESSMENTS!E:E,"Mathematical Literacy"),1),""))</f>
        <v/>
      </c>
      <c r="H490" s="4" t="str">
        <f>IF(A490="","",IFERROR(ROUND(AVERAGEIFS(ASSESSMENTS!H:H,ASSESSMENTS!B:B,A490,ASSESSMENTS!E:E,"Physical Sciences"),1),""))</f>
        <v/>
      </c>
      <c r="I490" s="4" t="str">
        <f>IF(A490="","",IFERROR(ROUND(AVERAGEIFS(ASSESSMENTS!H:H,ASSESSMENTS!B:B,A490,ASSESSMENTS!E:E,"Geography"),1),""))</f>
        <v/>
      </c>
      <c r="J490" s="4" t="str">
        <f>IF(A490="","",IFERROR(ROUND(AVERAGEIFS(ASSESSMENTS!H:H,ASSESSMENTS!B:B,A490,ASSESSMENTS!E:E,"Accounting"),1),""))</f>
        <v/>
      </c>
      <c r="K490" s="4" t="str">
        <f>IF(A490="","",IFERROR(ROUND(AVERAGEIFS(ASSESSMENTS!H:H,ASSESSMENTS!B:B,A490,ASSESSMENTS!E:E,"English"),1),""))</f>
        <v/>
      </c>
      <c r="L490" s="5" t="str">
        <f>IF(A490="","",IFERROR(INDEX(ATTENDANCE_SUMMARY!G:G,MATCH(A490,ATTENDANCE_SUMMARY!A:A,0)),""))</f>
        <v/>
      </c>
      <c r="M490" s="4" t="str">
        <f t="shared" si="7"/>
        <v/>
      </c>
    </row>
    <row r="491" spans="1:13" x14ac:dyDescent="0.3">
      <c r="A491" t="str">
        <f>IF(MASTER_REGISTER!E491="","",MASTER_REGISTER!E491)</f>
        <v/>
      </c>
      <c r="B491" t="str">
        <f>IF(A491="","",MASTER_REGISTER!F491)</f>
        <v/>
      </c>
      <c r="C491" t="str">
        <f>IF(A491="","",MASTER_REGISTER!C491)</f>
        <v/>
      </c>
      <c r="D491" t="str">
        <f>IF(A491="","",COUNTIF(ASSESSMENTS!B:B,A491))</f>
        <v/>
      </c>
      <c r="E491" s="4" t="e">
        <f>IF(D491=0,"",ROUND(AVERAGEIF(ASSESSMENTS!B:B,A491,ASSESSMENTS!H:H),1))</f>
        <v>#DIV/0!</v>
      </c>
      <c r="F491" s="4" t="str">
        <f>IF(A491="","",IFERROR(ROUND(AVERAGEIFS(ASSESSMENTS!H:H,ASSESSMENTS!B:B,A491,ASSESSMENTS!E:E,"Mathematics"),1),""))</f>
        <v/>
      </c>
      <c r="G491" s="4" t="str">
        <f>IF(A491="","",IFERROR(ROUND(AVERAGEIFS(ASSESSMENTS!H:H,ASSESSMENTS!B:B,A491,ASSESSMENTS!E:E,"Mathematical Literacy"),1),""))</f>
        <v/>
      </c>
      <c r="H491" s="4" t="str">
        <f>IF(A491="","",IFERROR(ROUND(AVERAGEIFS(ASSESSMENTS!H:H,ASSESSMENTS!B:B,A491,ASSESSMENTS!E:E,"Physical Sciences"),1),""))</f>
        <v/>
      </c>
      <c r="I491" s="4" t="str">
        <f>IF(A491="","",IFERROR(ROUND(AVERAGEIFS(ASSESSMENTS!H:H,ASSESSMENTS!B:B,A491,ASSESSMENTS!E:E,"Geography"),1),""))</f>
        <v/>
      </c>
      <c r="J491" s="4" t="str">
        <f>IF(A491="","",IFERROR(ROUND(AVERAGEIFS(ASSESSMENTS!H:H,ASSESSMENTS!B:B,A491,ASSESSMENTS!E:E,"Accounting"),1),""))</f>
        <v/>
      </c>
      <c r="K491" s="4" t="str">
        <f>IF(A491="","",IFERROR(ROUND(AVERAGEIFS(ASSESSMENTS!H:H,ASSESSMENTS!B:B,A491,ASSESSMENTS!E:E,"English"),1),""))</f>
        <v/>
      </c>
      <c r="L491" s="5" t="str">
        <f>IF(A491="","",IFERROR(INDEX(ATTENDANCE_SUMMARY!G:G,MATCH(A491,ATTENDANCE_SUMMARY!A:A,0)),""))</f>
        <v/>
      </c>
      <c r="M491" s="4" t="str">
        <f t="shared" si="7"/>
        <v/>
      </c>
    </row>
    <row r="492" spans="1:13" x14ac:dyDescent="0.3">
      <c r="A492" t="str">
        <f>IF(MASTER_REGISTER!E492="","",MASTER_REGISTER!E492)</f>
        <v/>
      </c>
      <c r="B492" t="str">
        <f>IF(A492="","",MASTER_REGISTER!F492)</f>
        <v/>
      </c>
      <c r="C492" t="str">
        <f>IF(A492="","",MASTER_REGISTER!C492)</f>
        <v/>
      </c>
      <c r="D492" t="str">
        <f>IF(A492="","",COUNTIF(ASSESSMENTS!B:B,A492))</f>
        <v/>
      </c>
      <c r="E492" s="4" t="e">
        <f>IF(D492=0,"",ROUND(AVERAGEIF(ASSESSMENTS!B:B,A492,ASSESSMENTS!H:H),1))</f>
        <v>#DIV/0!</v>
      </c>
      <c r="F492" s="4" t="str">
        <f>IF(A492="","",IFERROR(ROUND(AVERAGEIFS(ASSESSMENTS!H:H,ASSESSMENTS!B:B,A492,ASSESSMENTS!E:E,"Mathematics"),1),""))</f>
        <v/>
      </c>
      <c r="G492" s="4" t="str">
        <f>IF(A492="","",IFERROR(ROUND(AVERAGEIFS(ASSESSMENTS!H:H,ASSESSMENTS!B:B,A492,ASSESSMENTS!E:E,"Mathematical Literacy"),1),""))</f>
        <v/>
      </c>
      <c r="H492" s="4" t="str">
        <f>IF(A492="","",IFERROR(ROUND(AVERAGEIFS(ASSESSMENTS!H:H,ASSESSMENTS!B:B,A492,ASSESSMENTS!E:E,"Physical Sciences"),1),""))</f>
        <v/>
      </c>
      <c r="I492" s="4" t="str">
        <f>IF(A492="","",IFERROR(ROUND(AVERAGEIFS(ASSESSMENTS!H:H,ASSESSMENTS!B:B,A492,ASSESSMENTS!E:E,"Geography"),1),""))</f>
        <v/>
      </c>
      <c r="J492" s="4" t="str">
        <f>IF(A492="","",IFERROR(ROUND(AVERAGEIFS(ASSESSMENTS!H:H,ASSESSMENTS!B:B,A492,ASSESSMENTS!E:E,"Accounting"),1),""))</f>
        <v/>
      </c>
      <c r="K492" s="4" t="str">
        <f>IF(A492="","",IFERROR(ROUND(AVERAGEIFS(ASSESSMENTS!H:H,ASSESSMENTS!B:B,A492,ASSESSMENTS!E:E,"English"),1),""))</f>
        <v/>
      </c>
      <c r="L492" s="5" t="str">
        <f>IF(A492="","",IFERROR(INDEX(ATTENDANCE_SUMMARY!G:G,MATCH(A492,ATTENDANCE_SUMMARY!A:A,0)),""))</f>
        <v/>
      </c>
      <c r="M492" s="4" t="str">
        <f t="shared" si="7"/>
        <v/>
      </c>
    </row>
    <row r="493" spans="1:13" x14ac:dyDescent="0.3">
      <c r="A493" t="str">
        <f>IF(MASTER_REGISTER!E493="","",MASTER_REGISTER!E493)</f>
        <v/>
      </c>
      <c r="B493" t="str">
        <f>IF(A493="","",MASTER_REGISTER!F493)</f>
        <v/>
      </c>
      <c r="C493" t="str">
        <f>IF(A493="","",MASTER_REGISTER!C493)</f>
        <v/>
      </c>
      <c r="D493" t="str">
        <f>IF(A493="","",COUNTIF(ASSESSMENTS!B:B,A493))</f>
        <v/>
      </c>
      <c r="E493" s="4" t="e">
        <f>IF(D493=0,"",ROUND(AVERAGEIF(ASSESSMENTS!B:B,A493,ASSESSMENTS!H:H),1))</f>
        <v>#DIV/0!</v>
      </c>
      <c r="F493" s="4" t="str">
        <f>IF(A493="","",IFERROR(ROUND(AVERAGEIFS(ASSESSMENTS!H:H,ASSESSMENTS!B:B,A493,ASSESSMENTS!E:E,"Mathematics"),1),""))</f>
        <v/>
      </c>
      <c r="G493" s="4" t="str">
        <f>IF(A493="","",IFERROR(ROUND(AVERAGEIFS(ASSESSMENTS!H:H,ASSESSMENTS!B:B,A493,ASSESSMENTS!E:E,"Mathematical Literacy"),1),""))</f>
        <v/>
      </c>
      <c r="H493" s="4" t="str">
        <f>IF(A493="","",IFERROR(ROUND(AVERAGEIFS(ASSESSMENTS!H:H,ASSESSMENTS!B:B,A493,ASSESSMENTS!E:E,"Physical Sciences"),1),""))</f>
        <v/>
      </c>
      <c r="I493" s="4" t="str">
        <f>IF(A493="","",IFERROR(ROUND(AVERAGEIFS(ASSESSMENTS!H:H,ASSESSMENTS!B:B,A493,ASSESSMENTS!E:E,"Geography"),1),""))</f>
        <v/>
      </c>
      <c r="J493" s="4" t="str">
        <f>IF(A493="","",IFERROR(ROUND(AVERAGEIFS(ASSESSMENTS!H:H,ASSESSMENTS!B:B,A493,ASSESSMENTS!E:E,"Accounting"),1),""))</f>
        <v/>
      </c>
      <c r="K493" s="4" t="str">
        <f>IF(A493="","",IFERROR(ROUND(AVERAGEIFS(ASSESSMENTS!H:H,ASSESSMENTS!B:B,A493,ASSESSMENTS!E:E,"English"),1),""))</f>
        <v/>
      </c>
      <c r="L493" s="5" t="str">
        <f>IF(A493="","",IFERROR(INDEX(ATTENDANCE_SUMMARY!G:G,MATCH(A493,ATTENDANCE_SUMMARY!A:A,0)),""))</f>
        <v/>
      </c>
      <c r="M493" s="4" t="str">
        <f t="shared" si="7"/>
        <v/>
      </c>
    </row>
    <row r="494" spans="1:13" x14ac:dyDescent="0.3">
      <c r="A494" t="str">
        <f>IF(MASTER_REGISTER!E494="","",MASTER_REGISTER!E494)</f>
        <v/>
      </c>
      <c r="B494" t="str">
        <f>IF(A494="","",MASTER_REGISTER!F494)</f>
        <v/>
      </c>
      <c r="C494" t="str">
        <f>IF(A494="","",MASTER_REGISTER!C494)</f>
        <v/>
      </c>
      <c r="D494" t="str">
        <f>IF(A494="","",COUNTIF(ASSESSMENTS!B:B,A494))</f>
        <v/>
      </c>
      <c r="E494" s="4" t="e">
        <f>IF(D494=0,"",ROUND(AVERAGEIF(ASSESSMENTS!B:B,A494,ASSESSMENTS!H:H),1))</f>
        <v>#DIV/0!</v>
      </c>
      <c r="F494" s="4" t="str">
        <f>IF(A494="","",IFERROR(ROUND(AVERAGEIFS(ASSESSMENTS!H:H,ASSESSMENTS!B:B,A494,ASSESSMENTS!E:E,"Mathematics"),1),""))</f>
        <v/>
      </c>
      <c r="G494" s="4" t="str">
        <f>IF(A494="","",IFERROR(ROUND(AVERAGEIFS(ASSESSMENTS!H:H,ASSESSMENTS!B:B,A494,ASSESSMENTS!E:E,"Mathematical Literacy"),1),""))</f>
        <v/>
      </c>
      <c r="H494" s="4" t="str">
        <f>IF(A494="","",IFERROR(ROUND(AVERAGEIFS(ASSESSMENTS!H:H,ASSESSMENTS!B:B,A494,ASSESSMENTS!E:E,"Physical Sciences"),1),""))</f>
        <v/>
      </c>
      <c r="I494" s="4" t="str">
        <f>IF(A494="","",IFERROR(ROUND(AVERAGEIFS(ASSESSMENTS!H:H,ASSESSMENTS!B:B,A494,ASSESSMENTS!E:E,"Geography"),1),""))</f>
        <v/>
      </c>
      <c r="J494" s="4" t="str">
        <f>IF(A494="","",IFERROR(ROUND(AVERAGEIFS(ASSESSMENTS!H:H,ASSESSMENTS!B:B,A494,ASSESSMENTS!E:E,"Accounting"),1),""))</f>
        <v/>
      </c>
      <c r="K494" s="4" t="str">
        <f>IF(A494="","",IFERROR(ROUND(AVERAGEIFS(ASSESSMENTS!H:H,ASSESSMENTS!B:B,A494,ASSESSMENTS!E:E,"English"),1),""))</f>
        <v/>
      </c>
      <c r="L494" s="5" t="str">
        <f>IF(A494="","",IFERROR(INDEX(ATTENDANCE_SUMMARY!G:G,MATCH(A494,ATTENDANCE_SUMMARY!A:A,0)),""))</f>
        <v/>
      </c>
      <c r="M494" s="4" t="str">
        <f t="shared" si="7"/>
        <v/>
      </c>
    </row>
    <row r="495" spans="1:13" x14ac:dyDescent="0.3">
      <c r="A495" t="str">
        <f>IF(MASTER_REGISTER!E495="","",MASTER_REGISTER!E495)</f>
        <v/>
      </c>
      <c r="B495" t="str">
        <f>IF(A495="","",MASTER_REGISTER!F495)</f>
        <v/>
      </c>
      <c r="C495" t="str">
        <f>IF(A495="","",MASTER_REGISTER!C495)</f>
        <v/>
      </c>
      <c r="D495" t="str">
        <f>IF(A495="","",COUNTIF(ASSESSMENTS!B:B,A495))</f>
        <v/>
      </c>
      <c r="E495" s="4" t="e">
        <f>IF(D495=0,"",ROUND(AVERAGEIF(ASSESSMENTS!B:B,A495,ASSESSMENTS!H:H),1))</f>
        <v>#DIV/0!</v>
      </c>
      <c r="F495" s="4" t="str">
        <f>IF(A495="","",IFERROR(ROUND(AVERAGEIFS(ASSESSMENTS!H:H,ASSESSMENTS!B:B,A495,ASSESSMENTS!E:E,"Mathematics"),1),""))</f>
        <v/>
      </c>
      <c r="G495" s="4" t="str">
        <f>IF(A495="","",IFERROR(ROUND(AVERAGEIFS(ASSESSMENTS!H:H,ASSESSMENTS!B:B,A495,ASSESSMENTS!E:E,"Mathematical Literacy"),1),""))</f>
        <v/>
      </c>
      <c r="H495" s="4" t="str">
        <f>IF(A495="","",IFERROR(ROUND(AVERAGEIFS(ASSESSMENTS!H:H,ASSESSMENTS!B:B,A495,ASSESSMENTS!E:E,"Physical Sciences"),1),""))</f>
        <v/>
      </c>
      <c r="I495" s="4" t="str">
        <f>IF(A495="","",IFERROR(ROUND(AVERAGEIFS(ASSESSMENTS!H:H,ASSESSMENTS!B:B,A495,ASSESSMENTS!E:E,"Geography"),1),""))</f>
        <v/>
      </c>
      <c r="J495" s="4" t="str">
        <f>IF(A495="","",IFERROR(ROUND(AVERAGEIFS(ASSESSMENTS!H:H,ASSESSMENTS!B:B,A495,ASSESSMENTS!E:E,"Accounting"),1),""))</f>
        <v/>
      </c>
      <c r="K495" s="4" t="str">
        <f>IF(A495="","",IFERROR(ROUND(AVERAGEIFS(ASSESSMENTS!H:H,ASSESSMENTS!B:B,A495,ASSESSMENTS!E:E,"English"),1),""))</f>
        <v/>
      </c>
      <c r="L495" s="5" t="str">
        <f>IF(A495="","",IFERROR(INDEX(ATTENDANCE_SUMMARY!G:G,MATCH(A495,ATTENDANCE_SUMMARY!A:A,0)),""))</f>
        <v/>
      </c>
      <c r="M495" s="4" t="str">
        <f t="shared" si="7"/>
        <v/>
      </c>
    </row>
    <row r="496" spans="1:13" x14ac:dyDescent="0.3">
      <c r="A496" t="str">
        <f>IF(MASTER_REGISTER!E496="","",MASTER_REGISTER!E496)</f>
        <v/>
      </c>
      <c r="B496" t="str">
        <f>IF(A496="","",MASTER_REGISTER!F496)</f>
        <v/>
      </c>
      <c r="C496" t="str">
        <f>IF(A496="","",MASTER_REGISTER!C496)</f>
        <v/>
      </c>
      <c r="D496" t="str">
        <f>IF(A496="","",COUNTIF(ASSESSMENTS!B:B,A496))</f>
        <v/>
      </c>
      <c r="E496" s="4" t="e">
        <f>IF(D496=0,"",ROUND(AVERAGEIF(ASSESSMENTS!B:B,A496,ASSESSMENTS!H:H),1))</f>
        <v>#DIV/0!</v>
      </c>
      <c r="F496" s="4" t="str">
        <f>IF(A496="","",IFERROR(ROUND(AVERAGEIFS(ASSESSMENTS!H:H,ASSESSMENTS!B:B,A496,ASSESSMENTS!E:E,"Mathematics"),1),""))</f>
        <v/>
      </c>
      <c r="G496" s="4" t="str">
        <f>IF(A496="","",IFERROR(ROUND(AVERAGEIFS(ASSESSMENTS!H:H,ASSESSMENTS!B:B,A496,ASSESSMENTS!E:E,"Mathematical Literacy"),1),""))</f>
        <v/>
      </c>
      <c r="H496" s="4" t="str">
        <f>IF(A496="","",IFERROR(ROUND(AVERAGEIFS(ASSESSMENTS!H:H,ASSESSMENTS!B:B,A496,ASSESSMENTS!E:E,"Physical Sciences"),1),""))</f>
        <v/>
      </c>
      <c r="I496" s="4" t="str">
        <f>IF(A496="","",IFERROR(ROUND(AVERAGEIFS(ASSESSMENTS!H:H,ASSESSMENTS!B:B,A496,ASSESSMENTS!E:E,"Geography"),1),""))</f>
        <v/>
      </c>
      <c r="J496" s="4" t="str">
        <f>IF(A496="","",IFERROR(ROUND(AVERAGEIFS(ASSESSMENTS!H:H,ASSESSMENTS!B:B,A496,ASSESSMENTS!E:E,"Accounting"),1),""))</f>
        <v/>
      </c>
      <c r="K496" s="4" t="str">
        <f>IF(A496="","",IFERROR(ROUND(AVERAGEIFS(ASSESSMENTS!H:H,ASSESSMENTS!B:B,A496,ASSESSMENTS!E:E,"English"),1),""))</f>
        <v/>
      </c>
      <c r="L496" s="5" t="str">
        <f>IF(A496="","",IFERROR(INDEX(ATTENDANCE_SUMMARY!G:G,MATCH(A496,ATTENDANCE_SUMMARY!A:A,0)),""))</f>
        <v/>
      </c>
      <c r="M496" s="4" t="str">
        <f t="shared" si="7"/>
        <v/>
      </c>
    </row>
    <row r="497" spans="1:13" x14ac:dyDescent="0.3">
      <c r="A497" t="str">
        <f>IF(MASTER_REGISTER!E497="","",MASTER_REGISTER!E497)</f>
        <v/>
      </c>
      <c r="B497" t="str">
        <f>IF(A497="","",MASTER_REGISTER!F497)</f>
        <v/>
      </c>
      <c r="C497" t="str">
        <f>IF(A497="","",MASTER_REGISTER!C497)</f>
        <v/>
      </c>
      <c r="D497" t="str">
        <f>IF(A497="","",COUNTIF(ASSESSMENTS!B:B,A497))</f>
        <v/>
      </c>
      <c r="E497" s="4" t="e">
        <f>IF(D497=0,"",ROUND(AVERAGEIF(ASSESSMENTS!B:B,A497,ASSESSMENTS!H:H),1))</f>
        <v>#DIV/0!</v>
      </c>
      <c r="F497" s="4" t="str">
        <f>IF(A497="","",IFERROR(ROUND(AVERAGEIFS(ASSESSMENTS!H:H,ASSESSMENTS!B:B,A497,ASSESSMENTS!E:E,"Mathematics"),1),""))</f>
        <v/>
      </c>
      <c r="G497" s="4" t="str">
        <f>IF(A497="","",IFERROR(ROUND(AVERAGEIFS(ASSESSMENTS!H:H,ASSESSMENTS!B:B,A497,ASSESSMENTS!E:E,"Mathematical Literacy"),1),""))</f>
        <v/>
      </c>
      <c r="H497" s="4" t="str">
        <f>IF(A497="","",IFERROR(ROUND(AVERAGEIFS(ASSESSMENTS!H:H,ASSESSMENTS!B:B,A497,ASSESSMENTS!E:E,"Physical Sciences"),1),""))</f>
        <v/>
      </c>
      <c r="I497" s="4" t="str">
        <f>IF(A497="","",IFERROR(ROUND(AVERAGEIFS(ASSESSMENTS!H:H,ASSESSMENTS!B:B,A497,ASSESSMENTS!E:E,"Geography"),1),""))</f>
        <v/>
      </c>
      <c r="J497" s="4" t="str">
        <f>IF(A497="","",IFERROR(ROUND(AVERAGEIFS(ASSESSMENTS!H:H,ASSESSMENTS!B:B,A497,ASSESSMENTS!E:E,"Accounting"),1),""))</f>
        <v/>
      </c>
      <c r="K497" s="4" t="str">
        <f>IF(A497="","",IFERROR(ROUND(AVERAGEIFS(ASSESSMENTS!H:H,ASSESSMENTS!B:B,A497,ASSESSMENTS!E:E,"English"),1),""))</f>
        <v/>
      </c>
      <c r="L497" s="5" t="str">
        <f>IF(A497="","",IFERROR(INDEX(ATTENDANCE_SUMMARY!G:G,MATCH(A497,ATTENDANCE_SUMMARY!A:A,0)),""))</f>
        <v/>
      </c>
      <c r="M497" s="4" t="str">
        <f t="shared" si="7"/>
        <v/>
      </c>
    </row>
    <row r="498" spans="1:13" x14ac:dyDescent="0.3">
      <c r="A498" t="str">
        <f>IF(MASTER_REGISTER!E498="","",MASTER_REGISTER!E498)</f>
        <v/>
      </c>
      <c r="B498" t="str">
        <f>IF(A498="","",MASTER_REGISTER!F498)</f>
        <v/>
      </c>
      <c r="C498" t="str">
        <f>IF(A498="","",MASTER_REGISTER!C498)</f>
        <v/>
      </c>
      <c r="D498" t="str">
        <f>IF(A498="","",COUNTIF(ASSESSMENTS!B:B,A498))</f>
        <v/>
      </c>
      <c r="E498" s="4" t="e">
        <f>IF(D498=0,"",ROUND(AVERAGEIF(ASSESSMENTS!B:B,A498,ASSESSMENTS!H:H),1))</f>
        <v>#DIV/0!</v>
      </c>
      <c r="F498" s="4" t="str">
        <f>IF(A498="","",IFERROR(ROUND(AVERAGEIFS(ASSESSMENTS!H:H,ASSESSMENTS!B:B,A498,ASSESSMENTS!E:E,"Mathematics"),1),""))</f>
        <v/>
      </c>
      <c r="G498" s="4" t="str">
        <f>IF(A498="","",IFERROR(ROUND(AVERAGEIFS(ASSESSMENTS!H:H,ASSESSMENTS!B:B,A498,ASSESSMENTS!E:E,"Mathematical Literacy"),1),""))</f>
        <v/>
      </c>
      <c r="H498" s="4" t="str">
        <f>IF(A498="","",IFERROR(ROUND(AVERAGEIFS(ASSESSMENTS!H:H,ASSESSMENTS!B:B,A498,ASSESSMENTS!E:E,"Physical Sciences"),1),""))</f>
        <v/>
      </c>
      <c r="I498" s="4" t="str">
        <f>IF(A498="","",IFERROR(ROUND(AVERAGEIFS(ASSESSMENTS!H:H,ASSESSMENTS!B:B,A498,ASSESSMENTS!E:E,"Geography"),1),""))</f>
        <v/>
      </c>
      <c r="J498" s="4" t="str">
        <f>IF(A498="","",IFERROR(ROUND(AVERAGEIFS(ASSESSMENTS!H:H,ASSESSMENTS!B:B,A498,ASSESSMENTS!E:E,"Accounting"),1),""))</f>
        <v/>
      </c>
      <c r="K498" s="4" t="str">
        <f>IF(A498="","",IFERROR(ROUND(AVERAGEIFS(ASSESSMENTS!H:H,ASSESSMENTS!B:B,A498,ASSESSMENTS!E:E,"English"),1),""))</f>
        <v/>
      </c>
      <c r="L498" s="5" t="str">
        <f>IF(A498="","",IFERROR(INDEX(ATTENDANCE_SUMMARY!G:G,MATCH(A498,ATTENDANCE_SUMMARY!A:A,0)),""))</f>
        <v/>
      </c>
      <c r="M498" s="4" t="str">
        <f t="shared" si="7"/>
        <v/>
      </c>
    </row>
    <row r="499" spans="1:13" x14ac:dyDescent="0.3">
      <c r="A499" t="str">
        <f>IF(MASTER_REGISTER!E499="","",MASTER_REGISTER!E499)</f>
        <v/>
      </c>
      <c r="B499" t="str">
        <f>IF(A499="","",MASTER_REGISTER!F499)</f>
        <v/>
      </c>
      <c r="C499" t="str">
        <f>IF(A499="","",MASTER_REGISTER!C499)</f>
        <v/>
      </c>
      <c r="D499" t="str">
        <f>IF(A499="","",COUNTIF(ASSESSMENTS!B:B,A499))</f>
        <v/>
      </c>
      <c r="E499" s="4" t="e">
        <f>IF(D499=0,"",ROUND(AVERAGEIF(ASSESSMENTS!B:B,A499,ASSESSMENTS!H:H),1))</f>
        <v>#DIV/0!</v>
      </c>
      <c r="F499" s="4" t="str">
        <f>IF(A499="","",IFERROR(ROUND(AVERAGEIFS(ASSESSMENTS!H:H,ASSESSMENTS!B:B,A499,ASSESSMENTS!E:E,"Mathematics"),1),""))</f>
        <v/>
      </c>
      <c r="G499" s="4" t="str">
        <f>IF(A499="","",IFERROR(ROUND(AVERAGEIFS(ASSESSMENTS!H:H,ASSESSMENTS!B:B,A499,ASSESSMENTS!E:E,"Mathematical Literacy"),1),""))</f>
        <v/>
      </c>
      <c r="H499" s="4" t="str">
        <f>IF(A499="","",IFERROR(ROUND(AVERAGEIFS(ASSESSMENTS!H:H,ASSESSMENTS!B:B,A499,ASSESSMENTS!E:E,"Physical Sciences"),1),""))</f>
        <v/>
      </c>
      <c r="I499" s="4" t="str">
        <f>IF(A499="","",IFERROR(ROUND(AVERAGEIFS(ASSESSMENTS!H:H,ASSESSMENTS!B:B,A499,ASSESSMENTS!E:E,"Geography"),1),""))</f>
        <v/>
      </c>
      <c r="J499" s="4" t="str">
        <f>IF(A499="","",IFERROR(ROUND(AVERAGEIFS(ASSESSMENTS!H:H,ASSESSMENTS!B:B,A499,ASSESSMENTS!E:E,"Accounting"),1),""))</f>
        <v/>
      </c>
      <c r="K499" s="4" t="str">
        <f>IF(A499="","",IFERROR(ROUND(AVERAGEIFS(ASSESSMENTS!H:H,ASSESSMENTS!B:B,A499,ASSESSMENTS!E:E,"English"),1),""))</f>
        <v/>
      </c>
      <c r="L499" s="5" t="str">
        <f>IF(A499="","",IFERROR(INDEX(ATTENDANCE_SUMMARY!G:G,MATCH(A499,ATTENDANCE_SUMMARY!A:A,0)),""))</f>
        <v/>
      </c>
      <c r="M499" s="4" t="str">
        <f t="shared" si="7"/>
        <v/>
      </c>
    </row>
    <row r="500" spans="1:13" x14ac:dyDescent="0.3">
      <c r="A500" t="str">
        <f>IF(MASTER_REGISTER!E500="","",MASTER_REGISTER!E500)</f>
        <v/>
      </c>
      <c r="B500" t="str">
        <f>IF(A500="","",MASTER_REGISTER!F500)</f>
        <v/>
      </c>
      <c r="C500" t="str">
        <f>IF(A500="","",MASTER_REGISTER!C500)</f>
        <v/>
      </c>
      <c r="D500" t="str">
        <f>IF(A500="","",COUNTIF(ASSESSMENTS!B:B,A500))</f>
        <v/>
      </c>
      <c r="E500" s="4" t="e">
        <f>IF(D500=0,"",ROUND(AVERAGEIF(ASSESSMENTS!B:B,A500,ASSESSMENTS!H:H),1))</f>
        <v>#DIV/0!</v>
      </c>
      <c r="F500" s="4" t="str">
        <f>IF(A500="","",IFERROR(ROUND(AVERAGEIFS(ASSESSMENTS!H:H,ASSESSMENTS!B:B,A500,ASSESSMENTS!E:E,"Mathematics"),1),""))</f>
        <v/>
      </c>
      <c r="G500" s="4" t="str">
        <f>IF(A500="","",IFERROR(ROUND(AVERAGEIFS(ASSESSMENTS!H:H,ASSESSMENTS!B:B,A500,ASSESSMENTS!E:E,"Mathematical Literacy"),1),""))</f>
        <v/>
      </c>
      <c r="H500" s="4" t="str">
        <f>IF(A500="","",IFERROR(ROUND(AVERAGEIFS(ASSESSMENTS!H:H,ASSESSMENTS!B:B,A500,ASSESSMENTS!E:E,"Physical Sciences"),1),""))</f>
        <v/>
      </c>
      <c r="I500" s="4" t="str">
        <f>IF(A500="","",IFERROR(ROUND(AVERAGEIFS(ASSESSMENTS!H:H,ASSESSMENTS!B:B,A500,ASSESSMENTS!E:E,"Geography"),1),""))</f>
        <v/>
      </c>
      <c r="J500" s="4" t="str">
        <f>IF(A500="","",IFERROR(ROUND(AVERAGEIFS(ASSESSMENTS!H:H,ASSESSMENTS!B:B,A500,ASSESSMENTS!E:E,"Accounting"),1),""))</f>
        <v/>
      </c>
      <c r="K500" s="4" t="str">
        <f>IF(A500="","",IFERROR(ROUND(AVERAGEIFS(ASSESSMENTS!H:H,ASSESSMENTS!B:B,A500,ASSESSMENTS!E:E,"English"),1),""))</f>
        <v/>
      </c>
      <c r="L500" s="5" t="str">
        <f>IF(A500="","",IFERROR(INDEX(ATTENDANCE_SUMMARY!G:G,MATCH(A500,ATTENDANCE_SUMMARY!A:A,0)),""))</f>
        <v/>
      </c>
      <c r="M500" s="4" t="str">
        <f t="shared" si="7"/>
        <v/>
      </c>
    </row>
    <row r="501" spans="1:13" x14ac:dyDescent="0.3">
      <c r="A501" t="str">
        <f>IF(MASTER_REGISTER!E501="","",MASTER_REGISTER!E501)</f>
        <v/>
      </c>
      <c r="B501" t="str">
        <f>IF(A501="","",MASTER_REGISTER!F501)</f>
        <v/>
      </c>
      <c r="C501" t="str">
        <f>IF(A501="","",MASTER_REGISTER!C501)</f>
        <v/>
      </c>
      <c r="D501" t="str">
        <f>IF(A501="","",COUNTIF(ASSESSMENTS!B:B,A501))</f>
        <v/>
      </c>
      <c r="E501" s="4" t="e">
        <f>IF(D501=0,"",ROUND(AVERAGEIF(ASSESSMENTS!B:B,A501,ASSESSMENTS!H:H),1))</f>
        <v>#DIV/0!</v>
      </c>
      <c r="F501" s="4" t="str">
        <f>IF(A501="","",IFERROR(ROUND(AVERAGEIFS(ASSESSMENTS!H:H,ASSESSMENTS!B:B,A501,ASSESSMENTS!E:E,"Mathematics"),1),""))</f>
        <v/>
      </c>
      <c r="G501" s="4" t="str">
        <f>IF(A501="","",IFERROR(ROUND(AVERAGEIFS(ASSESSMENTS!H:H,ASSESSMENTS!B:B,A501,ASSESSMENTS!E:E,"Mathematical Literacy"),1),""))</f>
        <v/>
      </c>
      <c r="H501" s="4" t="str">
        <f>IF(A501="","",IFERROR(ROUND(AVERAGEIFS(ASSESSMENTS!H:H,ASSESSMENTS!B:B,A501,ASSESSMENTS!E:E,"Physical Sciences"),1),""))</f>
        <v/>
      </c>
      <c r="I501" s="4" t="str">
        <f>IF(A501="","",IFERROR(ROUND(AVERAGEIFS(ASSESSMENTS!H:H,ASSESSMENTS!B:B,A501,ASSESSMENTS!E:E,"Geography"),1),""))</f>
        <v/>
      </c>
      <c r="J501" s="4" t="str">
        <f>IF(A501="","",IFERROR(ROUND(AVERAGEIFS(ASSESSMENTS!H:H,ASSESSMENTS!B:B,A501,ASSESSMENTS!E:E,"Accounting"),1),""))</f>
        <v/>
      </c>
      <c r="K501" s="4" t="str">
        <f>IF(A501="","",IFERROR(ROUND(AVERAGEIFS(ASSESSMENTS!H:H,ASSESSMENTS!B:B,A501,ASSESSMENTS!E:E,"English"),1),""))</f>
        <v/>
      </c>
      <c r="L501" s="5" t="str">
        <f>IF(A501="","",IFERROR(INDEX(ATTENDANCE_SUMMARY!G:G,MATCH(A501,ATTENDANCE_SUMMARY!A:A,0)),""))</f>
        <v/>
      </c>
      <c r="M501" s="4" t="str">
        <f t="shared" si="7"/>
        <v/>
      </c>
    </row>
  </sheetData>
  <conditionalFormatting sqref="E2:E501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M2:M501">
    <cfRule type="cellIs" dxfId="1" priority="2" operator="equal">
      <formula>"At Risk"</formula>
    </cfRule>
    <cfRule type="cellIs" dxfId="0" priority="3" operator="equal">
      <formula>"On Track"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7"/>
  <sheetViews>
    <sheetView workbookViewId="0">
      <selection activeCell="B3" sqref="B3"/>
    </sheetView>
  </sheetViews>
  <sheetFormatPr defaultRowHeight="14.4" x14ac:dyDescent="0.3"/>
  <cols>
    <col min="1" max="1" width="24" customWidth="1"/>
    <col min="2" max="2" width="22" customWidth="1"/>
    <col min="3" max="6" width="20" customWidth="1"/>
  </cols>
  <sheetData>
    <row r="1" spans="1:6" ht="18" customHeight="1" x14ac:dyDescent="0.35">
      <c r="A1" s="35" t="s">
        <v>885</v>
      </c>
      <c r="B1" s="22"/>
      <c r="C1" s="22"/>
      <c r="D1" s="22"/>
      <c r="E1" s="22"/>
      <c r="F1" s="22"/>
    </row>
    <row r="3" spans="1:6" x14ac:dyDescent="0.3">
      <c r="A3" s="1" t="s">
        <v>886</v>
      </c>
      <c r="B3" t="s">
        <v>292</v>
      </c>
    </row>
    <row r="4" spans="1:6" x14ac:dyDescent="0.3">
      <c r="A4" s="1" t="s">
        <v>887</v>
      </c>
      <c r="B4" t="str">
        <f>IFERROR(INDEX(PROGRESS_SUMMARY!B:B,MATCH($B$3,PROGRESS_SUMMARY!A:A,0)),"")</f>
        <v>Ayanda Dlamini</v>
      </c>
    </row>
    <row r="5" spans="1:6" x14ac:dyDescent="0.3">
      <c r="A5" s="1" t="s">
        <v>888</v>
      </c>
      <c r="B5">
        <f>IFERROR(INDEX(PROGRESS_SUMMARY!C:C,MATCH($B$3,PROGRESS_SUMMARY!A:A,0)),"")</f>
        <v>12</v>
      </c>
    </row>
    <row r="6" spans="1:6" x14ac:dyDescent="0.3">
      <c r="A6" s="1" t="s">
        <v>889</v>
      </c>
      <c r="B6" t="s">
        <v>890</v>
      </c>
    </row>
    <row r="7" spans="1:6" x14ac:dyDescent="0.3">
      <c r="A7" s="1" t="s">
        <v>891</v>
      </c>
      <c r="B7" s="8">
        <f>IFERROR(INDEX(PROGRESS_SUMMARY!L:L,MATCH($B$3,PROGRESS_SUMMARY!A:A,0)),"")</f>
        <v>0.79166666666666663</v>
      </c>
    </row>
    <row r="8" spans="1:6" x14ac:dyDescent="0.3">
      <c r="A8" s="1" t="s">
        <v>892</v>
      </c>
      <c r="B8">
        <f>IFERROR(INDEX(PROGRESS_SUMMARY!E:E,MATCH($B$3,PROGRESS_SUMMARY!A:A,0)),"")</f>
        <v>59.9</v>
      </c>
    </row>
    <row r="9" spans="1:6" x14ac:dyDescent="0.3">
      <c r="A9" s="1" t="s">
        <v>893</v>
      </c>
      <c r="B9" t="str">
        <f>IFERROR(INDEX(PROGRESS_SUMMARY!M:M,MATCH($B$3,PROGRESS_SUMMARY!A:A,0)),"")</f>
        <v>On Track</v>
      </c>
    </row>
    <row r="11" spans="1:6" x14ac:dyDescent="0.3">
      <c r="A11" s="1" t="s">
        <v>818</v>
      </c>
      <c r="B11" s="1" t="s">
        <v>894</v>
      </c>
    </row>
    <row r="12" spans="1:6" x14ac:dyDescent="0.3">
      <c r="A12" t="s">
        <v>823</v>
      </c>
      <c r="B12" s="4">
        <f>IF($B$3="","",IFERROR(INDEX(PROGRESS_SUMMARY!F:F,MATCH($B$3,PROGRESS_SUMMARY!A:A,0)),""))</f>
        <v>58.6</v>
      </c>
    </row>
    <row r="13" spans="1:6" x14ac:dyDescent="0.3">
      <c r="A13" t="s">
        <v>874</v>
      </c>
      <c r="B13" s="4" t="str">
        <f>IF($B$3="","",IFERROR(INDEX(PROGRESS_SUMMARY!G:G,MATCH($B$3,PROGRESS_SUMMARY!A:A,0)),""))</f>
        <v/>
      </c>
    </row>
    <row r="14" spans="1:6" x14ac:dyDescent="0.3">
      <c r="A14" t="s">
        <v>873</v>
      </c>
      <c r="B14" s="4">
        <f>IF($B$3="","",IFERROR(INDEX(PROGRESS_SUMMARY!H:H,MATCH($B$3,PROGRESS_SUMMARY!A:A,0)),""))</f>
        <v>59.2</v>
      </c>
    </row>
    <row r="15" spans="1:6" x14ac:dyDescent="0.3">
      <c r="A15" t="s">
        <v>871</v>
      </c>
      <c r="B15" s="4">
        <f>IF($B$3="","",IFERROR(INDEX(PROGRESS_SUMMARY!I:I,MATCH($B$3,PROGRESS_SUMMARY!A:A,0)),""))</f>
        <v>61.9</v>
      </c>
    </row>
    <row r="16" spans="1:6" x14ac:dyDescent="0.3">
      <c r="A16" t="s">
        <v>872</v>
      </c>
      <c r="B16" s="4">
        <f>IF($B$3="","",IFERROR(INDEX(PROGRESS_SUMMARY!J:J,MATCH($B$3,PROGRESS_SUMMARY!A:A,0)),""))</f>
        <v>55</v>
      </c>
    </row>
    <row r="17" spans="1:6" x14ac:dyDescent="0.3">
      <c r="A17" t="s">
        <v>843</v>
      </c>
      <c r="B17" s="4" t="str">
        <f>IF($B$3="","",IFERROR(INDEX(PROGRESS_SUMMARY!K:K,MATCH($B$3,PROGRESS_SUMMARY!A:A,0)),""))</f>
        <v/>
      </c>
    </row>
    <row r="20" spans="1:6" x14ac:dyDescent="0.3">
      <c r="A20" s="18" t="s">
        <v>895</v>
      </c>
      <c r="B20" s="22"/>
      <c r="C20" s="22"/>
      <c r="D20" s="22"/>
      <c r="E20" s="22"/>
      <c r="F20" s="22"/>
    </row>
    <row r="21" spans="1:6" x14ac:dyDescent="0.3">
      <c r="A21" s="34" t="s">
        <v>896</v>
      </c>
      <c r="B21" s="22"/>
    </row>
    <row r="22" spans="1:6" x14ac:dyDescent="0.3">
      <c r="A22" s="18" t="s">
        <v>897</v>
      </c>
      <c r="B22">
        <f>IFERROR(INDEX(MASTER_REGISTER!J:J,MATCH($B$3,MASTER_REGISTER!E:E,0)),"")</f>
        <v>1900</v>
      </c>
    </row>
    <row r="23" spans="1:6" x14ac:dyDescent="0.3">
      <c r="A23" s="18" t="s">
        <v>898</v>
      </c>
      <c r="B23">
        <f>IFERROR(INDEX(MASTER_REGISTER!L:L,MATCH($B$3,MASTER_REGISTER!E:E,0)),"")</f>
        <v>1558.0600000000002</v>
      </c>
    </row>
    <row r="24" spans="1:6" x14ac:dyDescent="0.3">
      <c r="A24" s="18" t="s">
        <v>899</v>
      </c>
      <c r="B24">
        <f>IFERROR(INDEX(MASTER_REGISTER!M:M,MATCH($B$3,MASTER_REGISTER!E:E,0)),"")</f>
        <v>341.93999999999983</v>
      </c>
    </row>
    <row r="25" spans="1:6" x14ac:dyDescent="0.3">
      <c r="A25" s="18" t="s">
        <v>900</v>
      </c>
      <c r="B25" t="str">
        <f>IFERROR(INDEX(MASTER_REGISTER!N:N,MATCH($B$3,MASTER_REGISTER!E:E,0)),"")</f>
        <v>Part Paid</v>
      </c>
    </row>
    <row r="26" spans="1:6" x14ac:dyDescent="0.3">
      <c r="A26" s="18" t="s">
        <v>901</v>
      </c>
      <c r="B26" t="str">
        <f ca="1">IFERROR(INDEX(MASTER_REGISTER!O:O,MATCH($B$3,MASTER_REGISTER!E:E,0)),"")</f>
        <v/>
      </c>
    </row>
    <row r="27" spans="1:6" x14ac:dyDescent="0.3">
      <c r="A27" s="36" t="s">
        <v>902</v>
      </c>
      <c r="B27" s="22"/>
      <c r="C27" s="22"/>
      <c r="D27" s="22"/>
      <c r="E27" s="22"/>
      <c r="F27" s="22"/>
    </row>
  </sheetData>
  <mergeCells count="4">
    <mergeCell ref="A21:B21"/>
    <mergeCell ref="B20:F20"/>
    <mergeCell ref="A1:F1"/>
    <mergeCell ref="A27:F27"/>
  </mergeCells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A00-000000000000}">
          <x14:formula1>
            <xm:f>MASTER_REGISTER!$E$2:$E$400</xm:f>
          </x14:formula1>
          <xm:sqref>B3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0"/>
  <sheetViews>
    <sheetView workbookViewId="0"/>
  </sheetViews>
  <sheetFormatPr defaultRowHeight="14.4" x14ac:dyDescent="0.3"/>
  <cols>
    <col min="1" max="1" width="28" customWidth="1"/>
    <col min="2" max="2" width="25" customWidth="1"/>
    <col min="3" max="3" width="12" customWidth="1"/>
    <col min="4" max="4" width="18" customWidth="1"/>
  </cols>
  <sheetData>
    <row r="1" spans="1:4" ht="18" x14ac:dyDescent="0.35">
      <c r="A1" s="21" t="s">
        <v>903</v>
      </c>
      <c r="B1" s="22"/>
      <c r="C1" s="22"/>
      <c r="D1" s="22"/>
    </row>
    <row r="3" spans="1:4" x14ac:dyDescent="0.3">
      <c r="A3" s="18" t="s">
        <v>886</v>
      </c>
      <c r="B3" t="s">
        <v>50</v>
      </c>
    </row>
    <row r="4" spans="1:4" x14ac:dyDescent="0.3">
      <c r="A4" s="18" t="s">
        <v>887</v>
      </c>
      <c r="B4" t="str">
        <f>IFERROR(INDEX(MASTER_REGISTER!F:F,MATCH($B$3,MASTER_REGISTER!E:E,0)),"")</f>
        <v>Lerato Nkosi</v>
      </c>
    </row>
    <row r="5" spans="1:4" x14ac:dyDescent="0.3">
      <c r="A5" s="18" t="s">
        <v>888</v>
      </c>
      <c r="B5">
        <f>IFERROR(INDEX(MASTER_REGISTER!C:C,MATCH($B$3,MASTER_REGISTER!E:E,0)),"")</f>
        <v>8</v>
      </c>
    </row>
    <row r="7" spans="1:4" x14ac:dyDescent="0.3">
      <c r="A7" s="18" t="s">
        <v>904</v>
      </c>
      <c r="B7" t="s">
        <v>905</v>
      </c>
      <c r="C7" s="18" t="s">
        <v>906</v>
      </c>
      <c r="D7" t="s">
        <v>907</v>
      </c>
    </row>
    <row r="9" spans="1:4" x14ac:dyDescent="0.3">
      <c r="A9" s="18" t="s">
        <v>908</v>
      </c>
      <c r="B9" t="str">
        <f>IFERROR(IF(COUNTIFS(ATTENDANCE_DAILY!C:C,$B$3,ATTENDANCE_DAILY!A:A,"&gt;="&amp;$B$7,ATTENDANCE_DAILY!A:A,"&lt;="&amp;$D$7)=0,"",COUNTIFS(ATTENDANCE_DAILY!C:C,$B$3,ATTENDANCE_DAILY!A:A,"&gt;="&amp;$B$7,ATTENDANCE_DAILY!A:A,"&lt;="&amp;$D$7,ATTENDANCE_DAILY!E:E,"Present")/COUNTIFS(ATTENDANCE_DAILY!C:C,$B$3,ATTENDANCE_DAILY!A:A,"&gt;="&amp;$B$7,ATTENDANCE_DAILY!A:A,"&lt;="&amp;$D$7)),"")</f>
        <v/>
      </c>
    </row>
    <row r="10" spans="1:4" x14ac:dyDescent="0.3">
      <c r="A10" s="18" t="s">
        <v>909</v>
      </c>
      <c r="B10" t="str">
        <f>IFERROR(IF(COUNTIFS(ASSESSMENTS!B:B,$B$3,ASSESSMENTS!A:A,"&gt;="&amp;$B$7,ASSESSMENTS!A:A,"&lt;="&amp;$D$7)=0,"",ROUND(AVERAGEIFS(ASSESSMENTS!H:H,ASSESSMENTS!B:B,$B$3,ASSESSMENTS!A:A,"&gt;="&amp;$B$7,ASSESSMENTS!A:A,"&lt;="&amp;$D$7),1)),"")</f>
        <v/>
      </c>
    </row>
    <row r="12" spans="1:4" x14ac:dyDescent="0.3">
      <c r="A12" s="19" t="s">
        <v>818</v>
      </c>
      <c r="B12" s="19" t="s">
        <v>894</v>
      </c>
    </row>
    <row r="13" spans="1:4" x14ac:dyDescent="0.3">
      <c r="A13" s="20" t="s">
        <v>823</v>
      </c>
      <c r="B13" s="20" t="str">
        <f>IFERROR(ROUND(AVERAGEIFS(ASSESSMENTS!H:H,ASSESSMENTS!B:B,$B$3,ASSESSMENTS!E:E,"Mathematics",ASSESSMENTS!A:A,"&gt;="&amp;$B$7,ASSESSMENTS!A:A,"&lt;="&amp;$D$7),1),"")</f>
        <v/>
      </c>
    </row>
    <row r="14" spans="1:4" x14ac:dyDescent="0.3">
      <c r="A14" s="20" t="s">
        <v>874</v>
      </c>
      <c r="B14" s="20" t="str">
        <f>IFERROR(ROUND(AVERAGEIFS(ASSESSMENTS!H:H,ASSESSMENTS!B:B,$B$3,ASSESSMENTS!E:E,"Mathematical Literacy",ASSESSMENTS!A:A,"&gt;="&amp;$B$7,ASSESSMENTS!A:A,"&lt;="&amp;$D$7),1),"")</f>
        <v/>
      </c>
    </row>
    <row r="15" spans="1:4" x14ac:dyDescent="0.3">
      <c r="A15" s="20" t="s">
        <v>873</v>
      </c>
      <c r="B15" s="20" t="str">
        <f>IFERROR(ROUND(AVERAGEIFS(ASSESSMENTS!H:H,ASSESSMENTS!B:B,$B$3,ASSESSMENTS!E:E,"Physical Sciences",ASSESSMENTS!A:A,"&gt;="&amp;$B$7,ASSESSMENTS!A:A,"&lt;="&amp;$D$7),1),"")</f>
        <v/>
      </c>
    </row>
    <row r="16" spans="1:4" x14ac:dyDescent="0.3">
      <c r="A16" s="20" t="s">
        <v>871</v>
      </c>
      <c r="B16" s="20" t="str">
        <f>IFERROR(ROUND(AVERAGEIFS(ASSESSMENTS!H:H,ASSESSMENTS!B:B,$B$3,ASSESSMENTS!E:E,"Geography",ASSESSMENTS!A:A,"&gt;="&amp;$B$7,ASSESSMENTS!A:A,"&lt;="&amp;$D$7),1),"")</f>
        <v/>
      </c>
    </row>
    <row r="17" spans="1:4" x14ac:dyDescent="0.3">
      <c r="A17" s="20" t="s">
        <v>872</v>
      </c>
      <c r="B17" s="20" t="str">
        <f>IFERROR(ROUND(AVERAGEIFS(ASSESSMENTS!H:H,ASSESSMENTS!B:B,$B$3,ASSESSMENTS!E:E,"Accounting",ASSESSMENTS!A:A,"&gt;="&amp;$B$7,ASSESSMENTS!A:A,"&lt;="&amp;$D$7),1),"")</f>
        <v/>
      </c>
    </row>
    <row r="18" spans="1:4" x14ac:dyDescent="0.3">
      <c r="A18" s="20" t="s">
        <v>843</v>
      </c>
      <c r="B18" s="20" t="str">
        <f>IFERROR(ROUND(AVERAGEIFS(ASSESSMENTS!H:H,ASSESSMENTS!B:B,$B$3,ASSESSMENTS!E:E,"English",ASSESSMENTS!A:A,"&gt;="&amp;$B$7,ASSESSMENTS!A:A,"&lt;="&amp;$D$7),1),"")</f>
        <v/>
      </c>
    </row>
    <row r="20" spans="1:4" x14ac:dyDescent="0.3">
      <c r="A20" s="18" t="s">
        <v>895</v>
      </c>
      <c r="B20" s="22" t="s">
        <v>910</v>
      </c>
      <c r="C20" s="22"/>
      <c r="D20" s="22"/>
    </row>
  </sheetData>
  <mergeCells count="2">
    <mergeCell ref="A1:D1"/>
    <mergeCell ref="B20:D2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50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8" customWidth="1"/>
    <col min="3" max="3" width="16" customWidth="1"/>
    <col min="4" max="4" width="28" customWidth="1"/>
    <col min="5" max="5" width="24" customWidth="1"/>
    <col min="6" max="6" width="22" customWidth="1"/>
    <col min="7" max="7" width="24" customWidth="1"/>
    <col min="8" max="9" width="18" customWidth="1"/>
    <col min="10" max="10" width="20" customWidth="1"/>
    <col min="11" max="12" width="14" customWidth="1"/>
    <col min="13" max="13" width="22" customWidth="1"/>
  </cols>
  <sheetData>
    <row r="1" spans="1:13" ht="28.8" customHeight="1" x14ac:dyDescent="0.3">
      <c r="A1" s="3" t="s">
        <v>911</v>
      </c>
      <c r="B1" s="3" t="s">
        <v>912</v>
      </c>
      <c r="C1" s="3" t="s">
        <v>913</v>
      </c>
      <c r="D1" s="3" t="s">
        <v>28</v>
      </c>
      <c r="E1" s="3" t="s">
        <v>914</v>
      </c>
      <c r="F1" s="3" t="s">
        <v>915</v>
      </c>
      <c r="G1" s="3" t="s">
        <v>916</v>
      </c>
      <c r="H1" s="3" t="s">
        <v>917</v>
      </c>
      <c r="I1" s="18" t="s">
        <v>918</v>
      </c>
      <c r="J1" s="18" t="s">
        <v>919</v>
      </c>
      <c r="K1" s="18" t="s">
        <v>920</v>
      </c>
      <c r="L1" s="18" t="s">
        <v>921</v>
      </c>
      <c r="M1" s="18" t="s">
        <v>922</v>
      </c>
    </row>
    <row r="2" spans="1:13" x14ac:dyDescent="0.3">
      <c r="A2" t="s">
        <v>834</v>
      </c>
      <c r="B2" t="s">
        <v>923</v>
      </c>
      <c r="C2" t="s">
        <v>924</v>
      </c>
      <c r="D2" t="s">
        <v>925</v>
      </c>
      <c r="E2" t="s">
        <v>926</v>
      </c>
      <c r="F2" t="s">
        <v>927</v>
      </c>
      <c r="G2" t="s">
        <v>928</v>
      </c>
      <c r="H2" t="s">
        <v>55</v>
      </c>
      <c r="I2" t="s">
        <v>929</v>
      </c>
      <c r="J2" t="s">
        <v>930</v>
      </c>
      <c r="K2" t="s">
        <v>62</v>
      </c>
      <c r="L2" t="s">
        <v>931</v>
      </c>
      <c r="M2" t="s">
        <v>932</v>
      </c>
    </row>
    <row r="3" spans="1:13" x14ac:dyDescent="0.3">
      <c r="A3" t="s">
        <v>826</v>
      </c>
      <c r="B3" t="s">
        <v>933</v>
      </c>
      <c r="C3" t="s">
        <v>934</v>
      </c>
      <c r="D3" t="s">
        <v>935</v>
      </c>
      <c r="E3" t="s">
        <v>873</v>
      </c>
      <c r="F3" t="s">
        <v>936</v>
      </c>
      <c r="G3" t="s">
        <v>937</v>
      </c>
      <c r="H3" t="s">
        <v>55</v>
      </c>
      <c r="I3" t="s">
        <v>938</v>
      </c>
      <c r="J3" t="s">
        <v>930</v>
      </c>
      <c r="K3" t="s">
        <v>62</v>
      </c>
      <c r="L3" t="s">
        <v>931</v>
      </c>
      <c r="M3" t="s">
        <v>939</v>
      </c>
    </row>
    <row r="4" spans="1:13" x14ac:dyDescent="0.3">
      <c r="A4" t="s">
        <v>846</v>
      </c>
      <c r="B4" t="s">
        <v>940</v>
      </c>
      <c r="C4" t="s">
        <v>941</v>
      </c>
      <c r="D4" t="s">
        <v>942</v>
      </c>
      <c r="E4" t="s">
        <v>872</v>
      </c>
      <c r="F4" t="s">
        <v>943</v>
      </c>
      <c r="G4" t="s">
        <v>944</v>
      </c>
      <c r="H4" t="s">
        <v>55</v>
      </c>
      <c r="I4" t="s">
        <v>945</v>
      </c>
      <c r="J4" t="s">
        <v>930</v>
      </c>
      <c r="K4" t="s">
        <v>62</v>
      </c>
      <c r="L4" t="s">
        <v>931</v>
      </c>
      <c r="M4" t="s">
        <v>946</v>
      </c>
    </row>
    <row r="5" spans="1:13" x14ac:dyDescent="0.3">
      <c r="A5" t="s">
        <v>849</v>
      </c>
      <c r="B5" t="s">
        <v>947</v>
      </c>
      <c r="C5" t="s">
        <v>948</v>
      </c>
      <c r="D5" t="s">
        <v>949</v>
      </c>
      <c r="E5" t="s">
        <v>871</v>
      </c>
      <c r="F5" t="s">
        <v>950</v>
      </c>
      <c r="G5" t="s">
        <v>937</v>
      </c>
      <c r="H5" t="s">
        <v>55</v>
      </c>
      <c r="I5" t="s">
        <v>951</v>
      </c>
      <c r="J5" t="s">
        <v>930</v>
      </c>
      <c r="K5" t="s">
        <v>62</v>
      </c>
      <c r="L5" t="s">
        <v>931</v>
      </c>
      <c r="M5" t="s">
        <v>952</v>
      </c>
    </row>
    <row r="6" spans="1:13" x14ac:dyDescent="0.3">
      <c r="A6" t="s">
        <v>852</v>
      </c>
      <c r="B6" t="s">
        <v>953</v>
      </c>
      <c r="C6" t="s">
        <v>954</v>
      </c>
      <c r="D6" t="s">
        <v>955</v>
      </c>
      <c r="E6" t="s">
        <v>843</v>
      </c>
      <c r="F6" t="s">
        <v>956</v>
      </c>
      <c r="G6" t="s">
        <v>957</v>
      </c>
      <c r="H6" t="s">
        <v>55</v>
      </c>
      <c r="I6" t="s">
        <v>958</v>
      </c>
      <c r="J6" t="s">
        <v>930</v>
      </c>
      <c r="K6" t="s">
        <v>62</v>
      </c>
      <c r="L6" t="s">
        <v>931</v>
      </c>
      <c r="M6" t="s">
        <v>959</v>
      </c>
    </row>
    <row r="7" spans="1:13" x14ac:dyDescent="0.3">
      <c r="A7" t="s">
        <v>844</v>
      </c>
      <c r="B7" t="s">
        <v>960</v>
      </c>
      <c r="C7" t="s">
        <v>961</v>
      </c>
      <c r="D7" t="s">
        <v>962</v>
      </c>
      <c r="E7" t="s">
        <v>963</v>
      </c>
      <c r="F7" t="s">
        <v>964</v>
      </c>
      <c r="G7" t="s">
        <v>965</v>
      </c>
      <c r="H7" t="s">
        <v>55</v>
      </c>
      <c r="I7" t="s">
        <v>966</v>
      </c>
      <c r="J7" t="s">
        <v>930</v>
      </c>
      <c r="K7" t="s">
        <v>62</v>
      </c>
      <c r="L7" t="s">
        <v>931</v>
      </c>
      <c r="M7" t="s">
        <v>967</v>
      </c>
    </row>
    <row r="8" spans="1:13" x14ac:dyDescent="0.3">
      <c r="A8" t="s">
        <v>829</v>
      </c>
      <c r="B8" t="s">
        <v>968</v>
      </c>
      <c r="C8" t="s">
        <v>969</v>
      </c>
      <c r="D8" t="s">
        <v>970</v>
      </c>
      <c r="E8" t="s">
        <v>831</v>
      </c>
      <c r="F8" t="s">
        <v>971</v>
      </c>
      <c r="G8" t="s">
        <v>928</v>
      </c>
      <c r="H8" t="s">
        <v>55</v>
      </c>
      <c r="I8" t="s">
        <v>972</v>
      </c>
      <c r="J8" t="s">
        <v>930</v>
      </c>
      <c r="K8" t="s">
        <v>62</v>
      </c>
      <c r="L8" t="s">
        <v>931</v>
      </c>
      <c r="M8" t="s">
        <v>973</v>
      </c>
    </row>
    <row r="9" spans="1:13" x14ac:dyDescent="0.3">
      <c r="A9" t="s">
        <v>862</v>
      </c>
      <c r="B9" t="s">
        <v>974</v>
      </c>
      <c r="C9" t="s">
        <v>975</v>
      </c>
      <c r="D9" t="s">
        <v>976</v>
      </c>
      <c r="E9" t="s">
        <v>977</v>
      </c>
      <c r="F9" t="s">
        <v>978</v>
      </c>
      <c r="G9" t="s">
        <v>937</v>
      </c>
      <c r="H9" t="s">
        <v>55</v>
      </c>
      <c r="I9" t="s">
        <v>979</v>
      </c>
      <c r="J9" t="s">
        <v>930</v>
      </c>
      <c r="K9" t="s">
        <v>62</v>
      </c>
      <c r="L9" t="s">
        <v>931</v>
      </c>
      <c r="M9" t="s">
        <v>980</v>
      </c>
    </row>
    <row r="101" spans="9:10" x14ac:dyDescent="0.3">
      <c r="I101" t="str">
        <f t="shared" ref="I101:I164" ca="1" si="0">IF($A101="","","MSH-TUT-"&amp;TEXT(YEAR(TODAY()),"0000")&amp;"-"&amp;TEXT(ROW()-1,"000"))</f>
        <v/>
      </c>
      <c r="J101" t="str">
        <f t="shared" ref="J101:J164" si="1">IF($A101="","","Pending")</f>
        <v/>
      </c>
    </row>
    <row r="102" spans="9:10" x14ac:dyDescent="0.3">
      <c r="I102" t="str">
        <f t="shared" ca="1" si="0"/>
        <v/>
      </c>
      <c r="J102" t="str">
        <f t="shared" si="1"/>
        <v/>
      </c>
    </row>
    <row r="103" spans="9:10" x14ac:dyDescent="0.3">
      <c r="I103" t="str">
        <f t="shared" ca="1" si="0"/>
        <v/>
      </c>
      <c r="J103" t="str">
        <f t="shared" si="1"/>
        <v/>
      </c>
    </row>
    <row r="104" spans="9:10" x14ac:dyDescent="0.3">
      <c r="I104" t="str">
        <f t="shared" ca="1" si="0"/>
        <v/>
      </c>
      <c r="J104" t="str">
        <f t="shared" si="1"/>
        <v/>
      </c>
    </row>
    <row r="105" spans="9:10" x14ac:dyDescent="0.3">
      <c r="I105" t="str">
        <f t="shared" ca="1" si="0"/>
        <v/>
      </c>
      <c r="J105" t="str">
        <f t="shared" si="1"/>
        <v/>
      </c>
    </row>
    <row r="106" spans="9:10" x14ac:dyDescent="0.3">
      <c r="I106" t="str">
        <f t="shared" ca="1" si="0"/>
        <v/>
      </c>
      <c r="J106" t="str">
        <f t="shared" si="1"/>
        <v/>
      </c>
    </row>
    <row r="107" spans="9:10" x14ac:dyDescent="0.3">
      <c r="I107" t="str">
        <f t="shared" ca="1" si="0"/>
        <v/>
      </c>
      <c r="J107" t="str">
        <f t="shared" si="1"/>
        <v/>
      </c>
    </row>
    <row r="108" spans="9:10" x14ac:dyDescent="0.3">
      <c r="I108" t="str">
        <f t="shared" ca="1" si="0"/>
        <v/>
      </c>
      <c r="J108" t="str">
        <f t="shared" si="1"/>
        <v/>
      </c>
    </row>
    <row r="109" spans="9:10" x14ac:dyDescent="0.3">
      <c r="I109" t="str">
        <f t="shared" ca="1" si="0"/>
        <v/>
      </c>
      <c r="J109" t="str">
        <f t="shared" si="1"/>
        <v/>
      </c>
    </row>
    <row r="110" spans="9:10" x14ac:dyDescent="0.3">
      <c r="I110" t="str">
        <f t="shared" ca="1" si="0"/>
        <v/>
      </c>
      <c r="J110" t="str">
        <f t="shared" si="1"/>
        <v/>
      </c>
    </row>
    <row r="111" spans="9:10" x14ac:dyDescent="0.3">
      <c r="I111" t="str">
        <f t="shared" ca="1" si="0"/>
        <v/>
      </c>
      <c r="J111" t="str">
        <f t="shared" si="1"/>
        <v/>
      </c>
    </row>
    <row r="112" spans="9:10" x14ac:dyDescent="0.3">
      <c r="I112" t="str">
        <f t="shared" ca="1" si="0"/>
        <v/>
      </c>
      <c r="J112" t="str">
        <f t="shared" si="1"/>
        <v/>
      </c>
    </row>
    <row r="113" spans="9:10" x14ac:dyDescent="0.3">
      <c r="I113" t="str">
        <f t="shared" ca="1" si="0"/>
        <v/>
      </c>
      <c r="J113" t="str">
        <f t="shared" si="1"/>
        <v/>
      </c>
    </row>
    <row r="114" spans="9:10" x14ac:dyDescent="0.3">
      <c r="I114" t="str">
        <f t="shared" ca="1" si="0"/>
        <v/>
      </c>
      <c r="J114" t="str">
        <f t="shared" si="1"/>
        <v/>
      </c>
    </row>
    <row r="115" spans="9:10" x14ac:dyDescent="0.3">
      <c r="I115" t="str">
        <f t="shared" ca="1" si="0"/>
        <v/>
      </c>
      <c r="J115" t="str">
        <f t="shared" si="1"/>
        <v/>
      </c>
    </row>
    <row r="116" spans="9:10" x14ac:dyDescent="0.3">
      <c r="I116" t="str">
        <f t="shared" ca="1" si="0"/>
        <v/>
      </c>
      <c r="J116" t="str">
        <f t="shared" si="1"/>
        <v/>
      </c>
    </row>
    <row r="117" spans="9:10" x14ac:dyDescent="0.3">
      <c r="I117" t="str">
        <f t="shared" ca="1" si="0"/>
        <v/>
      </c>
      <c r="J117" t="str">
        <f t="shared" si="1"/>
        <v/>
      </c>
    </row>
    <row r="118" spans="9:10" x14ac:dyDescent="0.3">
      <c r="I118" t="str">
        <f t="shared" ca="1" si="0"/>
        <v/>
      </c>
      <c r="J118" t="str">
        <f t="shared" si="1"/>
        <v/>
      </c>
    </row>
    <row r="119" spans="9:10" x14ac:dyDescent="0.3">
      <c r="I119" t="str">
        <f t="shared" ca="1" si="0"/>
        <v/>
      </c>
      <c r="J119" t="str">
        <f t="shared" si="1"/>
        <v/>
      </c>
    </row>
    <row r="120" spans="9:10" x14ac:dyDescent="0.3">
      <c r="I120" t="str">
        <f t="shared" ca="1" si="0"/>
        <v/>
      </c>
      <c r="J120" t="str">
        <f t="shared" si="1"/>
        <v/>
      </c>
    </row>
    <row r="121" spans="9:10" x14ac:dyDescent="0.3">
      <c r="I121" t="str">
        <f t="shared" ca="1" si="0"/>
        <v/>
      </c>
      <c r="J121" t="str">
        <f t="shared" si="1"/>
        <v/>
      </c>
    </row>
    <row r="122" spans="9:10" x14ac:dyDescent="0.3">
      <c r="I122" t="str">
        <f t="shared" ca="1" si="0"/>
        <v/>
      </c>
      <c r="J122" t="str">
        <f t="shared" si="1"/>
        <v/>
      </c>
    </row>
    <row r="123" spans="9:10" x14ac:dyDescent="0.3">
      <c r="I123" t="str">
        <f t="shared" ca="1" si="0"/>
        <v/>
      </c>
      <c r="J123" t="str">
        <f t="shared" si="1"/>
        <v/>
      </c>
    </row>
    <row r="124" spans="9:10" x14ac:dyDescent="0.3">
      <c r="I124" t="str">
        <f t="shared" ca="1" si="0"/>
        <v/>
      </c>
      <c r="J124" t="str">
        <f t="shared" si="1"/>
        <v/>
      </c>
    </row>
    <row r="125" spans="9:10" x14ac:dyDescent="0.3">
      <c r="I125" t="str">
        <f t="shared" ca="1" si="0"/>
        <v/>
      </c>
      <c r="J125" t="str">
        <f t="shared" si="1"/>
        <v/>
      </c>
    </row>
    <row r="126" spans="9:10" x14ac:dyDescent="0.3">
      <c r="I126" t="str">
        <f t="shared" ca="1" si="0"/>
        <v/>
      </c>
      <c r="J126" t="str">
        <f t="shared" si="1"/>
        <v/>
      </c>
    </row>
    <row r="127" spans="9:10" x14ac:dyDescent="0.3">
      <c r="I127" t="str">
        <f t="shared" ca="1" si="0"/>
        <v/>
      </c>
      <c r="J127" t="str">
        <f t="shared" si="1"/>
        <v/>
      </c>
    </row>
    <row r="128" spans="9:10" x14ac:dyDescent="0.3">
      <c r="I128" t="str">
        <f t="shared" ca="1" si="0"/>
        <v/>
      </c>
      <c r="J128" t="str">
        <f t="shared" si="1"/>
        <v/>
      </c>
    </row>
    <row r="129" spans="9:10" x14ac:dyDescent="0.3">
      <c r="I129" t="str">
        <f t="shared" ca="1" si="0"/>
        <v/>
      </c>
      <c r="J129" t="str">
        <f t="shared" si="1"/>
        <v/>
      </c>
    </row>
    <row r="130" spans="9:10" x14ac:dyDescent="0.3">
      <c r="I130" t="str">
        <f t="shared" ca="1" si="0"/>
        <v/>
      </c>
      <c r="J130" t="str">
        <f t="shared" si="1"/>
        <v/>
      </c>
    </row>
    <row r="131" spans="9:10" x14ac:dyDescent="0.3">
      <c r="I131" t="str">
        <f t="shared" ca="1" si="0"/>
        <v/>
      </c>
      <c r="J131" t="str">
        <f t="shared" si="1"/>
        <v/>
      </c>
    </row>
    <row r="132" spans="9:10" x14ac:dyDescent="0.3">
      <c r="I132" t="str">
        <f t="shared" ca="1" si="0"/>
        <v/>
      </c>
      <c r="J132" t="str">
        <f t="shared" si="1"/>
        <v/>
      </c>
    </row>
    <row r="133" spans="9:10" x14ac:dyDescent="0.3">
      <c r="I133" t="str">
        <f t="shared" ca="1" si="0"/>
        <v/>
      </c>
      <c r="J133" t="str">
        <f t="shared" si="1"/>
        <v/>
      </c>
    </row>
    <row r="134" spans="9:10" x14ac:dyDescent="0.3">
      <c r="I134" t="str">
        <f t="shared" ca="1" si="0"/>
        <v/>
      </c>
      <c r="J134" t="str">
        <f t="shared" si="1"/>
        <v/>
      </c>
    </row>
    <row r="135" spans="9:10" x14ac:dyDescent="0.3">
      <c r="I135" t="str">
        <f t="shared" ca="1" si="0"/>
        <v/>
      </c>
      <c r="J135" t="str">
        <f t="shared" si="1"/>
        <v/>
      </c>
    </row>
    <row r="136" spans="9:10" x14ac:dyDescent="0.3">
      <c r="I136" t="str">
        <f t="shared" ca="1" si="0"/>
        <v/>
      </c>
      <c r="J136" t="str">
        <f t="shared" si="1"/>
        <v/>
      </c>
    </row>
    <row r="137" spans="9:10" x14ac:dyDescent="0.3">
      <c r="I137" t="str">
        <f t="shared" ca="1" si="0"/>
        <v/>
      </c>
      <c r="J137" t="str">
        <f t="shared" si="1"/>
        <v/>
      </c>
    </row>
    <row r="138" spans="9:10" x14ac:dyDescent="0.3">
      <c r="I138" t="str">
        <f t="shared" ca="1" si="0"/>
        <v/>
      </c>
      <c r="J138" t="str">
        <f t="shared" si="1"/>
        <v/>
      </c>
    </row>
    <row r="139" spans="9:10" x14ac:dyDescent="0.3">
      <c r="I139" t="str">
        <f t="shared" ca="1" si="0"/>
        <v/>
      </c>
      <c r="J139" t="str">
        <f t="shared" si="1"/>
        <v/>
      </c>
    </row>
    <row r="140" spans="9:10" x14ac:dyDescent="0.3">
      <c r="I140" t="str">
        <f t="shared" ca="1" si="0"/>
        <v/>
      </c>
      <c r="J140" t="str">
        <f t="shared" si="1"/>
        <v/>
      </c>
    </row>
    <row r="141" spans="9:10" x14ac:dyDescent="0.3">
      <c r="I141" t="str">
        <f t="shared" ca="1" si="0"/>
        <v/>
      </c>
      <c r="J141" t="str">
        <f t="shared" si="1"/>
        <v/>
      </c>
    </row>
    <row r="142" spans="9:10" x14ac:dyDescent="0.3">
      <c r="I142" t="str">
        <f t="shared" ca="1" si="0"/>
        <v/>
      </c>
      <c r="J142" t="str">
        <f t="shared" si="1"/>
        <v/>
      </c>
    </row>
    <row r="143" spans="9:10" x14ac:dyDescent="0.3">
      <c r="I143" t="str">
        <f t="shared" ca="1" si="0"/>
        <v/>
      </c>
      <c r="J143" t="str">
        <f t="shared" si="1"/>
        <v/>
      </c>
    </row>
    <row r="144" spans="9:10" x14ac:dyDescent="0.3">
      <c r="I144" t="str">
        <f t="shared" ca="1" si="0"/>
        <v/>
      </c>
      <c r="J144" t="str">
        <f t="shared" si="1"/>
        <v/>
      </c>
    </row>
    <row r="145" spans="9:10" x14ac:dyDescent="0.3">
      <c r="I145" t="str">
        <f t="shared" ca="1" si="0"/>
        <v/>
      </c>
      <c r="J145" t="str">
        <f t="shared" si="1"/>
        <v/>
      </c>
    </row>
    <row r="146" spans="9:10" x14ac:dyDescent="0.3">
      <c r="I146" t="str">
        <f t="shared" ca="1" si="0"/>
        <v/>
      </c>
      <c r="J146" t="str">
        <f t="shared" si="1"/>
        <v/>
      </c>
    </row>
    <row r="147" spans="9:10" x14ac:dyDescent="0.3">
      <c r="I147" t="str">
        <f t="shared" ca="1" si="0"/>
        <v/>
      </c>
      <c r="J147" t="str">
        <f t="shared" si="1"/>
        <v/>
      </c>
    </row>
    <row r="148" spans="9:10" x14ac:dyDescent="0.3">
      <c r="I148" t="str">
        <f t="shared" ca="1" si="0"/>
        <v/>
      </c>
      <c r="J148" t="str">
        <f t="shared" si="1"/>
        <v/>
      </c>
    </row>
    <row r="149" spans="9:10" x14ac:dyDescent="0.3">
      <c r="I149" t="str">
        <f t="shared" ca="1" si="0"/>
        <v/>
      </c>
      <c r="J149" t="str">
        <f t="shared" si="1"/>
        <v/>
      </c>
    </row>
    <row r="150" spans="9:10" x14ac:dyDescent="0.3">
      <c r="I150" t="str">
        <f t="shared" ca="1" si="0"/>
        <v/>
      </c>
      <c r="J150" t="str">
        <f t="shared" si="1"/>
        <v/>
      </c>
    </row>
    <row r="151" spans="9:10" x14ac:dyDescent="0.3">
      <c r="I151" t="str">
        <f t="shared" ca="1" si="0"/>
        <v/>
      </c>
      <c r="J151" t="str">
        <f t="shared" si="1"/>
        <v/>
      </c>
    </row>
    <row r="152" spans="9:10" x14ac:dyDescent="0.3">
      <c r="I152" t="str">
        <f t="shared" ca="1" si="0"/>
        <v/>
      </c>
      <c r="J152" t="str">
        <f t="shared" si="1"/>
        <v/>
      </c>
    </row>
    <row r="153" spans="9:10" x14ac:dyDescent="0.3">
      <c r="I153" t="str">
        <f t="shared" ca="1" si="0"/>
        <v/>
      </c>
      <c r="J153" t="str">
        <f t="shared" si="1"/>
        <v/>
      </c>
    </row>
    <row r="154" spans="9:10" x14ac:dyDescent="0.3">
      <c r="I154" t="str">
        <f t="shared" ca="1" si="0"/>
        <v/>
      </c>
      <c r="J154" t="str">
        <f t="shared" si="1"/>
        <v/>
      </c>
    </row>
    <row r="155" spans="9:10" x14ac:dyDescent="0.3">
      <c r="I155" t="str">
        <f t="shared" ca="1" si="0"/>
        <v/>
      </c>
      <c r="J155" t="str">
        <f t="shared" si="1"/>
        <v/>
      </c>
    </row>
    <row r="156" spans="9:10" x14ac:dyDescent="0.3">
      <c r="I156" t="str">
        <f t="shared" ca="1" si="0"/>
        <v/>
      </c>
      <c r="J156" t="str">
        <f t="shared" si="1"/>
        <v/>
      </c>
    </row>
    <row r="157" spans="9:10" x14ac:dyDescent="0.3">
      <c r="I157" t="str">
        <f t="shared" ca="1" si="0"/>
        <v/>
      </c>
      <c r="J157" t="str">
        <f t="shared" si="1"/>
        <v/>
      </c>
    </row>
    <row r="158" spans="9:10" x14ac:dyDescent="0.3">
      <c r="I158" t="str">
        <f t="shared" ca="1" si="0"/>
        <v/>
      </c>
      <c r="J158" t="str">
        <f t="shared" si="1"/>
        <v/>
      </c>
    </row>
    <row r="159" spans="9:10" x14ac:dyDescent="0.3">
      <c r="I159" t="str">
        <f t="shared" ca="1" si="0"/>
        <v/>
      </c>
      <c r="J159" t="str">
        <f t="shared" si="1"/>
        <v/>
      </c>
    </row>
    <row r="160" spans="9:10" x14ac:dyDescent="0.3">
      <c r="I160" t="str">
        <f t="shared" ca="1" si="0"/>
        <v/>
      </c>
      <c r="J160" t="str">
        <f t="shared" si="1"/>
        <v/>
      </c>
    </row>
    <row r="161" spans="9:10" x14ac:dyDescent="0.3">
      <c r="I161" t="str">
        <f t="shared" ca="1" si="0"/>
        <v/>
      </c>
      <c r="J161" t="str">
        <f t="shared" si="1"/>
        <v/>
      </c>
    </row>
    <row r="162" spans="9:10" x14ac:dyDescent="0.3">
      <c r="I162" t="str">
        <f t="shared" ca="1" si="0"/>
        <v/>
      </c>
      <c r="J162" t="str">
        <f t="shared" si="1"/>
        <v/>
      </c>
    </row>
    <row r="163" spans="9:10" x14ac:dyDescent="0.3">
      <c r="I163" t="str">
        <f t="shared" ca="1" si="0"/>
        <v/>
      </c>
      <c r="J163" t="str">
        <f t="shared" si="1"/>
        <v/>
      </c>
    </row>
    <row r="164" spans="9:10" x14ac:dyDescent="0.3">
      <c r="I164" t="str">
        <f t="shared" ca="1" si="0"/>
        <v/>
      </c>
      <c r="J164" t="str">
        <f t="shared" si="1"/>
        <v/>
      </c>
    </row>
    <row r="165" spans="9:10" x14ac:dyDescent="0.3">
      <c r="I165" t="str">
        <f t="shared" ref="I165:I228" ca="1" si="2">IF($A165="","","MSH-TUT-"&amp;TEXT(YEAR(TODAY()),"0000")&amp;"-"&amp;TEXT(ROW()-1,"000"))</f>
        <v/>
      </c>
      <c r="J165" t="str">
        <f t="shared" ref="J165:J228" si="3">IF($A165="","","Pending")</f>
        <v/>
      </c>
    </row>
    <row r="166" spans="9:10" x14ac:dyDescent="0.3">
      <c r="I166" t="str">
        <f t="shared" ca="1" si="2"/>
        <v/>
      </c>
      <c r="J166" t="str">
        <f t="shared" si="3"/>
        <v/>
      </c>
    </row>
    <row r="167" spans="9:10" x14ac:dyDescent="0.3">
      <c r="I167" t="str">
        <f t="shared" ca="1" si="2"/>
        <v/>
      </c>
      <c r="J167" t="str">
        <f t="shared" si="3"/>
        <v/>
      </c>
    </row>
    <row r="168" spans="9:10" x14ac:dyDescent="0.3">
      <c r="I168" t="str">
        <f t="shared" ca="1" si="2"/>
        <v/>
      </c>
      <c r="J168" t="str">
        <f t="shared" si="3"/>
        <v/>
      </c>
    </row>
    <row r="169" spans="9:10" x14ac:dyDescent="0.3">
      <c r="I169" t="str">
        <f t="shared" ca="1" si="2"/>
        <v/>
      </c>
      <c r="J169" t="str">
        <f t="shared" si="3"/>
        <v/>
      </c>
    </row>
    <row r="170" spans="9:10" x14ac:dyDescent="0.3">
      <c r="I170" t="str">
        <f t="shared" ca="1" si="2"/>
        <v/>
      </c>
      <c r="J170" t="str">
        <f t="shared" si="3"/>
        <v/>
      </c>
    </row>
    <row r="171" spans="9:10" x14ac:dyDescent="0.3">
      <c r="I171" t="str">
        <f t="shared" ca="1" si="2"/>
        <v/>
      </c>
      <c r="J171" t="str">
        <f t="shared" si="3"/>
        <v/>
      </c>
    </row>
    <row r="172" spans="9:10" x14ac:dyDescent="0.3">
      <c r="I172" t="str">
        <f t="shared" ca="1" si="2"/>
        <v/>
      </c>
      <c r="J172" t="str">
        <f t="shared" si="3"/>
        <v/>
      </c>
    </row>
    <row r="173" spans="9:10" x14ac:dyDescent="0.3">
      <c r="I173" t="str">
        <f t="shared" ca="1" si="2"/>
        <v/>
      </c>
      <c r="J173" t="str">
        <f t="shared" si="3"/>
        <v/>
      </c>
    </row>
    <row r="174" spans="9:10" x14ac:dyDescent="0.3">
      <c r="I174" t="str">
        <f t="shared" ca="1" si="2"/>
        <v/>
      </c>
      <c r="J174" t="str">
        <f t="shared" si="3"/>
        <v/>
      </c>
    </row>
    <row r="175" spans="9:10" x14ac:dyDescent="0.3">
      <c r="I175" t="str">
        <f t="shared" ca="1" si="2"/>
        <v/>
      </c>
      <c r="J175" t="str">
        <f t="shared" si="3"/>
        <v/>
      </c>
    </row>
    <row r="176" spans="9:10" x14ac:dyDescent="0.3">
      <c r="I176" t="str">
        <f t="shared" ca="1" si="2"/>
        <v/>
      </c>
      <c r="J176" t="str">
        <f t="shared" si="3"/>
        <v/>
      </c>
    </row>
    <row r="177" spans="9:10" x14ac:dyDescent="0.3">
      <c r="I177" t="str">
        <f t="shared" ca="1" si="2"/>
        <v/>
      </c>
      <c r="J177" t="str">
        <f t="shared" si="3"/>
        <v/>
      </c>
    </row>
    <row r="178" spans="9:10" x14ac:dyDescent="0.3">
      <c r="I178" t="str">
        <f t="shared" ca="1" si="2"/>
        <v/>
      </c>
      <c r="J178" t="str">
        <f t="shared" si="3"/>
        <v/>
      </c>
    </row>
    <row r="179" spans="9:10" x14ac:dyDescent="0.3">
      <c r="I179" t="str">
        <f t="shared" ca="1" si="2"/>
        <v/>
      </c>
      <c r="J179" t="str">
        <f t="shared" si="3"/>
        <v/>
      </c>
    </row>
    <row r="180" spans="9:10" x14ac:dyDescent="0.3">
      <c r="I180" t="str">
        <f t="shared" ca="1" si="2"/>
        <v/>
      </c>
      <c r="J180" t="str">
        <f t="shared" si="3"/>
        <v/>
      </c>
    </row>
    <row r="181" spans="9:10" x14ac:dyDescent="0.3">
      <c r="I181" t="str">
        <f t="shared" ca="1" si="2"/>
        <v/>
      </c>
      <c r="J181" t="str">
        <f t="shared" si="3"/>
        <v/>
      </c>
    </row>
    <row r="182" spans="9:10" x14ac:dyDescent="0.3">
      <c r="I182" t="str">
        <f t="shared" ca="1" si="2"/>
        <v/>
      </c>
      <c r="J182" t="str">
        <f t="shared" si="3"/>
        <v/>
      </c>
    </row>
    <row r="183" spans="9:10" x14ac:dyDescent="0.3">
      <c r="I183" t="str">
        <f t="shared" ca="1" si="2"/>
        <v/>
      </c>
      <c r="J183" t="str">
        <f t="shared" si="3"/>
        <v/>
      </c>
    </row>
    <row r="184" spans="9:10" x14ac:dyDescent="0.3">
      <c r="I184" t="str">
        <f t="shared" ca="1" si="2"/>
        <v/>
      </c>
      <c r="J184" t="str">
        <f t="shared" si="3"/>
        <v/>
      </c>
    </row>
    <row r="185" spans="9:10" x14ac:dyDescent="0.3">
      <c r="I185" t="str">
        <f t="shared" ca="1" si="2"/>
        <v/>
      </c>
      <c r="J185" t="str">
        <f t="shared" si="3"/>
        <v/>
      </c>
    </row>
    <row r="186" spans="9:10" x14ac:dyDescent="0.3">
      <c r="I186" t="str">
        <f t="shared" ca="1" si="2"/>
        <v/>
      </c>
      <c r="J186" t="str">
        <f t="shared" si="3"/>
        <v/>
      </c>
    </row>
    <row r="187" spans="9:10" x14ac:dyDescent="0.3">
      <c r="I187" t="str">
        <f t="shared" ca="1" si="2"/>
        <v/>
      </c>
      <c r="J187" t="str">
        <f t="shared" si="3"/>
        <v/>
      </c>
    </row>
    <row r="188" spans="9:10" x14ac:dyDescent="0.3">
      <c r="I188" t="str">
        <f t="shared" ca="1" si="2"/>
        <v/>
      </c>
      <c r="J188" t="str">
        <f t="shared" si="3"/>
        <v/>
      </c>
    </row>
    <row r="189" spans="9:10" x14ac:dyDescent="0.3">
      <c r="I189" t="str">
        <f t="shared" ca="1" si="2"/>
        <v/>
      </c>
      <c r="J189" t="str">
        <f t="shared" si="3"/>
        <v/>
      </c>
    </row>
    <row r="190" spans="9:10" x14ac:dyDescent="0.3">
      <c r="I190" t="str">
        <f t="shared" ca="1" si="2"/>
        <v/>
      </c>
      <c r="J190" t="str">
        <f t="shared" si="3"/>
        <v/>
      </c>
    </row>
    <row r="191" spans="9:10" x14ac:dyDescent="0.3">
      <c r="I191" t="str">
        <f t="shared" ca="1" si="2"/>
        <v/>
      </c>
      <c r="J191" t="str">
        <f t="shared" si="3"/>
        <v/>
      </c>
    </row>
    <row r="192" spans="9:10" x14ac:dyDescent="0.3">
      <c r="I192" t="str">
        <f t="shared" ca="1" si="2"/>
        <v/>
      </c>
      <c r="J192" t="str">
        <f t="shared" si="3"/>
        <v/>
      </c>
    </row>
    <row r="193" spans="9:10" x14ac:dyDescent="0.3">
      <c r="I193" t="str">
        <f t="shared" ca="1" si="2"/>
        <v/>
      </c>
      <c r="J193" t="str">
        <f t="shared" si="3"/>
        <v/>
      </c>
    </row>
    <row r="194" spans="9:10" x14ac:dyDescent="0.3">
      <c r="I194" t="str">
        <f t="shared" ca="1" si="2"/>
        <v/>
      </c>
      <c r="J194" t="str">
        <f t="shared" si="3"/>
        <v/>
      </c>
    </row>
    <row r="195" spans="9:10" x14ac:dyDescent="0.3">
      <c r="I195" t="str">
        <f t="shared" ca="1" si="2"/>
        <v/>
      </c>
      <c r="J195" t="str">
        <f t="shared" si="3"/>
        <v/>
      </c>
    </row>
    <row r="196" spans="9:10" x14ac:dyDescent="0.3">
      <c r="I196" t="str">
        <f t="shared" ca="1" si="2"/>
        <v/>
      </c>
      <c r="J196" t="str">
        <f t="shared" si="3"/>
        <v/>
      </c>
    </row>
    <row r="197" spans="9:10" x14ac:dyDescent="0.3">
      <c r="I197" t="str">
        <f t="shared" ca="1" si="2"/>
        <v/>
      </c>
      <c r="J197" t="str">
        <f t="shared" si="3"/>
        <v/>
      </c>
    </row>
    <row r="198" spans="9:10" x14ac:dyDescent="0.3">
      <c r="I198" t="str">
        <f t="shared" ca="1" si="2"/>
        <v/>
      </c>
      <c r="J198" t="str">
        <f t="shared" si="3"/>
        <v/>
      </c>
    </row>
    <row r="199" spans="9:10" x14ac:dyDescent="0.3">
      <c r="I199" t="str">
        <f t="shared" ca="1" si="2"/>
        <v/>
      </c>
      <c r="J199" t="str">
        <f t="shared" si="3"/>
        <v/>
      </c>
    </row>
    <row r="200" spans="9:10" x14ac:dyDescent="0.3">
      <c r="I200" t="str">
        <f t="shared" ca="1" si="2"/>
        <v/>
      </c>
      <c r="J200" t="str">
        <f t="shared" si="3"/>
        <v/>
      </c>
    </row>
    <row r="201" spans="9:10" x14ac:dyDescent="0.3">
      <c r="I201" t="str">
        <f t="shared" ca="1" si="2"/>
        <v/>
      </c>
      <c r="J201" t="str">
        <f t="shared" si="3"/>
        <v/>
      </c>
    </row>
    <row r="202" spans="9:10" x14ac:dyDescent="0.3">
      <c r="I202" t="str">
        <f t="shared" ca="1" si="2"/>
        <v/>
      </c>
      <c r="J202" t="str">
        <f t="shared" si="3"/>
        <v/>
      </c>
    </row>
    <row r="203" spans="9:10" x14ac:dyDescent="0.3">
      <c r="I203" t="str">
        <f t="shared" ca="1" si="2"/>
        <v/>
      </c>
      <c r="J203" t="str">
        <f t="shared" si="3"/>
        <v/>
      </c>
    </row>
    <row r="204" spans="9:10" x14ac:dyDescent="0.3">
      <c r="I204" t="str">
        <f t="shared" ca="1" si="2"/>
        <v/>
      </c>
      <c r="J204" t="str">
        <f t="shared" si="3"/>
        <v/>
      </c>
    </row>
    <row r="205" spans="9:10" x14ac:dyDescent="0.3">
      <c r="I205" t="str">
        <f t="shared" ca="1" si="2"/>
        <v/>
      </c>
      <c r="J205" t="str">
        <f t="shared" si="3"/>
        <v/>
      </c>
    </row>
    <row r="206" spans="9:10" x14ac:dyDescent="0.3">
      <c r="I206" t="str">
        <f t="shared" ca="1" si="2"/>
        <v/>
      </c>
      <c r="J206" t="str">
        <f t="shared" si="3"/>
        <v/>
      </c>
    </row>
    <row r="207" spans="9:10" x14ac:dyDescent="0.3">
      <c r="I207" t="str">
        <f t="shared" ca="1" si="2"/>
        <v/>
      </c>
      <c r="J207" t="str">
        <f t="shared" si="3"/>
        <v/>
      </c>
    </row>
    <row r="208" spans="9:10" x14ac:dyDescent="0.3">
      <c r="I208" t="str">
        <f t="shared" ca="1" si="2"/>
        <v/>
      </c>
      <c r="J208" t="str">
        <f t="shared" si="3"/>
        <v/>
      </c>
    </row>
    <row r="209" spans="9:10" x14ac:dyDescent="0.3">
      <c r="I209" t="str">
        <f t="shared" ca="1" si="2"/>
        <v/>
      </c>
      <c r="J209" t="str">
        <f t="shared" si="3"/>
        <v/>
      </c>
    </row>
    <row r="210" spans="9:10" x14ac:dyDescent="0.3">
      <c r="I210" t="str">
        <f t="shared" ca="1" si="2"/>
        <v/>
      </c>
      <c r="J210" t="str">
        <f t="shared" si="3"/>
        <v/>
      </c>
    </row>
    <row r="211" spans="9:10" x14ac:dyDescent="0.3">
      <c r="I211" t="str">
        <f t="shared" ca="1" si="2"/>
        <v/>
      </c>
      <c r="J211" t="str">
        <f t="shared" si="3"/>
        <v/>
      </c>
    </row>
    <row r="212" spans="9:10" x14ac:dyDescent="0.3">
      <c r="I212" t="str">
        <f t="shared" ca="1" si="2"/>
        <v/>
      </c>
      <c r="J212" t="str">
        <f t="shared" si="3"/>
        <v/>
      </c>
    </row>
    <row r="213" spans="9:10" x14ac:dyDescent="0.3">
      <c r="I213" t="str">
        <f t="shared" ca="1" si="2"/>
        <v/>
      </c>
      <c r="J213" t="str">
        <f t="shared" si="3"/>
        <v/>
      </c>
    </row>
    <row r="214" spans="9:10" x14ac:dyDescent="0.3">
      <c r="I214" t="str">
        <f t="shared" ca="1" si="2"/>
        <v/>
      </c>
      <c r="J214" t="str">
        <f t="shared" si="3"/>
        <v/>
      </c>
    </row>
    <row r="215" spans="9:10" x14ac:dyDescent="0.3">
      <c r="I215" t="str">
        <f t="shared" ca="1" si="2"/>
        <v/>
      </c>
      <c r="J215" t="str">
        <f t="shared" si="3"/>
        <v/>
      </c>
    </row>
    <row r="216" spans="9:10" x14ac:dyDescent="0.3">
      <c r="I216" t="str">
        <f t="shared" ca="1" si="2"/>
        <v/>
      </c>
      <c r="J216" t="str">
        <f t="shared" si="3"/>
        <v/>
      </c>
    </row>
    <row r="217" spans="9:10" x14ac:dyDescent="0.3">
      <c r="I217" t="str">
        <f t="shared" ca="1" si="2"/>
        <v/>
      </c>
      <c r="J217" t="str">
        <f t="shared" si="3"/>
        <v/>
      </c>
    </row>
    <row r="218" spans="9:10" x14ac:dyDescent="0.3">
      <c r="I218" t="str">
        <f t="shared" ca="1" si="2"/>
        <v/>
      </c>
      <c r="J218" t="str">
        <f t="shared" si="3"/>
        <v/>
      </c>
    </row>
    <row r="219" spans="9:10" x14ac:dyDescent="0.3">
      <c r="I219" t="str">
        <f t="shared" ca="1" si="2"/>
        <v/>
      </c>
      <c r="J219" t="str">
        <f t="shared" si="3"/>
        <v/>
      </c>
    </row>
    <row r="220" spans="9:10" x14ac:dyDescent="0.3">
      <c r="I220" t="str">
        <f t="shared" ca="1" si="2"/>
        <v/>
      </c>
      <c r="J220" t="str">
        <f t="shared" si="3"/>
        <v/>
      </c>
    </row>
    <row r="221" spans="9:10" x14ac:dyDescent="0.3">
      <c r="I221" t="str">
        <f t="shared" ca="1" si="2"/>
        <v/>
      </c>
      <c r="J221" t="str">
        <f t="shared" si="3"/>
        <v/>
      </c>
    </row>
    <row r="222" spans="9:10" x14ac:dyDescent="0.3">
      <c r="I222" t="str">
        <f t="shared" ca="1" si="2"/>
        <v/>
      </c>
      <c r="J222" t="str">
        <f t="shared" si="3"/>
        <v/>
      </c>
    </row>
    <row r="223" spans="9:10" x14ac:dyDescent="0.3">
      <c r="I223" t="str">
        <f t="shared" ca="1" si="2"/>
        <v/>
      </c>
      <c r="J223" t="str">
        <f t="shared" si="3"/>
        <v/>
      </c>
    </row>
    <row r="224" spans="9:10" x14ac:dyDescent="0.3">
      <c r="I224" t="str">
        <f t="shared" ca="1" si="2"/>
        <v/>
      </c>
      <c r="J224" t="str">
        <f t="shared" si="3"/>
        <v/>
      </c>
    </row>
    <row r="225" spans="9:10" x14ac:dyDescent="0.3">
      <c r="I225" t="str">
        <f t="shared" ca="1" si="2"/>
        <v/>
      </c>
      <c r="J225" t="str">
        <f t="shared" si="3"/>
        <v/>
      </c>
    </row>
    <row r="226" spans="9:10" x14ac:dyDescent="0.3">
      <c r="I226" t="str">
        <f t="shared" ca="1" si="2"/>
        <v/>
      </c>
      <c r="J226" t="str">
        <f t="shared" si="3"/>
        <v/>
      </c>
    </row>
    <row r="227" spans="9:10" x14ac:dyDescent="0.3">
      <c r="I227" t="str">
        <f t="shared" ca="1" si="2"/>
        <v/>
      </c>
      <c r="J227" t="str">
        <f t="shared" si="3"/>
        <v/>
      </c>
    </row>
    <row r="228" spans="9:10" x14ac:dyDescent="0.3">
      <c r="I228" t="str">
        <f t="shared" ca="1" si="2"/>
        <v/>
      </c>
      <c r="J228" t="str">
        <f t="shared" si="3"/>
        <v/>
      </c>
    </row>
    <row r="229" spans="9:10" x14ac:dyDescent="0.3">
      <c r="I229" t="str">
        <f t="shared" ref="I229:I292" ca="1" si="4">IF($A229="","","MSH-TUT-"&amp;TEXT(YEAR(TODAY()),"0000")&amp;"-"&amp;TEXT(ROW()-1,"000"))</f>
        <v/>
      </c>
      <c r="J229" t="str">
        <f t="shared" ref="J229:J292" si="5">IF($A229="","","Pending")</f>
        <v/>
      </c>
    </row>
    <row r="230" spans="9:10" x14ac:dyDescent="0.3">
      <c r="I230" t="str">
        <f t="shared" ca="1" si="4"/>
        <v/>
      </c>
      <c r="J230" t="str">
        <f t="shared" si="5"/>
        <v/>
      </c>
    </row>
    <row r="231" spans="9:10" x14ac:dyDescent="0.3">
      <c r="I231" t="str">
        <f t="shared" ca="1" si="4"/>
        <v/>
      </c>
      <c r="J231" t="str">
        <f t="shared" si="5"/>
        <v/>
      </c>
    </row>
    <row r="232" spans="9:10" x14ac:dyDescent="0.3">
      <c r="I232" t="str">
        <f t="shared" ca="1" si="4"/>
        <v/>
      </c>
      <c r="J232" t="str">
        <f t="shared" si="5"/>
        <v/>
      </c>
    </row>
    <row r="233" spans="9:10" x14ac:dyDescent="0.3">
      <c r="I233" t="str">
        <f t="shared" ca="1" si="4"/>
        <v/>
      </c>
      <c r="J233" t="str">
        <f t="shared" si="5"/>
        <v/>
      </c>
    </row>
    <row r="234" spans="9:10" x14ac:dyDescent="0.3">
      <c r="I234" t="str">
        <f t="shared" ca="1" si="4"/>
        <v/>
      </c>
      <c r="J234" t="str">
        <f t="shared" si="5"/>
        <v/>
      </c>
    </row>
    <row r="235" spans="9:10" x14ac:dyDescent="0.3">
      <c r="I235" t="str">
        <f t="shared" ca="1" si="4"/>
        <v/>
      </c>
      <c r="J235" t="str">
        <f t="shared" si="5"/>
        <v/>
      </c>
    </row>
    <row r="236" spans="9:10" x14ac:dyDescent="0.3">
      <c r="I236" t="str">
        <f t="shared" ca="1" si="4"/>
        <v/>
      </c>
      <c r="J236" t="str">
        <f t="shared" si="5"/>
        <v/>
      </c>
    </row>
    <row r="237" spans="9:10" x14ac:dyDescent="0.3">
      <c r="I237" t="str">
        <f t="shared" ca="1" si="4"/>
        <v/>
      </c>
      <c r="J237" t="str">
        <f t="shared" si="5"/>
        <v/>
      </c>
    </row>
    <row r="238" spans="9:10" x14ac:dyDescent="0.3">
      <c r="I238" t="str">
        <f t="shared" ca="1" si="4"/>
        <v/>
      </c>
      <c r="J238" t="str">
        <f t="shared" si="5"/>
        <v/>
      </c>
    </row>
    <row r="239" spans="9:10" x14ac:dyDescent="0.3">
      <c r="I239" t="str">
        <f t="shared" ca="1" si="4"/>
        <v/>
      </c>
      <c r="J239" t="str">
        <f t="shared" si="5"/>
        <v/>
      </c>
    </row>
    <row r="240" spans="9:10" x14ac:dyDescent="0.3">
      <c r="I240" t="str">
        <f t="shared" ca="1" si="4"/>
        <v/>
      </c>
      <c r="J240" t="str">
        <f t="shared" si="5"/>
        <v/>
      </c>
    </row>
    <row r="241" spans="9:10" x14ac:dyDescent="0.3">
      <c r="I241" t="str">
        <f t="shared" ca="1" si="4"/>
        <v/>
      </c>
      <c r="J241" t="str">
        <f t="shared" si="5"/>
        <v/>
      </c>
    </row>
    <row r="242" spans="9:10" x14ac:dyDescent="0.3">
      <c r="I242" t="str">
        <f t="shared" ca="1" si="4"/>
        <v/>
      </c>
      <c r="J242" t="str">
        <f t="shared" si="5"/>
        <v/>
      </c>
    </row>
    <row r="243" spans="9:10" x14ac:dyDescent="0.3">
      <c r="I243" t="str">
        <f t="shared" ca="1" si="4"/>
        <v/>
      </c>
      <c r="J243" t="str">
        <f t="shared" si="5"/>
        <v/>
      </c>
    </row>
    <row r="244" spans="9:10" x14ac:dyDescent="0.3">
      <c r="I244" t="str">
        <f t="shared" ca="1" si="4"/>
        <v/>
      </c>
      <c r="J244" t="str">
        <f t="shared" si="5"/>
        <v/>
      </c>
    </row>
    <row r="245" spans="9:10" x14ac:dyDescent="0.3">
      <c r="I245" t="str">
        <f t="shared" ca="1" si="4"/>
        <v/>
      </c>
      <c r="J245" t="str">
        <f t="shared" si="5"/>
        <v/>
      </c>
    </row>
    <row r="246" spans="9:10" x14ac:dyDescent="0.3">
      <c r="I246" t="str">
        <f t="shared" ca="1" si="4"/>
        <v/>
      </c>
      <c r="J246" t="str">
        <f t="shared" si="5"/>
        <v/>
      </c>
    </row>
    <row r="247" spans="9:10" x14ac:dyDescent="0.3">
      <c r="I247" t="str">
        <f t="shared" ca="1" si="4"/>
        <v/>
      </c>
      <c r="J247" t="str">
        <f t="shared" si="5"/>
        <v/>
      </c>
    </row>
    <row r="248" spans="9:10" x14ac:dyDescent="0.3">
      <c r="I248" t="str">
        <f t="shared" ca="1" si="4"/>
        <v/>
      </c>
      <c r="J248" t="str">
        <f t="shared" si="5"/>
        <v/>
      </c>
    </row>
    <row r="249" spans="9:10" x14ac:dyDescent="0.3">
      <c r="I249" t="str">
        <f t="shared" ca="1" si="4"/>
        <v/>
      </c>
      <c r="J249" t="str">
        <f t="shared" si="5"/>
        <v/>
      </c>
    </row>
    <row r="250" spans="9:10" x14ac:dyDescent="0.3">
      <c r="I250" t="str">
        <f t="shared" ca="1" si="4"/>
        <v/>
      </c>
      <c r="J250" t="str">
        <f t="shared" si="5"/>
        <v/>
      </c>
    </row>
    <row r="251" spans="9:10" x14ac:dyDescent="0.3">
      <c r="I251" t="str">
        <f t="shared" ca="1" si="4"/>
        <v/>
      </c>
      <c r="J251" t="str">
        <f t="shared" si="5"/>
        <v/>
      </c>
    </row>
    <row r="252" spans="9:10" x14ac:dyDescent="0.3">
      <c r="I252" t="str">
        <f t="shared" ca="1" si="4"/>
        <v/>
      </c>
      <c r="J252" t="str">
        <f t="shared" si="5"/>
        <v/>
      </c>
    </row>
    <row r="253" spans="9:10" x14ac:dyDescent="0.3">
      <c r="I253" t="str">
        <f t="shared" ca="1" si="4"/>
        <v/>
      </c>
      <c r="J253" t="str">
        <f t="shared" si="5"/>
        <v/>
      </c>
    </row>
    <row r="254" spans="9:10" x14ac:dyDescent="0.3">
      <c r="I254" t="str">
        <f t="shared" ca="1" si="4"/>
        <v/>
      </c>
      <c r="J254" t="str">
        <f t="shared" si="5"/>
        <v/>
      </c>
    </row>
    <row r="255" spans="9:10" x14ac:dyDescent="0.3">
      <c r="I255" t="str">
        <f t="shared" ca="1" si="4"/>
        <v/>
      </c>
      <c r="J255" t="str">
        <f t="shared" si="5"/>
        <v/>
      </c>
    </row>
    <row r="256" spans="9:10" x14ac:dyDescent="0.3">
      <c r="I256" t="str">
        <f t="shared" ca="1" si="4"/>
        <v/>
      </c>
      <c r="J256" t="str">
        <f t="shared" si="5"/>
        <v/>
      </c>
    </row>
    <row r="257" spans="9:10" x14ac:dyDescent="0.3">
      <c r="I257" t="str">
        <f t="shared" ca="1" si="4"/>
        <v/>
      </c>
      <c r="J257" t="str">
        <f t="shared" si="5"/>
        <v/>
      </c>
    </row>
    <row r="258" spans="9:10" x14ac:dyDescent="0.3">
      <c r="I258" t="str">
        <f t="shared" ca="1" si="4"/>
        <v/>
      </c>
      <c r="J258" t="str">
        <f t="shared" si="5"/>
        <v/>
      </c>
    </row>
    <row r="259" spans="9:10" x14ac:dyDescent="0.3">
      <c r="I259" t="str">
        <f t="shared" ca="1" si="4"/>
        <v/>
      </c>
      <c r="J259" t="str">
        <f t="shared" si="5"/>
        <v/>
      </c>
    </row>
    <row r="260" spans="9:10" x14ac:dyDescent="0.3">
      <c r="I260" t="str">
        <f t="shared" ca="1" si="4"/>
        <v/>
      </c>
      <c r="J260" t="str">
        <f t="shared" si="5"/>
        <v/>
      </c>
    </row>
    <row r="261" spans="9:10" x14ac:dyDescent="0.3">
      <c r="I261" t="str">
        <f t="shared" ca="1" si="4"/>
        <v/>
      </c>
      <c r="J261" t="str">
        <f t="shared" si="5"/>
        <v/>
      </c>
    </row>
    <row r="262" spans="9:10" x14ac:dyDescent="0.3">
      <c r="I262" t="str">
        <f t="shared" ca="1" si="4"/>
        <v/>
      </c>
      <c r="J262" t="str">
        <f t="shared" si="5"/>
        <v/>
      </c>
    </row>
    <row r="263" spans="9:10" x14ac:dyDescent="0.3">
      <c r="I263" t="str">
        <f t="shared" ca="1" si="4"/>
        <v/>
      </c>
      <c r="J263" t="str">
        <f t="shared" si="5"/>
        <v/>
      </c>
    </row>
    <row r="264" spans="9:10" x14ac:dyDescent="0.3">
      <c r="I264" t="str">
        <f t="shared" ca="1" si="4"/>
        <v/>
      </c>
      <c r="J264" t="str">
        <f t="shared" si="5"/>
        <v/>
      </c>
    </row>
    <row r="265" spans="9:10" x14ac:dyDescent="0.3">
      <c r="I265" t="str">
        <f t="shared" ca="1" si="4"/>
        <v/>
      </c>
      <c r="J265" t="str">
        <f t="shared" si="5"/>
        <v/>
      </c>
    </row>
    <row r="266" spans="9:10" x14ac:dyDescent="0.3">
      <c r="I266" t="str">
        <f t="shared" ca="1" si="4"/>
        <v/>
      </c>
      <c r="J266" t="str">
        <f t="shared" si="5"/>
        <v/>
      </c>
    </row>
    <row r="267" spans="9:10" x14ac:dyDescent="0.3">
      <c r="I267" t="str">
        <f t="shared" ca="1" si="4"/>
        <v/>
      </c>
      <c r="J267" t="str">
        <f t="shared" si="5"/>
        <v/>
      </c>
    </row>
    <row r="268" spans="9:10" x14ac:dyDescent="0.3">
      <c r="I268" t="str">
        <f t="shared" ca="1" si="4"/>
        <v/>
      </c>
      <c r="J268" t="str">
        <f t="shared" si="5"/>
        <v/>
      </c>
    </row>
    <row r="269" spans="9:10" x14ac:dyDescent="0.3">
      <c r="I269" t="str">
        <f t="shared" ca="1" si="4"/>
        <v/>
      </c>
      <c r="J269" t="str">
        <f t="shared" si="5"/>
        <v/>
      </c>
    </row>
    <row r="270" spans="9:10" x14ac:dyDescent="0.3">
      <c r="I270" t="str">
        <f t="shared" ca="1" si="4"/>
        <v/>
      </c>
      <c r="J270" t="str">
        <f t="shared" si="5"/>
        <v/>
      </c>
    </row>
    <row r="271" spans="9:10" x14ac:dyDescent="0.3">
      <c r="I271" t="str">
        <f t="shared" ca="1" si="4"/>
        <v/>
      </c>
      <c r="J271" t="str">
        <f t="shared" si="5"/>
        <v/>
      </c>
    </row>
    <row r="272" spans="9:10" x14ac:dyDescent="0.3">
      <c r="I272" t="str">
        <f t="shared" ca="1" si="4"/>
        <v/>
      </c>
      <c r="J272" t="str">
        <f t="shared" si="5"/>
        <v/>
      </c>
    </row>
    <row r="273" spans="9:10" x14ac:dyDescent="0.3">
      <c r="I273" t="str">
        <f t="shared" ca="1" si="4"/>
        <v/>
      </c>
      <c r="J273" t="str">
        <f t="shared" si="5"/>
        <v/>
      </c>
    </row>
    <row r="274" spans="9:10" x14ac:dyDescent="0.3">
      <c r="I274" t="str">
        <f t="shared" ca="1" si="4"/>
        <v/>
      </c>
      <c r="J274" t="str">
        <f t="shared" si="5"/>
        <v/>
      </c>
    </row>
    <row r="275" spans="9:10" x14ac:dyDescent="0.3">
      <c r="I275" t="str">
        <f t="shared" ca="1" si="4"/>
        <v/>
      </c>
      <c r="J275" t="str">
        <f t="shared" si="5"/>
        <v/>
      </c>
    </row>
    <row r="276" spans="9:10" x14ac:dyDescent="0.3">
      <c r="I276" t="str">
        <f t="shared" ca="1" si="4"/>
        <v/>
      </c>
      <c r="J276" t="str">
        <f t="shared" si="5"/>
        <v/>
      </c>
    </row>
    <row r="277" spans="9:10" x14ac:dyDescent="0.3">
      <c r="I277" t="str">
        <f t="shared" ca="1" si="4"/>
        <v/>
      </c>
      <c r="J277" t="str">
        <f t="shared" si="5"/>
        <v/>
      </c>
    </row>
    <row r="278" spans="9:10" x14ac:dyDescent="0.3">
      <c r="I278" t="str">
        <f t="shared" ca="1" si="4"/>
        <v/>
      </c>
      <c r="J278" t="str">
        <f t="shared" si="5"/>
        <v/>
      </c>
    </row>
    <row r="279" spans="9:10" x14ac:dyDescent="0.3">
      <c r="I279" t="str">
        <f t="shared" ca="1" si="4"/>
        <v/>
      </c>
      <c r="J279" t="str">
        <f t="shared" si="5"/>
        <v/>
      </c>
    </row>
    <row r="280" spans="9:10" x14ac:dyDescent="0.3">
      <c r="I280" t="str">
        <f t="shared" ca="1" si="4"/>
        <v/>
      </c>
      <c r="J280" t="str">
        <f t="shared" si="5"/>
        <v/>
      </c>
    </row>
    <row r="281" spans="9:10" x14ac:dyDescent="0.3">
      <c r="I281" t="str">
        <f t="shared" ca="1" si="4"/>
        <v/>
      </c>
      <c r="J281" t="str">
        <f t="shared" si="5"/>
        <v/>
      </c>
    </row>
    <row r="282" spans="9:10" x14ac:dyDescent="0.3">
      <c r="I282" t="str">
        <f t="shared" ca="1" si="4"/>
        <v/>
      </c>
      <c r="J282" t="str">
        <f t="shared" si="5"/>
        <v/>
      </c>
    </row>
    <row r="283" spans="9:10" x14ac:dyDescent="0.3">
      <c r="I283" t="str">
        <f t="shared" ca="1" si="4"/>
        <v/>
      </c>
      <c r="J283" t="str">
        <f t="shared" si="5"/>
        <v/>
      </c>
    </row>
    <row r="284" spans="9:10" x14ac:dyDescent="0.3">
      <c r="I284" t="str">
        <f t="shared" ca="1" si="4"/>
        <v/>
      </c>
      <c r="J284" t="str">
        <f t="shared" si="5"/>
        <v/>
      </c>
    </row>
    <row r="285" spans="9:10" x14ac:dyDescent="0.3">
      <c r="I285" t="str">
        <f t="shared" ca="1" si="4"/>
        <v/>
      </c>
      <c r="J285" t="str">
        <f t="shared" si="5"/>
        <v/>
      </c>
    </row>
    <row r="286" spans="9:10" x14ac:dyDescent="0.3">
      <c r="I286" t="str">
        <f t="shared" ca="1" si="4"/>
        <v/>
      </c>
      <c r="J286" t="str">
        <f t="shared" si="5"/>
        <v/>
      </c>
    </row>
    <row r="287" spans="9:10" x14ac:dyDescent="0.3">
      <c r="I287" t="str">
        <f t="shared" ca="1" si="4"/>
        <v/>
      </c>
      <c r="J287" t="str">
        <f t="shared" si="5"/>
        <v/>
      </c>
    </row>
    <row r="288" spans="9:10" x14ac:dyDescent="0.3">
      <c r="I288" t="str">
        <f t="shared" ca="1" si="4"/>
        <v/>
      </c>
      <c r="J288" t="str">
        <f t="shared" si="5"/>
        <v/>
      </c>
    </row>
    <row r="289" spans="9:10" x14ac:dyDescent="0.3">
      <c r="I289" t="str">
        <f t="shared" ca="1" si="4"/>
        <v/>
      </c>
      <c r="J289" t="str">
        <f t="shared" si="5"/>
        <v/>
      </c>
    </row>
    <row r="290" spans="9:10" x14ac:dyDescent="0.3">
      <c r="I290" t="str">
        <f t="shared" ca="1" si="4"/>
        <v/>
      </c>
      <c r="J290" t="str">
        <f t="shared" si="5"/>
        <v/>
      </c>
    </row>
    <row r="291" spans="9:10" x14ac:dyDescent="0.3">
      <c r="I291" t="str">
        <f t="shared" ca="1" si="4"/>
        <v/>
      </c>
      <c r="J291" t="str">
        <f t="shared" si="5"/>
        <v/>
      </c>
    </row>
    <row r="292" spans="9:10" x14ac:dyDescent="0.3">
      <c r="I292" t="str">
        <f t="shared" ca="1" si="4"/>
        <v/>
      </c>
      <c r="J292" t="str">
        <f t="shared" si="5"/>
        <v/>
      </c>
    </row>
    <row r="293" spans="9:10" x14ac:dyDescent="0.3">
      <c r="I293" t="str">
        <f t="shared" ref="I293:I356" ca="1" si="6">IF($A293="","","MSH-TUT-"&amp;TEXT(YEAR(TODAY()),"0000")&amp;"-"&amp;TEXT(ROW()-1,"000"))</f>
        <v/>
      </c>
      <c r="J293" t="str">
        <f t="shared" ref="J293:J356" si="7">IF($A293="","","Pending")</f>
        <v/>
      </c>
    </row>
    <row r="294" spans="9:10" x14ac:dyDescent="0.3">
      <c r="I294" t="str">
        <f t="shared" ca="1" si="6"/>
        <v/>
      </c>
      <c r="J294" t="str">
        <f t="shared" si="7"/>
        <v/>
      </c>
    </row>
    <row r="295" spans="9:10" x14ac:dyDescent="0.3">
      <c r="I295" t="str">
        <f t="shared" ca="1" si="6"/>
        <v/>
      </c>
      <c r="J295" t="str">
        <f t="shared" si="7"/>
        <v/>
      </c>
    </row>
    <row r="296" spans="9:10" x14ac:dyDescent="0.3">
      <c r="I296" t="str">
        <f t="shared" ca="1" si="6"/>
        <v/>
      </c>
      <c r="J296" t="str">
        <f t="shared" si="7"/>
        <v/>
      </c>
    </row>
    <row r="297" spans="9:10" x14ac:dyDescent="0.3">
      <c r="I297" t="str">
        <f t="shared" ca="1" si="6"/>
        <v/>
      </c>
      <c r="J297" t="str">
        <f t="shared" si="7"/>
        <v/>
      </c>
    </row>
    <row r="298" spans="9:10" x14ac:dyDescent="0.3">
      <c r="I298" t="str">
        <f t="shared" ca="1" si="6"/>
        <v/>
      </c>
      <c r="J298" t="str">
        <f t="shared" si="7"/>
        <v/>
      </c>
    </row>
    <row r="299" spans="9:10" x14ac:dyDescent="0.3">
      <c r="I299" t="str">
        <f t="shared" ca="1" si="6"/>
        <v/>
      </c>
      <c r="J299" t="str">
        <f t="shared" si="7"/>
        <v/>
      </c>
    </row>
    <row r="300" spans="9:10" x14ac:dyDescent="0.3">
      <c r="I300" t="str">
        <f t="shared" ca="1" si="6"/>
        <v/>
      </c>
      <c r="J300" t="str">
        <f t="shared" si="7"/>
        <v/>
      </c>
    </row>
    <row r="301" spans="9:10" x14ac:dyDescent="0.3">
      <c r="I301" t="str">
        <f t="shared" ca="1" si="6"/>
        <v/>
      </c>
      <c r="J301" t="str">
        <f t="shared" si="7"/>
        <v/>
      </c>
    </row>
    <row r="302" spans="9:10" x14ac:dyDescent="0.3">
      <c r="I302" t="str">
        <f t="shared" ca="1" si="6"/>
        <v/>
      </c>
      <c r="J302" t="str">
        <f t="shared" si="7"/>
        <v/>
      </c>
    </row>
    <row r="303" spans="9:10" x14ac:dyDescent="0.3">
      <c r="I303" t="str">
        <f t="shared" ca="1" si="6"/>
        <v/>
      </c>
      <c r="J303" t="str">
        <f t="shared" si="7"/>
        <v/>
      </c>
    </row>
    <row r="304" spans="9:10" x14ac:dyDescent="0.3">
      <c r="I304" t="str">
        <f t="shared" ca="1" si="6"/>
        <v/>
      </c>
      <c r="J304" t="str">
        <f t="shared" si="7"/>
        <v/>
      </c>
    </row>
    <row r="305" spans="9:10" x14ac:dyDescent="0.3">
      <c r="I305" t="str">
        <f t="shared" ca="1" si="6"/>
        <v/>
      </c>
      <c r="J305" t="str">
        <f t="shared" si="7"/>
        <v/>
      </c>
    </row>
    <row r="306" spans="9:10" x14ac:dyDescent="0.3">
      <c r="I306" t="str">
        <f t="shared" ca="1" si="6"/>
        <v/>
      </c>
      <c r="J306" t="str">
        <f t="shared" si="7"/>
        <v/>
      </c>
    </row>
    <row r="307" spans="9:10" x14ac:dyDescent="0.3">
      <c r="I307" t="str">
        <f t="shared" ca="1" si="6"/>
        <v/>
      </c>
      <c r="J307" t="str">
        <f t="shared" si="7"/>
        <v/>
      </c>
    </row>
    <row r="308" spans="9:10" x14ac:dyDescent="0.3">
      <c r="I308" t="str">
        <f t="shared" ca="1" si="6"/>
        <v/>
      </c>
      <c r="J308" t="str">
        <f t="shared" si="7"/>
        <v/>
      </c>
    </row>
    <row r="309" spans="9:10" x14ac:dyDescent="0.3">
      <c r="I309" t="str">
        <f t="shared" ca="1" si="6"/>
        <v/>
      </c>
      <c r="J309" t="str">
        <f t="shared" si="7"/>
        <v/>
      </c>
    </row>
    <row r="310" spans="9:10" x14ac:dyDescent="0.3">
      <c r="I310" t="str">
        <f t="shared" ca="1" si="6"/>
        <v/>
      </c>
      <c r="J310" t="str">
        <f t="shared" si="7"/>
        <v/>
      </c>
    </row>
    <row r="311" spans="9:10" x14ac:dyDescent="0.3">
      <c r="I311" t="str">
        <f t="shared" ca="1" si="6"/>
        <v/>
      </c>
      <c r="J311" t="str">
        <f t="shared" si="7"/>
        <v/>
      </c>
    </row>
    <row r="312" spans="9:10" x14ac:dyDescent="0.3">
      <c r="I312" t="str">
        <f t="shared" ca="1" si="6"/>
        <v/>
      </c>
      <c r="J312" t="str">
        <f t="shared" si="7"/>
        <v/>
      </c>
    </row>
    <row r="313" spans="9:10" x14ac:dyDescent="0.3">
      <c r="I313" t="str">
        <f t="shared" ca="1" si="6"/>
        <v/>
      </c>
      <c r="J313" t="str">
        <f t="shared" si="7"/>
        <v/>
      </c>
    </row>
    <row r="314" spans="9:10" x14ac:dyDescent="0.3">
      <c r="I314" t="str">
        <f t="shared" ca="1" si="6"/>
        <v/>
      </c>
      <c r="J314" t="str">
        <f t="shared" si="7"/>
        <v/>
      </c>
    </row>
    <row r="315" spans="9:10" x14ac:dyDescent="0.3">
      <c r="I315" t="str">
        <f t="shared" ca="1" si="6"/>
        <v/>
      </c>
      <c r="J315" t="str">
        <f t="shared" si="7"/>
        <v/>
      </c>
    </row>
    <row r="316" spans="9:10" x14ac:dyDescent="0.3">
      <c r="I316" t="str">
        <f t="shared" ca="1" si="6"/>
        <v/>
      </c>
      <c r="J316" t="str">
        <f t="shared" si="7"/>
        <v/>
      </c>
    </row>
    <row r="317" spans="9:10" x14ac:dyDescent="0.3">
      <c r="I317" t="str">
        <f t="shared" ca="1" si="6"/>
        <v/>
      </c>
      <c r="J317" t="str">
        <f t="shared" si="7"/>
        <v/>
      </c>
    </row>
    <row r="318" spans="9:10" x14ac:dyDescent="0.3">
      <c r="I318" t="str">
        <f t="shared" ca="1" si="6"/>
        <v/>
      </c>
      <c r="J318" t="str">
        <f t="shared" si="7"/>
        <v/>
      </c>
    </row>
    <row r="319" spans="9:10" x14ac:dyDescent="0.3">
      <c r="I319" t="str">
        <f t="shared" ca="1" si="6"/>
        <v/>
      </c>
      <c r="J319" t="str">
        <f t="shared" si="7"/>
        <v/>
      </c>
    </row>
    <row r="320" spans="9:10" x14ac:dyDescent="0.3">
      <c r="I320" t="str">
        <f t="shared" ca="1" si="6"/>
        <v/>
      </c>
      <c r="J320" t="str">
        <f t="shared" si="7"/>
        <v/>
      </c>
    </row>
    <row r="321" spans="9:10" x14ac:dyDescent="0.3">
      <c r="I321" t="str">
        <f t="shared" ca="1" si="6"/>
        <v/>
      </c>
      <c r="J321" t="str">
        <f t="shared" si="7"/>
        <v/>
      </c>
    </row>
    <row r="322" spans="9:10" x14ac:dyDescent="0.3">
      <c r="I322" t="str">
        <f t="shared" ca="1" si="6"/>
        <v/>
      </c>
      <c r="J322" t="str">
        <f t="shared" si="7"/>
        <v/>
      </c>
    </row>
    <row r="323" spans="9:10" x14ac:dyDescent="0.3">
      <c r="I323" t="str">
        <f t="shared" ca="1" si="6"/>
        <v/>
      </c>
      <c r="J323" t="str">
        <f t="shared" si="7"/>
        <v/>
      </c>
    </row>
    <row r="324" spans="9:10" x14ac:dyDescent="0.3">
      <c r="I324" t="str">
        <f t="shared" ca="1" si="6"/>
        <v/>
      </c>
      <c r="J324" t="str">
        <f t="shared" si="7"/>
        <v/>
      </c>
    </row>
    <row r="325" spans="9:10" x14ac:dyDescent="0.3">
      <c r="I325" t="str">
        <f t="shared" ca="1" si="6"/>
        <v/>
      </c>
      <c r="J325" t="str">
        <f t="shared" si="7"/>
        <v/>
      </c>
    </row>
    <row r="326" spans="9:10" x14ac:dyDescent="0.3">
      <c r="I326" t="str">
        <f t="shared" ca="1" si="6"/>
        <v/>
      </c>
      <c r="J326" t="str">
        <f t="shared" si="7"/>
        <v/>
      </c>
    </row>
    <row r="327" spans="9:10" x14ac:dyDescent="0.3">
      <c r="I327" t="str">
        <f t="shared" ca="1" si="6"/>
        <v/>
      </c>
      <c r="J327" t="str">
        <f t="shared" si="7"/>
        <v/>
      </c>
    </row>
    <row r="328" spans="9:10" x14ac:dyDescent="0.3">
      <c r="I328" t="str">
        <f t="shared" ca="1" si="6"/>
        <v/>
      </c>
      <c r="J328" t="str">
        <f t="shared" si="7"/>
        <v/>
      </c>
    </row>
    <row r="329" spans="9:10" x14ac:dyDescent="0.3">
      <c r="I329" t="str">
        <f t="shared" ca="1" si="6"/>
        <v/>
      </c>
      <c r="J329" t="str">
        <f t="shared" si="7"/>
        <v/>
      </c>
    </row>
    <row r="330" spans="9:10" x14ac:dyDescent="0.3">
      <c r="I330" t="str">
        <f t="shared" ca="1" si="6"/>
        <v/>
      </c>
      <c r="J330" t="str">
        <f t="shared" si="7"/>
        <v/>
      </c>
    </row>
    <row r="331" spans="9:10" x14ac:dyDescent="0.3">
      <c r="I331" t="str">
        <f t="shared" ca="1" si="6"/>
        <v/>
      </c>
      <c r="J331" t="str">
        <f t="shared" si="7"/>
        <v/>
      </c>
    </row>
    <row r="332" spans="9:10" x14ac:dyDescent="0.3">
      <c r="I332" t="str">
        <f t="shared" ca="1" si="6"/>
        <v/>
      </c>
      <c r="J332" t="str">
        <f t="shared" si="7"/>
        <v/>
      </c>
    </row>
    <row r="333" spans="9:10" x14ac:dyDescent="0.3">
      <c r="I333" t="str">
        <f t="shared" ca="1" si="6"/>
        <v/>
      </c>
      <c r="J333" t="str">
        <f t="shared" si="7"/>
        <v/>
      </c>
    </row>
    <row r="334" spans="9:10" x14ac:dyDescent="0.3">
      <c r="I334" t="str">
        <f t="shared" ca="1" si="6"/>
        <v/>
      </c>
      <c r="J334" t="str">
        <f t="shared" si="7"/>
        <v/>
      </c>
    </row>
    <row r="335" spans="9:10" x14ac:dyDescent="0.3">
      <c r="I335" t="str">
        <f t="shared" ca="1" si="6"/>
        <v/>
      </c>
      <c r="J335" t="str">
        <f t="shared" si="7"/>
        <v/>
      </c>
    </row>
    <row r="336" spans="9:10" x14ac:dyDescent="0.3">
      <c r="I336" t="str">
        <f t="shared" ca="1" si="6"/>
        <v/>
      </c>
      <c r="J336" t="str">
        <f t="shared" si="7"/>
        <v/>
      </c>
    </row>
    <row r="337" spans="9:10" x14ac:dyDescent="0.3">
      <c r="I337" t="str">
        <f t="shared" ca="1" si="6"/>
        <v/>
      </c>
      <c r="J337" t="str">
        <f t="shared" si="7"/>
        <v/>
      </c>
    </row>
    <row r="338" spans="9:10" x14ac:dyDescent="0.3">
      <c r="I338" t="str">
        <f t="shared" ca="1" si="6"/>
        <v/>
      </c>
      <c r="J338" t="str">
        <f t="shared" si="7"/>
        <v/>
      </c>
    </row>
    <row r="339" spans="9:10" x14ac:dyDescent="0.3">
      <c r="I339" t="str">
        <f t="shared" ca="1" si="6"/>
        <v/>
      </c>
      <c r="J339" t="str">
        <f t="shared" si="7"/>
        <v/>
      </c>
    </row>
    <row r="340" spans="9:10" x14ac:dyDescent="0.3">
      <c r="I340" t="str">
        <f t="shared" ca="1" si="6"/>
        <v/>
      </c>
      <c r="J340" t="str">
        <f t="shared" si="7"/>
        <v/>
      </c>
    </row>
    <row r="341" spans="9:10" x14ac:dyDescent="0.3">
      <c r="I341" t="str">
        <f t="shared" ca="1" si="6"/>
        <v/>
      </c>
      <c r="J341" t="str">
        <f t="shared" si="7"/>
        <v/>
      </c>
    </row>
    <row r="342" spans="9:10" x14ac:dyDescent="0.3">
      <c r="I342" t="str">
        <f t="shared" ca="1" si="6"/>
        <v/>
      </c>
      <c r="J342" t="str">
        <f t="shared" si="7"/>
        <v/>
      </c>
    </row>
    <row r="343" spans="9:10" x14ac:dyDescent="0.3">
      <c r="I343" t="str">
        <f t="shared" ca="1" si="6"/>
        <v/>
      </c>
      <c r="J343" t="str">
        <f t="shared" si="7"/>
        <v/>
      </c>
    </row>
    <row r="344" spans="9:10" x14ac:dyDescent="0.3">
      <c r="I344" t="str">
        <f t="shared" ca="1" si="6"/>
        <v/>
      </c>
      <c r="J344" t="str">
        <f t="shared" si="7"/>
        <v/>
      </c>
    </row>
    <row r="345" spans="9:10" x14ac:dyDescent="0.3">
      <c r="I345" t="str">
        <f t="shared" ca="1" si="6"/>
        <v/>
      </c>
      <c r="J345" t="str">
        <f t="shared" si="7"/>
        <v/>
      </c>
    </row>
    <row r="346" spans="9:10" x14ac:dyDescent="0.3">
      <c r="I346" t="str">
        <f t="shared" ca="1" si="6"/>
        <v/>
      </c>
      <c r="J346" t="str">
        <f t="shared" si="7"/>
        <v/>
      </c>
    </row>
    <row r="347" spans="9:10" x14ac:dyDescent="0.3">
      <c r="I347" t="str">
        <f t="shared" ca="1" si="6"/>
        <v/>
      </c>
      <c r="J347" t="str">
        <f t="shared" si="7"/>
        <v/>
      </c>
    </row>
    <row r="348" spans="9:10" x14ac:dyDescent="0.3">
      <c r="I348" t="str">
        <f t="shared" ca="1" si="6"/>
        <v/>
      </c>
      <c r="J348" t="str">
        <f t="shared" si="7"/>
        <v/>
      </c>
    </row>
    <row r="349" spans="9:10" x14ac:dyDescent="0.3">
      <c r="I349" t="str">
        <f t="shared" ca="1" si="6"/>
        <v/>
      </c>
      <c r="J349" t="str">
        <f t="shared" si="7"/>
        <v/>
      </c>
    </row>
    <row r="350" spans="9:10" x14ac:dyDescent="0.3">
      <c r="I350" t="str">
        <f t="shared" ca="1" si="6"/>
        <v/>
      </c>
      <c r="J350" t="str">
        <f t="shared" si="7"/>
        <v/>
      </c>
    </row>
    <row r="351" spans="9:10" x14ac:dyDescent="0.3">
      <c r="I351" t="str">
        <f t="shared" ca="1" si="6"/>
        <v/>
      </c>
      <c r="J351" t="str">
        <f t="shared" si="7"/>
        <v/>
      </c>
    </row>
    <row r="352" spans="9:10" x14ac:dyDescent="0.3">
      <c r="I352" t="str">
        <f t="shared" ca="1" si="6"/>
        <v/>
      </c>
      <c r="J352" t="str">
        <f t="shared" si="7"/>
        <v/>
      </c>
    </row>
    <row r="353" spans="9:10" x14ac:dyDescent="0.3">
      <c r="I353" t="str">
        <f t="shared" ca="1" si="6"/>
        <v/>
      </c>
      <c r="J353" t="str">
        <f t="shared" si="7"/>
        <v/>
      </c>
    </row>
    <row r="354" spans="9:10" x14ac:dyDescent="0.3">
      <c r="I354" t="str">
        <f t="shared" ca="1" si="6"/>
        <v/>
      </c>
      <c r="J354" t="str">
        <f t="shared" si="7"/>
        <v/>
      </c>
    </row>
    <row r="355" spans="9:10" x14ac:dyDescent="0.3">
      <c r="I355" t="str">
        <f t="shared" ca="1" si="6"/>
        <v/>
      </c>
      <c r="J355" t="str">
        <f t="shared" si="7"/>
        <v/>
      </c>
    </row>
    <row r="356" spans="9:10" x14ac:dyDescent="0.3">
      <c r="I356" t="str">
        <f t="shared" ca="1" si="6"/>
        <v/>
      </c>
      <c r="J356" t="str">
        <f t="shared" si="7"/>
        <v/>
      </c>
    </row>
    <row r="357" spans="9:10" x14ac:dyDescent="0.3">
      <c r="I357" t="str">
        <f t="shared" ref="I357:I420" ca="1" si="8">IF($A357="","","MSH-TUT-"&amp;TEXT(YEAR(TODAY()),"0000")&amp;"-"&amp;TEXT(ROW()-1,"000"))</f>
        <v/>
      </c>
      <c r="J357" t="str">
        <f t="shared" ref="J357:J420" si="9">IF($A357="","","Pending")</f>
        <v/>
      </c>
    </row>
    <row r="358" spans="9:10" x14ac:dyDescent="0.3">
      <c r="I358" t="str">
        <f t="shared" ca="1" si="8"/>
        <v/>
      </c>
      <c r="J358" t="str">
        <f t="shared" si="9"/>
        <v/>
      </c>
    </row>
    <row r="359" spans="9:10" x14ac:dyDescent="0.3">
      <c r="I359" t="str">
        <f t="shared" ca="1" si="8"/>
        <v/>
      </c>
      <c r="J359" t="str">
        <f t="shared" si="9"/>
        <v/>
      </c>
    </row>
    <row r="360" spans="9:10" x14ac:dyDescent="0.3">
      <c r="I360" t="str">
        <f t="shared" ca="1" si="8"/>
        <v/>
      </c>
      <c r="J360" t="str">
        <f t="shared" si="9"/>
        <v/>
      </c>
    </row>
    <row r="361" spans="9:10" x14ac:dyDescent="0.3">
      <c r="I361" t="str">
        <f t="shared" ca="1" si="8"/>
        <v/>
      </c>
      <c r="J361" t="str">
        <f t="shared" si="9"/>
        <v/>
      </c>
    </row>
    <row r="362" spans="9:10" x14ac:dyDescent="0.3">
      <c r="I362" t="str">
        <f t="shared" ca="1" si="8"/>
        <v/>
      </c>
      <c r="J362" t="str">
        <f t="shared" si="9"/>
        <v/>
      </c>
    </row>
    <row r="363" spans="9:10" x14ac:dyDescent="0.3">
      <c r="I363" t="str">
        <f t="shared" ca="1" si="8"/>
        <v/>
      </c>
      <c r="J363" t="str">
        <f t="shared" si="9"/>
        <v/>
      </c>
    </row>
    <row r="364" spans="9:10" x14ac:dyDescent="0.3">
      <c r="I364" t="str">
        <f t="shared" ca="1" si="8"/>
        <v/>
      </c>
      <c r="J364" t="str">
        <f t="shared" si="9"/>
        <v/>
      </c>
    </row>
    <row r="365" spans="9:10" x14ac:dyDescent="0.3">
      <c r="I365" t="str">
        <f t="shared" ca="1" si="8"/>
        <v/>
      </c>
      <c r="J365" t="str">
        <f t="shared" si="9"/>
        <v/>
      </c>
    </row>
    <row r="366" spans="9:10" x14ac:dyDescent="0.3">
      <c r="I366" t="str">
        <f t="shared" ca="1" si="8"/>
        <v/>
      </c>
      <c r="J366" t="str">
        <f t="shared" si="9"/>
        <v/>
      </c>
    </row>
    <row r="367" spans="9:10" x14ac:dyDescent="0.3">
      <c r="I367" t="str">
        <f t="shared" ca="1" si="8"/>
        <v/>
      </c>
      <c r="J367" t="str">
        <f t="shared" si="9"/>
        <v/>
      </c>
    </row>
    <row r="368" spans="9:10" x14ac:dyDescent="0.3">
      <c r="I368" t="str">
        <f t="shared" ca="1" si="8"/>
        <v/>
      </c>
      <c r="J368" t="str">
        <f t="shared" si="9"/>
        <v/>
      </c>
    </row>
    <row r="369" spans="9:10" x14ac:dyDescent="0.3">
      <c r="I369" t="str">
        <f t="shared" ca="1" si="8"/>
        <v/>
      </c>
      <c r="J369" t="str">
        <f t="shared" si="9"/>
        <v/>
      </c>
    </row>
    <row r="370" spans="9:10" x14ac:dyDescent="0.3">
      <c r="I370" t="str">
        <f t="shared" ca="1" si="8"/>
        <v/>
      </c>
      <c r="J370" t="str">
        <f t="shared" si="9"/>
        <v/>
      </c>
    </row>
    <row r="371" spans="9:10" x14ac:dyDescent="0.3">
      <c r="I371" t="str">
        <f t="shared" ca="1" si="8"/>
        <v/>
      </c>
      <c r="J371" t="str">
        <f t="shared" si="9"/>
        <v/>
      </c>
    </row>
    <row r="372" spans="9:10" x14ac:dyDescent="0.3">
      <c r="I372" t="str">
        <f t="shared" ca="1" si="8"/>
        <v/>
      </c>
      <c r="J372" t="str">
        <f t="shared" si="9"/>
        <v/>
      </c>
    </row>
    <row r="373" spans="9:10" x14ac:dyDescent="0.3">
      <c r="I373" t="str">
        <f t="shared" ca="1" si="8"/>
        <v/>
      </c>
      <c r="J373" t="str">
        <f t="shared" si="9"/>
        <v/>
      </c>
    </row>
    <row r="374" spans="9:10" x14ac:dyDescent="0.3">
      <c r="I374" t="str">
        <f t="shared" ca="1" si="8"/>
        <v/>
      </c>
      <c r="J374" t="str">
        <f t="shared" si="9"/>
        <v/>
      </c>
    </row>
    <row r="375" spans="9:10" x14ac:dyDescent="0.3">
      <c r="I375" t="str">
        <f t="shared" ca="1" si="8"/>
        <v/>
      </c>
      <c r="J375" t="str">
        <f t="shared" si="9"/>
        <v/>
      </c>
    </row>
    <row r="376" spans="9:10" x14ac:dyDescent="0.3">
      <c r="I376" t="str">
        <f t="shared" ca="1" si="8"/>
        <v/>
      </c>
      <c r="J376" t="str">
        <f t="shared" si="9"/>
        <v/>
      </c>
    </row>
    <row r="377" spans="9:10" x14ac:dyDescent="0.3">
      <c r="I377" t="str">
        <f t="shared" ca="1" si="8"/>
        <v/>
      </c>
      <c r="J377" t="str">
        <f t="shared" si="9"/>
        <v/>
      </c>
    </row>
    <row r="378" spans="9:10" x14ac:dyDescent="0.3">
      <c r="I378" t="str">
        <f t="shared" ca="1" si="8"/>
        <v/>
      </c>
      <c r="J378" t="str">
        <f t="shared" si="9"/>
        <v/>
      </c>
    </row>
    <row r="379" spans="9:10" x14ac:dyDescent="0.3">
      <c r="I379" t="str">
        <f t="shared" ca="1" si="8"/>
        <v/>
      </c>
      <c r="J379" t="str">
        <f t="shared" si="9"/>
        <v/>
      </c>
    </row>
    <row r="380" spans="9:10" x14ac:dyDescent="0.3">
      <c r="I380" t="str">
        <f t="shared" ca="1" si="8"/>
        <v/>
      </c>
      <c r="J380" t="str">
        <f t="shared" si="9"/>
        <v/>
      </c>
    </row>
    <row r="381" spans="9:10" x14ac:dyDescent="0.3">
      <c r="I381" t="str">
        <f t="shared" ca="1" si="8"/>
        <v/>
      </c>
      <c r="J381" t="str">
        <f t="shared" si="9"/>
        <v/>
      </c>
    </row>
    <row r="382" spans="9:10" x14ac:dyDescent="0.3">
      <c r="I382" t="str">
        <f t="shared" ca="1" si="8"/>
        <v/>
      </c>
      <c r="J382" t="str">
        <f t="shared" si="9"/>
        <v/>
      </c>
    </row>
    <row r="383" spans="9:10" x14ac:dyDescent="0.3">
      <c r="I383" t="str">
        <f t="shared" ca="1" si="8"/>
        <v/>
      </c>
      <c r="J383" t="str">
        <f t="shared" si="9"/>
        <v/>
      </c>
    </row>
    <row r="384" spans="9:10" x14ac:dyDescent="0.3">
      <c r="I384" t="str">
        <f t="shared" ca="1" si="8"/>
        <v/>
      </c>
      <c r="J384" t="str">
        <f t="shared" si="9"/>
        <v/>
      </c>
    </row>
    <row r="385" spans="9:10" x14ac:dyDescent="0.3">
      <c r="I385" t="str">
        <f t="shared" ca="1" si="8"/>
        <v/>
      </c>
      <c r="J385" t="str">
        <f t="shared" si="9"/>
        <v/>
      </c>
    </row>
    <row r="386" spans="9:10" x14ac:dyDescent="0.3">
      <c r="I386" t="str">
        <f t="shared" ca="1" si="8"/>
        <v/>
      </c>
      <c r="J386" t="str">
        <f t="shared" si="9"/>
        <v/>
      </c>
    </row>
    <row r="387" spans="9:10" x14ac:dyDescent="0.3">
      <c r="I387" t="str">
        <f t="shared" ca="1" si="8"/>
        <v/>
      </c>
      <c r="J387" t="str">
        <f t="shared" si="9"/>
        <v/>
      </c>
    </row>
    <row r="388" spans="9:10" x14ac:dyDescent="0.3">
      <c r="I388" t="str">
        <f t="shared" ca="1" si="8"/>
        <v/>
      </c>
      <c r="J388" t="str">
        <f t="shared" si="9"/>
        <v/>
      </c>
    </row>
    <row r="389" spans="9:10" x14ac:dyDescent="0.3">
      <c r="I389" t="str">
        <f t="shared" ca="1" si="8"/>
        <v/>
      </c>
      <c r="J389" t="str">
        <f t="shared" si="9"/>
        <v/>
      </c>
    </row>
    <row r="390" spans="9:10" x14ac:dyDescent="0.3">
      <c r="I390" t="str">
        <f t="shared" ca="1" si="8"/>
        <v/>
      </c>
      <c r="J390" t="str">
        <f t="shared" si="9"/>
        <v/>
      </c>
    </row>
    <row r="391" spans="9:10" x14ac:dyDescent="0.3">
      <c r="I391" t="str">
        <f t="shared" ca="1" si="8"/>
        <v/>
      </c>
      <c r="J391" t="str">
        <f t="shared" si="9"/>
        <v/>
      </c>
    </row>
    <row r="392" spans="9:10" x14ac:dyDescent="0.3">
      <c r="I392" t="str">
        <f t="shared" ca="1" si="8"/>
        <v/>
      </c>
      <c r="J392" t="str">
        <f t="shared" si="9"/>
        <v/>
      </c>
    </row>
    <row r="393" spans="9:10" x14ac:dyDescent="0.3">
      <c r="I393" t="str">
        <f t="shared" ca="1" si="8"/>
        <v/>
      </c>
      <c r="J393" t="str">
        <f t="shared" si="9"/>
        <v/>
      </c>
    </row>
    <row r="394" spans="9:10" x14ac:dyDescent="0.3">
      <c r="I394" t="str">
        <f t="shared" ca="1" si="8"/>
        <v/>
      </c>
      <c r="J394" t="str">
        <f t="shared" si="9"/>
        <v/>
      </c>
    </row>
    <row r="395" spans="9:10" x14ac:dyDescent="0.3">
      <c r="I395" t="str">
        <f t="shared" ca="1" si="8"/>
        <v/>
      </c>
      <c r="J395" t="str">
        <f t="shared" si="9"/>
        <v/>
      </c>
    </row>
    <row r="396" spans="9:10" x14ac:dyDescent="0.3">
      <c r="I396" t="str">
        <f t="shared" ca="1" si="8"/>
        <v/>
      </c>
      <c r="J396" t="str">
        <f t="shared" si="9"/>
        <v/>
      </c>
    </row>
    <row r="397" spans="9:10" x14ac:dyDescent="0.3">
      <c r="I397" t="str">
        <f t="shared" ca="1" si="8"/>
        <v/>
      </c>
      <c r="J397" t="str">
        <f t="shared" si="9"/>
        <v/>
      </c>
    </row>
    <row r="398" spans="9:10" x14ac:dyDescent="0.3">
      <c r="I398" t="str">
        <f t="shared" ca="1" si="8"/>
        <v/>
      </c>
      <c r="J398" t="str">
        <f t="shared" si="9"/>
        <v/>
      </c>
    </row>
    <row r="399" spans="9:10" x14ac:dyDescent="0.3">
      <c r="I399" t="str">
        <f t="shared" ca="1" si="8"/>
        <v/>
      </c>
      <c r="J399" t="str">
        <f t="shared" si="9"/>
        <v/>
      </c>
    </row>
    <row r="400" spans="9:10" x14ac:dyDescent="0.3">
      <c r="I400" t="str">
        <f t="shared" ca="1" si="8"/>
        <v/>
      </c>
      <c r="J400" t="str">
        <f t="shared" si="9"/>
        <v/>
      </c>
    </row>
    <row r="401" spans="9:10" x14ac:dyDescent="0.3">
      <c r="I401" t="str">
        <f t="shared" ca="1" si="8"/>
        <v/>
      </c>
      <c r="J401" t="str">
        <f t="shared" si="9"/>
        <v/>
      </c>
    </row>
    <row r="402" spans="9:10" x14ac:dyDescent="0.3">
      <c r="I402" t="str">
        <f t="shared" ca="1" si="8"/>
        <v/>
      </c>
      <c r="J402" t="str">
        <f t="shared" si="9"/>
        <v/>
      </c>
    </row>
    <row r="403" spans="9:10" x14ac:dyDescent="0.3">
      <c r="I403" t="str">
        <f t="shared" ca="1" si="8"/>
        <v/>
      </c>
      <c r="J403" t="str">
        <f t="shared" si="9"/>
        <v/>
      </c>
    </row>
    <row r="404" spans="9:10" x14ac:dyDescent="0.3">
      <c r="I404" t="str">
        <f t="shared" ca="1" si="8"/>
        <v/>
      </c>
      <c r="J404" t="str">
        <f t="shared" si="9"/>
        <v/>
      </c>
    </row>
    <row r="405" spans="9:10" x14ac:dyDescent="0.3">
      <c r="I405" t="str">
        <f t="shared" ca="1" si="8"/>
        <v/>
      </c>
      <c r="J405" t="str">
        <f t="shared" si="9"/>
        <v/>
      </c>
    </row>
    <row r="406" spans="9:10" x14ac:dyDescent="0.3">
      <c r="I406" t="str">
        <f t="shared" ca="1" si="8"/>
        <v/>
      </c>
      <c r="J406" t="str">
        <f t="shared" si="9"/>
        <v/>
      </c>
    </row>
    <row r="407" spans="9:10" x14ac:dyDescent="0.3">
      <c r="I407" t="str">
        <f t="shared" ca="1" si="8"/>
        <v/>
      </c>
      <c r="J407" t="str">
        <f t="shared" si="9"/>
        <v/>
      </c>
    </row>
    <row r="408" spans="9:10" x14ac:dyDescent="0.3">
      <c r="I408" t="str">
        <f t="shared" ca="1" si="8"/>
        <v/>
      </c>
      <c r="J408" t="str">
        <f t="shared" si="9"/>
        <v/>
      </c>
    </row>
    <row r="409" spans="9:10" x14ac:dyDescent="0.3">
      <c r="I409" t="str">
        <f t="shared" ca="1" si="8"/>
        <v/>
      </c>
      <c r="J409" t="str">
        <f t="shared" si="9"/>
        <v/>
      </c>
    </row>
    <row r="410" spans="9:10" x14ac:dyDescent="0.3">
      <c r="I410" t="str">
        <f t="shared" ca="1" si="8"/>
        <v/>
      </c>
      <c r="J410" t="str">
        <f t="shared" si="9"/>
        <v/>
      </c>
    </row>
    <row r="411" spans="9:10" x14ac:dyDescent="0.3">
      <c r="I411" t="str">
        <f t="shared" ca="1" si="8"/>
        <v/>
      </c>
      <c r="J411" t="str">
        <f t="shared" si="9"/>
        <v/>
      </c>
    </row>
    <row r="412" spans="9:10" x14ac:dyDescent="0.3">
      <c r="I412" t="str">
        <f t="shared" ca="1" si="8"/>
        <v/>
      </c>
      <c r="J412" t="str">
        <f t="shared" si="9"/>
        <v/>
      </c>
    </row>
    <row r="413" spans="9:10" x14ac:dyDescent="0.3">
      <c r="I413" t="str">
        <f t="shared" ca="1" si="8"/>
        <v/>
      </c>
      <c r="J413" t="str">
        <f t="shared" si="9"/>
        <v/>
      </c>
    </row>
    <row r="414" spans="9:10" x14ac:dyDescent="0.3">
      <c r="I414" t="str">
        <f t="shared" ca="1" si="8"/>
        <v/>
      </c>
      <c r="J414" t="str">
        <f t="shared" si="9"/>
        <v/>
      </c>
    </row>
    <row r="415" spans="9:10" x14ac:dyDescent="0.3">
      <c r="I415" t="str">
        <f t="shared" ca="1" si="8"/>
        <v/>
      </c>
      <c r="J415" t="str">
        <f t="shared" si="9"/>
        <v/>
      </c>
    </row>
    <row r="416" spans="9:10" x14ac:dyDescent="0.3">
      <c r="I416" t="str">
        <f t="shared" ca="1" si="8"/>
        <v/>
      </c>
      <c r="J416" t="str">
        <f t="shared" si="9"/>
        <v/>
      </c>
    </row>
    <row r="417" spans="9:10" x14ac:dyDescent="0.3">
      <c r="I417" t="str">
        <f t="shared" ca="1" si="8"/>
        <v/>
      </c>
      <c r="J417" t="str">
        <f t="shared" si="9"/>
        <v/>
      </c>
    </row>
    <row r="418" spans="9:10" x14ac:dyDescent="0.3">
      <c r="I418" t="str">
        <f t="shared" ca="1" si="8"/>
        <v/>
      </c>
      <c r="J418" t="str">
        <f t="shared" si="9"/>
        <v/>
      </c>
    </row>
    <row r="419" spans="9:10" x14ac:dyDescent="0.3">
      <c r="I419" t="str">
        <f t="shared" ca="1" si="8"/>
        <v/>
      </c>
      <c r="J419" t="str">
        <f t="shared" si="9"/>
        <v/>
      </c>
    </row>
    <row r="420" spans="9:10" x14ac:dyDescent="0.3">
      <c r="I420" t="str">
        <f t="shared" ca="1" si="8"/>
        <v/>
      </c>
      <c r="J420" t="str">
        <f t="shared" si="9"/>
        <v/>
      </c>
    </row>
    <row r="421" spans="9:10" x14ac:dyDescent="0.3">
      <c r="I421" t="str">
        <f t="shared" ref="I421:I484" ca="1" si="10">IF($A421="","","MSH-TUT-"&amp;TEXT(YEAR(TODAY()),"0000")&amp;"-"&amp;TEXT(ROW()-1,"000"))</f>
        <v/>
      </c>
      <c r="J421" t="str">
        <f t="shared" ref="J421:J484" si="11">IF($A421="","","Pending")</f>
        <v/>
      </c>
    </row>
    <row r="422" spans="9:10" x14ac:dyDescent="0.3">
      <c r="I422" t="str">
        <f t="shared" ca="1" si="10"/>
        <v/>
      </c>
      <c r="J422" t="str">
        <f t="shared" si="11"/>
        <v/>
      </c>
    </row>
    <row r="423" spans="9:10" x14ac:dyDescent="0.3">
      <c r="I423" t="str">
        <f t="shared" ca="1" si="10"/>
        <v/>
      </c>
      <c r="J423" t="str">
        <f t="shared" si="11"/>
        <v/>
      </c>
    </row>
    <row r="424" spans="9:10" x14ac:dyDescent="0.3">
      <c r="I424" t="str">
        <f t="shared" ca="1" si="10"/>
        <v/>
      </c>
      <c r="J424" t="str">
        <f t="shared" si="11"/>
        <v/>
      </c>
    </row>
    <row r="425" spans="9:10" x14ac:dyDescent="0.3">
      <c r="I425" t="str">
        <f t="shared" ca="1" si="10"/>
        <v/>
      </c>
      <c r="J425" t="str">
        <f t="shared" si="11"/>
        <v/>
      </c>
    </row>
    <row r="426" spans="9:10" x14ac:dyDescent="0.3">
      <c r="I426" t="str">
        <f t="shared" ca="1" si="10"/>
        <v/>
      </c>
      <c r="J426" t="str">
        <f t="shared" si="11"/>
        <v/>
      </c>
    </row>
    <row r="427" spans="9:10" x14ac:dyDescent="0.3">
      <c r="I427" t="str">
        <f t="shared" ca="1" si="10"/>
        <v/>
      </c>
      <c r="J427" t="str">
        <f t="shared" si="11"/>
        <v/>
      </c>
    </row>
    <row r="428" spans="9:10" x14ac:dyDescent="0.3">
      <c r="I428" t="str">
        <f t="shared" ca="1" si="10"/>
        <v/>
      </c>
      <c r="J428" t="str">
        <f t="shared" si="11"/>
        <v/>
      </c>
    </row>
    <row r="429" spans="9:10" x14ac:dyDescent="0.3">
      <c r="I429" t="str">
        <f t="shared" ca="1" si="10"/>
        <v/>
      </c>
      <c r="J429" t="str">
        <f t="shared" si="11"/>
        <v/>
      </c>
    </row>
    <row r="430" spans="9:10" x14ac:dyDescent="0.3">
      <c r="I430" t="str">
        <f t="shared" ca="1" si="10"/>
        <v/>
      </c>
      <c r="J430" t="str">
        <f t="shared" si="11"/>
        <v/>
      </c>
    </row>
    <row r="431" spans="9:10" x14ac:dyDescent="0.3">
      <c r="I431" t="str">
        <f t="shared" ca="1" si="10"/>
        <v/>
      </c>
      <c r="J431" t="str">
        <f t="shared" si="11"/>
        <v/>
      </c>
    </row>
    <row r="432" spans="9:10" x14ac:dyDescent="0.3">
      <c r="I432" t="str">
        <f t="shared" ca="1" si="10"/>
        <v/>
      </c>
      <c r="J432" t="str">
        <f t="shared" si="11"/>
        <v/>
      </c>
    </row>
    <row r="433" spans="9:10" x14ac:dyDescent="0.3">
      <c r="I433" t="str">
        <f t="shared" ca="1" si="10"/>
        <v/>
      </c>
      <c r="J433" t="str">
        <f t="shared" si="11"/>
        <v/>
      </c>
    </row>
    <row r="434" spans="9:10" x14ac:dyDescent="0.3">
      <c r="I434" t="str">
        <f t="shared" ca="1" si="10"/>
        <v/>
      </c>
      <c r="J434" t="str">
        <f t="shared" si="11"/>
        <v/>
      </c>
    </row>
    <row r="435" spans="9:10" x14ac:dyDescent="0.3">
      <c r="I435" t="str">
        <f t="shared" ca="1" si="10"/>
        <v/>
      </c>
      <c r="J435" t="str">
        <f t="shared" si="11"/>
        <v/>
      </c>
    </row>
    <row r="436" spans="9:10" x14ac:dyDescent="0.3">
      <c r="I436" t="str">
        <f t="shared" ca="1" si="10"/>
        <v/>
      </c>
      <c r="J436" t="str">
        <f t="shared" si="11"/>
        <v/>
      </c>
    </row>
    <row r="437" spans="9:10" x14ac:dyDescent="0.3">
      <c r="I437" t="str">
        <f t="shared" ca="1" si="10"/>
        <v/>
      </c>
      <c r="J437" t="str">
        <f t="shared" si="11"/>
        <v/>
      </c>
    </row>
    <row r="438" spans="9:10" x14ac:dyDescent="0.3">
      <c r="I438" t="str">
        <f t="shared" ca="1" si="10"/>
        <v/>
      </c>
      <c r="J438" t="str">
        <f t="shared" si="11"/>
        <v/>
      </c>
    </row>
    <row r="439" spans="9:10" x14ac:dyDescent="0.3">
      <c r="I439" t="str">
        <f t="shared" ca="1" si="10"/>
        <v/>
      </c>
      <c r="J439" t="str">
        <f t="shared" si="11"/>
        <v/>
      </c>
    </row>
    <row r="440" spans="9:10" x14ac:dyDescent="0.3">
      <c r="I440" t="str">
        <f t="shared" ca="1" si="10"/>
        <v/>
      </c>
      <c r="J440" t="str">
        <f t="shared" si="11"/>
        <v/>
      </c>
    </row>
    <row r="441" spans="9:10" x14ac:dyDescent="0.3">
      <c r="I441" t="str">
        <f t="shared" ca="1" si="10"/>
        <v/>
      </c>
      <c r="J441" t="str">
        <f t="shared" si="11"/>
        <v/>
      </c>
    </row>
    <row r="442" spans="9:10" x14ac:dyDescent="0.3">
      <c r="I442" t="str">
        <f t="shared" ca="1" si="10"/>
        <v/>
      </c>
      <c r="J442" t="str">
        <f t="shared" si="11"/>
        <v/>
      </c>
    </row>
    <row r="443" spans="9:10" x14ac:dyDescent="0.3">
      <c r="I443" t="str">
        <f t="shared" ca="1" si="10"/>
        <v/>
      </c>
      <c r="J443" t="str">
        <f t="shared" si="11"/>
        <v/>
      </c>
    </row>
    <row r="444" spans="9:10" x14ac:dyDescent="0.3">
      <c r="I444" t="str">
        <f t="shared" ca="1" si="10"/>
        <v/>
      </c>
      <c r="J444" t="str">
        <f t="shared" si="11"/>
        <v/>
      </c>
    </row>
    <row r="445" spans="9:10" x14ac:dyDescent="0.3">
      <c r="I445" t="str">
        <f t="shared" ca="1" si="10"/>
        <v/>
      </c>
      <c r="J445" t="str">
        <f t="shared" si="11"/>
        <v/>
      </c>
    </row>
    <row r="446" spans="9:10" x14ac:dyDescent="0.3">
      <c r="I446" t="str">
        <f t="shared" ca="1" si="10"/>
        <v/>
      </c>
      <c r="J446" t="str">
        <f t="shared" si="11"/>
        <v/>
      </c>
    </row>
    <row r="447" spans="9:10" x14ac:dyDescent="0.3">
      <c r="I447" t="str">
        <f t="shared" ca="1" si="10"/>
        <v/>
      </c>
      <c r="J447" t="str">
        <f t="shared" si="11"/>
        <v/>
      </c>
    </row>
    <row r="448" spans="9:10" x14ac:dyDescent="0.3">
      <c r="I448" t="str">
        <f t="shared" ca="1" si="10"/>
        <v/>
      </c>
      <c r="J448" t="str">
        <f t="shared" si="11"/>
        <v/>
      </c>
    </row>
    <row r="449" spans="9:10" x14ac:dyDescent="0.3">
      <c r="I449" t="str">
        <f t="shared" ca="1" si="10"/>
        <v/>
      </c>
      <c r="J449" t="str">
        <f t="shared" si="11"/>
        <v/>
      </c>
    </row>
    <row r="450" spans="9:10" x14ac:dyDescent="0.3">
      <c r="I450" t="str">
        <f t="shared" ca="1" si="10"/>
        <v/>
      </c>
      <c r="J450" t="str">
        <f t="shared" si="11"/>
        <v/>
      </c>
    </row>
    <row r="451" spans="9:10" x14ac:dyDescent="0.3">
      <c r="I451" t="str">
        <f t="shared" ca="1" si="10"/>
        <v/>
      </c>
      <c r="J451" t="str">
        <f t="shared" si="11"/>
        <v/>
      </c>
    </row>
    <row r="452" spans="9:10" x14ac:dyDescent="0.3">
      <c r="I452" t="str">
        <f t="shared" ca="1" si="10"/>
        <v/>
      </c>
      <c r="J452" t="str">
        <f t="shared" si="11"/>
        <v/>
      </c>
    </row>
    <row r="453" spans="9:10" x14ac:dyDescent="0.3">
      <c r="I453" t="str">
        <f t="shared" ca="1" si="10"/>
        <v/>
      </c>
      <c r="J453" t="str">
        <f t="shared" si="11"/>
        <v/>
      </c>
    </row>
    <row r="454" spans="9:10" x14ac:dyDescent="0.3">
      <c r="I454" t="str">
        <f t="shared" ca="1" si="10"/>
        <v/>
      </c>
      <c r="J454" t="str">
        <f t="shared" si="11"/>
        <v/>
      </c>
    </row>
    <row r="455" spans="9:10" x14ac:dyDescent="0.3">
      <c r="I455" t="str">
        <f t="shared" ca="1" si="10"/>
        <v/>
      </c>
      <c r="J455" t="str">
        <f t="shared" si="11"/>
        <v/>
      </c>
    </row>
    <row r="456" spans="9:10" x14ac:dyDescent="0.3">
      <c r="I456" t="str">
        <f t="shared" ca="1" si="10"/>
        <v/>
      </c>
      <c r="J456" t="str">
        <f t="shared" si="11"/>
        <v/>
      </c>
    </row>
    <row r="457" spans="9:10" x14ac:dyDescent="0.3">
      <c r="I457" t="str">
        <f t="shared" ca="1" si="10"/>
        <v/>
      </c>
      <c r="J457" t="str">
        <f t="shared" si="11"/>
        <v/>
      </c>
    </row>
    <row r="458" spans="9:10" x14ac:dyDescent="0.3">
      <c r="I458" t="str">
        <f t="shared" ca="1" si="10"/>
        <v/>
      </c>
      <c r="J458" t="str">
        <f t="shared" si="11"/>
        <v/>
      </c>
    </row>
    <row r="459" spans="9:10" x14ac:dyDescent="0.3">
      <c r="I459" t="str">
        <f t="shared" ca="1" si="10"/>
        <v/>
      </c>
      <c r="J459" t="str">
        <f t="shared" si="11"/>
        <v/>
      </c>
    </row>
    <row r="460" spans="9:10" x14ac:dyDescent="0.3">
      <c r="I460" t="str">
        <f t="shared" ca="1" si="10"/>
        <v/>
      </c>
      <c r="J460" t="str">
        <f t="shared" si="11"/>
        <v/>
      </c>
    </row>
    <row r="461" spans="9:10" x14ac:dyDescent="0.3">
      <c r="I461" t="str">
        <f t="shared" ca="1" si="10"/>
        <v/>
      </c>
      <c r="J461" t="str">
        <f t="shared" si="11"/>
        <v/>
      </c>
    </row>
    <row r="462" spans="9:10" x14ac:dyDescent="0.3">
      <c r="I462" t="str">
        <f t="shared" ca="1" si="10"/>
        <v/>
      </c>
      <c r="J462" t="str">
        <f t="shared" si="11"/>
        <v/>
      </c>
    </row>
    <row r="463" spans="9:10" x14ac:dyDescent="0.3">
      <c r="I463" t="str">
        <f t="shared" ca="1" si="10"/>
        <v/>
      </c>
      <c r="J463" t="str">
        <f t="shared" si="11"/>
        <v/>
      </c>
    </row>
    <row r="464" spans="9:10" x14ac:dyDescent="0.3">
      <c r="I464" t="str">
        <f t="shared" ca="1" si="10"/>
        <v/>
      </c>
      <c r="J464" t="str">
        <f t="shared" si="11"/>
        <v/>
      </c>
    </row>
    <row r="465" spans="9:10" x14ac:dyDescent="0.3">
      <c r="I465" t="str">
        <f t="shared" ca="1" si="10"/>
        <v/>
      </c>
      <c r="J465" t="str">
        <f t="shared" si="11"/>
        <v/>
      </c>
    </row>
    <row r="466" spans="9:10" x14ac:dyDescent="0.3">
      <c r="I466" t="str">
        <f t="shared" ca="1" si="10"/>
        <v/>
      </c>
      <c r="J466" t="str">
        <f t="shared" si="11"/>
        <v/>
      </c>
    </row>
    <row r="467" spans="9:10" x14ac:dyDescent="0.3">
      <c r="I467" t="str">
        <f t="shared" ca="1" si="10"/>
        <v/>
      </c>
      <c r="J467" t="str">
        <f t="shared" si="11"/>
        <v/>
      </c>
    </row>
    <row r="468" spans="9:10" x14ac:dyDescent="0.3">
      <c r="I468" t="str">
        <f t="shared" ca="1" si="10"/>
        <v/>
      </c>
      <c r="J468" t="str">
        <f t="shared" si="11"/>
        <v/>
      </c>
    </row>
    <row r="469" spans="9:10" x14ac:dyDescent="0.3">
      <c r="I469" t="str">
        <f t="shared" ca="1" si="10"/>
        <v/>
      </c>
      <c r="J469" t="str">
        <f t="shared" si="11"/>
        <v/>
      </c>
    </row>
    <row r="470" spans="9:10" x14ac:dyDescent="0.3">
      <c r="I470" t="str">
        <f t="shared" ca="1" si="10"/>
        <v/>
      </c>
      <c r="J470" t="str">
        <f t="shared" si="11"/>
        <v/>
      </c>
    </row>
    <row r="471" spans="9:10" x14ac:dyDescent="0.3">
      <c r="I471" t="str">
        <f t="shared" ca="1" si="10"/>
        <v/>
      </c>
      <c r="J471" t="str">
        <f t="shared" si="11"/>
        <v/>
      </c>
    </row>
    <row r="472" spans="9:10" x14ac:dyDescent="0.3">
      <c r="I472" t="str">
        <f t="shared" ca="1" si="10"/>
        <v/>
      </c>
      <c r="J472" t="str">
        <f t="shared" si="11"/>
        <v/>
      </c>
    </row>
    <row r="473" spans="9:10" x14ac:dyDescent="0.3">
      <c r="I473" t="str">
        <f t="shared" ca="1" si="10"/>
        <v/>
      </c>
      <c r="J473" t="str">
        <f t="shared" si="11"/>
        <v/>
      </c>
    </row>
    <row r="474" spans="9:10" x14ac:dyDescent="0.3">
      <c r="I474" t="str">
        <f t="shared" ca="1" si="10"/>
        <v/>
      </c>
      <c r="J474" t="str">
        <f t="shared" si="11"/>
        <v/>
      </c>
    </row>
    <row r="475" spans="9:10" x14ac:dyDescent="0.3">
      <c r="I475" t="str">
        <f t="shared" ca="1" si="10"/>
        <v/>
      </c>
      <c r="J475" t="str">
        <f t="shared" si="11"/>
        <v/>
      </c>
    </row>
    <row r="476" spans="9:10" x14ac:dyDescent="0.3">
      <c r="I476" t="str">
        <f t="shared" ca="1" si="10"/>
        <v/>
      </c>
      <c r="J476" t="str">
        <f t="shared" si="11"/>
        <v/>
      </c>
    </row>
    <row r="477" spans="9:10" x14ac:dyDescent="0.3">
      <c r="I477" t="str">
        <f t="shared" ca="1" si="10"/>
        <v/>
      </c>
      <c r="J477" t="str">
        <f t="shared" si="11"/>
        <v/>
      </c>
    </row>
    <row r="478" spans="9:10" x14ac:dyDescent="0.3">
      <c r="I478" t="str">
        <f t="shared" ca="1" si="10"/>
        <v/>
      </c>
      <c r="J478" t="str">
        <f t="shared" si="11"/>
        <v/>
      </c>
    </row>
    <row r="479" spans="9:10" x14ac:dyDescent="0.3">
      <c r="I479" t="str">
        <f t="shared" ca="1" si="10"/>
        <v/>
      </c>
      <c r="J479" t="str">
        <f t="shared" si="11"/>
        <v/>
      </c>
    </row>
    <row r="480" spans="9:10" x14ac:dyDescent="0.3">
      <c r="I480" t="str">
        <f t="shared" ca="1" si="10"/>
        <v/>
      </c>
      <c r="J480" t="str">
        <f t="shared" si="11"/>
        <v/>
      </c>
    </row>
    <row r="481" spans="9:10" x14ac:dyDescent="0.3">
      <c r="I481" t="str">
        <f t="shared" ca="1" si="10"/>
        <v/>
      </c>
      <c r="J481" t="str">
        <f t="shared" si="11"/>
        <v/>
      </c>
    </row>
    <row r="482" spans="9:10" x14ac:dyDescent="0.3">
      <c r="I482" t="str">
        <f t="shared" ca="1" si="10"/>
        <v/>
      </c>
      <c r="J482" t="str">
        <f t="shared" si="11"/>
        <v/>
      </c>
    </row>
    <row r="483" spans="9:10" x14ac:dyDescent="0.3">
      <c r="I483" t="str">
        <f t="shared" ca="1" si="10"/>
        <v/>
      </c>
      <c r="J483" t="str">
        <f t="shared" si="11"/>
        <v/>
      </c>
    </row>
    <row r="484" spans="9:10" x14ac:dyDescent="0.3">
      <c r="I484" t="str">
        <f t="shared" ca="1" si="10"/>
        <v/>
      </c>
      <c r="J484" t="str">
        <f t="shared" si="11"/>
        <v/>
      </c>
    </row>
    <row r="485" spans="9:10" x14ac:dyDescent="0.3">
      <c r="I485" t="str">
        <f t="shared" ref="I485:I500" ca="1" si="12">IF($A485="","","MSH-TUT-"&amp;TEXT(YEAR(TODAY()),"0000")&amp;"-"&amp;TEXT(ROW()-1,"000"))</f>
        <v/>
      </c>
      <c r="J485" t="str">
        <f t="shared" ref="J485:J500" si="13">IF($A485="","","Pending")</f>
        <v/>
      </c>
    </row>
    <row r="486" spans="9:10" x14ac:dyDescent="0.3">
      <c r="I486" t="str">
        <f t="shared" ca="1" si="12"/>
        <v/>
      </c>
      <c r="J486" t="str">
        <f t="shared" si="13"/>
        <v/>
      </c>
    </row>
    <row r="487" spans="9:10" x14ac:dyDescent="0.3">
      <c r="I487" t="str">
        <f t="shared" ca="1" si="12"/>
        <v/>
      </c>
      <c r="J487" t="str">
        <f t="shared" si="13"/>
        <v/>
      </c>
    </row>
    <row r="488" spans="9:10" x14ac:dyDescent="0.3">
      <c r="I488" t="str">
        <f t="shared" ca="1" si="12"/>
        <v/>
      </c>
      <c r="J488" t="str">
        <f t="shared" si="13"/>
        <v/>
      </c>
    </row>
    <row r="489" spans="9:10" x14ac:dyDescent="0.3">
      <c r="I489" t="str">
        <f t="shared" ca="1" si="12"/>
        <v/>
      </c>
      <c r="J489" t="str">
        <f t="shared" si="13"/>
        <v/>
      </c>
    </row>
    <row r="490" spans="9:10" x14ac:dyDescent="0.3">
      <c r="I490" t="str">
        <f t="shared" ca="1" si="12"/>
        <v/>
      </c>
      <c r="J490" t="str">
        <f t="shared" si="13"/>
        <v/>
      </c>
    </row>
    <row r="491" spans="9:10" x14ac:dyDescent="0.3">
      <c r="I491" t="str">
        <f t="shared" ca="1" si="12"/>
        <v/>
      </c>
      <c r="J491" t="str">
        <f t="shared" si="13"/>
        <v/>
      </c>
    </row>
    <row r="492" spans="9:10" x14ac:dyDescent="0.3">
      <c r="I492" t="str">
        <f t="shared" ca="1" si="12"/>
        <v/>
      </c>
      <c r="J492" t="str">
        <f t="shared" si="13"/>
        <v/>
      </c>
    </row>
    <row r="493" spans="9:10" x14ac:dyDescent="0.3">
      <c r="I493" t="str">
        <f t="shared" ca="1" si="12"/>
        <v/>
      </c>
      <c r="J493" t="str">
        <f t="shared" si="13"/>
        <v/>
      </c>
    </row>
    <row r="494" spans="9:10" x14ac:dyDescent="0.3">
      <c r="I494" t="str">
        <f t="shared" ca="1" si="12"/>
        <v/>
      </c>
      <c r="J494" t="str">
        <f t="shared" si="13"/>
        <v/>
      </c>
    </row>
    <row r="495" spans="9:10" x14ac:dyDescent="0.3">
      <c r="I495" t="str">
        <f t="shared" ca="1" si="12"/>
        <v/>
      </c>
      <c r="J495" t="str">
        <f t="shared" si="13"/>
        <v/>
      </c>
    </row>
    <row r="496" spans="9:10" x14ac:dyDescent="0.3">
      <c r="I496" t="str">
        <f t="shared" ca="1" si="12"/>
        <v/>
      </c>
      <c r="J496" t="str">
        <f t="shared" si="13"/>
        <v/>
      </c>
    </row>
    <row r="497" spans="9:10" x14ac:dyDescent="0.3">
      <c r="I497" t="str">
        <f t="shared" ca="1" si="12"/>
        <v/>
      </c>
      <c r="J497" t="str">
        <f t="shared" si="13"/>
        <v/>
      </c>
    </row>
    <row r="498" spans="9:10" x14ac:dyDescent="0.3">
      <c r="I498" t="str">
        <f t="shared" ca="1" si="12"/>
        <v/>
      </c>
      <c r="J498" t="str">
        <f t="shared" si="13"/>
        <v/>
      </c>
    </row>
    <row r="499" spans="9:10" x14ac:dyDescent="0.3">
      <c r="I499" t="str">
        <f t="shared" ca="1" si="12"/>
        <v/>
      </c>
      <c r="J499" t="str">
        <f t="shared" si="13"/>
        <v/>
      </c>
    </row>
    <row r="500" spans="9:10" x14ac:dyDescent="0.3">
      <c r="I500" t="str">
        <f t="shared" ca="1" si="12"/>
        <v/>
      </c>
      <c r="J500" t="str">
        <f t="shared" si="13"/>
        <v/>
      </c>
    </row>
  </sheetData>
  <dataValidations count="3">
    <dataValidation type="list" sqref="H2:H200" xr:uid="{00000000-0002-0000-0C00-000000000000}">
      <formula1>"Active,Inactive"</formula1>
    </dataValidation>
    <dataValidation type="list" allowBlank="1" sqref="H2:H500" xr:uid="{00000000-0002-0000-0C00-000001000000}">
      <formula1>"Active,Inactive"</formula1>
    </dataValidation>
    <dataValidation type="list" allowBlank="1" sqref="J2:J500" xr:uid="{00000000-0002-0000-0C00-000002000000}">
      <formula1>"Verified,Pending,Suspended"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0" customWidth="1"/>
    <col min="3" max="4" width="22" customWidth="1"/>
    <col min="5" max="5" width="26" customWidth="1"/>
    <col min="6" max="6" width="22" customWidth="1"/>
    <col min="7" max="7" width="16" customWidth="1"/>
    <col min="8" max="8" width="22" customWidth="1"/>
    <col min="9" max="9" width="14" customWidth="1"/>
    <col min="10" max="10" width="28" customWidth="1"/>
  </cols>
  <sheetData>
    <row r="1" spans="1:10" ht="28.8" customHeight="1" x14ac:dyDescent="0.3">
      <c r="A1" s="3" t="s">
        <v>327</v>
      </c>
      <c r="B1" s="3" t="s">
        <v>26</v>
      </c>
      <c r="C1" s="3" t="s">
        <v>818</v>
      </c>
      <c r="D1" s="3" t="s">
        <v>911</v>
      </c>
      <c r="E1" s="3" t="s">
        <v>981</v>
      </c>
      <c r="F1" s="3" t="s">
        <v>982</v>
      </c>
      <c r="G1" s="3" t="s">
        <v>983</v>
      </c>
      <c r="H1" s="3" t="s">
        <v>984</v>
      </c>
      <c r="I1" s="3" t="s">
        <v>985</v>
      </c>
      <c r="J1" s="3" t="s">
        <v>986</v>
      </c>
    </row>
    <row r="2" spans="1:10" x14ac:dyDescent="0.3">
      <c r="A2" t="s">
        <v>987</v>
      </c>
      <c r="B2" t="s">
        <v>852</v>
      </c>
      <c r="C2">
        <v>9</v>
      </c>
      <c r="D2" t="s">
        <v>823</v>
      </c>
      <c r="E2" t="s">
        <v>988</v>
      </c>
      <c r="F2" t="s">
        <v>989</v>
      </c>
      <c r="G2" t="s">
        <v>990</v>
      </c>
    </row>
    <row r="3" spans="1:10" x14ac:dyDescent="0.3">
      <c r="A3" t="s">
        <v>987</v>
      </c>
      <c r="B3" t="s">
        <v>829</v>
      </c>
      <c r="C3">
        <v>9</v>
      </c>
      <c r="D3" t="s">
        <v>872</v>
      </c>
      <c r="E3" t="s">
        <v>988</v>
      </c>
      <c r="F3" t="s">
        <v>989</v>
      </c>
      <c r="G3" t="s">
        <v>990</v>
      </c>
    </row>
    <row r="4" spans="1:10" x14ac:dyDescent="0.3">
      <c r="A4" t="s">
        <v>987</v>
      </c>
      <c r="B4" t="s">
        <v>834</v>
      </c>
      <c r="C4">
        <v>11</v>
      </c>
      <c r="D4" t="s">
        <v>843</v>
      </c>
      <c r="E4" t="s">
        <v>988</v>
      </c>
      <c r="F4" t="s">
        <v>989</v>
      </c>
      <c r="G4" t="s">
        <v>990</v>
      </c>
    </row>
    <row r="5" spans="1:10" x14ac:dyDescent="0.3">
      <c r="A5" t="s">
        <v>987</v>
      </c>
      <c r="B5" t="s">
        <v>834</v>
      </c>
      <c r="C5">
        <v>10</v>
      </c>
      <c r="D5" t="s">
        <v>823</v>
      </c>
      <c r="E5" t="s">
        <v>988</v>
      </c>
      <c r="F5" t="s">
        <v>989</v>
      </c>
      <c r="G5" t="s">
        <v>990</v>
      </c>
    </row>
    <row r="6" spans="1:10" x14ac:dyDescent="0.3">
      <c r="A6" t="s">
        <v>987</v>
      </c>
      <c r="B6" t="s">
        <v>862</v>
      </c>
      <c r="C6">
        <v>10</v>
      </c>
      <c r="D6" t="s">
        <v>872</v>
      </c>
      <c r="E6" t="s">
        <v>988</v>
      </c>
      <c r="F6" t="s">
        <v>989</v>
      </c>
      <c r="G6" t="s">
        <v>990</v>
      </c>
    </row>
    <row r="7" spans="1:10" x14ac:dyDescent="0.3">
      <c r="A7" t="s">
        <v>987</v>
      </c>
      <c r="B7" t="s">
        <v>844</v>
      </c>
      <c r="C7">
        <v>8</v>
      </c>
      <c r="D7" t="s">
        <v>823</v>
      </c>
      <c r="E7" t="s">
        <v>988</v>
      </c>
      <c r="F7" t="s">
        <v>989</v>
      </c>
      <c r="G7" t="s">
        <v>990</v>
      </c>
    </row>
    <row r="8" spans="1:10" x14ac:dyDescent="0.3">
      <c r="A8" t="s">
        <v>987</v>
      </c>
      <c r="B8" t="s">
        <v>844</v>
      </c>
      <c r="C8">
        <v>9</v>
      </c>
      <c r="D8" t="s">
        <v>843</v>
      </c>
      <c r="E8" t="s">
        <v>988</v>
      </c>
      <c r="F8" t="s">
        <v>989</v>
      </c>
      <c r="G8" t="s">
        <v>990</v>
      </c>
    </row>
    <row r="9" spans="1:10" x14ac:dyDescent="0.3">
      <c r="A9" t="s">
        <v>987</v>
      </c>
      <c r="B9" t="s">
        <v>844</v>
      </c>
      <c r="C9">
        <v>8</v>
      </c>
      <c r="D9" t="s">
        <v>823</v>
      </c>
      <c r="E9" t="s">
        <v>988</v>
      </c>
      <c r="F9" t="s">
        <v>989</v>
      </c>
      <c r="G9" t="s">
        <v>990</v>
      </c>
    </row>
    <row r="10" spans="1:10" x14ac:dyDescent="0.3">
      <c r="A10" t="s">
        <v>987</v>
      </c>
      <c r="B10" t="s">
        <v>829</v>
      </c>
      <c r="C10">
        <v>11</v>
      </c>
      <c r="D10" t="s">
        <v>873</v>
      </c>
      <c r="E10" t="s">
        <v>988</v>
      </c>
      <c r="F10" t="s">
        <v>989</v>
      </c>
      <c r="G10" t="s">
        <v>990</v>
      </c>
    </row>
    <row r="11" spans="1:10" x14ac:dyDescent="0.3">
      <c r="A11" t="s">
        <v>987</v>
      </c>
      <c r="B11" t="s">
        <v>826</v>
      </c>
      <c r="C11">
        <v>12</v>
      </c>
      <c r="D11" t="s">
        <v>873</v>
      </c>
      <c r="E11" t="s">
        <v>988</v>
      </c>
      <c r="F11" t="s">
        <v>989</v>
      </c>
      <c r="G11" t="s">
        <v>990</v>
      </c>
    </row>
    <row r="12" spans="1:10" x14ac:dyDescent="0.3">
      <c r="A12" t="s">
        <v>987</v>
      </c>
      <c r="B12" t="s">
        <v>829</v>
      </c>
      <c r="C12">
        <v>8</v>
      </c>
      <c r="D12" t="s">
        <v>843</v>
      </c>
      <c r="E12" t="s">
        <v>988</v>
      </c>
      <c r="F12" t="s">
        <v>989</v>
      </c>
      <c r="G12" t="s">
        <v>990</v>
      </c>
    </row>
    <row r="13" spans="1:10" x14ac:dyDescent="0.3">
      <c r="A13" t="s">
        <v>987</v>
      </c>
      <c r="B13" t="s">
        <v>834</v>
      </c>
      <c r="C13">
        <v>9</v>
      </c>
      <c r="D13" t="s">
        <v>872</v>
      </c>
      <c r="E13" t="s">
        <v>988</v>
      </c>
      <c r="F13" t="s">
        <v>989</v>
      </c>
      <c r="G13" t="s">
        <v>990</v>
      </c>
    </row>
    <row r="14" spans="1:10" x14ac:dyDescent="0.3">
      <c r="A14" t="s">
        <v>987</v>
      </c>
      <c r="B14" t="s">
        <v>849</v>
      </c>
      <c r="C14">
        <v>11</v>
      </c>
      <c r="D14" t="s">
        <v>843</v>
      </c>
      <c r="E14" t="s">
        <v>988</v>
      </c>
      <c r="F14" t="s">
        <v>989</v>
      </c>
      <c r="G14" t="s">
        <v>990</v>
      </c>
    </row>
    <row r="15" spans="1:10" x14ac:dyDescent="0.3">
      <c r="A15" t="s">
        <v>987</v>
      </c>
      <c r="B15" t="s">
        <v>844</v>
      </c>
      <c r="C15">
        <v>10</v>
      </c>
      <c r="D15" t="s">
        <v>872</v>
      </c>
      <c r="E15" t="s">
        <v>988</v>
      </c>
      <c r="F15" t="s">
        <v>989</v>
      </c>
      <c r="G15" t="s">
        <v>990</v>
      </c>
    </row>
    <row r="16" spans="1:10" x14ac:dyDescent="0.3">
      <c r="A16" t="s">
        <v>987</v>
      </c>
      <c r="B16" t="s">
        <v>829</v>
      </c>
      <c r="C16">
        <v>9</v>
      </c>
      <c r="D16" t="s">
        <v>872</v>
      </c>
      <c r="E16" t="s">
        <v>988</v>
      </c>
      <c r="F16" t="s">
        <v>989</v>
      </c>
      <c r="G16" t="s">
        <v>990</v>
      </c>
    </row>
    <row r="17" spans="1:7" x14ac:dyDescent="0.3">
      <c r="A17" t="s">
        <v>987</v>
      </c>
      <c r="B17" t="s">
        <v>826</v>
      </c>
      <c r="C17">
        <v>11</v>
      </c>
      <c r="D17" t="s">
        <v>843</v>
      </c>
      <c r="E17" t="s">
        <v>988</v>
      </c>
      <c r="F17" t="s">
        <v>989</v>
      </c>
      <c r="G17" t="s">
        <v>990</v>
      </c>
    </row>
  </sheetData>
  <dataValidations count="3">
    <dataValidation type="whole" sqref="B2:B1000" xr:uid="{00000000-0002-0000-0D00-000000000000}">
      <formula1>8</formula1>
      <formula2>12</formula2>
    </dataValidation>
    <dataValidation type="list" sqref="C2:C1000" xr:uid="{00000000-0002-0000-0D00-000001000000}">
      <formula1>"Mathematics,Mathematical Literacy,Physical Sciences,Geography,Accounting,Natural Sciences &amp; Technology,EMS,English"</formula1>
    </dataValidation>
    <dataValidation type="list" sqref="G2:G1000 I2:I1000" xr:uid="{00000000-0002-0000-0D00-000002000000}">
      <formula1>"Yes,No"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6" width="22" customWidth="1"/>
  </cols>
  <sheetData>
    <row r="1" spans="1:6" x14ac:dyDescent="0.3">
      <c r="A1" s="37" t="s">
        <v>991</v>
      </c>
      <c r="B1" s="22"/>
      <c r="C1" s="22"/>
      <c r="D1" s="22"/>
      <c r="E1" s="22"/>
      <c r="F1" s="22"/>
    </row>
    <row r="2" spans="1:6" x14ac:dyDescent="0.3">
      <c r="A2" t="s">
        <v>992</v>
      </c>
      <c r="B2" t="s">
        <v>993</v>
      </c>
      <c r="C2" t="s">
        <v>994</v>
      </c>
      <c r="D2" t="s">
        <v>995</v>
      </c>
      <c r="E2" t="s">
        <v>996</v>
      </c>
      <c r="F2" t="s">
        <v>997</v>
      </c>
    </row>
    <row r="3" spans="1:6" x14ac:dyDescent="0.3">
      <c r="A3" t="s">
        <v>998</v>
      </c>
    </row>
    <row r="4" spans="1:6" x14ac:dyDescent="0.3">
      <c r="A4" t="s">
        <v>999</v>
      </c>
    </row>
    <row r="5" spans="1:6" x14ac:dyDescent="0.3">
      <c r="A5" t="s">
        <v>1000</v>
      </c>
    </row>
    <row r="6" spans="1:6" x14ac:dyDescent="0.3">
      <c r="A6" t="s">
        <v>1001</v>
      </c>
    </row>
    <row r="7" spans="1:6" x14ac:dyDescent="0.3">
      <c r="A7" t="s">
        <v>1002</v>
      </c>
    </row>
    <row r="8" spans="1:6" x14ac:dyDescent="0.3">
      <c r="A8" t="s">
        <v>1003</v>
      </c>
    </row>
    <row r="9" spans="1:6" x14ac:dyDescent="0.3">
      <c r="A9" t="s">
        <v>1004</v>
      </c>
    </row>
    <row r="10" spans="1:6" x14ac:dyDescent="0.3">
      <c r="A10" t="s">
        <v>1005</v>
      </c>
    </row>
    <row r="11" spans="1:6" x14ac:dyDescent="0.3">
      <c r="A11" t="s">
        <v>1006</v>
      </c>
      <c r="B11" t="s">
        <v>1007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DEMO_GUIDE</vt:lpstr>
      <vt:lpstr>ADMIN_DASHBOARD</vt:lpstr>
      <vt:lpstr>EXPORTS</vt:lpstr>
      <vt:lpstr>MASTER_REGISTER</vt:lpstr>
      <vt:lpstr>AUTO_IMPORT</vt:lpstr>
      <vt:lpstr>ATTENDANCE_DAILY</vt:lpstr>
      <vt:lpstr>ATTENDANCE_SUMMARY</vt:lpstr>
      <vt:lpstr>PAYMENTS</vt:lpstr>
      <vt:lpstr>ASSESSMENTS</vt:lpstr>
      <vt:lpstr>PROGRESS_SUMMARY</vt:lpstr>
      <vt:lpstr>REPORT_TEMPLATE</vt:lpstr>
      <vt:lpstr>TERM_REPORT_TEMPLATE</vt:lpstr>
      <vt:lpstr>TUTOR_REGISTER</vt:lpstr>
      <vt:lpstr>LESSON_PLANS</vt:lpstr>
      <vt:lpstr>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ABEL</cp:lastModifiedBy>
  <cp:lastPrinted>2026-03-14T09:13:12Z</cp:lastPrinted>
  <dcterms:created xsi:type="dcterms:W3CDTF">2026-02-11T02:24:33Z</dcterms:created>
  <dcterms:modified xsi:type="dcterms:W3CDTF">2026-03-14T10:24:51Z</dcterms:modified>
</cp:coreProperties>
</file>